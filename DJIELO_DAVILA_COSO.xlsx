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TER CARE\Desktop\"/>
    </mc:Choice>
  </mc:AlternateContent>
  <bookViews>
    <workbookView xWindow="0" yWindow="0" windowWidth="23040" windowHeight="9072" activeTab="4"/>
  </bookViews>
  <sheets>
    <sheet name="Audit_Appli_Service" sheetId="1" r:id="rId1"/>
    <sheet name="Audit_Fonction_Info" sheetId="2" r:id="rId2"/>
    <sheet name="Audit_Contrôle" sheetId="3" r:id="rId3"/>
    <sheet name="Audit_support" sheetId="4" r:id="rId4"/>
    <sheet name="Audit_Secu_Info" sheetId="5" r:id="rId5"/>
    <sheet name="Synthèse" sheetId="6" r:id="rId6"/>
  </sheets>
  <externalReferences>
    <externalReference r:id="rId7"/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6" l="1"/>
  <c r="E10" i="6"/>
  <c r="D10" i="6"/>
  <c r="G10" i="6" s="1"/>
  <c r="F9" i="6"/>
  <c r="E9" i="6"/>
  <c r="D9" i="6"/>
  <c r="F8" i="6"/>
  <c r="E8" i="6"/>
  <c r="D8" i="6"/>
  <c r="G8" i="6" s="1"/>
  <c r="F7" i="6"/>
  <c r="E7" i="6"/>
  <c r="D7" i="6"/>
  <c r="F6" i="6"/>
  <c r="F11" i="6" s="1"/>
  <c r="E6" i="6"/>
  <c r="E11" i="6" s="1"/>
  <c r="D6" i="6"/>
  <c r="G6" i="6" s="1"/>
  <c r="H8" i="6" l="1"/>
  <c r="I6" i="6"/>
  <c r="G7" i="6"/>
  <c r="I7" i="6" s="1"/>
  <c r="I8" i="6"/>
  <c r="G9" i="6"/>
  <c r="H9" i="6" s="1"/>
  <c r="I10" i="6"/>
  <c r="H6" i="6"/>
  <c r="H10" i="6"/>
  <c r="H7" i="6"/>
  <c r="D11" i="6"/>
  <c r="I9" i="6" l="1"/>
  <c r="I11" i="6"/>
  <c r="H11" i="6"/>
  <c r="G11" i="6"/>
</calcChain>
</file>

<file path=xl/sharedStrings.xml><?xml version="1.0" encoding="utf-8"?>
<sst xmlns="http://schemas.openxmlformats.org/spreadsheetml/2006/main" count="12755" uniqueCount="8915">
  <si>
    <t xml:space="preserve">  </t>
  </si>
  <si>
    <t>Responssables</t>
  </si>
  <si>
    <t>Durée</t>
  </si>
  <si>
    <t>Moyens pour la réalisation</t>
  </si>
  <si>
    <t>Parties Prenantes</t>
  </si>
  <si>
    <t>points de contrôles</t>
  </si>
  <si>
    <t>objectifs de contrôle</t>
  </si>
  <si>
    <t>critères d'évaluation</t>
  </si>
  <si>
    <t>questions d'évaluation</t>
  </si>
  <si>
    <t>Réponses</t>
  </si>
  <si>
    <t>Documents requis</t>
  </si>
  <si>
    <t>Risques</t>
  </si>
  <si>
    <t>Criticités</t>
  </si>
  <si>
    <t>conséquences</t>
  </si>
  <si>
    <t>Recommandations</t>
  </si>
  <si>
    <t>Application en service</t>
  </si>
  <si>
    <t>Organisation</t>
  </si>
  <si>
    <t>S’assurer de l’existence d'un comité informatique</t>
  </si>
  <si>
    <t>Vérifier l’existence d’un organigramme officiel du comité signé par la direction.</t>
  </si>
  <si>
    <t>L'organigramme du comité est-il signé par la direction ?</t>
  </si>
  <si>
    <t xml:space="preserve">OUI  </t>
  </si>
  <si>
    <t xml:space="preserve">Organigramme de l’entité  </t>
  </si>
  <si>
    <t xml:space="preserve">Absence de gouvernance clairement définie  </t>
  </si>
  <si>
    <t>Élevée</t>
  </si>
  <si>
    <t xml:space="preserve">Non-conformité aux réglementations en vigueur entraînant des sanctions légales.  </t>
  </si>
  <si>
    <t>Élaborer un cadre de gouvernance aligné sur COBIT ou ISO 27001 en formalisant les rôles et responsabilités.</t>
  </si>
  <si>
    <t>Confirmer la présence d’au moins 3 procès-verbaux de réunion datés des 6 derniers mois.</t>
  </si>
  <si>
    <t>Trois procès-verbaux de réunion existent-ils pour les 6 derniers mois ?</t>
  </si>
  <si>
    <t xml:space="preserve">NON  </t>
  </si>
  <si>
    <t xml:space="preserve">Organigramme fonctionnel de la DSI  </t>
  </si>
  <si>
    <t xml:space="preserve">Documentation insuffisante des décisions stratégiques  </t>
  </si>
  <si>
    <t>Moyenne</t>
  </si>
  <si>
    <t xml:space="preserve">Détérioration de la confiance des parties prenantes due à l'absence de traçabilité des décisions.  </t>
  </si>
  <si>
    <t>Documenter et diffuser les politiques de sécurité et les procédures internes pour garantir leur accessibilité.</t>
  </si>
  <si>
    <t>Analyser la composition du comité (CV/certifications des membres).</t>
  </si>
  <si>
    <t>Les CV et certifications des membres du comité sont-ils disponibles ?</t>
  </si>
  <si>
    <t xml:space="preserve">Procès-verbaux des réunions du comité  </t>
  </si>
  <si>
    <t xml:space="preserve">Incompétence des membres du comité de pilotage  </t>
  </si>
  <si>
    <t xml:space="preserve">Augmentation des erreurs opérationnelles par manque de directives claires.  </t>
  </si>
  <si>
    <t>Mettre en place une formation continue sur les enjeux de sécurité et la conformité réglementaire pour les employés.</t>
  </si>
  <si>
    <t>Identifier un mandat écrit précisant les missions et la fréquence des réunions.</t>
  </si>
  <si>
    <t>Un mandat écrit définit-il les missions et la fréquence des réunions ?</t>
  </si>
  <si>
    <t xml:space="preserve">Fiches de postes de la DSI  </t>
  </si>
  <si>
    <t xml:space="preserve">Définition floue des responsabilités du comité  </t>
  </si>
  <si>
    <t xml:space="preserve">Vulnérabilité accrue aux cyberattaques en raison de politiques obsolètes.  </t>
  </si>
  <si>
    <t>Implémenter des contrôles d'accès stricts basés sur le principe du moindre privilège et revoir périodiquement les habilitations.</t>
  </si>
  <si>
    <t>Contrôler la diffusion des décisions du comité via des emails ou documents internes.</t>
  </si>
  <si>
    <t>Les décisions du comité sont-elles diffusées par email ou documents internes ?</t>
  </si>
  <si>
    <t xml:space="preserve">Politique des Applications approuvée par la direction  </t>
  </si>
  <si>
    <t xml:space="preserve">Non-diffusion des orientations stratégiques aux équipes  </t>
  </si>
  <si>
    <t xml:space="preserve">Inefficacité des contrôles internes causant des pertes financières.  </t>
  </si>
  <si>
    <t>Concevoir et tester régulièrement un plan de continuité d'activité (PCA) et un plan de reprise d'activité (PRA).</t>
  </si>
  <si>
    <t>S’assurer de l’existence d'une politique relative aux applications</t>
  </si>
  <si>
    <t>Vérifier la présence d’un document intitulé "Politique des Applications" approuvé par la direction.</t>
  </si>
  <si>
    <t>La "Politique des Applications" est-elle approuvée par la direction ?</t>
  </si>
  <si>
    <t xml:space="preserve">Accusés de réception des employés pour la politique  </t>
  </si>
  <si>
    <t xml:space="preserve">Politique de sécurité non formalisée  </t>
  </si>
  <si>
    <t xml:space="preserve">Exposition à des litiges juridiques faute de documentation appropriée.  </t>
  </si>
  <si>
    <t>Instaurer une matrice des risques mise à jour annuellement et intégrée aux processus décisionnels.</t>
  </si>
  <si>
    <t>Confirmer la date de la dernière mise à jour (moins de 12 mois).</t>
  </si>
  <si>
    <t>La dernière mise à jour date-t-elle de moins de 12 mois ?</t>
  </si>
  <si>
    <t xml:space="preserve">Plan de formation annuel lié à la politique  </t>
  </si>
  <si>
    <t xml:space="preserve">Non-conformité réglementaire  </t>
  </si>
  <si>
    <t xml:space="preserve">Dysfonctionnements dans la gestion des accès menant à des fuites de données sensibles.  </t>
  </si>
  <si>
    <t>Automatiser les contrôles de validation des données critiques pour réduire les erreurs manuelles.</t>
  </si>
  <si>
    <t>Analyser les mentions de conformité RGPD/ISO dans le document.</t>
  </si>
  <si>
    <t>Le document mentionne-t-il la conformité RGPD/ISO ?</t>
  </si>
  <si>
    <t xml:space="preserve">Matrice des autorisations/droits d’accès  </t>
  </si>
  <si>
    <t xml:space="preserve">Manque de sensibilisation des employés aux politiques  </t>
  </si>
  <si>
    <t xml:space="preserve">Interruptions prolongées des activités en cas de sinistre non anticipé.  </t>
  </si>
  <si>
    <t>Déployer des outils de surveillance en temps réel pour détecter les anomalies et les activités suspectes.</t>
  </si>
  <si>
    <t>Vérifier la diffusion de la politique aux employés (accusés de réception signés).</t>
  </si>
  <si>
    <t>Les employés ont-ils signé des accusés de réception pour la politique ?</t>
  </si>
  <si>
    <t xml:space="preserve">Liste des 100 derniers incidents du domaine d’audit  </t>
  </si>
  <si>
    <t xml:space="preserve">Absence de formation continue sur les enjeux de sécurité  </t>
  </si>
  <si>
    <t xml:space="preserve">Dégradation de la performance des systèmes due à une maintenance inadéquate.  </t>
  </si>
  <si>
    <t>Réaliser des audits réguliers des configurations des systèmes et des droits d'accès privilégiés.</t>
  </si>
  <si>
    <t>Identifier un plan de formation annuel lié à cette politique.</t>
  </si>
  <si>
    <t>Un plan de formation annuel lié à cette politique existe-t-il ?</t>
  </si>
  <si>
    <t xml:space="preserve">Rapport d’analyse des risques récent (moins de 12 mois)  </t>
  </si>
  <si>
    <t xml:space="preserve">Définition imprécise des rôles utilisateurs  </t>
  </si>
  <si>
    <t xml:space="preserve">Non-respect des engagements contractuels envers les clients ou partenaires.  </t>
  </si>
  <si>
    <t>Mettre en œuvre des mécanismes de chiffrement des données en transit et au repos conformes aux normes ISO 27001.</t>
  </si>
  <si>
    <t>S’assurer que les rôle et responsabilités des utilisateurs sont bien définis</t>
  </si>
  <si>
    <t>Contrôler l’existence de fiches de poste pour chaque profil utilisateur.</t>
  </si>
  <si>
    <t>Des fiches de poste sont-elles disponibles pour chaque profil utilisateur ?</t>
  </si>
  <si>
    <t xml:space="preserve">Document de classification des données (public, interne, confidentiel)  </t>
  </si>
  <si>
    <t xml:space="preserve">Violation des engagements contractuels  </t>
  </si>
  <si>
    <t xml:space="preserve">Augmentation des coûts opérationnels liés à des processus inefficients.  </t>
  </si>
  <si>
    <t>Séparer les environnements de développement, de test et de production pour limiter les risques de corruption.</t>
  </si>
  <si>
    <t>Vérifier la signature des utilisateurs sur des chartes d’utilisation.</t>
  </si>
  <si>
    <t>Les utilisateurs ont-ils signé des chartes d'utilisation ?</t>
  </si>
  <si>
    <t xml:space="preserve">Manuel d’administration des applications  </t>
  </si>
  <si>
    <t xml:space="preserve">Droits d'accès obsolètes ou inadaptées  </t>
  </si>
  <si>
    <t xml:space="preserve">Perte de données critiques par absence de sauvegardes fiables.  </t>
  </si>
  <si>
    <t>Établir des procédures de gestion des incidents incluant une analyse post-mortem et des plans d'action correctifs.</t>
  </si>
  <si>
    <t>Confirmer la mise à jour des habilitations dans un tableau de gestion des accès.</t>
  </si>
  <si>
    <t>Le tableau de gestion des accès est-il à jour ?</t>
  </si>
  <si>
    <t xml:space="preserve">Logs d’accès aux données sensibles sur 30 jours  </t>
  </si>
  <si>
    <t xml:space="preserve">Détournement de privilèges  </t>
  </si>
  <si>
    <t xml:space="preserve">Retards dans les prises de décision faute d’informations actualisées.  </t>
  </si>
  <si>
    <t>Valider l'exhaustivité et l'intégrité des sauvegardes via des tests de restauration périodiques.</t>
  </si>
  <si>
    <t>Analyser des logs d’accès pour corréler avec les rôles déclarés.</t>
  </si>
  <si>
    <t>Les logs d'accès correspondent-ils aux rôles déclarés ?</t>
  </si>
  <si>
    <t xml:space="preserve">Procédures écrites pour les processus critiques  </t>
  </si>
  <si>
    <t xml:space="preserve">Absence de revue périodique des habilitations  </t>
  </si>
  <si>
    <t xml:space="preserve">Compromission de l’intégrité des données financières ou métiers.  </t>
  </si>
  <si>
    <t>Créer un comité de pilotage IT pour superviser l'alignement stratégique des projets avec les objectifs métiers.</t>
  </si>
  <si>
    <t>Identifier des procédures de révision trimestrielle des droits.</t>
  </si>
  <si>
    <t>Une procédure de révision trimestrielle des droits est-elle en place ?</t>
  </si>
  <si>
    <t xml:space="preserve">Comptes rendus mensuels de l’application  </t>
  </si>
  <si>
    <t xml:space="preserve">Fraude interne via l'exploitation de droits excessifs  </t>
  </si>
  <si>
    <t xml:space="preserve">Risque accru de fraude interne en l’absence de séparation des tâches.  </t>
  </si>
  <si>
    <t>Utiliser des outils de gestion des identités et des accès (IAM) pour centraliser et auditer les permissions.</t>
  </si>
  <si>
    <t>S’assurer qu’une analyse des risques a été réalisée</t>
  </si>
  <si>
    <t>Vérifier un rapport d’analyse des risques daté de moins de 12 mois.</t>
  </si>
  <si>
    <t>Un rapport d'analyse des risques de moins de 12 mois existe-t-il ?</t>
  </si>
  <si>
    <t xml:space="preserve">Guide utilisateur et manuel de procédures  </t>
  </si>
  <si>
    <t xml:space="preserve">Évaluation des risques non actualisée  </t>
  </si>
  <si>
    <t xml:space="preserve">Détérioration de la qualité des services IT impactant la satisfaction client.  </t>
  </si>
  <si>
    <t>Réaliser des tests de pénétration et des audits de code pour identifier les vulnérabilités applicatives.</t>
  </si>
  <si>
    <t>Confirmer l’utilisation d’une méthodologie reconnue (ex : EBIOS, OCTAVE).</t>
  </si>
  <si>
    <t>La méthodologie utilisée est-elle reconnue (EBIOS, OCTAVE) ?</t>
  </si>
  <si>
    <t xml:space="preserve">Matrice des tâches et fonctions incompatibles  </t>
  </si>
  <si>
    <t xml:space="preserve">Utilisation de méthodologies obsolètes  </t>
  </si>
  <si>
    <t xml:space="preserve">Exposition à des amendes réglementaires pour non-conformité RGPD.  </t>
  </si>
  <si>
    <t>Documenter les flux de données et les interfaces entre systèmes pour garantir la traçabilité des échanges.</t>
  </si>
  <si>
    <t>Analyser la liste des risques identifiés (au moins 10 risques critiques).</t>
  </si>
  <si>
    <t>Au moins 10 risques critiques sont-ils identifiés ?</t>
  </si>
  <si>
    <t xml:space="preserve">Contrat de maintenance ou d’assistance  </t>
  </si>
  <si>
    <t xml:space="preserve">Sous-estimation des menaces critiques  </t>
  </si>
  <si>
    <t xml:space="preserve">Interruptions fréquentes des services en production par manque de redondance.  </t>
  </si>
  <si>
    <t>Adopter une politique de gestion des correctifs avec des délais stricts pour les mises à jour critiques.</t>
  </si>
  <si>
    <t xml:space="preserve"> </t>
  </si>
  <si>
    <t>Un plan d'action avec responsables et échéances est-il établi ?</t>
  </si>
  <si>
    <t xml:space="preserve">Plan de continuité des activités (PCA)  </t>
  </si>
  <si>
    <t xml:space="preserve">Absence de planification corrective  </t>
  </si>
  <si>
    <t xml:space="preserve">Difficultés à assurer la continuité des activités lors de crises majeures.  </t>
  </si>
  <si>
    <t>Instaurer des contrôles d'intégrité des données lors des migrations ou des transferts inter-systèmes.</t>
  </si>
  <si>
    <t>Contrôler des preuves de mise en œuvre des actions (rapports de suivi).</t>
  </si>
  <si>
    <t>Des preuves de mise en œuvre des actions sont-elles disponibles ?</t>
  </si>
  <si>
    <t xml:space="preserve">Plan de reprise d’activité (PRA)  </t>
  </si>
  <si>
    <t xml:space="preserve">Contrôles inefficaces face aux risques identifiés  </t>
  </si>
  <si>
    <t xml:space="preserve">Dépendance excessive vis-à-vis de prestataires externes non supervisés.  </t>
  </si>
  <si>
    <t>Mettre en place une journalisation centralisée et une analyse proactive des logs pour détecter les menaces.</t>
  </si>
  <si>
    <t>S’assurer que le prolongement de l'analyse de risque et de son expansion ont été réalisés</t>
  </si>
  <si>
    <t>Vérifier des mises à jour de l’analyse des risques (au moins 2 révisions annuelles).</t>
  </si>
  <si>
    <t>L'analyse des risques a-t-elle été mise à jour deux fois dans l'année ?</t>
  </si>
  <si>
    <t xml:space="preserve">Rapports de traitements des incidents  </t>
  </si>
  <si>
    <t xml:space="preserve">Ignorance des nouvelles vulnérabilités  </t>
  </si>
  <si>
    <t xml:space="preserve">Altération de la réputation de l’organisation suite à des incidents récurrents.  </t>
  </si>
  <si>
    <t>Élaborer une charte de sécurité informatique incluant des clauses contractuelles avec les fournisseurs externes.</t>
  </si>
  <si>
    <t>Confirmer l’intégration des nouveaux risques (ex : cybermenaces, RGPD).</t>
  </si>
  <si>
    <t>Les nouveaux risques (cybermenaces, RGPD) sont-ils intégrés ?</t>
  </si>
  <si>
    <t xml:space="preserve">Inventaire des licences  </t>
  </si>
  <si>
    <t xml:space="preserve">Défaut de reporting aux instances décisionnelles  </t>
  </si>
  <si>
    <t xml:space="preserve">Inefficacité des plans de reprise après sinistre prolongeant les temps d’arrêt.  </t>
  </si>
  <si>
    <t>Concevoir des tableaux de bord de performance alignés sur les KPI métiers pour mesurer l'efficacité des SI.</t>
  </si>
  <si>
    <t>Analyser des indicateurs de suivi des risques (tableaux de bord).</t>
  </si>
  <si>
    <t>Des indicateurs de suivi des risques existent-ils ?</t>
  </si>
  <si>
    <t xml:space="preserve">Bilan de qualité logiciel  </t>
  </si>
  <si>
    <t xml:space="preserve">Culture du risque insuffisante dans l'organisation  </t>
  </si>
  <si>
    <t xml:space="preserve">Augmentation des vulnérabilités logicielles par absence de mises à jour.  </t>
  </si>
  <si>
    <t>Sensibiliser les utilisateurs aux risques de phishing et d'ingénierie sociale via des simulations régulières.</t>
  </si>
  <si>
    <t>Identifier des procédures de reporting aux instances dirigeantes.</t>
  </si>
  <si>
    <t>Des procédures de reporting aux instances dirigeantes sont-elles définies ?</t>
  </si>
  <si>
    <t xml:space="preserve">Bilan de satisfaction des utilisateurs  </t>
  </si>
  <si>
    <t xml:space="preserve">Classification inappropriée des données sensibles  </t>
  </si>
  <si>
    <t xml:space="preserve">Désorganisation des équipes IT faute de procédures standardisées.  </t>
  </si>
  <si>
    <t>Auditer régulièrement les configurations des pare-feux et des équipements réseau pour prévenir les attaques.</t>
  </si>
  <si>
    <t>Contrôler des preuves de sensibilisation des équipes aux risques majeurs.</t>
  </si>
  <si>
    <t>Les équipes sont-elles sensibilisées aux risques majeurs ?</t>
  </si>
  <si>
    <t xml:space="preserve">Schéma d’interaction des applications métiers  </t>
  </si>
  <si>
    <t xml:space="preserve">Exposition de données critiques  </t>
  </si>
  <si>
    <t xml:space="preserve">Non-atteinte des objectifs stratégiques en raison d’un mauvais alignement IT-métier.  </t>
  </si>
  <si>
    <t>Intégrer des contrôles de conformité RGPD dans les processus de traitement des données personnelles.</t>
  </si>
  <si>
    <t>S’assurer que l’analyse et évaluation du niveau de sensibilité a été réalisée</t>
  </si>
  <si>
    <t>Vérifier un document classifiant les données par niveau de sensibilité (public, interne, confidentiel).</t>
  </si>
  <si>
    <t>Un document classe-t-il les données (public, interne, confidentiel) ?</t>
  </si>
  <si>
    <t xml:space="preserve">Diagramme de flux de données des applications  </t>
  </si>
  <si>
    <t xml:space="preserve">Surveillance inadéquate des accès privilégiés  </t>
  </si>
  <si>
    <t xml:space="preserve">Perte de compétitivité due à des technologies obsolètes ou sous-utilisées.  </t>
  </si>
  <si>
    <t>Définir une stratégie de gestion des actifs numériques incluant leur classification et leur cycle de vie.</t>
  </si>
  <si>
    <t>Confirmer la mise à jour de la classification (moins de 6 mois).</t>
  </si>
  <si>
    <t>La classification a-t-elle été mise à jour dans les 6 mois ?</t>
  </si>
  <si>
    <t xml:space="preserve">Procédures de gestion des changements  </t>
  </si>
  <si>
    <t xml:space="preserve">Protection insuffisante des actifs informationnels  </t>
  </si>
  <si>
    <t xml:space="preserve">Erreurs humaines accrues par manque de formation ou de documentation.  </t>
  </si>
  <si>
    <t>Mettre en œuvre des contrôles d'accès physique aux salles serveurs et aux centres de données.</t>
  </si>
  <si>
    <t>Analyser des logs d’accès aux données sensibles sur 30 jours.</t>
  </si>
  <si>
    <t>Les logs d'accès aux données sensibles sur 30 jours sont-ils analysables ?</t>
  </si>
  <si>
    <t xml:space="preserve">Logs de connexion avec adresses IP et horodatages  </t>
  </si>
  <si>
    <t xml:space="preserve">Manque de formation sur la manipulation des données  </t>
  </si>
  <si>
    <t>Faible</t>
  </si>
  <si>
    <t xml:space="preserve">Détection tardive des anomalies opérationnelles réduisant la réactivité.  </t>
  </si>
  <si>
    <t>Réaliser des audits de sécurité des APIs pour prévenir les exploitations malveillantes.</t>
  </si>
  <si>
    <t>Identifier des procédures de protection spécifiques pour les données critiques.</t>
  </si>
  <si>
    <t>Des procédures spécifiques protègent-elles les données critiques ?</t>
  </si>
  <si>
    <t xml:space="preserve">Politique de sécurité des mots de passe  </t>
  </si>
  <si>
    <t xml:space="preserve">Documentation technique obsolète  </t>
  </si>
  <si>
    <t xml:space="preserve">Fuite d’informations confidentielles par des contrôles d’accès laxistes.  </t>
  </si>
  <si>
    <t>Standardiser les procédures de gestion des changements avec validation technique et métier préalable.</t>
  </si>
  <si>
    <t>Contrôler des preuves de formation des utilisateurs sur la classification.</t>
  </si>
  <si>
    <t>Les utilisateurs sont-ils formés sur la classification des données ?</t>
  </si>
  <si>
    <t xml:space="preserve">Procédures de gestion des identifiants et mots de passe  </t>
  </si>
  <si>
    <t xml:space="preserve">Procédures de secours non testées  </t>
  </si>
  <si>
    <t xml:space="preserve">Dégradation de la productivité des utilisateurs face à des outils inadaptés.  </t>
  </si>
  <si>
    <t>Instaurer des revues indépendantes des architectures techniques pour garantir leur résilience.</t>
  </si>
  <si>
    <t>Vérifier l’existence d’un manuel d'administration de l'application</t>
  </si>
  <si>
    <t>Vérifier l’existence d’un manuel d’administration mis à jour (moins de 12 mois).</t>
  </si>
  <si>
    <t>Le manuel d'administration est-il à jour (moins de 12 mois) ?</t>
  </si>
  <si>
    <t xml:space="preserve">Document de stratégie de migration des données  </t>
  </si>
  <si>
    <t xml:space="preserve">Dépendance excessive au savoir-faire individuel  </t>
  </si>
  <si>
    <t xml:space="preserve">Difficultés à auditer les systèmes en raison d’une journalisation insuffisante.  </t>
  </si>
  <si>
    <t>Adopter des contrats de service (SLA) clairs avec des pénalités en cas de non-respect des engagements.</t>
  </si>
  <si>
    <t>Confirmer la couverture des procédures clés (ex : sauvegarde, restauration).</t>
  </si>
  <si>
    <t>Les procédures clés (sauvegarde, restauration) sont-elles couvertes ?</t>
  </si>
  <si>
    <t xml:space="preserve">Procédures de sauvegarde et restauration  </t>
  </si>
  <si>
    <t xml:space="preserve">Absence de capitalisation des connaissances  </t>
  </si>
  <si>
    <t xml:space="preserve">Augmentation des coûts de conformité pour rattraper les lacunes identifiées.  </t>
  </si>
  <si>
    <t>Utiliser des solutions de détection d'intrusion (IDS/IPS) pour surveiller les activités réseau anormales.</t>
  </si>
  <si>
    <t>Analyser des exemples de procédures détaillées (étapes, screenshots).</t>
  </si>
  <si>
    <t>Des procédures détaillées avec étapes et captures existent-elles ?</t>
  </si>
  <si>
    <t xml:space="preserve">Rapports de tests de restauration après sinistre  </t>
  </si>
  <si>
    <t xml:space="preserve">Défaut de traçabilité des opérations sensibles  </t>
  </si>
  <si>
    <t xml:space="preserve">Risque de corruption des données lors de migrations non contrôlées.  </t>
  </si>
  <si>
    <t>Documenter les dépendances critiques entre systèmes pour anticiper les impacts des pannes.</t>
  </si>
  <si>
    <t>Identifier des preuves d’utilisation du manuel (logs de consultation).</t>
  </si>
  <si>
    <t>Des logs de consultation du manuel sont-ils disponibles ?</t>
  </si>
  <si>
    <t xml:space="preserve">Clauses de contrat SLA avec les fournisseurs  </t>
  </si>
  <si>
    <t xml:space="preserve">Contrôles métier inefficaces  </t>
  </si>
  <si>
    <t xml:space="preserve">Incapacité à répondre aux audits externes faute de preuves tangibles.  </t>
  </si>
  <si>
    <t>Mettre en place une politique de gestion des mots de passe exigeant une complexité et une rotation régulière.</t>
  </si>
  <si>
    <t>Contrôler des formations dédiées à l’équipe d’administration.</t>
  </si>
  <si>
    <t>L'équipe d'administration reçoit-elle des formations dédiées ?</t>
  </si>
  <si>
    <t xml:space="preserve">Feuille de route technologique approuvée  </t>
  </si>
  <si>
    <t xml:space="preserve">Non-respect des bonnes pratiques sectorielles  </t>
  </si>
  <si>
    <t xml:space="preserve">Fragilisation de la gouvernance IT par une supervision inefficace.  </t>
  </si>
  <si>
    <t>Auditer les configurations des bases de données pour limiter les risques d'exposition non autorisée.</t>
  </si>
  <si>
    <t>Vérifier l’existence de procédures formalisées</t>
  </si>
  <si>
    <t>Vérifier des procédures écrites pour au moins 5 processus critiques (ex : gestion des incidents).</t>
  </si>
  <si>
    <t>Cinq procédures écrites pour processus critiques existent-elles ?</t>
  </si>
  <si>
    <t xml:space="preserve">Rapports d’évaluation de l’alignement stratégique  </t>
  </si>
  <si>
    <t xml:space="preserve">Défaut de supervision des processus clés  </t>
  </si>
  <si>
    <t xml:space="preserve">Exposition à des attaques ciblées en l’absence de surveillance proactive.  </t>
  </si>
  <si>
    <t>Formaliser une procédure de réponse aux incidents cyber incluant une communication structurée.</t>
  </si>
  <si>
    <t>Confirmer la signature des procédures par les responsables concernés.</t>
  </si>
  <si>
    <t>Les responsables ont-ils signé ces procédures ?</t>
  </si>
  <si>
    <t xml:space="preserve">Spécifications fonctionnelles signées  </t>
  </si>
  <si>
    <t xml:space="preserve">Erreurs de conception des workflows  </t>
  </si>
  <si>
    <t xml:space="preserve">Déséquilibre entre investissements IT et retours sur investissement attendus.  </t>
  </si>
  <si>
    <t>Implémenter des contrôles d'accès hiérarchiques pour les environnements virtualisés et cloud.</t>
  </si>
  <si>
    <t>Analyser des preuves d’application (logs, rapports d’exécution).</t>
  </si>
  <si>
    <t>Des preuves d'application (logs, rapports) sont-elles vérifiables ?</t>
  </si>
  <si>
    <t xml:space="preserve">Fiches de poste détaillant les tâches des utilisateurs  </t>
  </si>
  <si>
    <t xml:space="preserve">Interface utilisateur peu intuitive  </t>
  </si>
  <si>
    <t xml:space="preserve">Perte de données historiques critiques par archivage défaillant.  </t>
  </si>
  <si>
    <t>Réaliser des évaluations de maturité des processus IT selon le référentiel COBIT.</t>
  </si>
  <si>
    <t>Identifier des indicateurs de performance liés aux procédures.</t>
  </si>
  <si>
    <t>Des indicateurs de performance liés aux procédures existent-ils ?</t>
  </si>
  <si>
    <t xml:space="preserve">Rapports de performance des systèmes parallèles  </t>
  </si>
  <si>
    <t xml:space="preserve">Absence de validation automatique des saisies  </t>
  </si>
  <si>
    <t xml:space="preserve">Complexification des processus métier due à des interfaces peu ergonomiques.  </t>
  </si>
  <si>
    <t>Instaurer des mécanismes de contrôle qualité automatisés dans les pipelines DevOps.</t>
  </si>
  <si>
    <t>Contrôler des mises à jour récentes (moins de 6 mois).</t>
  </si>
  <si>
    <t>Les procédures ont-elles été mises à jour dans les 6 mois ?</t>
  </si>
  <si>
    <t xml:space="preserve">Retours d’expérience des utilisateurs sur l’adéquation  </t>
  </si>
  <si>
    <t xml:space="preserve">Défaut de maintenance évolutive  </t>
  </si>
  <si>
    <t xml:space="preserve">Délais prolongés dans les projets IT par mauvaise gestion des priorités.  </t>
  </si>
  <si>
    <t>Mettre à jour régulièrement les politiques de sécurité pour refléter l'évolution des menaces.</t>
  </si>
  <si>
    <t>S’assurer de l’existence et de la mise à disposition du compte rendu mensuel au propriétaire</t>
  </si>
  <si>
    <t>Vérifier des comptes rendus mensuels datés des 6 derniers mois.</t>
  </si>
  <si>
    <t>Des comptes rendus mensuels existent-ils pour les 6 derniers mois ?</t>
  </si>
  <si>
    <t xml:space="preserve">Rapport ROI (Return on Investment) avec calculs détaillés  </t>
  </si>
  <si>
    <t xml:space="preserve">Incohérences dans les données de référence  </t>
  </si>
  <si>
    <t xml:space="preserve">Non-respect des SLA entraînant des pénalités contractuelles.  </t>
  </si>
  <si>
    <t>Créer un référentiel unique des configurations matérielles et logicielles pour éviter les divergences.</t>
  </si>
  <si>
    <t>Confirmer la signature des comptes rendus par le propriétaire de l’application.</t>
  </si>
  <si>
    <t>Le propriétaire de l'application a-t-il signé ces comptes rendus ?</t>
  </si>
  <si>
    <t xml:space="preserve">Contrats signés avec les fournisseurs  </t>
  </si>
  <si>
    <t xml:space="preserve">Faiblesses dans les mécanismes de réconciliation  </t>
  </si>
  <si>
    <t xml:space="preserve">Détérioration de la relation avec les fournisseurs par manque de suivi.  </t>
  </si>
  <si>
    <t>Effectuer des audits de conformité des licences logicielles pour prévenir les risques juridiques.</t>
  </si>
  <si>
    <t>Analyser des indicateurs clés inclus (ex : disponibilité, incidents).</t>
  </si>
  <si>
    <t>Des indicateurs clés (disponibilité, incidents) sont-ils inclus ?</t>
  </si>
  <si>
    <t xml:space="preserve">Calendrier de mise en œuvre du projet  </t>
  </si>
  <si>
    <t xml:space="preserve">Manque d'intégrité des données  </t>
  </si>
  <si>
    <t xml:space="preserve">Augmentation des conflits internes liés à des rôles mal définis.  </t>
  </si>
  <si>
    <t>Déployer des solutions de protection contre les attaques DDoS pour les services exposés en ligne.</t>
  </si>
  <si>
    <t>Identifier des actions correctives planifiées dans les comptes rendus.</t>
  </si>
  <si>
    <t>Des actions correctives sont-elles planifiées dans les comptes rendus ?</t>
  </si>
  <si>
    <t xml:space="preserve">Bilan post-projet avec conclusions  </t>
  </si>
  <si>
    <t xml:space="preserve">Exposition des flux inter-applicatifs  </t>
  </si>
  <si>
    <t xml:space="preserve">Incapacité à capitaliser sur les innovations technologiques par rigidité organisationnelle.  </t>
  </si>
  <si>
    <t>Établir des procédures de destruction sécurisée des données en fin de cycle de vie.</t>
  </si>
  <si>
    <t>Contrôler des preuves de suivi des actions (rapports de clôture).</t>
  </si>
  <si>
    <t>Des preuves de suivi des actions (rapports de clôture) existent-elles ?</t>
  </si>
  <si>
    <t xml:space="preserve">Rapports d’économie réalisées  </t>
  </si>
  <si>
    <t xml:space="preserve">Défaut de chiffrement des transmissions  </t>
  </si>
  <si>
    <t xml:space="preserve">Risque de non-conformité aux standards sectoriels nuisant à la crédibilité.  </t>
  </si>
  <si>
    <t>Réaliser des tests de résistance des infrastructures face aux catastrophes naturelles.</t>
  </si>
  <si>
    <t xml:space="preserve"> S’assurer de l’existence d'un guide d'utilisateur, manuel de procédure</t>
  </si>
  <si>
    <t>Vérifier l’existence d’un guide d’utilisateur et d’un manuel de procédures.</t>
  </si>
  <si>
    <t>Un guide utilisateur et un manuel de procédures sont-ils disponibles ?</t>
  </si>
  <si>
    <t xml:space="preserve">Document de réingénierie des processus  </t>
  </si>
  <si>
    <t xml:space="preserve">Contournement des contrôles d'accès  </t>
  </si>
  <si>
    <t xml:space="preserve">Désalignement entre les besoins métier et les capacités techniques disponibles.  </t>
  </si>
  <si>
    <t>Intégrer des contrôles de sécurité dans les phases de conception des applications (Security by Design).</t>
  </si>
  <si>
    <t>Confirmer la mise à jour des documents (moins de 12 mois).</t>
  </si>
  <si>
    <t>Ces documents ont-ils été mis à jour dans les 12 mois ?</t>
  </si>
  <si>
    <t xml:space="preserve">Rapport d’architecture technique de l’application  </t>
  </si>
  <si>
    <t xml:space="preserve">Journalisation insuffisante des activités  </t>
  </si>
  <si>
    <t xml:space="preserve">Fragmentation des systèmes réduisant l’efficacité globale de l’infrastructure.  </t>
  </si>
  <si>
    <t>Mettre en place une veille technologique pour anticiper les risques liés aux nouvelles technologies.</t>
  </si>
  <si>
    <t>Des procédures détaillées avec captures d'écran existent-elles ?</t>
  </si>
  <si>
    <t xml:space="preserve">Tableaux de bord avec indicateurs de performance (KPI)  </t>
  </si>
  <si>
    <t xml:space="preserve">Détection tardive des incidents de sécurité  </t>
  </si>
  <si>
    <t xml:space="preserve">Exposition à des erreurs de traitement par absence de validation automatisée.  </t>
  </si>
  <si>
    <t>Auditer régulièrement les fournisseurs tiers pour s'assurer de leur conformité aux exigences de sécurité.</t>
  </si>
  <si>
    <t>Identifier des preuves de diffusion aux utilisateurs (accusés de réception).</t>
  </si>
  <si>
    <t>Des accusés de réception prouvent-ils la diffusion aux utilisateurs ?</t>
  </si>
  <si>
    <t xml:space="preserve">Rapports de maturité technologique (ex : Gartner)  </t>
  </si>
  <si>
    <t xml:space="preserve">Absence de revue des journaux d'audit  </t>
  </si>
  <si>
    <t xml:space="preserve">Détérioration de la qualité des données utilisées pour la prise de décision.  </t>
  </si>
  <si>
    <t>Documenter les procédures de gestion des identités temporaires et des comptes de service.</t>
  </si>
  <si>
    <t>Contrôler des formations dédiées à l’utilisation des documents.</t>
  </si>
  <si>
    <t>Des formations sur l'utilisation des documents sont-elles organisées ?</t>
  </si>
  <si>
    <t xml:space="preserve">Procédures de gestion des accès privilégiés  </t>
  </si>
  <si>
    <t xml:space="preserve">Failles dans les interfaces d'intégration  </t>
  </si>
  <si>
    <t xml:space="preserve">Inadéquation des compétences des équipes face aux évolutions technologiques.  </t>
  </si>
  <si>
    <t>Instaurer des revues post-incident pour améliorer continuellement les processus de sécurité.</t>
  </si>
  <si>
    <t>Application</t>
  </si>
  <si>
    <t>S'assurer que l'accès aux ressources de l'application (données et transactions) est restreint par un système de gestion d'accès</t>
  </si>
  <si>
    <t>Vérifier l’existence d’un système RBAC (Role-Based Access Control) actif.</t>
  </si>
  <si>
    <t>Un système RBAC est-il actif ?</t>
  </si>
  <si>
    <t xml:space="preserve">Logs d’actions administratives sur 90 jours  </t>
  </si>
  <si>
    <t xml:space="preserve">Corruption des données lors des échanges  </t>
  </si>
  <si>
    <t xml:space="preserve">Augmentation des temps d’indisponibilité des systèmes critiques.  </t>
  </si>
  <si>
    <t>Adopter des outils de monitoring des performances applicatives pour détecter les goulets d'étranglement.</t>
  </si>
  <si>
    <t>Confirmer la présence de logs d’accès aux données sensibles sur 30 jours.</t>
  </si>
  <si>
    <t>Des logs d'accès aux données sensibles sur 30 jours existent-ils ?</t>
  </si>
  <si>
    <t xml:space="preserve">Procédures de révocation des accès en cas de départ  </t>
  </si>
  <si>
    <t xml:space="preserve">Absence de mécanismes de rejeu  </t>
  </si>
  <si>
    <t xml:space="preserve">Perte d’opportunités commerciales par lenteur des processus informatiques.  </t>
  </si>
  <si>
    <t>Mettre en œuvre une politique de gestion des clés de chiffrement incluant leur rotation et stockage sécurisé.</t>
  </si>
  <si>
    <t>Analyser la liste des utilisateurs avec droits administrateurs (moins de 5% du total).</t>
  </si>
  <si>
    <t>Moins de 5% des utilisateurs ont-ils des droits administrateur ?</t>
  </si>
  <si>
    <t xml:space="preserve">Document de schéma-directeur du SI  </t>
  </si>
  <si>
    <t xml:space="preserve">Perte de données critiques  </t>
  </si>
  <si>
    <t xml:space="preserve">Dépassements budgétaires récurrents dans les projets IT non maîtrisés.  </t>
  </si>
  <si>
    <t>Réaliser des audits de code statique et dynamique (SAST/DAST) pour les applications critiques.</t>
  </si>
  <si>
    <t>Tester le rejet d’accès hors profil via un compte test.</t>
  </si>
  <si>
    <t>Un compte test confirme-t-il le rejet d'accès hors profil ?</t>
  </si>
  <si>
    <t xml:space="preserve">Procédures de contrôle qualité des données saisies  </t>
  </si>
  <si>
    <t xml:space="preserve">Archivage non conforme  </t>
  </si>
  <si>
    <t xml:space="preserve">Risque de perte de savoir-faire interne par dépendance à des solutions externes.  </t>
  </si>
  <si>
    <t>Formaliser une stratégie de sortie pour les technologies obsolètes incluant leur remplacement progressif.</t>
  </si>
  <si>
    <t>Identifier une procédure de révocation des accès en cas de départ.</t>
  </si>
  <si>
    <t>Une procédure de révocation des accès en cas de départ existe-t-elle ?</t>
  </si>
  <si>
    <t xml:space="preserve">Manuels d’exploitation mis à jour  </t>
  </si>
  <si>
    <t xml:space="preserve">Restauration impossible après incident  </t>
  </si>
  <si>
    <t xml:space="preserve">Difficultés à maintenir la cohérence des données entre systèmes hétérogènes.  </t>
  </si>
  <si>
    <t>Instaurer des contrôles d'accès basés sur les rôles (RBAC) pour les environnements cloud.</t>
  </si>
  <si>
    <t>S’assurer qu’une procédure de gestion des profils utilisateurs 
existe</t>
  </si>
  <si>
    <t>Contrôler un workflow de création/suppression de profils (outil Jira ou équivalent).</t>
  </si>
  <si>
    <t>Un workflow de gestion des profils (Jira ou équivalent) est-il utilisé ?</t>
  </si>
  <si>
    <t xml:space="preserve">Procédures de gestion des correctifs urgents  </t>
  </si>
  <si>
    <t xml:space="preserve">Pertes d'informations historiques  </t>
  </si>
  <si>
    <t xml:space="preserve">Détérioration de l’expérience utilisateur impactant l’adoption des outils.  </t>
  </si>
  <si>
    <t>Documenter les procédures de gestion des vulnérabilités logicielles et des correctifs d'urgence.</t>
  </si>
  <si>
    <t>Vérifier des traces de validation hiérarchique pour 5 profils aléatoires.</t>
  </si>
  <si>
    <t>La validation hiérarchique pour 5 profils aléatoires est-elle tracée ?</t>
  </si>
  <si>
    <t xml:space="preserve">Rapports de revue de code pour les projets récents  </t>
  </si>
  <si>
    <t xml:space="preserve">Défaut de purge sécurisée  </t>
  </si>
  <si>
    <t xml:space="preserve">Non-respect des exigences réglementaires en matière de transparence.  </t>
  </si>
  <si>
    <t>Mettre en place des mécanismes de détection des fuites de données (DLP) pour les informations sensibles.</t>
  </si>
  <si>
    <t>Analyser l’existence d’un référentiel des profils types (PDF ou Excel).</t>
  </si>
  <si>
    <t>Un référentiel des profils types (PDF/Excel) est-il disponible ?</t>
  </si>
  <si>
    <t xml:space="preserve">Procédures de déploiement en environnement de production  </t>
  </si>
  <si>
    <t xml:space="preserve">Défaut de gestion des anomalies  </t>
  </si>
  <si>
    <t xml:space="preserve">Augmentation des coûts de maintenance corrective faute de prévention.  </t>
  </si>
  <si>
    <t>Auditer les configurations des conteneurs et des orchestrateurs pour limiter les risques d'exploitation.</t>
  </si>
  <si>
    <t>Confirmer la réalisation d’un audit semestriel des droits.</t>
  </si>
  <si>
    <t>Un audit semestriel des droits est-il réalisé ?</t>
  </si>
  <si>
    <t xml:space="preserve">Contrats incluant des clauses « Escrow Agreement »  </t>
  </si>
  <si>
    <t xml:space="preserve">Absence de processus de correction  </t>
  </si>
  <si>
    <t xml:space="preserve">Incapacité à détecter les anomalies en temps réel par monitoring insuffisant.  </t>
  </si>
  <si>
    <t>Implémenter une politique de gestion des risques spécifique aux projets d'intelligence artificielle.</t>
  </si>
  <si>
    <t>Identifier des sanctions en cas de non-respect (ex : mentions dans des PV).</t>
  </si>
  <si>
    <t>Des sanctions pour non-respect sont-elles prévues (mention dans PV) ?</t>
  </si>
  <si>
    <t xml:space="preserve">Rapports de tests de montée en charge  </t>
  </si>
  <si>
    <t xml:space="preserve">Défaut de traçabilité des corrections  </t>
  </si>
  <si>
    <t xml:space="preserve">Dégradation de la résilience des systèmes face aux perturbations externes.  </t>
  </si>
  <si>
    <t>Réaliser des tests d'intégration pour valider la cohérence des données entre systèmes hétérogènes.</t>
  </si>
  <si>
    <t>Vérifier que l’identification des utilisateurs est réalisée</t>
  </si>
  <si>
    <t>Tester l’impossibilité de se connecter sans identifiant unique.</t>
  </si>
  <si>
    <t>La connexion sans identifiant unique est-elle impossible ?</t>
  </si>
  <si>
    <t xml:space="preserve">Procédures de gestion des données archivées  </t>
  </si>
  <si>
    <t xml:space="preserve">Réintégration non contrôlée des données  </t>
  </si>
  <si>
    <t xml:space="preserve">Exposition à des conflits d’intérêts dans la gestion des fournisseurs IT.  </t>
  </si>
  <si>
    <t>Instaurer des contrôles d'accès biométriques pour les zones sensibles des datacenters.</t>
  </si>
  <si>
    <t>Vérifier l’absence de comptes génériques ("admin", "invité").</t>
  </si>
  <si>
    <t>Les comptes génériques ("admin", "invité") sont-ils absents ?</t>
  </si>
  <si>
    <t xml:space="preserve">Rapports de suivi des paiements des redevances  </t>
  </si>
  <si>
    <t xml:space="preserve">Validation insuffisante des correctifs  </t>
  </si>
  <si>
    <t xml:space="preserve">Perte de contrôle sur les actifs informationnels par mauvaise gouvernance.  </t>
  </si>
  <si>
    <t>Documenter les procédures de gestion des incidents liés aux fournisseurs de services cloud.</t>
  </si>
  <si>
    <t>Analyser l’existence d’un annuaire LDAP/Active Directory synchronisé.</t>
  </si>
  <si>
    <t>Un annuaire LDAP/Active Directory est-il synchronisé ?</t>
  </si>
  <si>
    <t xml:space="preserve">Procédures de gestion des partenariats avec les éditeurs  </t>
  </si>
  <si>
    <t xml:space="preserve">Défaut de supervision des mises à jour  </t>
  </si>
  <si>
    <t xml:space="preserve">Risque de non-reconnaissance des dépenses IT par manque de traçabilité.  </t>
  </si>
  <si>
    <t>Mettre en œuvre des solutions de segmentation réseau pour isoler les flux critiques.</t>
  </si>
  <si>
    <t>Confirmer la présence d’une procédure de réinitialisation sécurisée des identifiants.</t>
  </si>
  <si>
    <t>Une procédure sécurisée de réinitialisation des identifiants existe-t-elle ?</t>
  </si>
  <si>
    <t xml:space="preserve">Documentation technique des interfaces d’intégration  </t>
  </si>
  <si>
    <t xml:space="preserve">Exposition aux vulnérabilités non patchées  </t>
  </si>
  <si>
    <t xml:space="preserve">Désorganisation des workflows métier par intégration défaillante des systèmes.  </t>
  </si>
  <si>
    <t>Auditer régulièrement les configurations des équipements IoT pour prévenir les compromissions.</t>
  </si>
  <si>
    <t>Contrôler des logs de connexion avec adresses IP et horodatages.</t>
  </si>
  <si>
    <t>Les logs de connexion incluent-ils adresses IP et horodatages ?</t>
  </si>
  <si>
    <t xml:space="preserve">Procédures de suppression sécurisée des données obsolètes  </t>
  </si>
  <si>
    <t xml:space="preserve">Journalisation incomplète des modifications  </t>
  </si>
  <si>
    <t xml:space="preserve">Augmentation des erreurs de saisie manuelle par absence de contrôles automatisés.  </t>
  </si>
  <si>
    <t>Formaliser une politique de gestion des journaux d'activité conforme aux exigences réglementaires.</t>
  </si>
  <si>
    <t xml:space="preserve">Vérifier qu’un mot de passe est associé à l'identifiant </t>
  </si>
  <si>
    <t>Vérifier que chaque identifiant est associé à un mot de passe unique.</t>
  </si>
  <si>
    <t>Chaque identifiant a-t-il un mot de passe unique ?</t>
  </si>
  <si>
    <t xml:space="preserve">Rapports de performance de l’équipe de maintenance  </t>
  </si>
  <si>
    <t xml:space="preserve">Défaut de détection des changements non autorisés  </t>
  </si>
  <si>
    <t xml:space="preserve">Fragilisation de la position concurrentielle par retard technologique.  </t>
  </si>
  <si>
    <t>Implémenter des contrôles de validation des entrées utilisateur pour prévenir les injections SQL.</t>
  </si>
  <si>
    <t>Confirmer l’application d’une politique de complexité des mots de passe (ex : 12 caractères, majuscules, chiffres).</t>
  </si>
  <si>
    <t>La politique impose-t-elle 12 caractères avec majuscules et chiffres ?</t>
  </si>
  <si>
    <t xml:space="preserve">Procédures de recrutement et formation des équipes IT  </t>
  </si>
  <si>
    <t xml:space="preserve">Absence de revue des configurations  </t>
  </si>
  <si>
    <t xml:space="preserve">Incapacité à répondre aux attentes des utilisateurs finaux par rigidité des processus.  </t>
  </si>
  <si>
    <t>Réaliser des audits de conformité aux normes sectorielles (PCI DSS, HIPAA, etc.).</t>
  </si>
  <si>
    <t>Analyser des logs de connexion pour détecter des mots de passe faibles.</t>
  </si>
  <si>
    <t>Les logs de connexion révèlent-ils des mots de passe faibles ?</t>
  </si>
  <si>
    <t xml:space="preserve">Retours d’expérience du club utilisateurs  </t>
  </si>
  <si>
    <t xml:space="preserve">Contrôles automatisés inefficaces  </t>
  </si>
  <si>
    <t xml:space="preserve">Détérioration de la coordination entre équipes IT et métier par communication inefficace.  </t>
  </si>
  <si>
    <t>Instaurer des mécanismes de surveillance des activités des robots logiciels (RPA).</t>
  </si>
  <si>
    <t>Tester la réinitialisation forcée après 90 jours.</t>
  </si>
  <si>
    <t>La réinitialisation forcée a-t-elle lieu après 90 jours ?</t>
  </si>
  <si>
    <t xml:space="preserve">Procédures de gestion des mises à jour logicielles  </t>
  </si>
  <si>
    <t xml:space="preserve">Défaut d'alerte sur les anomalies  </t>
  </si>
  <si>
    <t xml:space="preserve">Exposition à des sanctions pour non-respect des clauses contractuelles avec les éditeurs.  </t>
  </si>
  <si>
    <t>Documenter les procédures de gestion des certificats SSL/TLS pour éviter leur expiration.</t>
  </si>
  <si>
    <t>Identifier des alertes en cas de tentative de réutilisation d’un ancien mot de passe.</t>
  </si>
  <si>
    <t>Des alertes signalent-elles la réutilisation d'anciens mots de passe ?</t>
  </si>
  <si>
    <t xml:space="preserve">Rapports d’évaluation de la conformité RGPD/ISO  </t>
  </si>
  <si>
    <t xml:space="preserve">Absence de suivi des indicateurs clés  </t>
  </si>
  <si>
    <t xml:space="preserve">Perte de données opérationnelles par corruption ou suppression accidentelle.  </t>
  </si>
  <si>
    <t>Mettre en place des contrôles d'accès contextuels pour les applications métiers sensibles.</t>
  </si>
  <si>
    <t>S’assurer que les tentatives de connexions infructueuses à 
l'application sont suivies</t>
  </si>
  <si>
    <t>Vérifier des logs de tentatives infructueuses sur 30 jours.</t>
  </si>
  <si>
    <t>Les tentatives infructueuses sur 30 jours sont-elles tracées ?</t>
  </si>
  <si>
    <t xml:space="preserve">Procédures de gestion des accès aux bibliothèques logicielles  </t>
  </si>
  <si>
    <t xml:space="preserve">Reporting incomplet ou erroné  </t>
  </si>
  <si>
    <t xml:space="preserve">Augmentation des vulnérabilités réseau par configuration inadéquate.  </t>
  </si>
  <si>
    <t>Auditer les configurations des systèmes de virtualisation pour garantir leur isolation.</t>
  </si>
  <si>
    <t>Confirmer la présence d’un système de verrouillage après 5 échecs.</t>
  </si>
  <si>
    <t>Le système se verrouille-t-il après 5 échecs ?</t>
  </si>
  <si>
    <t xml:space="preserve">Logs de consultation de la documentation par les utilisateurs  </t>
  </si>
  <si>
    <t xml:space="preserve">Décisions basées sur des informations obsolètes  </t>
  </si>
  <si>
    <t xml:space="preserve">Incapacité à anticiper les besoins futurs par planification stratégique absente.  </t>
  </si>
  <si>
    <t>Implémenter des contrôles de sécurité physique pour les supports de sauvegarde hors site.</t>
  </si>
  <si>
    <t>Analyser des alertes automatiques envoyées à l’administrateur.</t>
  </si>
  <si>
    <t>Des alertes automatiques sont-elles envoyées à l'administrateur ?</t>
  </si>
  <si>
    <t xml:space="preserve">Procédures de validation hiérarchique des profils utilisateurs  </t>
  </si>
  <si>
    <t xml:space="preserve">Distribution non sécurisée des états  </t>
  </si>
  <si>
    <t xml:space="preserve">Dégradation de la qualité des services supportés par des outils obsolètes.  </t>
  </si>
  <si>
    <t>Réaliser des tests de résistance aux attaques zero-day via des simulations réalistes.</t>
  </si>
  <si>
    <t>Tester la réinitialisation manuelle par l’administrateur.</t>
  </si>
  <si>
    <t>La réinitialisation manuelle par l'admin est-elle fonctionnelle ?</t>
  </si>
  <si>
    <t xml:space="preserve">Rapports d’audit semestriel des droits d’accès  </t>
  </si>
  <si>
    <t xml:space="preserve">Accès non contrôlé aux informations sensibles  </t>
  </si>
  <si>
    <t xml:space="preserve">Risque de non-atteinte des objectifs de transformation numérique.  </t>
  </si>
  <si>
    <t>Instaurer une politique de gestion des données archivées incluant leur classification et chiffrement.</t>
  </si>
  <si>
    <t>Identifier des procédures de suivi des tentatives suspectes.</t>
  </si>
  <si>
    <t>Une procédure de suivi des tentatives suspectes existe-t-elle ?</t>
  </si>
  <si>
    <t xml:space="preserve">Procédures de gestion des alertes de sécurité automatiques  </t>
  </si>
  <si>
    <t xml:space="preserve">Validation manquante des outputs  </t>
  </si>
  <si>
    <t xml:space="preserve">Exposition à des litiges liés à la propriété intellectuelle des développements logiciels.  </t>
  </si>
  <si>
    <t>Documenter les procédures de réponse aux fuites de données personnelles conformes au RGPD.</t>
  </si>
  <si>
    <t>S’assurer que l'accès aux données et aux transactions de 
l’application est géré</t>
  </si>
  <si>
    <t>Vérifier des logs d’accès aux transactions sensibles sur 30 jours.</t>
  </si>
  <si>
    <t>Les logs d'accès aux transactions sensibles sur 30 jours existent-ils ?</t>
  </si>
  <si>
    <t xml:space="preserve">Documents de référence des règles de gestion des données  </t>
  </si>
  <si>
    <t xml:space="preserve">Erreurs de traitement non détectées  </t>
  </si>
  <si>
    <t xml:space="preserve">Perte de flexibilité opérationnelle par architecture technique rigide.  </t>
  </si>
  <si>
    <t>Mettre en œuvre des contrôles d'intégrité des métadonnées associées aux données critiques.</t>
  </si>
  <si>
    <t>Confirmer la présence d’un système de chiffrement des données en transit.</t>
  </si>
  <si>
    <t>Les données en transit sont-elles chiffrées ?</t>
  </si>
  <si>
    <t xml:space="preserve">Procédures de contrôle qualité des corrections de données  </t>
  </si>
  <si>
    <t xml:space="preserve">Incohérences dans les codifications  </t>
  </si>
  <si>
    <t xml:space="preserve">Détérioration de la collaboration interne par outils collaboratifs inadaptés.  </t>
  </si>
  <si>
    <t>Auditer les configurations des systèmes de gestion des identités (IAM) pour limiter les erreurs.</t>
  </si>
  <si>
    <t>Analyser des procédures de validation des accès par un supérieur hiérarchique.</t>
  </si>
  <si>
    <t>Un supérieur hiérarchique valide-t-il les accès sensibles ?</t>
  </si>
  <si>
    <t xml:space="preserve">Rapports de tests d’interopérabilité avec les systèmes existants  </t>
  </si>
  <si>
    <t xml:space="preserve">Défaut d'application des règles métier  </t>
  </si>
  <si>
    <t xml:space="preserve">Augmentation des délais de livraison des projets IT par mauvaise gestion des ressources.  </t>
  </si>
  <si>
    <t>Implémenter des mécanismes de détection des comportements anormaux des utilisateurs.</t>
  </si>
  <si>
    <t xml:space="preserve">Procédures de gestion des environnements (dev/test/prod)  </t>
  </si>
  <si>
    <t xml:space="preserve">Défaut de cohérence inter-modules  </t>
  </si>
  <si>
    <t xml:space="preserve">Incapacité à garantir l’authenticité des transactions électroniques.  </t>
  </si>
  <si>
    <t>Réaliser des revues architecturales pour s'assurer de la résilience des infrastructures hybrides.</t>
  </si>
  <si>
    <t>Identifier des alertes en cas d’accès hors heures ouvrables.</t>
  </si>
  <si>
    <t>Des alertes existent-elles pour les accès hors heures ouvrables ?</t>
  </si>
  <si>
    <t xml:space="preserve">Rapports de tests de modularité de l’application  </t>
  </si>
  <si>
    <t xml:space="preserve">Interfaces non sécurisées  </t>
  </si>
  <si>
    <t xml:space="preserve">Fragilisation de la chaîne d’approvisionnement IT par dépendance à un seul fournisseur.  </t>
  </si>
  <si>
    <t>Instaurer des contrôles d'accès temporaires avec expiration automatique pour les prestataires.</t>
  </si>
  <si>
    <t>Vérifier l’existence de pistes d’audit sur le système 
d’administration de l’application</t>
  </si>
  <si>
    <t>Vérifier des logs d’audit des actions administratives sur 90 jours.</t>
  </si>
  <si>
    <t>Les logs d'actions administratives sur 90 jours sont-ils disponibles ?</t>
  </si>
  <si>
    <t xml:space="preserve">Procédures de gestion des versions logicielles  </t>
  </si>
  <si>
    <t xml:space="preserve">Défaut de validation des développements  </t>
  </si>
  <si>
    <t xml:space="preserve">Détérioration de l’image de marque suite à des incidents de sécurité médiatisés.  </t>
  </si>
  <si>
    <t>Documenter les procédures de gestion des risques liés à l'utilisation de l'Internet des objets (IoT).</t>
  </si>
  <si>
    <t>Confirmer la présence d’un système de journalisation centralisé.</t>
  </si>
  <si>
    <t>Un système de journalisation centralisé est-il en place ?</t>
  </si>
  <si>
    <t xml:space="preserve">Rapports de suivi des demandes de maintenance utilisateur  </t>
  </si>
  <si>
    <t xml:space="preserve">Code non conforme aux standards  </t>
  </si>
  <si>
    <t xml:space="preserve">Non-respect des engagements environnementaux liés à la gestion des infrastructures IT.  </t>
  </si>
  <si>
    <t>Mettre en place des solutions de chiffrement homomorphique pour les données sensibles en traitement.</t>
  </si>
  <si>
    <t>Analyser des alertes automatiques pour les actions critiques (ex : suppression de données).</t>
  </si>
  <si>
    <t>Des alertes automatiques pour actions critiques existent-elles ?</t>
  </si>
  <si>
    <t xml:space="preserve">Procédures de gestion des clés SSH/API  </t>
  </si>
  <si>
    <t xml:space="preserve">Absence de revue par les pairs  </t>
  </si>
  <si>
    <t xml:space="preserve">Augmentation des coûts de licence par utilisation non optimisée des logiciels.  </t>
  </si>
  <si>
    <t>Auditer les configurations des passerelles API pour prévenir les exploitations malveillantes.</t>
  </si>
  <si>
    <t>Tester la traçabilité des actions via un compte administrateur.</t>
  </si>
  <si>
    <t>La traçabilité des actions via un compte admin est-elle vérifiable ?</t>
  </si>
  <si>
    <t xml:space="preserve">Rapports de performance des travaux batch  </t>
  </si>
  <si>
    <t xml:space="preserve">Déploiement non contrôlé en production  </t>
  </si>
  <si>
    <t xml:space="preserve">Incapacité à maintenir la cohérence des données lors de fusions ou acquisitions.  </t>
  </si>
  <si>
    <t>Implémenter des contrôles de sécurité dans les pipelines CI/CD pour les déploiements automatisés.</t>
  </si>
  <si>
    <t>Identifier des procédures de revue trimestrielle des logs.</t>
  </si>
  <si>
    <t>Une revue trimestrielle des logs est-elle prévue ?</t>
  </si>
  <si>
    <t xml:space="preserve">Procédures de gestion des données rejetées  </t>
  </si>
  <si>
    <t xml:space="preserve">Accès non autorisé aux environnements critiques  </t>
  </si>
  <si>
    <t xml:space="preserve">Dégradation de l’agilité organisationnelle par lenteur des processus IT.  </t>
  </si>
  <si>
    <t>Réaliser des tests de charge pour valider la scalabilité des applications critiques.</t>
  </si>
  <si>
    <t>Vérifier que tous les documents servant de base à la saisie sont 
pris en compte</t>
  </si>
  <si>
    <t>Vérifier des exemples de documents sources (ex : factures, bons de commande).</t>
  </si>
  <si>
    <t>Des exemples de documents sources (factures, bons de commande) existent-ils ?</t>
  </si>
  <si>
    <t xml:space="preserve">Rapports de tests de compatibilité ascendante/descendante  </t>
  </si>
  <si>
    <t xml:space="preserve">Défaut de séparation des environnements  </t>
  </si>
  <si>
    <t xml:space="preserve">Exposition à des erreurs de configuration entraînant des pannes critiques.  </t>
  </si>
  <si>
    <t>Instaurer une politique de gestion des secrets applicatifs (mots de passe, clés API).</t>
  </si>
  <si>
    <t>Confirmer la présence d’un workflow de validation des documents.</t>
  </si>
  <si>
    <t>Un workflow de validation des documents est-il établi ?</t>
  </si>
  <si>
    <t xml:space="preserve">Procédures de gestion des formations utilisateurs  </t>
  </si>
  <si>
    <t xml:space="preserve">Gestion hasardeuse des accès privilégiés  </t>
  </si>
  <si>
    <t xml:space="preserve">Perte de compétitivité sur le marché par innovation technologique insuffisante.  </t>
  </si>
  <si>
    <t>Documenter les procédures de gestion des incidents liés aux systèmes de paiement électronique.</t>
  </si>
  <si>
    <t>Analyser des logs de saisie pour corréler avec les documents sources.</t>
  </si>
  <si>
    <t>Les logs de saisie correspondent-ils aux documents sources ?</t>
  </si>
  <si>
    <t xml:space="preserve">Rapports de suivi des indicateurs de satisfaction utilisateur  </t>
  </si>
  <si>
    <t xml:space="preserve">Compromission des clés d'accès  </t>
  </si>
  <si>
    <t xml:space="preserve">Détérioration de la satisfaction client due à des services IT peu fiables.  </t>
  </si>
  <si>
    <t>Mettre en œuvre des contrôles d'accès physiques et logiques pour les salles de contrôle.</t>
  </si>
  <si>
    <t>Tester la reprise des données après une erreur de saisie.</t>
  </si>
  <si>
    <t>La reprise des données après erreur de saisie est-elle possible ?</t>
  </si>
  <si>
    <t xml:space="preserve">Procédures de gestion des risques résiduels  </t>
  </si>
  <si>
    <t xml:space="preserve">Défaut de rotation des identifiants  </t>
  </si>
  <si>
    <t xml:space="preserve">Augmentation des risques liés à l’externalisation non supervisée.  </t>
  </si>
  <si>
    <t>Auditer les configurations des systèmes SCADA/OT pour limiter les risques cyberindustriels.</t>
  </si>
  <si>
    <t>Identifier des procédures de contrôle qualité des données saisies.</t>
  </si>
  <si>
    <t>Des procédures de contrôle qualité des données saisies existent-elles ?</t>
  </si>
  <si>
    <t xml:space="preserve">Rapports de revue trimestrielle des logs d’activité  </t>
  </si>
  <si>
    <t xml:space="preserve">Compétences insuffisantes des équipes  </t>
  </si>
  <si>
    <t xml:space="preserve">Incapacité à aligner les investissements IT sur les priorités métier.  </t>
  </si>
  <si>
    <t>Implémenter des mécanismes de protection contre les attaques par ingénierie sociale.</t>
  </si>
  <si>
    <t>S’assurer que les facilités de saisie, l’ergonomie de la saisie, les 
messages écrans et les contrôles sont mis en œuvre</t>
  </si>
  <si>
    <t>Vérifier des captures d’écran des interfaces de saisie.</t>
  </si>
  <si>
    <t>Des captures d'écran des interfaces de saisie sont-elles disponibles ?</t>
  </si>
  <si>
    <t xml:space="preserve">Procédures de gestion des accès hors heures ouvrables  </t>
  </si>
  <si>
    <t xml:space="preserve">Défaut de plan de continuité d'activité  </t>
  </si>
  <si>
    <t xml:space="preserve">Fragilisation de la conformité aux normes internationales par pratiques obsolètes.  </t>
  </si>
  <si>
    <t>Réaliser des revues de conformité des contrats avec les fournisseurs de services managés.</t>
  </si>
  <si>
    <t>Confirmer la présence de messages d’erreur clairs et explicites.</t>
  </si>
  <si>
    <t>Les messages d'erreur sont-ils clairs et explicites ?</t>
  </si>
  <si>
    <t xml:space="preserve">Rapports de tests de stabilité des technologies utilisées  </t>
  </si>
  <si>
    <t xml:space="preserve">Procédures de secours non opérationnelles  </t>
  </si>
  <si>
    <t xml:space="preserve">Détérioration de la capacité à auditer les processus internes efficacement.  </t>
  </si>
  <si>
    <t>Instaurer des contrôles de sécurité pour les environnements DevOps et les outils low-code.</t>
  </si>
  <si>
    <t>Analyser des tests utilisateurs pour évaluer l’ergonomie.</t>
  </si>
  <si>
    <t>Des tests utilisateurs évaluent-ils l'ergonomie ?</t>
  </si>
  <si>
    <t xml:space="preserve">Procédures de gestion des budgets d’extension d’infrastructure  </t>
  </si>
  <si>
    <t xml:space="preserve">Temps de restauration excessif  </t>
  </si>
  <si>
    <t xml:space="preserve">Exposition à des interruptions d’activité par absence de redondance des systèmes.  </t>
  </si>
  <si>
    <t>Documenter les procédures de gestion des risques liés à l'adoption de la blockchain.</t>
  </si>
  <si>
    <t>Tester la validation automatique des champs obligatoires.</t>
  </si>
  <si>
    <t>La validation automatique des champs obligatoires fonctionne-t-elle ?</t>
  </si>
  <si>
    <t xml:space="preserve">Rapports de tests de réversibilité en cas d’échec de déploiement  </t>
  </si>
  <si>
    <t xml:space="preserve">Perte de disponibilité du système  </t>
  </si>
  <si>
    <t xml:space="preserve">Perte de données stratégiques par absence de politiques de sauvegarde robustes.  </t>
  </si>
  <si>
    <t>Mettre en place des mécanismes de validation des données en temps réel pour les transactions.</t>
  </si>
  <si>
    <t>Identifier des procédures de mise à jour des interfaces.</t>
  </si>
  <si>
    <t>Des procédures de mise à jour des interfaces existent-elles ?</t>
  </si>
  <si>
    <t xml:space="preserve">Procédures de gestion des alertes de tentative d’accès non autorisé  </t>
  </si>
  <si>
    <t xml:space="preserve">Défaut de tests de reprise  </t>
  </si>
  <si>
    <t xml:space="preserve">Augmentation des conflits entre équipes par manque de clarté des responsabilités.  </t>
  </si>
  <si>
    <t>Auditer les configurations des systèmes de gestion de contenu (CMS) pour prévenir les vulnérabilités.</t>
  </si>
  <si>
    <t>S’assurer que les contrôles de validation des « brouillards » de 
saisie pour validation par réconciliation existent</t>
  </si>
  <si>
    <t>Vérifier des exemples de brouillards de saisie validés.</t>
  </si>
  <si>
    <t>Des brouillards de saisie validés sont-ils disponibles ?</t>
  </si>
  <si>
    <t xml:space="preserve">Rapports de suivi des indicateurs de productivité des processus  </t>
  </si>
  <si>
    <t xml:space="preserve">Inadéquation des sauvegardes  </t>
  </si>
  <si>
    <t xml:space="preserve">Incapacité à répondre aux audits réglementaires faute de documentation adéquate.  </t>
  </si>
  <si>
    <t>Implémenter des contrôles d'accès basés sur l'attestation pour les appareils connectés.</t>
  </si>
  <si>
    <t>Confirmer la présence d’un workflow de réconciliation.</t>
  </si>
  <si>
    <t>Un workflow de réconciliation est-il en place ?</t>
  </si>
  <si>
    <t xml:space="preserve">Procédures de gestion des mises à jour des spécifications fonctionnelles  </t>
  </si>
  <si>
    <t xml:space="preserve">Exposition aux sinistres majeurs  </t>
  </si>
  <si>
    <t xml:space="preserve">Dégradation de la qualité des décisions managériales par données incomplètes.  </t>
  </si>
  <si>
    <t>Réaliser des tests de résilience des infrastructures face aux pannes matérielles.</t>
  </si>
  <si>
    <t>Analyser des logs de validation pour corréler avec les brouillards.</t>
  </si>
  <si>
    <t>Les logs de validation correspondent-ils aux brouillards ?</t>
  </si>
  <si>
    <t xml:space="preserve">Rapports de tests de performance des développements spécifiques  </t>
  </si>
  <si>
    <t xml:space="preserve">Non-respect des SLA  </t>
  </si>
  <si>
    <t xml:space="preserve">Risque de non-conformité aux exigences sectorielles spécifiques.  </t>
  </si>
  <si>
    <t>Instaurer une politique de gestion des correctifs critiques avec des délais contraignants.</t>
  </si>
  <si>
    <t>Tester la détection d’erreurs de saisie via des contrôles automatiques.</t>
  </si>
  <si>
    <t>Les contrôles automatiques détectent-ils les erreurs de saisie ?</t>
  </si>
  <si>
    <t xml:space="preserve">Procédures de gestion des partenariats avec les clubs utilisateurs  </t>
  </si>
  <si>
    <t xml:space="preserve">Dégradation de la qualité de service  </t>
  </si>
  <si>
    <t xml:space="preserve">Détérioration de la collaboration avec les partenaires externes par systèmes incompatibles.  </t>
  </si>
  <si>
    <t>Documenter les procédures de gestion des risques liés aux technologies émergentes (IA, 5G).</t>
  </si>
  <si>
    <t>Identifier des procédures de correction des erreurs détectées.</t>
  </si>
  <si>
    <t>Des procédures de correction des erreurs détectées existent-elles ?</t>
  </si>
  <si>
    <t xml:space="preserve">Rapports de suivi des performances du support technique éditeur  </t>
  </si>
  <si>
    <t xml:space="preserve">Absence de mesure de performance  </t>
  </si>
  <si>
    <t xml:space="preserve">Exposition à des amendes pour non-respect des délais de conservation des données.  </t>
  </si>
  <si>
    <t>Mettre en œuvre des solutions de protection contre les attaques par déni de service applicatif.</t>
  </si>
  <si>
    <t>Vérifier que les saisies des données « sensibles » et notamment 
les données permanentes, sont gérés</t>
  </si>
  <si>
    <t>Vérifier des logs de saisie des données sensibles sur 30 jours.</t>
  </si>
  <si>
    <t>Les logs de saisie de données sensibles sur 30 jours existent-ils ?</t>
  </si>
  <si>
    <t xml:space="preserve">Procédures de gestion des migrations vers les nouvelles versions  </t>
  </si>
  <si>
    <t xml:space="preserve">Défaut d'alignement stratégique  </t>
  </si>
  <si>
    <t xml:space="preserve">Perte d’avantages concurrentiels par sous-utilisation des technologies disponibles.  </t>
  </si>
  <si>
    <t>Auditer les configurations des systèmes de gestion des logs pour garantir leur intégrité.</t>
  </si>
  <si>
    <t>Confirmer la présence d’un système de chiffrement des données sensibles.</t>
  </si>
  <si>
    <t>Les données sensibles sont-elles chiffrées ?</t>
  </si>
  <si>
    <t xml:space="preserve">Rapports de tests de pérennité du système d’information  </t>
  </si>
  <si>
    <t xml:space="preserve">Inadéquation fonctionnelle aux besoins métier  </t>
  </si>
  <si>
    <t xml:space="preserve">Augmentation des coûts de formation pour combler les lacunes identifiées.  </t>
  </si>
  <si>
    <t>Implémenter des contrôles de sécurité pour les environnements conteneurisés (Docker, Kubernetes).</t>
  </si>
  <si>
    <t>Analyser des procédures de validation par un supérieur hiérarchique.</t>
  </si>
  <si>
    <t>Un supérieur hiérarchique valide-t-il les accès aux données sensibles ?</t>
  </si>
  <si>
    <t xml:space="preserve">Procédures de gestion des formations continues des équipes IT  </t>
  </si>
  <si>
    <t xml:space="preserve">Dépassements budgétaires non maîtrisés  </t>
  </si>
  <si>
    <t xml:space="preserve">Incapacité à maintenir la disponibilité des services IT 24/7 comme exigé.  </t>
  </si>
  <si>
    <t>Réaliser des revues de conformité des configurations des équipements réseau critiques.</t>
  </si>
  <si>
    <t>Tester la détection d’accès non autorisés aux données sensibles.</t>
  </si>
  <si>
    <t>Les accès non autorisés aux données sensibles sont-ils détectés ?</t>
  </si>
  <si>
    <t xml:space="preserve">Rapports de suivi des économies sur les coûts de maintenance  </t>
  </si>
  <si>
    <t xml:space="preserve">Retour sur investissement insuffisant  </t>
  </si>
  <si>
    <t xml:space="preserve">Fragilisation de la relation avec les clients par incidents récurrents non résolus.  </t>
  </si>
  <si>
    <t>Instaurer des mécanismes de détection des modifications non autorisées des règles métier.</t>
  </si>
  <si>
    <t>Identifier des alertes en cas de modification des données sensibles.</t>
  </si>
  <si>
    <t>Des alertes signalent-elles les modifications de données sensibles ?</t>
  </si>
  <si>
    <t xml:space="preserve">Procédures de gestion des renégociations de contrats fournisseurs  </t>
  </si>
  <si>
    <t xml:space="preserve">Choix technologiques inadaptés  </t>
  </si>
  <si>
    <t xml:space="preserve">Détérioration de la productivité des employés par outils informatiques inefficaces.  </t>
  </si>
  <si>
    <t>Documenter les procédures de gestion des incidents liés aux systèmes de santé numériques.</t>
  </si>
  <si>
    <t>Vérifier que les opérations effectuées sur des données 
sensibles sont suivies</t>
  </si>
  <si>
    <t>Vérifier des logs d’opérations sur les données sensibles sur 90 jours.</t>
  </si>
  <si>
    <t>Les logs d'opérations sur données sensibles sur 90 jours existent-ils ?</t>
  </si>
  <si>
    <t xml:space="preserve">Rapports de tests de gestion de la croissance de l’infrastructure  </t>
  </si>
  <si>
    <t xml:space="preserve">Défaut de scalabilité de l'infrastructure  </t>
  </si>
  <si>
    <t xml:space="preserve">Exposition à des pertes financières directes par fraudes ou erreurs non détectées.  </t>
  </si>
  <si>
    <t>Mettre en place des contrôles d'accès biométriques pour les applications financières sensibles.</t>
  </si>
  <si>
    <t>Un système de journalisation centralisé est-il opérationnel ?</t>
  </si>
  <si>
    <t xml:space="preserve">Procédures de gestion des indicateurs de conformité réglementaire  </t>
  </si>
  <si>
    <t xml:space="preserve">Interopérabilité limitée avec l'existant  </t>
  </si>
  <si>
    <t xml:space="preserve">Non-respect des engagements en matière de responsabilité sociale et environnementale.  </t>
  </si>
  <si>
    <t>Auditer les configurations des systèmes de vote électronique pour garantir leur fiabilité.</t>
  </si>
  <si>
    <t>Analyser des alertes automatiques pour les opérations critiques.</t>
  </si>
  <si>
    <t>Des alertes automatiques pour opérations critiques existent-elles ?</t>
  </si>
  <si>
    <t>Rapports de suivi des plans d’amélioration continue</t>
  </si>
  <si>
    <t xml:space="preserve">Maintenance corrective excessive  </t>
  </si>
  <si>
    <t xml:space="preserve">Augmentation des temps de réponse aux incidents par processus de gestion inadéquats.  </t>
  </si>
  <si>
    <t>Implémenter des contrôles de sécurité pour les environnements multi-cloud.</t>
  </si>
  <si>
    <t>Tester la traçabilité des opérations via un compte administrateur.</t>
  </si>
  <si>
    <t>La traçabilité des opérations via un compte admin est-elle assurée ?</t>
  </si>
  <si>
    <t xml:space="preserve">Journal des logs d’opérations administratives sur 90 jours  </t>
  </si>
  <si>
    <t xml:space="preserve">Dépendance critique aux fournisseurs  </t>
  </si>
  <si>
    <t xml:space="preserve">Incapacité à capitaliser sur les données existantes pour l’innovation métier.  </t>
  </si>
  <si>
    <t>Réaliser des tests de résistance aux attaques ciblant les infrastructures critiques.</t>
  </si>
  <si>
    <t>Une revue trimestrielle des logs est-elle effectuée ?</t>
  </si>
  <si>
    <t xml:space="preserve">Matrice des droits d’accès administrateur  </t>
  </si>
  <si>
    <t xml:space="preserve">Contrats de maintenance déséquilibrés  </t>
  </si>
  <si>
    <t xml:space="preserve">Dégradation de la cohérence des informations entre départements.  </t>
  </si>
  <si>
    <t>Instaurer une politique de gestion des risques liés à la télémédecine et aux données de santé.</t>
  </si>
  <si>
    <t>Vérifier l’existence des procédures de transmission de fichiers 
en entrée</t>
  </si>
  <si>
    <t>Vérifier des exemples de fichiers transmis et intégrés.</t>
  </si>
  <si>
    <t>Des exemples de fichiers transmis et intégrés sont-ils disponibles ?</t>
  </si>
  <si>
    <t xml:space="preserve">Procédures de journalisation centralisée  </t>
  </si>
  <si>
    <t xml:space="preserve">Vulnérabilité juridique sur les licences  </t>
  </si>
  <si>
    <t xml:space="preserve">Risque de défaillance systémique par architecture non résiliente.  </t>
  </si>
  <si>
    <t>Documenter les procédures de gestion des incidents de sécurité dans les environnements OT/ICS.</t>
  </si>
  <si>
    <t>Confirmer la présence d’un workflow de validation des fichiers.</t>
  </si>
  <si>
    <t>Un workflow de validation des fichiers est-il défini ?</t>
  </si>
  <si>
    <t xml:space="preserve">Rapports de revue trimestrielle des logs  </t>
  </si>
  <si>
    <t xml:space="preserve">Obsolescence technologique accélérée  </t>
  </si>
  <si>
    <t xml:space="preserve">Détérioration de la capacité à innover par manque de ressources IT dédiées.  </t>
  </si>
  <si>
    <t>Mettre en œuvre des contrôles d'accès granulaire pour les données sensibles stockées dans le cloud.</t>
  </si>
  <si>
    <t>Analyser des logs de transmission pour corréler avec les fichiers sources.</t>
  </si>
  <si>
    <t>Les logs de transmission correspondent-ils aux fichiers sources ?</t>
  </si>
  <si>
    <t xml:space="preserve">Manuel d’administration des systèmes  </t>
  </si>
  <si>
    <t xml:space="preserve">Défaut de roadmap d'évolution  </t>
  </si>
  <si>
    <t xml:space="preserve">Exposition à des critiques des actionnaires pour mauvaise gouvernance IT.  </t>
  </si>
  <si>
    <t>Auditer les configurations des systèmes de gestion des identités fédérées (SSO).</t>
  </si>
  <si>
    <t>Tester la détection d’erreurs de format ou de contenu.</t>
  </si>
  <si>
    <t>Les erreurs de format ou de contenu sont-elles détectées ?</t>
  </si>
  <si>
    <t xml:space="preserve">Contrats de maintenance des outils de journalisation  </t>
  </si>
  <si>
    <t xml:space="preserve">Incapacité à absorber la croissance  </t>
  </si>
  <si>
    <t xml:space="preserve">Perte de crédibilité auprès des régulateurs par contrôles internes insuffisants.  </t>
  </si>
  <si>
    <t>Implémenter des mécanismes de protection contre les attaques par rebond DNS.</t>
  </si>
  <si>
    <t xml:space="preserve">Plan de gestion des incidents critiques  </t>
  </si>
  <si>
    <t xml:space="preserve">Fragilité de l'architecture technique  </t>
  </si>
  <si>
    <t xml:space="preserve">Augmentation des coûts de conformité pour répondre aux nouvelles réglementations.  </t>
  </si>
  <si>
    <t>Réaliser des revues de conformité des politiques de sécurité avec les frameworks NIST ou ISO.</t>
  </si>
  <si>
    <t>S’assurer de l’effectivités des contrôles mis en œuvre lors de 
l'intégration des données par fichiers à l'application</t>
  </si>
  <si>
    <t>Vérifier des logs d’intégration de fichiers sur 30 jours.</t>
  </si>
  <si>
    <t>Les logs d'intégration de fichiers sur 30 jours existent-ils ?</t>
  </si>
  <si>
    <t xml:space="preserve">Procédures de traçabilité des actions sensibles  </t>
  </si>
  <si>
    <t xml:space="preserve">Défaut de documentation des interfaces  </t>
  </si>
  <si>
    <t xml:space="preserve">Incapacité à mesurer l’efficacité réelle des investissements IT.  </t>
  </si>
  <si>
    <t>Instaurer des contrôles de sécurité pour les systèmes de gestion des ressources humaines (HRIS).</t>
  </si>
  <si>
    <t>Confirmer la présence d’un système de validation des données intégrées.</t>
  </si>
  <si>
    <t>Un système de validation des données intégrées est-il en place ?</t>
  </si>
  <si>
    <t xml:space="preserve">Documents de politique de sécurité des accès privilégiés  </t>
  </si>
  <si>
    <t xml:space="preserve">Formation insuffisante des utilisateurs  </t>
  </si>
  <si>
    <t xml:space="preserve">Fragilisation de la position sur le marché par retard dans l’adoption de technologies clés.  </t>
  </si>
  <si>
    <t>Documenter les procédures de gestion des risques liés à l'utilisation de l'analyse prédictive.</t>
  </si>
  <si>
    <t>Analyser des alertes automatiques pour les erreurs d’intégration.</t>
  </si>
  <si>
    <t>Des alertes pour erreurs d'intégration existent-elles ?</t>
  </si>
  <si>
    <t xml:space="preserve">Rapports d’audit semestriel des droits administrateur  </t>
  </si>
  <si>
    <t xml:space="preserve">Résistance au changement organisationnel  </t>
  </si>
  <si>
    <t xml:space="preserve">Détérioration de la sécurité physique des infrastructures IT par contrôles laxistes.  </t>
  </si>
  <si>
    <t>Mettre en place des solutions de détection des fuites de données via des canaux non chiffrés.</t>
  </si>
  <si>
    <t>Tester la reprise des données après une erreur d’intégration.</t>
  </si>
  <si>
    <t>La reprise des données après erreur d'intégration est-elle possible ?</t>
  </si>
  <si>
    <t xml:space="preserve">Schéma d’architecture des systèmes de journalisation  </t>
  </si>
  <si>
    <t xml:space="preserve">Défaut d'adoption des nouvelles fonctionnalités  </t>
  </si>
  <si>
    <t xml:space="preserve">Exposition à des interruptions de service prolongées par plan de continuité défaillant.  </t>
  </si>
  <si>
    <t>Auditer les configurations des systèmes de gestion des relations clients (CRM).</t>
  </si>
  <si>
    <t>Identifier des procédures de contrôle qualité des données intégrées.</t>
  </si>
  <si>
    <t>Des procédures de contrôle qualité des données intégrées existent-elles ?</t>
  </si>
  <si>
    <t xml:space="preserve">Procédures de réponse aux alertes de sécurité  </t>
  </si>
  <si>
    <t xml:space="preserve">Décalage entre promesses et réalités  </t>
  </si>
  <si>
    <t xml:space="preserve">Non-respect des attentes des utilisateurs finaux par solutions inadaptées.  </t>
  </si>
  <si>
    <t>Implémenter des contrôles de sécurité pour les applications de collaboration en temps réel.</t>
  </si>
  <si>
    <t>S’assurer de la conservation de toutes les données rejetées</t>
  </si>
  <si>
    <t>Vérifier des exemples de données rejetées conservées.</t>
  </si>
  <si>
    <t>Des exemples de données rejetées conservées existent-ils ?</t>
  </si>
  <si>
    <t xml:space="preserve">Registre des formations sur les outils d’administration  </t>
  </si>
  <si>
    <t>Perte de compétitivité stratégique</t>
  </si>
  <si>
    <t xml:space="preserve">Augmentation des risques liés à la gestion des identités et accès.  </t>
  </si>
  <si>
    <t>Réaliser des tests de résilience des systèmes de gestion des identités décentralisées (SSI).</t>
  </si>
  <si>
    <t>Confirmer la présence d’un système d’archivage sécurisé.</t>
  </si>
  <si>
    <t>Un système d'archivage sécurisé est-il utilisé ?</t>
  </si>
  <si>
    <t xml:space="preserve">Contrats avec les éditeurs de solutions de monitoring  </t>
  </si>
  <si>
    <t xml:space="preserve">Perte de données critiques en cas de sinistre  </t>
  </si>
  <si>
    <t xml:space="preserve">Incapacité à garantir l’intégrité des données lors des transferts inter-systèmes.  </t>
  </si>
  <si>
    <t>Instaurer une politique de gestion des risques liés à l'utilisation des jumeaux numériques.</t>
  </si>
  <si>
    <t>Analyser des logs de conservation pour corréler avec les données rejetées.</t>
  </si>
  <si>
    <t>Les logs de conservation correspondent-ils aux données rejetées ?</t>
  </si>
  <si>
    <t xml:space="preserve">Procédures de conservation des logs conforme RGPD  </t>
  </si>
  <si>
    <t xml:space="preserve">Accès non autorisé aux données archivées  </t>
  </si>
  <si>
    <t xml:space="preserve">Dégradation de la performance des applications par charge non optimisée.  </t>
  </si>
  <si>
    <t>Documenter les procédures de gestion des incidents de sécurité dans les systèmes de transport intelligents</t>
  </si>
  <si>
    <t>Tester la restauration des données rejetées après correction.</t>
  </si>
  <si>
    <t>La restauration des données rejetées après correction est-elle possible ?</t>
  </si>
  <si>
    <t xml:space="preserve">Rapports de tests de restauration des logs  </t>
  </si>
  <si>
    <t xml:space="preserve">Indisponibilité des données pour les opérations métiers  </t>
  </si>
  <si>
    <t xml:space="preserve">Risque de non-conformité aux exigences de reporting financier.  </t>
  </si>
  <si>
    <t xml:space="preserve">Mise en place de contrôles automatisés de validation des données financières et revue périodique des processus de reporting avec audits internes.  </t>
  </si>
  <si>
    <t>Identifier des procédures de suppression sécurisée des données obsolètes.</t>
  </si>
  <si>
    <t>Des procédures de suppression sécurisée des données obsolètes existent-elles ?</t>
  </si>
  <si>
    <t xml:space="preserve">Documentation technique des systèmes de traçabilité  </t>
  </si>
  <si>
    <t xml:space="preserve">Non-conformité aux réglementations d'archivage  </t>
  </si>
  <si>
    <t xml:space="preserve">Détérioration de la capacité à attirer des talents IT compétents.  </t>
  </si>
  <si>
    <t xml:space="preserve">Déploiement de solutions de redondance des données et tests réguliers de restauration pour garantir la disponibilité opérationnelle.  </t>
  </si>
  <si>
    <t>S’assurer qu’une analyse et correction des données rejetées est 
effectuée</t>
  </si>
  <si>
    <t>Vérifier des exemples de données rejetées analysées et corrigées.</t>
  </si>
  <si>
    <t>Des exemples de données rejetées analysées et corrigées existent-ils ?</t>
  </si>
  <si>
    <t xml:space="preserve">Procédures de gestion des identifiants administrateur  </t>
  </si>
  <si>
    <t xml:space="preserve">Altération involontaire ou malveillante des données archivées  </t>
  </si>
  <si>
    <t xml:space="preserve">Exposition à des erreurs de traitement par logiques métier non validées.  </t>
  </si>
  <si>
    <t xml:space="preserve">Implémentation d'une gouvernance claire avec définition des rôles, documentation des décisions et formation continue du comité de pilotage.  </t>
  </si>
  <si>
    <t>Confirmer la présence d’un workflow de correction.</t>
  </si>
  <si>
    <t>Un workflow de correction est-il établi ?</t>
  </si>
  <si>
    <t xml:space="preserve">Registre des mises à jour des politiques de journalisation  </t>
  </si>
  <si>
    <t xml:space="preserve">Incapacité à restaurer les données après une défaillance  </t>
  </si>
  <si>
    <t xml:space="preserve">Perte de données critiques lors de migrations non planifiées.  </t>
  </si>
  <si>
    <t xml:space="preserve">Élaboration et diffusion d'une politique de sécurité formalisée alignée sur ISO 27001, incluant des contrôles d'accès stricts.  </t>
  </si>
  <si>
    <t>Analyser des logs de correction pour corréler avec les données rejetées.</t>
  </si>
  <si>
    <t>Les logs de correction correspondent-ils aux données rejetées ?</t>
  </si>
  <si>
    <t xml:space="preserve">Procédures de vérification de l’intégrité des logs  </t>
  </si>
  <si>
    <t xml:space="preserve">Violation de la confidentialité des données sensibles  </t>
  </si>
  <si>
    <t xml:space="preserve">Augmentation des coûts de support technique par complexité des systèmes.  </t>
  </si>
  <si>
    <t xml:space="preserve">Mise à jour régulière de la matrice des risques avec des méthodologies modernes et intégration d'un plan d'action correctif.  </t>
  </si>
  <si>
    <t>Tester la réintégration des données corrigées.</t>
  </si>
  <si>
    <t>La réintégration des données corrigées fonctionne-t-elle ?</t>
  </si>
  <si>
    <t xml:space="preserve">Contrats de service pour les outils de surveillance  </t>
  </si>
  <si>
    <t xml:space="preserve">Détérioration de l'intégrité des données stockées  </t>
  </si>
  <si>
    <t xml:space="preserve">Incapacité à maintenir un environnement de développement sécurisé.  </t>
  </si>
  <si>
    <t xml:space="preserve">Renforcement des contrôles généraux IT (GITC) pour sécuriser l'infrastructure, incluant pare-feux et surveillance en temps réel.  </t>
  </si>
  <si>
    <t>Identifier des procédures de contrôle qualité des corrections.</t>
  </si>
  <si>
    <t>Des procédures de contrôle qualité des corrections existent-elles ?</t>
  </si>
  <si>
    <t xml:space="preserve">Rapports de performance des systèmes de traçabilité  </t>
  </si>
  <si>
    <t xml:space="preserve">Absence de traçabilité des modifications des données  </t>
  </si>
  <si>
    <t xml:space="preserve">Fragilisation de la confiance des investisseurs par manque de transparence IT.  </t>
  </si>
  <si>
    <t xml:space="preserve">Déploiement de contrôles d'application pour valider les saisies, les traitements et les sorties de données critiques.  </t>
  </si>
  <si>
    <t xml:space="preserve">S’assurer qu’un contrôle des corrections des données rejetées 
est effectif </t>
  </si>
  <si>
    <t>Vérifier des exemples de corrections validées.</t>
  </si>
  <si>
    <t>Des exemples de corrections validées sont-ils disponibles ?</t>
  </si>
  <si>
    <t xml:space="preserve">Procédures d’archivage sécurisé des logs  </t>
  </si>
  <si>
    <t xml:space="preserve">Interruption des processus métiers en cas de corruption des données  </t>
  </si>
  <si>
    <t xml:space="preserve">Détérioration de l’efficacité des campagnes marketing par données inexactes.  </t>
  </si>
  <si>
    <t xml:space="preserve">Formation obligatoire des utilisateurs sur les bonnes pratiques de sécurité et documentation à jour des procédures.  </t>
  </si>
  <si>
    <t>Confirmer la présence d’un workflow de validation des corrections.</t>
  </si>
  <si>
    <t>Un workflow de validation des corrections est-il en place ?</t>
  </si>
  <si>
    <t xml:space="preserve">Documentation des intégrations avec SIEM (Security Information and Event Management)  </t>
  </si>
  <si>
    <t xml:space="preserve">Exposition à des cyberattaques ciblant les systèmes non sécurisés  </t>
  </si>
  <si>
    <t xml:space="preserve">Exposition à des litiges contractuels avec les fournisseurs de cloud.  </t>
  </si>
  <si>
    <t xml:space="preserve">Réalisation d'un audit de conformité régulier pour vérifier l'adéquation aux lois locales et internationales (RGPD, etc.).  </t>
  </si>
  <si>
    <t>Analyser des logs de validation pour corréler avec les corrections.</t>
  </si>
  <si>
    <t>Les logs de validation correspondent-ils aux corrections ?</t>
  </si>
  <si>
    <t xml:space="preserve">Procédures de gestion des clés de chiffrement des logs  </t>
  </si>
  <si>
    <t xml:space="preserve">Erreurs humaines lors des opérations de sauvegarde ou restauration  </t>
  </si>
  <si>
    <t xml:space="preserve">Non-respect des normes internes de qualité par processus non formalisés.  </t>
  </si>
  <si>
    <t xml:space="preserve">Mise en œuvre de mécanismes de détection d'intrusions et de journalisation centralisée pour surveiller les accès privilégiés.  </t>
  </si>
  <si>
    <t>Tester la détection d’erreurs de correction via des contrôles automatiques.</t>
  </si>
  <si>
    <t>Les contrôles automatiques détectent-ils les erreurs de correction ?</t>
  </si>
  <si>
    <t xml:space="preserve">Registre des accès physiques aux serveurs de journalisation  </t>
  </si>
  <si>
    <t xml:space="preserve">Défaillance technique non détectée des systèmes de stockage  </t>
  </si>
  <si>
    <t xml:space="preserve">Augmentation des délais de mise sur le marché par lenteur des cycles IT.  </t>
  </si>
  <si>
    <t xml:space="preserve">Création d'un plan de continuité d'activité (PCA) testé annuellement et hébergé sur un site de secours géographiquement distant.  </t>
  </si>
  <si>
    <t>dentifier des procédures de revue trimestrielle des corrections.</t>
  </si>
  <si>
    <t>Une revue trimestrielle des corrections est-elle prévue ?</t>
  </si>
  <si>
    <t xml:space="preserve">Rapports d’analyse des menaces internes  </t>
  </si>
  <si>
    <t xml:space="preserve">Manque de redondance des supports de sauvegarde  </t>
  </si>
  <si>
    <t xml:space="preserve">Incapacité à adapter l’infrastructure aux évolutions du marché.  </t>
  </si>
  <si>
    <t xml:space="preserve">Séparation stricte des environnements de développement, test et production pour éviter les interférences.  </t>
  </si>
  <si>
    <t>Vérifier que la mise à jour des données sensibles est suivie</t>
  </si>
  <si>
    <t>Vérifier des logs de mise à jour des données sensibles sur 90 jours.</t>
  </si>
  <si>
    <t>Les logs de mise à jour des données sensibles sur 90 jours existent-ils ?</t>
  </si>
  <si>
    <t xml:space="preserve">Procédures de gestion des comptes à privilèges  </t>
  </si>
  <si>
    <t xml:space="preserve">Délais excessifs dans la récupération des données  </t>
  </si>
  <si>
    <t xml:space="preserve">Dégradation de la traçabilité des modifications apportées aux systèmes.  </t>
  </si>
  <si>
    <t xml:space="preserve">Adoption de contrôles de chiffrement des données en transit et au repos, conformes aux normes sectorielles.  </t>
  </si>
  <si>
    <t>Un système de journalisation centralisé est-il maintenu ?</t>
  </si>
  <si>
    <t xml:space="preserve">Documentation des scénarios de réponse aux incidents  </t>
  </si>
  <si>
    <t xml:space="preserve">Non-respect des politiques internes de rétention des données  </t>
  </si>
  <si>
    <t xml:space="preserve">Risque de non-conformité aux exigences de sécurité physique des datacenters.  </t>
  </si>
  <si>
    <t xml:space="preserve">Revue périodique des habilitations utilisateurs et application du principe de moindre privilège pour limiter les risques de fraude.  </t>
  </si>
  <si>
    <t>Analyser des alertes automatiques pour les mises à jour critiques.</t>
  </si>
  <si>
    <t>Des alertes automatiques pour mises à jour critiques existent-elles ?</t>
  </si>
  <si>
    <t xml:space="preserve">Contrats de confidentialité avec les prestataires d’audit  </t>
  </si>
  <si>
    <t xml:space="preserve">Fragmentation des données archivées entraînant une gestion complexe  </t>
  </si>
  <si>
    <t xml:space="preserve">Détérioration de la collaboration internationale par systèmes non harmonisés.  </t>
  </si>
  <si>
    <t xml:space="preserve">Intégration de contrôles d'intégrité des données lors des migrations, avec validation par des outils spécialisés.  </t>
  </si>
  <si>
    <t>Tester la traçabilité des mises à jour via un compte administrateur.</t>
  </si>
  <si>
    <t>La traçabilité des mises à jour via un compte admin est-elle assurée ?</t>
  </si>
  <si>
    <t xml:space="preserve">Procédures de gestion des versions des outils d’administration  </t>
  </si>
  <si>
    <t xml:space="preserve">Utilisation de formats obsolètes rendant les données inaccessibles  </t>
  </si>
  <si>
    <t xml:space="preserve">Exposition à des attaques de type ransomware par absence de protections adéquates.  </t>
  </si>
  <si>
    <t xml:space="preserve">Déploiement de solutions de monitoring des performances applicatives et réseau pour anticiper les goulots d'étranglement.  </t>
  </si>
  <si>
    <t>Une revue trimestrielle des logs est-elle programmée ?</t>
  </si>
  <si>
    <t xml:space="preserve">Registre des modifications de configuration des systèmes de logs  </t>
  </si>
  <si>
    <t xml:space="preserve">Absence de contrôle d'intégrité des sauvegardes  </t>
  </si>
  <si>
    <t xml:space="preserve">Perte de compétitivité due à une mauvaise gestion des coûts IT.  </t>
  </si>
  <si>
    <t xml:space="preserve">Mise en place d'une politique de gestion des correctifs avec priorisation des vulnérabilités critiques et tests pré-déploiement.  </t>
  </si>
  <si>
    <t>S’assurer que la journalisation des mises à jour est effective</t>
  </si>
  <si>
    <t>Vérifier des logs de journalisation des mises à jour sur 90 jours.</t>
  </si>
  <si>
    <t>Les logs de journalisation des mises à jour sur 90 jours existent-ils ?</t>
  </si>
  <si>
    <t xml:space="preserve">Rapports de conformité aux normes ISO 27001/27002  </t>
  </si>
  <si>
    <t xml:space="preserve">Dépendance excessive à un seul fournisseur de stockage  </t>
  </si>
  <si>
    <t xml:space="preserve">Augmentation des erreurs de facturation par systèmes non intégrés.  </t>
  </si>
  <si>
    <t xml:space="preserve">Utilisation de référentiels comme COBIT pour aligner les processus IT sur les objectifs stratégiques et mesurer leur efficacité.  </t>
  </si>
  <si>
    <t>Un système de journalisation centralisé est-il fonctionnel ?</t>
  </si>
  <si>
    <t xml:space="preserve">Procédures de gestion des vulnérabilités des systèmes de traçabilité  </t>
  </si>
  <si>
    <t xml:space="preserve">Insuffisance des tests de restauration réguliers  </t>
  </si>
  <si>
    <t xml:space="preserve">Incapacité à garantir la disponibilité des données pour les audits internes.  </t>
  </si>
  <si>
    <t xml:space="preserve">Audit régulier des contrats avec les fournisseurs pour garantir le respect des SLA et la réversibilité des services externalisés.  </t>
  </si>
  <si>
    <t>Des alertes automatiques pour mises à jour critiques sont-elles actives ?</t>
  </si>
  <si>
    <t xml:space="preserve">Documentation des sauvegardes des journaux d’activité  </t>
  </si>
  <si>
    <t xml:space="preserve">Exposition aux risques liés à la obsolescence technologique  </t>
  </si>
  <si>
    <t xml:space="preserve">Fragilisation de la chaîne logistique par systèmes de tracking défaillants.  </t>
  </si>
  <si>
    <t xml:space="preserve">Implémentation d'un système de gestion des identités et accès (IAM) avec authentification multifacteur et révocation rapide.  </t>
  </si>
  <si>
    <t>La traçabilité des mises à jour via un compte admin est-elle vérifiable ?</t>
  </si>
  <si>
    <t xml:space="preserve">Contrats de sous-traitance pour la gestion des logs  </t>
  </si>
  <si>
    <t xml:space="preserve">Manque de formation du personnel sur les procédures d'archivage  </t>
  </si>
  <si>
    <t xml:space="preserve">Détérioration de la satisfaction des employés par outils informatiques obsolètes.  </t>
  </si>
  <si>
    <t xml:space="preserve">Création d'un inventaire détaillé des actifs informatiques, incluant licences, configurations et dépendances critiques.  </t>
  </si>
  <si>
    <t>Une revue trimestrielle des logs est-elle documentée ?</t>
  </si>
  <si>
    <t xml:space="preserve">Procédures de révision des politiques de rétention des données  </t>
  </si>
  <si>
    <t xml:space="preserve">Inadéquation des capacités de stockage par rapport aux besoins  </t>
  </si>
  <si>
    <t xml:space="preserve">Exposition à des fuites d’informations stratégiques par contrôles insuffisants.  </t>
  </si>
  <si>
    <t xml:space="preserve">Définition de procédures de réponse aux incidents cybernétiques, testées via des simulations de crise.  </t>
  </si>
  <si>
    <t>Vérifier l’existence des contrôles automatiques périodiques</t>
  </si>
  <si>
    <t>Vérifier des exemples de contrôles automatiques exécutés.</t>
  </si>
  <si>
    <t>Des exemples de contrôles automatiques exécutés existent-ils ?</t>
  </si>
  <si>
    <t xml:space="preserve">Registre des incidents liés aux accès administrateur  </t>
  </si>
  <si>
    <t xml:space="preserve">Faible performance des systèmes d'archivage impactant les opérations  </t>
  </si>
  <si>
    <t xml:space="preserve">Non-respect des engagements en matière de délais de livraison des projets.  </t>
  </si>
  <si>
    <t xml:space="preserve">Adoption de normes de codage sécurisé et revue par les pairs pour limiter les vulnérabilités logicielles.  </t>
  </si>
  <si>
    <t>Confirmer la présence d’un calendrier des contrôles périodiques.</t>
  </si>
  <si>
    <t>Un calendrier des contrôles périodiques est-il disponible ?</t>
  </si>
  <si>
    <t xml:space="preserve">Rapports de tests d’intrusion des systèmes de journalisation  </t>
  </si>
  <si>
    <t xml:space="preserve">Non-identification des données critiques à archiver en priorité  </t>
  </si>
  <si>
    <t xml:space="preserve">Augmentation des coûts de possession totale (TCO) des actifs IT.  </t>
  </si>
  <si>
    <t xml:space="preserve">Mise en œuvre de contrôles d'accès physique aux salles serveurs avec journalisation des entrées/sorties.  </t>
  </si>
  <si>
    <t>Analyser des logs d’exécution des contrôles pour corréler avec les résultats.</t>
  </si>
  <si>
    <t>Les logs d'exécution correspondent-ils aux résultats des contrôles ?</t>
  </si>
  <si>
    <t xml:space="preserve">Procédures de gestion des certificats numériques  </t>
  </si>
  <si>
    <t xml:space="preserve">Défaillance des mécanismes de chiffrement des données archivées  </t>
  </si>
  <si>
    <t xml:space="preserve">Incapacité à maintenir un niveau de service conforme aux attentes des métiers.  </t>
  </si>
  <si>
    <t xml:space="preserve">Déploiement de solutions de sauvegarde chiffrées hors site et tests réguliers de restauration pour garantir l'intégrité des données.  </t>
  </si>
  <si>
    <t>Tester la détection d’anomalies via des contrôles automatiques.</t>
  </si>
  <si>
    <t>Les contrôles automatiques détectent-ils les anomalies ?</t>
  </si>
  <si>
    <t xml:space="preserve">Documentation des interfaces de monitoring des logs  </t>
  </si>
  <si>
    <t xml:space="preserve">Absence de classification des données selon leur sensibilité  </t>
  </si>
  <si>
    <t xml:space="preserve">Dégradation de la capacité à anticiper les tendances technologiques émergentes.  </t>
  </si>
  <si>
    <t xml:space="preserve">Utilisation d'outils d'analyse statique et dynamique du code (SAST/DAST) pour identifier les failles avant déploiement.  </t>
  </si>
  <si>
    <t>Identifier des procédures de correction des anomalies détectées.</t>
  </si>
  <si>
    <t>Des procédures de correction des anomalies détectées existent-elles ?</t>
  </si>
  <si>
    <t xml:space="preserve">Contrats de niveau de service (SLA) pour la disponibilité des logs  </t>
  </si>
  <si>
    <t xml:space="preserve">Risque de perte financière due à l'indisponibilité des données  </t>
  </si>
  <si>
    <t xml:space="preserve">Risque de non-conformité aux politiques internes de gestion des risques.  </t>
  </si>
  <si>
    <t xml:space="preserve">Intégration de clauses de conformité et de sécurité dans les contrats avec les prestataires cloud ou externes.  </t>
  </si>
  <si>
    <t>Vérifier que la couverture, le contenu et la distribution des états 
de sortie est effective</t>
  </si>
  <si>
    <t>Vérifier des exemples d’états de sortie générés.</t>
  </si>
  <si>
    <t>Des exemples d'états de sortie générés existent-ils ?</t>
  </si>
  <si>
    <t xml:space="preserve">Procédures de gestion des mises à jour des systèmes de traçabilité  </t>
  </si>
  <si>
    <t xml:space="preserve">Non-alignement des pratiques d'archivage avec la stratégie métier  </t>
  </si>
  <si>
    <t xml:space="preserve">Détérioration de la réputation de l’entreprise suite à des violations de données.  </t>
  </si>
  <si>
    <t xml:space="preserve">Formation continue des équipes IT sur les menaces émergentes (ransomware, phishing) et bonnes pratiques de résilience.  </t>
  </si>
  <si>
    <t>Confirmer la présence d’un système de distribution automatisé.</t>
  </si>
  <si>
    <t>Un système de distribution automatisé est-il utilisé ?</t>
  </si>
  <si>
    <t xml:space="preserve">Registre des autorisations d’accès aux outils d’administration  </t>
  </si>
  <si>
    <t xml:space="preserve">Exposition à des litiges juridiques en cas de perte de preuves  </t>
  </si>
  <si>
    <t xml:space="preserve">Exposition à des interruptions d’activité par dépendance à des fournisseurs uniques.  </t>
  </si>
  <si>
    <t xml:space="preserve">Audit des configurations réseau pour garantir la segmentation et la protection contre les attaques DDoS.  </t>
  </si>
  <si>
    <t>Analyser des logs de distribution pour corréler avec les destinataires.</t>
  </si>
  <si>
    <t>Les logs de distribution correspondent-ils aux destinataires ?</t>
  </si>
  <si>
    <t xml:space="preserve">Rapports d’évaluation des risques liés aux comptes administrateur  </t>
  </si>
  <si>
    <t xml:space="preserve">Dégradation de la réputation en cas de fuite de données  </t>
  </si>
  <si>
    <t xml:space="preserve">Perte de flexibilité opérationnelle par architecture IT monolithique.  </t>
  </si>
  <si>
    <t xml:space="preserve">Mise en place de tableaux de bord de pilotage avec indicateurs clés (KPI) pour mesurer l'efficacité des contrôles.  </t>
  </si>
  <si>
    <t>Tester la détection d’erreurs de distribution via des contrôles automatiques.</t>
  </si>
  <si>
    <t>Les erreurs de distribution sont-elles détectées automatiquement ?</t>
  </si>
  <si>
    <t xml:space="preserve">Procédures de gestion des anomalies détectées dans les logs  </t>
  </si>
  <si>
    <t xml:space="preserve">Inefficacité des contrôles d'accès physiques aux supports de stockage  </t>
  </si>
  <si>
    <t xml:space="preserve">Augmentation des temps d’indisponibilité des applications critiques.  </t>
  </si>
  <si>
    <t xml:space="preserve">Réalisation de tests de pénétration annuels pour évaluer la robustesse des systèmes et corriger les vulnérabilités.  </t>
  </si>
  <si>
    <t xml:space="preserve">Documentation des contrôles d’accès logiques et physiques  </t>
  </si>
  <si>
    <t xml:space="preserve">Manque de supervision des activités d'archivage  </t>
  </si>
  <si>
    <t xml:space="preserve">Incapacité à garantir la conformité aux normes de sécurité sectorielles.  </t>
  </si>
  <si>
    <t xml:space="preserve">Définition d'une stratégie de sortie pour les technologies obsolètes, incluant migration sécurisée des données.  </t>
  </si>
  <si>
    <t>S’assurer que la revue détaillée des états disponibles et de leur 
destinataire est effective</t>
  </si>
  <si>
    <t>Vérifier des exemples d’états revus et validés.</t>
  </si>
  <si>
    <t>Des exemples d'états revus et validés existent-ils ?</t>
  </si>
  <si>
    <t xml:space="preserve">Contrats de formation des équipes sur les outils de traçabilité  </t>
  </si>
  <si>
    <t xml:space="preserve">Incohérence entre les données archivées et les données sources  </t>
  </si>
  <si>
    <t xml:space="preserve">Fragilisation des processus métier par intégration déficiente des systèmes.  </t>
  </si>
  <si>
    <t xml:space="preserve">Application de contrôles d'accès basés sur les rôles (RBAC) pour limiter les droits aux seules fonctions nécessaires.  </t>
  </si>
  <si>
    <t>Confirmer la présence d’un workflow de validation des états.</t>
  </si>
  <si>
    <t>Un workflow de validation des états est-il en place ?</t>
  </si>
  <si>
    <t xml:space="preserve">Procédures de gestion des demandes d’accès aux logs  </t>
  </si>
  <si>
    <t xml:space="preserve">Délais de conservation inadaptés aux exigences légales  </t>
  </si>
  <si>
    <t xml:space="preserve">Détérioration de la qualité des rapports financiers par données erronées.  </t>
  </si>
  <si>
    <t xml:space="preserve">Surveillance proactive des journaux système via des solutions SIEM pour détecter les activités anormales en temps réel.  </t>
  </si>
  <si>
    <t>Analyser des logs de validation pour corréler avec les destinataires.</t>
  </si>
  <si>
    <t>Les logs de validation correspondent-ils aux destinataires ?</t>
  </si>
  <si>
    <t xml:space="preserve">Registre des modifications des droits d’administration  </t>
  </si>
  <si>
    <t xml:space="preserve">Utilisation de protocoles non sécurisés pour le transfert de données  </t>
  </si>
  <si>
    <t xml:space="preserve">Exposition à des amendes pour non-respect des lois locales et internationales.  </t>
  </si>
  <si>
    <t xml:space="preserve">Mise à jour régulière des politiques de sécurité pour intégrer les évolutions réglementaires et technologiques.  </t>
  </si>
  <si>
    <t>Tester la détection d’erreurs de contenu via des contrôles automatiques.</t>
  </si>
  <si>
    <t>Les erreurs de contenu sont-elles détectées automatiquement ?</t>
  </si>
  <si>
    <t xml:space="preserve">Rapports de synthèse des activités d’administration  </t>
  </si>
  <si>
    <t xml:space="preserve">Absence de documentation des procédures d'archivage  </t>
  </si>
  <si>
    <t xml:space="preserve">Non-respect des attentes des clients en matière de confidentialité des données.  </t>
  </si>
  <si>
    <t xml:space="preserve">Audit des processus de gestion des changements pour garantir traçabilité et validation hiérarchique avant déploiement.  </t>
  </si>
  <si>
    <t xml:space="preserve">Procédures de gestion des clés SSH/API pour l’accès aux logs  </t>
  </si>
  <si>
    <t xml:space="preserve">Non-respect des bonnes pratiques sectorielles en matière d'archivage  </t>
  </si>
  <si>
    <t xml:space="preserve">Augmentation des coûts de remédiation post-audit par lacunes identifiées.  </t>
  </si>
  <si>
    <t xml:space="preserve">Déploiement de solutions de chiffrement des sauvegardes et vérification de leur intégrité via des checksums.  </t>
  </si>
  <si>
    <t xml:space="preserve">Vérifier que le niveau d’information et de moyen de contrôle 
adapté </t>
  </si>
  <si>
    <t>Vérifier des exemples de tableaux de bord et indicateurs clés.</t>
  </si>
  <si>
    <t>Des exemples de tableaux de bord et indicateurs clés existent-ils ?</t>
  </si>
  <si>
    <t xml:space="preserve">Documentation des politiques de mot de passe des comptes admin  </t>
  </si>
  <si>
    <t xml:space="preserve">Vulnérabilité aux attaques par ransomware ciblant les sauvegardes  </t>
  </si>
  <si>
    <t>Incapacité à maintenir un environnement IT conforme aux meilleures pratiques.</t>
  </si>
  <si>
    <t xml:space="preserve">Formalisation des procédures de gestion des incidents, incluant escalade, analyse post-mortem et correctifs.  </t>
  </si>
  <si>
    <t>Confirmer la présence d’un système de reporting automatisé.</t>
  </si>
  <si>
    <t>Un système de reporting automatisé est-il opérationnel ?</t>
  </si>
  <si>
    <t xml:space="preserve">Contrats d’externalisation de la surveillance des logs  </t>
  </si>
  <si>
    <t xml:space="preserve">Défaillance des systèmes de détection d'intrusion sur les serveurs d'archivage  </t>
  </si>
  <si>
    <t xml:space="preserve">Défaillance dans la surveillance des performances opérationnelles et reporting inexact des indicateurs clés.  </t>
  </si>
  <si>
    <t xml:space="preserve">Utilisation de frameworks comme ITIL pour standardiser la gestion des services IT et améliorer la qualité.  </t>
  </si>
  <si>
    <t>Analyser des logs de génération des rapports pour corréler avec les destinataires.</t>
  </si>
  <si>
    <t>Les logs de génération correspondent-ils aux destinataires ?</t>
  </si>
  <si>
    <t xml:space="preserve">Procédures de gestion des accès temporaires  </t>
  </si>
  <si>
    <t xml:space="preserve">Manque de redondance géographique des copies de sauvegarde  </t>
  </si>
  <si>
    <t xml:space="preserve">Incapacité à détecter les erreurs de distribution des rapports, entraînant des décisions basées sur des informations obsolètes.  </t>
  </si>
  <si>
    <t xml:space="preserve">Intégration de contrôles d'intégrité des métadonnées et validation des flux inter-applicatifs pour éviter les incohérences.  </t>
  </si>
  <si>
    <t>Tester la détection d’erreurs de reporting via des contrôles automatiques.</t>
  </si>
  <si>
    <t>Les erreurs de reporting sont-elles détectées automatiquement ?</t>
  </si>
  <si>
    <t xml:space="preserve">Registre des révocations de droits administrateur  </t>
  </si>
  <si>
    <t xml:space="preserve">Non-application des mises à jour de sécurité sur les systèmes d'archivage  </t>
  </si>
  <si>
    <t xml:space="preserve">Augmentation des erreurs non détectées dans les états financiers en raison de contrôles de validation absents ou inefficaces.  </t>
  </si>
  <si>
    <t xml:space="preserve">Mise en place de contrôles d'accès temporaires avec expiration automatique pour les prestataires externes.  </t>
  </si>
  <si>
    <t xml:space="preserve">Rapports d’enquêtes internes sur les abus de privilèges  </t>
  </si>
  <si>
    <t xml:space="preserve">Inadéquation des droits d'accès aux rôles des utilisateurs  </t>
  </si>
  <si>
    <t xml:space="preserve">Compromission de l'intégrité des données due à des logs de génération non corrélés avec les destinataires réels.  </t>
  </si>
  <si>
    <t xml:space="preserve">Réalisation d'audits de conformité aux normes ISO 27001/27002 pour renforcer la maturité de la sécurité.  </t>
  </si>
  <si>
    <t>S’assurer que la distribution des états de sortie est effective</t>
  </si>
  <si>
    <t>Vérifier des exemples d’états distribués.</t>
  </si>
  <si>
    <t>Des exemples d'états distribués existent-ils ?</t>
  </si>
  <si>
    <t xml:space="preserve">Procédures de gestion des journaux d’audit externes  </t>
  </si>
  <si>
    <t xml:space="preserve">Absence de revue périodique des politiques d'archivage  </t>
  </si>
  <si>
    <t xml:space="preserve">Exposition à des failles de sécurité en cas de non-détection automatique des erreurs de reporting.  </t>
  </si>
  <si>
    <t xml:space="preserve">Déploiement de solutions de détection des fuites de données (DLP) pour protéger les informations sensibles.  </t>
  </si>
  <si>
    <t>Un système de distribution automatisé est-il maintenu ?</t>
  </si>
  <si>
    <t xml:space="preserve">Documentation des mécanismes de chiffrement des logs  </t>
  </si>
  <si>
    <t xml:space="preserve">Erreurs de configuration des outils d'archivage automatisés  </t>
  </si>
  <si>
    <t xml:space="preserve">Délais accrus dans la prise de décision stratégique en raison de rapports non distribués ou incomplets.  </t>
  </si>
  <si>
    <t xml:space="preserve">Création d'un comité de gouvernance IT pour superviser l'alignement stratégique et l'allocation des budgets.  </t>
  </si>
  <si>
    <t xml:space="preserve">Contrats de consulting pour l’optimisation des systèmes de traçabilité  </t>
  </si>
  <si>
    <t xml:space="preserve">Exposition à des pertes d'exploitation en cas de sinistre prolongé  </t>
  </si>
  <si>
    <t xml:space="preserve">Perte de confiance des parties prenantes due à des tableaux de bord non actualisés ou inexacts.  </t>
  </si>
  <si>
    <t xml:space="preserve">Utilisation de protocoles sécurisés (TLS 1.3, SSH) pour les transferts de données et accès distants.  </t>
  </si>
  <si>
    <t xml:space="preserve">Procédures de gestion des accès aux bases de données de logs  </t>
  </si>
  <si>
    <t xml:space="preserve">Non-respect des engagements contractuels envers les clients  </t>
  </si>
  <si>
    <t xml:space="preserve">Risques de non-conformité réglementaire en l'absence de preuves de distribution sécurisée des états.  </t>
  </si>
  <si>
    <t xml:space="preserve">Mise en œuvre de contrôles de validation des entrées utilisateur pour prévenir les injections SQL/XSS.  </t>
  </si>
  <si>
    <t xml:space="preserve">Registre des tests de résilience des systèmes de journalisation  </t>
  </si>
  <si>
    <t xml:space="preserve">Détérioration de la qualité des données archivées sur le long terme  </t>
  </si>
  <si>
    <t xml:space="preserve">Inefficacité des contrôles qualité des données intégrées, menant à des anomalies non corrigées.  </t>
  </si>
  <si>
    <t xml:space="preserve">Audit régulier des configurations des pare-feux et systèmes de détection d'intrusion pour garantir leur efficacité.  </t>
  </si>
  <si>
    <t>Vérifier que les contrôles utilisateurs des états de sortie sont 
effectifs</t>
  </si>
  <si>
    <t>Vérifier des exemples d’états contrôlés par les utilisateurs.</t>
  </si>
  <si>
    <t>Des exemples d'états contrôlés par les utilisateurs existent-ils ?</t>
  </si>
  <si>
    <t xml:space="preserve">Rapports de benchmark des performances des outils de traçabilité  </t>
  </si>
  <si>
    <t xml:space="preserve">Incapacité à répondre aux audits réglementaires sur l'archivage  </t>
  </si>
  <si>
    <t xml:space="preserve">Vulnérabilités accrues face aux cybermenaces en raison de procédures de validation des fichiers non appliquées.  </t>
  </si>
  <si>
    <t xml:space="preserve">Formation des utilisateurs finaux à la reconnaissance des tentatives de phishing et bonnes pratiques d'hygiène numérique.  </t>
  </si>
  <si>
    <t>Confirmer la présence d’un système de validation des états.</t>
  </si>
  <si>
    <t>Un système de validation des états est-il utilisé ?</t>
  </si>
  <si>
    <t xml:space="preserve">Procédures de gestion des dépendances techniques des systèmes de logs  </t>
  </si>
  <si>
    <t xml:space="preserve">Manque de visibilité sur l'état réel des sauvegardes  </t>
  </si>
  <si>
    <t xml:space="preserve">Dégradation de la qualité des données en cas de non-respect des procédures de correction des erreurs détectées.  </t>
  </si>
  <si>
    <t xml:space="preserve">Déploiement de solutions de gestion des vulnérabilités pour prioriser et corriger les failles critiques.  </t>
  </si>
  <si>
    <t>Analyser des logs de validation pour corréler avec les utilisateurs.</t>
  </si>
  <si>
    <t>Les logs de validation correspondent-ils aux utilisateurs ?</t>
  </si>
  <si>
    <t xml:space="preserve">Documentation des interfaces avec les solutions de BI (Business Intelligence)  </t>
  </si>
  <si>
    <t xml:space="preserve">Utilisation de matériel non conforme aux normes de sécurité  </t>
  </si>
  <si>
    <t xml:space="preserve">Interruptions opérationnelles liées à des logs d'intégration non surveillés ou incomplets.  </t>
  </si>
  <si>
    <t xml:space="preserve">Intégration de clauses de cybersécurité dans les contrats clients pour clarifier les responsabilités en cas d'incident.  </t>
  </si>
  <si>
    <t xml:space="preserve">Contrats de licence des logiciels de journalisation  </t>
  </si>
  <si>
    <t xml:space="preserve">Absence de plan de secours alternatif en cas de panne majeure  </t>
  </si>
  <si>
    <t xml:space="preserve">Exposition à des pertes de données critiques en l'absence de système d'archivage sécurisé fonctionnel.  </t>
  </si>
  <si>
    <t xml:space="preserve">Mise en place de contrôles d'accès physique biométriques pour les zones hébergeant des équipements critiques.  </t>
  </si>
  <si>
    <t xml:space="preserve">Procédures de gestion des configurations des serveurs de logs  </t>
  </si>
  <si>
    <t xml:space="preserve">Non-identification des propriétaires métiers des données archivées  </t>
  </si>
  <si>
    <t xml:space="preserve">Augmentation des coûts de maintenance en raison de procédures non documentées ou obsolètes.  </t>
  </si>
  <si>
    <t xml:space="preserve">Utilisation de solutions de conteneurisation sécurisées avec isolation des environnements et gestion des droits.  </t>
  </si>
  <si>
    <t xml:space="preserve">S’assurer que les procédures de validation des résultats 
existent </t>
  </si>
  <si>
    <t>Vérifier des exemples de résultats validés.</t>
  </si>
  <si>
    <t>Des exemples de résultats validés existent-ils ?</t>
  </si>
  <si>
    <t xml:space="preserve">Registre des audits de conformité des procédures de traçabilité  </t>
  </si>
  <si>
    <t xml:space="preserve">Dépendance à des solutions propriétaires limitant la portabilité  </t>
  </si>
  <si>
    <t xml:space="preserve">Non-respect des SLA en raison de retards non détectés dans la génération ou la distribution des rapports.  </t>
  </si>
  <si>
    <t xml:space="preserve">Réalisation d'audits techniques des APIs pour détecter les failles de configuration ou les permissions excessives.  </t>
  </si>
  <si>
    <t>Confirmer la présence d’un workflow de validation.</t>
  </si>
  <si>
    <t>Un workflow de validation est-il établi ?</t>
  </si>
  <si>
    <t xml:space="preserve">Rapports d’analyse des écarts entre pratiques et politiques  </t>
  </si>
  <si>
    <t xml:space="preserve">Faible résilience des systèmes face aux catastrophes naturelles  </t>
  </si>
  <si>
    <t xml:space="preserve">Faiblesse dans l'alignement stratégique en l'absence d'indicateurs de performance clairs et mesurables.  </t>
  </si>
  <si>
    <t xml:space="preserve">Déploiement de mécanismes de chiffrement homomorphique pour les données sensibles en traitement analytique.  </t>
  </si>
  <si>
    <t>Analyser des logs de validation pour corréler avec les résultats.</t>
  </si>
  <si>
    <t>Les logs de validation correspondent-ils aux résultats ?</t>
  </si>
  <si>
    <t xml:space="preserve">Procédures de gestion des accès aux logs historiques  </t>
  </si>
  <si>
    <t xml:space="preserve">Non-contrôle des accès logiques aux données historiques  </t>
  </si>
  <si>
    <t xml:space="preserve">Défaillance dans la traçabilité des actions administratives en cas de journalisation centralisée insuffisante.  </t>
  </si>
  <si>
    <t xml:space="preserve">Création d'un plan de communication de crise pour coordonner les actions lors d'incidents majeurs.  </t>
  </si>
  <si>
    <t>Tester la détection d’erreurs de validation via des contrôles automatiques.</t>
  </si>
  <si>
    <t>Les erreurs de validation sont-elles détectées automatiquement ?</t>
  </si>
  <si>
    <t xml:space="preserve">Documentation des processus de purge des logs  </t>
  </si>
  <si>
    <t xml:space="preserve">Erreurs dans la journalisation des activités d'archivage  </t>
  </si>
  <si>
    <t xml:space="preserve">Augmentation des risques de fraude interne en raison de contrôles d'accès non vérifiés ou mal configurés.  </t>
  </si>
  <si>
    <t xml:space="preserve">Adoption de standards de codage sécurisé (OWASP) et intégration dans les pipelines DevOps.  </t>
  </si>
  <si>
    <t xml:space="preserve">Contrats d’assurance couvrant les risques liés aux logs  </t>
  </si>
  <si>
    <t xml:space="preserve">Manque de coordination entre les équipes techniques et métiers  </t>
  </si>
  <si>
    <t xml:space="preserve">Incapacité à répondre aux incidents critiques en temps réel en l'absence d'alertes automatisées.  </t>
  </si>
  <si>
    <t xml:space="preserve">Mise en œuvre de contrôles d'accès réseau Zero Trust pour limiter les mouvements latéraux en cas de compromission.  </t>
  </si>
  <si>
    <t xml:space="preserve">Vérifier que l'homogénéisation des codifications et des règles 
de gestion est effective </t>
  </si>
  <si>
    <t>Vérifier des exemples de codifications homogènes.</t>
  </si>
  <si>
    <t>Des exemples de codifications homogènes existent-ils ?</t>
  </si>
  <si>
    <t xml:space="preserve">Procédures de gestion des accès aux logs en cas de litige  </t>
  </si>
  <si>
    <t xml:space="preserve">Inadéquation des ressources allouées à la gestion des archives  </t>
  </si>
  <si>
    <t xml:space="preserve">Compromission de la continuité des activités en cas de non-test régulier des sauvegardes et restaurations.  </t>
  </si>
  <si>
    <t xml:space="preserve">Audit des processus de gestion des identités privilégiées (PAM) pour minimiser les risques d'abus.  </t>
  </si>
  <si>
    <t>Confirmer la présence d’un référentiel des règles de gestion.</t>
  </si>
  <si>
    <t>Un référentiel des règles de gestion est-il disponible ?</t>
  </si>
  <si>
    <t xml:space="preserve">Registre des formations sur la manipulation des logs  </t>
  </si>
  <si>
    <t xml:space="preserve">Exposition à des amendes pour non-conformité au RGPD  </t>
  </si>
  <si>
    <t xml:space="preserve">Dégradation de la satisfaction utilisateur due à des interfaces non ergonomiques ou des retards de traitement.  </t>
  </si>
  <si>
    <t xml:space="preserve">Déploiement de solutions de protection contre les ransomwares avec sauvegardes immuables et restauration rapide.  </t>
  </si>
  <si>
    <t>Analyser des logs d’application des règles pour corréler avec les codifications.</t>
  </si>
  <si>
    <t>Les logs d'application correspondent-ils aux codifications ?</t>
  </si>
  <si>
    <t xml:space="preserve">Rapports de revue des droits d’accès aux outils d’administration  </t>
  </si>
  <si>
    <t xml:space="preserve">Défaillance des mécanismes d'authentification multi-facteurs  </t>
  </si>
  <si>
    <t xml:space="preserve">Non-conformité aux normes RGPD/ISO en l'absence de documentation à jour sur les politiques de sécurité.  </t>
  </si>
  <si>
    <t xml:space="preserve">Formation des équipes juridiques et techniques aux implications du RGPD et autres réglementations sectorielles.  </t>
  </si>
  <si>
    <t>Tester la détection d’erreurs de codification via des contrôles automatiques.</t>
  </si>
  <si>
    <t>Les erreurs de codification sont-elles détectées automatiquement ?</t>
  </si>
  <si>
    <t xml:space="preserve">Procédures de gestion des logs dans les environnements cloud  </t>
  </si>
  <si>
    <t xml:space="preserve">Utilisation de mots de passe faibles pour les accès administrateurs  </t>
  </si>
  <si>
    <t xml:space="preserve">Perte de crédibilité de l'équipe d'audit interne en cas de manque de preuves tangibles pour les recommandations.  </t>
  </si>
  <si>
    <t xml:space="preserve">Utilisation de plateformes de gestion unifiée des endpoints (UEBA) pour détecter les comportements anormaux.  </t>
  </si>
  <si>
    <t xml:space="preserve">Documentation des procédures de réponse aux requêtes réglementaires  </t>
  </si>
  <si>
    <t xml:space="preserve">Absence de surveillance continue des systèmes d'archivage  </t>
  </si>
  <si>
    <t xml:space="preserve">Inefficacité des plans de reprise d'activité en raison de tests non réalisés ou mal documentés.  </t>
  </si>
  <si>
    <t xml:space="preserve">Mise en place de contrôles d'intégrité des fichiers critiques via des signatures numériques et monitoring continu.  </t>
  </si>
  <si>
    <t>S’assurer que l'intégrité et l'exhaustivité des données 
transmises entre les différents modules est garantie</t>
  </si>
  <si>
    <t>Vérifier des exemples de données transmises entre modules.</t>
  </si>
  <si>
    <t>Des exemples de données transmises entre modules existent-ils ?</t>
  </si>
  <si>
    <t xml:space="preserve">Contrats de partenariat pour l’analyse forensique des logs  </t>
  </si>
  <si>
    <t xml:space="preserve">Non-respect des exigences de confidentialité des données clients  </t>
  </si>
  <si>
    <t xml:space="preserve">Augmentation des coûts opérationnels liés à des processus manuels redondants ou non optimisés.  </t>
  </si>
  <si>
    <t xml:space="preserve">Réalisation d'audits de sécurité des configurations cloud pour garantir la conformité aux bonnes pratiques.  </t>
  </si>
  <si>
    <t>Confirmer la présence d’un système de validation des transmissions.</t>
  </si>
  <si>
    <t>Un système de validation des transmissions est-il en place ?</t>
  </si>
  <si>
    <t xml:space="preserve">Procédures de gestion des logs dans les scénarios de fusion-acquisition  </t>
  </si>
  <si>
    <t xml:space="preserve">Incapacité à garantir l'authenticité des documents archivés  </t>
  </si>
  <si>
    <t xml:space="preserve">Faiblesse dans la gestion des identités et accès en cas de procédures de révocation non appliquées.  </t>
  </si>
  <si>
    <t xml:space="preserve">Déploiement de solutions de gestion des risques tiers pour évaluer et surveiller les partenaires externes.  </t>
  </si>
  <si>
    <t>Analyser des logs de transmission pour corréler avec les données.</t>
  </si>
  <si>
    <t>Les logs de transmission correspondent-ils aux données ?</t>
  </si>
  <si>
    <t xml:space="preserve">Registre des mises à jour des contrôles d’accès aux logs  </t>
  </si>
  <si>
    <t xml:space="preserve">Dégradation des performances des applications liées à l'archivage  </t>
  </si>
  <si>
    <t xml:space="preserve">Exposition à des litiges contractuels en l'absence de suivi des clauses SLA avec les fournisseurs.  </t>
  </si>
  <si>
    <t xml:space="preserve">Intégration de contrôles de qualité des données dans les workflows métiers pour garantir leur exactitude.  </t>
  </si>
  <si>
    <t>Tester la détection d’erreurs de transmission via des contrôles automatiques.</t>
  </si>
  <si>
    <t>Les erreurs de transmission sont-elles détectées automatiquement ?</t>
  </si>
  <si>
    <t xml:space="preserve">Rapports d’évaluation de l’impact des modifications sur la traçabilité  </t>
  </si>
  <si>
    <t xml:space="preserve">Manque de tests de charge sur les systèmes de stockage  </t>
  </si>
  <si>
    <t xml:space="preserve">Défaillance dans l'optimisation des ressources IT en raison d'une mauvaise allocation des budgets identifiée tardivement.  </t>
  </si>
  <si>
    <t xml:space="preserve">Mise à jour des politiques de conservation des logs pour répondre aux exigences réglementaires et faciliter les enquêtes.  </t>
  </si>
  <si>
    <t xml:space="preserve">Procédures de gestion des logs dans les architectures hybrides  </t>
  </si>
  <si>
    <t xml:space="preserve">Non-application des politiques de destruction sécurisée des données  </t>
  </si>
  <si>
    <t xml:space="preserve">Risques de non-atteinte des objectifs métiers en raison d'un alignement insuffisant entre SI et stratégie organisationnelle.  </t>
  </si>
  <si>
    <t xml:space="preserve">Adoption de protocoles de sécurité pour les appareils IoT (chiffrement, authentification forte).  </t>
  </si>
  <si>
    <t>Fonction informatique</t>
  </si>
  <si>
    <t xml:space="preserve">S’assurer que les tâches relatives au développement et à 
l'exploitation de l'application sont bien suivies et documentées </t>
  </si>
  <si>
    <t>Vérifier des tickets de développement dans un outil de suivi (ex : GitLab, Jira).</t>
  </si>
  <si>
    <t>Des tickets de développement (GitLab, Jira) existent-ils ?</t>
  </si>
  <si>
    <t xml:space="preserve">Documentation des mécanismes de redondance des systèmes de logs  </t>
  </si>
  <si>
    <t xml:space="preserve">Exposition à des conflits d'intérêts dans la gestion des archives  </t>
  </si>
  <si>
    <t>Inefficacité des mesures de sécurité physique et logique en l'absence de contrôles réguliers et documentés.</t>
  </si>
  <si>
    <t xml:space="preserve">Création d'un référentiel centralisé des risques IT avec priorisation basée sur l'impact et la probabilité.  </t>
  </si>
  <si>
    <t>Confirmer la présence de spécifications techniques signées.</t>
  </si>
  <si>
    <t>Les spécifications techniques sont-elles signées ?</t>
  </si>
  <si>
    <t xml:space="preserve">Contrats de service pour la maintenance préventive des systèmes  </t>
  </si>
  <si>
    <t xml:space="preserve">Absence de procédures d'urgence en cas de compromission des données  </t>
  </si>
  <si>
    <t xml:space="preserve">Non-conformité aux exigences réglementaires et légales.  </t>
  </si>
  <si>
    <t xml:space="preserve">Déploiement de solutions de gestion des certificats SSL/TLS pour éviter les expirations non détectées.  </t>
  </si>
  <si>
    <t>Analyser des rapports de revue de code pour 3 projets récents.</t>
  </si>
  <si>
    <t>Des rapports de revue de code pour 3 projets récents existent-ils ?</t>
  </si>
  <si>
    <t xml:space="preserve">Procédures de gestion des logs lors des migrations technologiques  </t>
  </si>
  <si>
    <t xml:space="preserve">Utilisation de logiciels non pris en charge par les éditeurs  </t>
  </si>
  <si>
    <t xml:space="preserve">Défaillance dans la gouvernance informatique et la gestion des risques.  </t>
  </si>
  <si>
    <t xml:space="preserve">Mise en œuvre de contrôles d'accès contextuels pour adapter les droits en fonction du risque situationnel.  </t>
  </si>
  <si>
    <t>Identifier un processus de validation en 4 étapes (dev → test → QA → prod).</t>
  </si>
  <si>
    <t>Un processus de validation en 4 étapes (dev → test → QA → prod) est-il appliqué ?</t>
  </si>
  <si>
    <t xml:space="preserve">Registre des tests de compatibilité des formats de logs  </t>
  </si>
  <si>
    <t xml:space="preserve">Défaillance des contrôles d'intégrité des fichiers archivés  </t>
  </si>
  <si>
    <t xml:space="preserve">Exposition accrue aux cyberattaques et violations de données.  </t>
  </si>
  <si>
    <t xml:space="preserve">Audit des processus de développement logiciel pour garantir l'absence de backdoors ou de code malveillant.  </t>
  </si>
  <si>
    <t>Contrôler l’existence d’un manuel de déploiement.</t>
  </si>
  <si>
    <t>Un manuel de déploiement existe-t-il ?</t>
  </si>
  <si>
    <t xml:space="preserve">Rapports d’intégration des logs avec les systèmes tiers  </t>
  </si>
  <si>
    <t xml:space="preserve">Non-respect des standards internationaux de sécurité des données  </t>
  </si>
  <si>
    <t xml:space="preserve">Interruptions prolongées des services critiques en cas de sinistre.  </t>
  </si>
  <si>
    <t xml:space="preserve">Formation des équipes à la réponse aux incidents de sécurité via des simulations réalistes (cyber range).  </t>
  </si>
  <si>
    <t>S’assurer que l'accès aux bibliothèques de production est 
réglementé</t>
  </si>
  <si>
    <t>Tester l’accès refusé à un utilisateur non habilité via un compte test.</t>
  </si>
  <si>
    <t>Un compte test confirme-t-il le refus d'accès aux non-habilités ?</t>
  </si>
  <si>
    <t xml:space="preserve">Procédures de gestion des logs dans les environnements virtualisés  </t>
  </si>
  <si>
    <t xml:space="preserve">Manque de sensibilisation des utilisateurs aux risques d'archivage  </t>
  </si>
  <si>
    <t xml:space="preserve">Erreurs de traitement des données financières et opérationnelles.  </t>
  </si>
  <si>
    <t xml:space="preserve">Utilisation de contrats SLA stricts avec les fournisseurs cloud pour garantir la disponibilité et la sécurité.  </t>
  </si>
  <si>
    <t>Vérifier des logs d’accès aux bibliothèques sur 60 jours.</t>
  </si>
  <si>
    <t>Les logs d'accès aux bibliothèques sur 60 jours existent-ils ?</t>
  </si>
  <si>
    <t xml:space="preserve">Documentation des politiques de partage des logs avec les autorités  </t>
  </si>
  <si>
    <t xml:space="preserve">Inadéquation des mécanismes de reporting sur l'état des sauvegardes  </t>
  </si>
  <si>
    <t xml:space="preserve">Perte de confiance des parties prenantes et atteinte à la réputation.  </t>
  </si>
  <si>
    <t xml:space="preserve">Déploiement de solutions de prévention des pertes de données (DLP) pour les canaux de communication externes.  </t>
  </si>
  <si>
    <t>Confirmer la présence d’une politique de séparation des environnements (dev/test/prod).</t>
  </si>
  <si>
    <t>Une séparation des environnements (dev/test/prod) est-elle définie ?</t>
  </si>
  <si>
    <t xml:space="preserve">Contrats de confidentialité pour les données des logs  </t>
  </si>
  <si>
    <t xml:space="preserve">Exposition à des attaques par ingénierie sociale ciblant le personnel  </t>
  </si>
  <si>
    <t xml:space="preserve">Désalignement entre les objectifs métiers et les capacités du SI.  </t>
  </si>
  <si>
    <t xml:space="preserve">Mise en place de contrôles d'accès aux outils d'administration à distance avec journalisation détaillée.  </t>
  </si>
  <si>
    <t>Analyser des procédures de gestion des clés SSH/API.</t>
  </si>
  <si>
    <t>Des procédures de gestion des clés SSH/API existent-elles ?</t>
  </si>
  <si>
    <t xml:space="preserve">Procédures de gestion des logs dans les scénarios de reprise après sinistre  </t>
  </si>
  <si>
    <t xml:space="preserve">Absence de contrat de maintenance réactif pour les systèmes critiques  </t>
  </si>
  <si>
    <t xml:space="preserve">Augmentation des coûts de maintenance et de correction des anomalies.  </t>
  </si>
  <si>
    <t xml:space="preserve">Intégration de mécanismes de vérification d'intégrité des micrologiciels (firmware) pour les équipements critiques.  </t>
  </si>
  <si>
    <t>Identifier des alertes automatiques en cas d’accès non autorisé.</t>
  </si>
  <si>
    <t>Des alertes automatiques pour accès non autorisés existent-elles ?</t>
  </si>
  <si>
    <t xml:space="preserve">Registre des autorisations d’export des logs hors infrastructure  </t>
  </si>
  <si>
    <t xml:space="preserve">Non-évaluation régulière des fournisseurs de solutions d'archivage  </t>
  </si>
  <si>
    <t xml:space="preserve">Non-respect des engagements contractuels envers les clients et fournisseurs.  </t>
  </si>
  <si>
    <t xml:space="preserve">Réalisation d'audits de conformité des applications mobiles aux standards de sécurité (OWASP Mobile).  </t>
  </si>
  <si>
    <t>Vérifier que la maintenance de la séparation des tâches est 
effective</t>
  </si>
  <si>
    <t>Vérifier des rôles distincts pour les développeurs, testeurs et administrateurs.</t>
  </si>
  <si>
    <t>Les rôles (développeurs, testeurs, admin) sont-ils distincts ?</t>
  </si>
  <si>
    <t xml:space="preserve">Rapports d’analyse des tendances des activités d’administration  </t>
  </si>
  <si>
    <t xml:space="preserve">Défaillance des processus de récupération d'urgence  </t>
  </si>
  <si>
    <t xml:space="preserve">Détérioration de la qualité des décisions stratégiques par manque de données fiables.  </t>
  </si>
  <si>
    <t xml:space="preserve">Adoption de politiques de destruction sécurisée des données en fin de cycle de vie.  </t>
  </si>
  <si>
    <t>Confirmer l’absence de conflits d’intérêts dans les équipes.</t>
  </si>
  <si>
    <t>Des conflits d'intérêts dans les équipes sont-ils exclus ?</t>
  </si>
  <si>
    <t xml:space="preserve">Procédures de gestion des logs pour les audits externes  </t>
  </si>
  <si>
    <t xml:space="preserve">Utilisation de protocoles réseau non sécurisés pour l'accès distant  </t>
  </si>
  <si>
    <t xml:space="preserve">Prolifération de données non structurées et difficultés d'exploitation.  </t>
  </si>
  <si>
    <t xml:space="preserve">Déploiement de solutions de détection des menaces internes via l'analyse comportementale des utilisateurs.  </t>
  </si>
  <si>
    <t>Analyser des logs d’accès pour vérifier la séparation des tâches.</t>
  </si>
  <si>
    <t>Les logs d'accès confirment-ils la séparation des tâches ?</t>
  </si>
  <si>
    <t xml:space="preserve">Documentation des contrôles d’accès aux APIs de journalisation  </t>
  </si>
  <si>
    <t xml:space="preserve">Manque de documentation technique sur l'infrastructure d'archivage  </t>
  </si>
  <si>
    <t xml:space="preserve">Dégradation de l'expérience utilisateur et baisse de productivité.  </t>
  </si>
  <si>
    <t xml:space="preserve">Mise en œuvre de contrôles d'accès temporaires et à granularité fine pour les environnements DevOps.  </t>
  </si>
  <si>
    <t>Tester l’impossibilité d’un développeur de déployer en production.</t>
  </si>
  <si>
    <t>Un développeur peut-il déployer en production ?</t>
  </si>
  <si>
    <t xml:space="preserve">Contrats de service pour l’analyse automatique des logs  </t>
  </si>
  <si>
    <t xml:space="preserve">Non-respect des exigences de traçabilité des opérations sensibles  </t>
  </si>
  <si>
    <t xml:space="preserve">Complexité accrue dans la gestion des accès et des identités.  </t>
  </si>
  <si>
    <t xml:space="preserve">Création d'un programme de bug bounty pour identifier et corriger les vulnérabilités via des experts externes.  </t>
  </si>
  <si>
    <t>Identifier des procédures de révision trimestrielle des rôles.</t>
  </si>
  <si>
    <t>Une procédure de révision trimestrielle des rôles existe-t-elle ?</t>
  </si>
  <si>
    <t xml:space="preserve">Procédures de gestion des logs dans les architectures microservices  </t>
  </si>
  <si>
    <t xml:space="preserve">Incapacité à maintenir la cohérence des données entre systèmes  </t>
  </si>
  <si>
    <t xml:space="preserve">Failles dans la traçabilité des opérations sensibles.  </t>
  </si>
  <si>
    <t xml:space="preserve">Utilisation de services de threat intelligence pour anticiper les attaques ciblant le secteur d'activité.  </t>
  </si>
  <si>
    <t>S’assurer que l'équipe actuelle en charge de la maintenance est 
autonome et compétente</t>
  </si>
  <si>
    <t>Vérifier des CV/certifications des membres de l’équipe de maintenance.</t>
  </si>
  <si>
    <t>Les CV et certifications de l'équipe de maintenance sont-ils disponibles ?</t>
  </si>
  <si>
    <t xml:space="preserve">Registre des incidents liés à la disponibilité des logs  </t>
  </si>
  <si>
    <t xml:space="preserve">Exposition à des erreurs de synchronisation des données archivées  </t>
  </si>
  <si>
    <t xml:space="preserve">Incapacité à répondre aux audits réglementaires externes.  </t>
  </si>
  <si>
    <t xml:space="preserve">Déploiement de solutions de sécurité des emails (DMARC, SPF, DKIM) pour limiter les risques de phishing.  </t>
  </si>
  <si>
    <t>Confirmer la présence d’un plan de formation annuel.</t>
  </si>
  <si>
    <t>Un plan de formation annuel existe-t-il ?</t>
  </si>
  <si>
    <t xml:space="preserve">Rapports de performance des outils de corrélation des logs  </t>
  </si>
  <si>
    <t xml:space="preserve">Défaillance des mécanismes de détection des anomalies en temps réel  </t>
  </si>
  <si>
    <t xml:space="preserve">Risques juridiques liés au non-respect des normes de protection des données.  </t>
  </si>
  <si>
    <t xml:space="preserve">Mise en place de contrôles d'accès physique aux centres de données avec surveillance vidéo 24/7.  </t>
  </si>
  <si>
    <t>Analyser des rapports de performance de l’équipe sur 12 mois.</t>
  </si>
  <si>
    <t>Des rapports de performance sur 12 mois existent-ils ?</t>
  </si>
  <si>
    <t xml:space="preserve">Procédures de gestion des logs dans les environnements conteneurisés  </t>
  </si>
  <si>
    <t xml:space="preserve">Absence de stratégie claire pour la migration des données historiques  </t>
  </si>
  <si>
    <t xml:space="preserve">Fragilisation de la continuité d'activité lors de migrations ou mises à jour.  </t>
  </si>
  <si>
    <t xml:space="preserve">Intégration de contrôles de sécurité dans les chaînes d'approvisionnement logicielles (SBOM).  </t>
  </si>
  <si>
    <t>Tester la résolution d’un incident critique par l’équipe.</t>
  </si>
  <si>
    <t>L'équipe résout-elle les incidents critiques ?</t>
  </si>
  <si>
    <t xml:space="preserve">Documentation des mécanismes d’authentification multifacteur pour les logs  </t>
  </si>
  <si>
    <t xml:space="preserve">Utilisation de méthodes d'archivage manuelles sujettes aux erreurs  </t>
  </si>
  <si>
    <t xml:space="preserve">Désynchronisation entre les environnements de développement et de production.  </t>
  </si>
  <si>
    <t xml:space="preserve">Adoption de protocoles de sécurité pour les communications inter-applicatives (API Gateways, chiffrement).  </t>
  </si>
  <si>
    <t>Identifier des procédures de recrutement pour renforcer l’équipe.</t>
  </si>
  <si>
    <t>Des procédures de recrutement pour renforcer l'équipe existent-elles ?</t>
  </si>
  <si>
    <t xml:space="preserve">Contrats de support technique pour les systèmes de traçabilité  </t>
  </si>
  <si>
    <t xml:space="preserve">Non-conformité aux exigences sectorielles spécifiques  </t>
  </si>
  <si>
    <t xml:space="preserve">Augmentation des vulnérabilités logicielles par manque de contrôles rigoureux.  </t>
  </si>
  <si>
    <t xml:space="preserve">Réalisation d'audits de conformité des bases de données aux normes de sécurité (PCI DSS, HIPAA).  </t>
  </si>
  <si>
    <t>S’assurer de l’existence de procédure formalisée et standard de 
maintenance de l’application</t>
  </si>
  <si>
    <t>Vérifier un document de procédures de maintenance signé.</t>
  </si>
  <si>
    <t>Un document de procédures de maintenance est-il signé ?</t>
  </si>
  <si>
    <t xml:space="preserve">Procédures de gestion des logs lors des changements réglementaires  </t>
  </si>
  <si>
    <t xml:space="preserve">Manque d'audits internes réguliers sur les pratiques d'archivage  </t>
  </si>
  <si>
    <t xml:space="preserve">Dépassements budgétaires récurrents sur les projets informatiques.  </t>
  </si>
  <si>
    <t xml:space="preserve">Déploiement de solutions de gestion des identités décentralisées (blockchain) pour renforcer la confiance.  </t>
  </si>
  <si>
    <t>Confirmer la mise à jour des procédures (moins de 12 mois).</t>
  </si>
  <si>
    <t>Les procédures ont-elles été mises à jour dans les 12 mois ?</t>
  </si>
  <si>
    <t xml:space="preserve">Registre des révisions des seuils d’alerte des systèmes de logs  </t>
  </si>
  <si>
    <t xml:space="preserve">Exposition à des pertes financières dues à des erreurs de restauration  </t>
  </si>
  <si>
    <t xml:space="preserve">Difficultés à mesurer l'efficacité réelle des investissements IT.  </t>
  </si>
  <si>
    <t xml:space="preserve">Mise en œuvre de contrôles de résilience pour les infrastructures critiques via des tests de stress réguliers.  </t>
  </si>
  <si>
    <t>Analyser des logs d’interventions de maintenance sur 6 mois.</t>
  </si>
  <si>
    <t>Les logs d'interventions sur 6 mois existent-ils ?</t>
  </si>
  <si>
    <t xml:space="preserve">Rapports d’optimisation des stratégies de journalisation  </t>
  </si>
  <si>
    <t xml:space="preserve">Inadéquation des outils de monitoring des performances d'archivage  </t>
  </si>
  <si>
    <t xml:space="preserve">Exposition aux conflits d'intérêts dans la gestion des fournisseurs.  </t>
  </si>
  <si>
    <t xml:space="preserve">Création d'un plan de formation continu pour maintenir les compétences IT alignées sur les technologies émergentes.  </t>
  </si>
  <si>
    <t>Tester l’application des procédures lors d’une maintenance simulée.</t>
  </si>
  <si>
    <t>Les procédures sont-elles appliquées lors d'une maintenance simulée ?</t>
  </si>
  <si>
    <t xml:space="preserve">Procédures de gestion des logs dans les architectures serverless  </t>
  </si>
  <si>
    <t xml:space="preserve">Défaillance des contrôles d'accès basés sur les rôles (RBAC)  </t>
  </si>
  <si>
    <t xml:space="preserve">Utilisation de frameworks de gestion des risques (NIST, ISO 31000) pour structurer les évaluations et traitements.  </t>
  </si>
  <si>
    <t>Identifier des indicateurs de performance pour la maintenance.</t>
  </si>
  <si>
    <t>Des indicateurs de performance pour la maintenance existent-ils ?</t>
  </si>
  <si>
    <t xml:space="preserve">Documentation des politiques de conservation des métadonnées  </t>
  </si>
  <si>
    <t xml:space="preserve">Absence de procédures de gestion des incidents liés à l'archivage  </t>
  </si>
  <si>
    <t xml:space="preserve">Perte d'opportunités commerciales due à des systèmes obsolètes.  </t>
  </si>
  <si>
    <t xml:space="preserve">Déploiement de solutions de protection des endpoints contre les exploits zero-day via des mécanismes de sandboxing.  </t>
  </si>
  <si>
    <t>Vérifier que les nouvelles versions (développement interne, 
progiciel) sont suivies</t>
  </si>
  <si>
    <t>Vérifier des logs de déploiement des nouvelles versions sur 12 mois.</t>
  </si>
  <si>
    <t>Les logs de déploiement sur 12 mois existent-ils ?</t>
  </si>
  <si>
    <t xml:space="preserve">Contrats de consulting pour l’alignement des logs avec le RGPD  </t>
  </si>
  <si>
    <t xml:space="preserve">Non-respect des délais légaux de conservation des documents  </t>
  </si>
  <si>
    <t xml:space="preserve">Désorganisation des processus métiers par manque d'intégration système.  </t>
  </si>
  <si>
    <t xml:space="preserve">Mise en place de contrôles d'accès aux données sensibles basés sur le contexte (heure, localisation, appareil).  </t>
  </si>
  <si>
    <t>Confirmer la présence d’un calendrier de mise à jour.</t>
  </si>
  <si>
    <t>Un calendrier de mise à jour est-il disponible ?</t>
  </si>
  <si>
    <t xml:space="preserve">Procédures de gestion des logs dans les scénarios de transformation digitale  </t>
  </si>
  <si>
    <t xml:space="preserve">Utilisation de supports physiques non sécurisés pour les sauvegardes  </t>
  </si>
  <si>
    <t xml:space="preserve">Fragmentation des données et difficultés d'interopérabilité.  </t>
  </si>
  <si>
    <t xml:space="preserve">Intégration de mécanismes de vérification de l'intégrité des configurations via des outils IaC (Infrastructure as Code).  </t>
  </si>
  <si>
    <t>Analyser des rapports de tests pour chaque version déployée.</t>
  </si>
  <si>
    <t>Des rapports de tests pour chaque version existent-ils ?</t>
  </si>
  <si>
    <t xml:space="preserve">Registre des audits de sécurité des flux de logs  </t>
  </si>
  <si>
    <t xml:space="preserve">Manque de redondance des systèmes de contrôle d'accès  </t>
  </si>
  <si>
    <t xml:space="preserve">Augmentation des délais de traitement des demandes utilisateurs.  </t>
  </si>
  <si>
    <t xml:space="preserve">Adoption de politiques de sécurité pour les environnements conteneurisés (Kubernetes, Docker) avec durcissement.  </t>
  </si>
  <si>
    <t>Tester la réversibilité en cas d’échec d’une mise à jour.</t>
  </si>
  <si>
    <t>La réversibilité en cas d'échec de mise à jour est-elle possible ?</t>
  </si>
  <si>
    <t xml:space="preserve">Rapports d’évaluation des risques liés à la centralisation des logs  </t>
  </si>
  <si>
    <t xml:space="preserve">Exposition à des attaques par déni de service ciblant l'archivage  </t>
  </si>
  <si>
    <t xml:space="preserve">Détérioration de la résilience globale de l'infrastructure IT.  </t>
  </si>
  <si>
    <t xml:space="preserve">Réalisation d'audits de sécurité des partenaires commerciaux pour garantir l'alignement avec les standards internes.  </t>
  </si>
  <si>
    <t>Identifier des procédures de communication des changements aux utilisateurs.</t>
  </si>
  <si>
    <t>Les utilisateurs sont-ils informés des changements ?</t>
  </si>
  <si>
    <t xml:space="preserve">Procédures de gestion des logs dans les écosystèmes IoT  </t>
  </si>
  <si>
    <t xml:space="preserve">Incapacité à garantir l'immutabilité des données archivées  </t>
  </si>
  <si>
    <t xml:space="preserve">Difficultés à anticiper les besoins futurs en capacité technique.  </t>
  </si>
  <si>
    <t xml:space="preserve">Déploiement de solutions de gestion des vulnérabilités des bibliothèques logicielles (SCA, Software Composition Analysis).  </t>
  </si>
  <si>
    <t>Vérifier l’existence de procédure formalisée de transfert des 
programmes entre les environnements</t>
  </si>
  <si>
    <t>Vérifier un document de procédures de transfert signé.</t>
  </si>
  <si>
    <t>Un document de procédures de transfert est-il signé ?</t>
  </si>
  <si>
    <t xml:space="preserve">Documentation des interfaces de supervision des logs en temps réel  </t>
  </si>
  <si>
    <t xml:space="preserve">Défaillance des mécanismes de journalisation des accès  </t>
  </si>
  <si>
    <t xml:space="preserve">Dépendance excessive vis-à-vis de solutions propriétaires ou éditeurs.  </t>
  </si>
  <si>
    <t xml:space="preserve">Mise en œuvre de contrôles de sécurité pour les systèmes OT/ICS afin de prévenir les attaques ciblant les infrastructures critiques.  </t>
  </si>
  <si>
    <t>Confirmer la présence d’un workflow de validation des transferts.</t>
  </si>
  <si>
    <t>Un workflow de validation des transferts existe-t-il ?</t>
  </si>
  <si>
    <t xml:space="preserve">Contrats de service pour la détection d’anomalies dans les logs  </t>
  </si>
  <si>
    <t xml:space="preserve">Absence de plan de communication en cas de compromission  </t>
  </si>
  <si>
    <t xml:space="preserve">Limitations dans l'innovation due à une architecture rigide.  </t>
  </si>
  <si>
    <t xml:space="preserve">Création d'un programme de sensibilisation à la sécurité pour tous les employés, incluant des modules e-learning interactifs.  </t>
  </si>
  <si>
    <t>Analyser des logs de transferts entre environnements sur 6 mois.</t>
  </si>
  <si>
    <t>Les logs de transferts entre environnements sur 6 mois existent-ils ?</t>
  </si>
  <si>
    <t xml:space="preserve">Procédures de gestion des logs dans les architectures Big Data  </t>
  </si>
  <si>
    <t xml:space="preserve">Non-conformité aux normes internationales (ISO 27001, etc.)  </t>
  </si>
  <si>
    <t xml:space="preserve">Exposition aux erreurs humaines par absence de contrôles automatisés.  </t>
  </si>
  <si>
    <t xml:space="preserve">Utilisation de contrats de confidentialité et de clauses de cybersécurité dans les accords avec les sous-traitants.  </t>
  </si>
  <si>
    <t>Tester la détection d’erreurs lors d’un transfert simulé.</t>
  </si>
  <si>
    <t>Les erreurs lors d'un transfert simulé sont-elles détectées ?</t>
  </si>
  <si>
    <t xml:space="preserve">Registre des tests de charge des systèmes de journalisation  </t>
  </si>
  <si>
    <t xml:space="preserve">Utilisation de technologies non adaptées aux volumes de données  </t>
  </si>
  <si>
    <t xml:space="preserve">Dégradation de la performance applicative sous charge élevée.  </t>
  </si>
  <si>
    <t xml:space="preserve">Déploiement de solutions de détection des anomalies dans les flux financiers via l'analyse comportementale des transactions.  </t>
  </si>
  <si>
    <t>Identifier des procédures de correction des erreurs de transfert.</t>
  </si>
  <si>
    <t>Des procédures de correction des erreurs de transfert existent-elles ?</t>
  </si>
  <si>
    <t xml:space="preserve">Rapports d’analyse des coûts associés à la gestion des logs  </t>
  </si>
  <si>
    <t xml:space="preserve">Manque de tests d'intrusion sur les systèmes d'archivage  </t>
  </si>
  <si>
    <t xml:space="preserve">Complexité accrue dans la gestion des correctifs et mises à jour.  </t>
  </si>
  <si>
    <t xml:space="preserve">Mise en place de contrôles d'accès aux outils de développement low-code/no-code pour éviter les configurations risquées.  </t>
  </si>
  <si>
    <t>S’assurer que la documentation de l'application est effective</t>
  </si>
  <si>
    <t>Vérifier des manuels utilisateur et technique mis à jour.</t>
  </si>
  <si>
    <t>Des manuels utilisateur et technique à jour existent-ils ?</t>
  </si>
  <si>
    <t xml:space="preserve">Procédures de gestion des logs dans les environnements multi-cloud  </t>
  </si>
  <si>
    <t xml:space="preserve">Exposition à des vulnérabilités logicielles non corrigées  </t>
  </si>
  <si>
    <t xml:space="preserve">Perte de données critiques par défaut de sauvegarde fiable.  </t>
  </si>
  <si>
    <t xml:space="preserve">Intégration de mécanismes de protection contre les attaques par ingénierie sociale via des simulations de phishing régulières.  </t>
  </si>
  <si>
    <t>Confirmer la présence d’un référentiel documentaire centralisé.</t>
  </si>
  <si>
    <t>Un référentiel documentaire centralisé est-il utilisé ?</t>
  </si>
  <si>
    <t xml:space="preserve">Documentation des mécanismes de journalisation des actions réseau  </t>
  </si>
  <si>
    <t xml:space="preserve">Inadéquation des formations techniques du personnel IT  </t>
  </si>
  <si>
    <t xml:space="preserve">Incapacité à restaurer les opérations dans les délais impartis.  </t>
  </si>
  <si>
    <t xml:space="preserve">Adoption de normes de chiffrement post-quantique pour anticiper les futures menaces cryptographiques.  </t>
  </si>
  <si>
    <t>Analyser des logs de consultation de la documentation.</t>
  </si>
  <si>
    <t>Les logs de consultation de la documentation existent-ils ?</t>
  </si>
  <si>
    <t xml:space="preserve">Contrats de formation avancée sur les outils d’analyse de logs  </t>
  </si>
  <si>
    <t xml:space="preserve">Défaillance des processus de validation des sauvegardes  </t>
  </si>
  <si>
    <t xml:space="preserve">Désalignement entre les SLA conclus et les réalités opérationnelles.  </t>
  </si>
  <si>
    <t xml:space="preserve">Réalisation d'audits de sécurité des systèmes de gestion des identités (IAM) pour garantir leur robustesse.  </t>
  </si>
  <si>
    <t>Tester l’accès à la documentation par les utilisateurs.</t>
  </si>
  <si>
    <t>Les utilisateurs accèdent-ils à la documentation ?</t>
  </si>
  <si>
    <t xml:space="preserve">Procédures de gestion des logs lors des audits fiscaux  </t>
  </si>
  <si>
    <t xml:space="preserve">Absence de stratégie de sortie pour les supports de stockage obsolètes  </t>
  </si>
  <si>
    <t xml:space="preserve">Faible adoption des outils par les utilisateurs finaux.  </t>
  </si>
  <si>
    <t xml:space="preserve">Déploiement de solutions de surveillance des activités des robots logiciels (RPA) pour prévenir les dérives.  </t>
  </si>
  <si>
    <t>Identifier des procédures de mise à jour trimestrielle.</t>
  </si>
  <si>
    <t>Une mise à jour trimestrielle de la documentation est-elle prévue ?</t>
  </si>
  <si>
    <t xml:space="preserve">Registre des modifications des politiques de filtrage des logs  </t>
  </si>
  <si>
    <t xml:space="preserve">Non-respect des accords de niveau de service (SLA) avec les clients  </t>
  </si>
  <si>
    <t xml:space="preserve">Prolifération de solutions parallèles non sécurisées.  </t>
  </si>
  <si>
    <t xml:space="preserve">Mise en œuvre de contrôles de sécurité pour les environnements multi-cloud, incluant une gestion centralisée des politiques.  </t>
  </si>
  <si>
    <t>Vérifier que les corrections effectuées en urgence sur les 
programmes sont suivies</t>
  </si>
  <si>
    <t>Vérifier des logs de corrections urgentes sur 12 mois.</t>
  </si>
  <si>
    <t>Les logs de corrections urgentes sur 12 mois existent-ils ?</t>
  </si>
  <si>
    <t xml:space="preserve">Rapports d’évaluation de la couverture des besoins métiers par les logs  </t>
  </si>
  <si>
    <t xml:space="preserve">Utilisation de méthodes de chiffrement obsolètes ou vulnérables  </t>
  </si>
  <si>
    <t xml:space="preserve">Détection tardive des incidents de sécurité.  </t>
  </si>
  <si>
    <t xml:space="preserve">Création d'un référentiel de bonnes pratiques pour la sécurisation des APIs, aligné sur les standards OWASP API Security.  </t>
  </si>
  <si>
    <t>Un workflow de validation des corrections existe-t-il ?</t>
  </si>
  <si>
    <t xml:space="preserve">Procédures de gestion des logs dans les architectures orientées événements  </t>
  </si>
  <si>
    <t xml:space="preserve">Manque de supervision des tiers accédant aux données archivées  </t>
  </si>
  <si>
    <t xml:space="preserve">Non-respect des obligations de reporting réglementaire.  </t>
  </si>
  <si>
    <t xml:space="preserve">Utilisation de solutions de gestion des risques liés à l'IA pour détecter les biais et les utilisations malveillantes.  </t>
  </si>
  <si>
    <t>Analyser des rapports de tests post-correction.</t>
  </si>
  <si>
    <t>Des rapports de tests post-correction existent-ils ?</t>
  </si>
  <si>
    <t xml:space="preserve">Documentation des protocoles de chiffrement des flux de logs  </t>
  </si>
  <si>
    <t xml:space="preserve">Exposition à des litiges contractuels en cas de perte de données  </t>
  </si>
  <si>
    <t xml:space="preserve">Désorganisation des workflows de validation hiérarchique.  </t>
  </si>
  <si>
    <t xml:space="preserve">Déploiement de mécanismes de validation des données d'entraînement des modèles d'IA pour éviter les manipulations.  </t>
  </si>
  <si>
    <t>Tester la réversibilité en cas d’échec d’une correction.</t>
  </si>
  <si>
    <t>La réversibilité en cas d'échec de correction est-elle possible ?</t>
  </si>
  <si>
    <t xml:space="preserve">Contrats de maintenance des appliances de journalisation  </t>
  </si>
  <si>
    <t xml:space="preserve">Incapacité à prouver la conformité lors d'audits externes  </t>
  </si>
  <si>
    <t xml:space="preserve">Augmentation des coûts de conformité et d'audit externe.  </t>
  </si>
  <si>
    <t xml:space="preserve">Mise en place de contrôles d'accès aux données d'entraînement et de production des systèmes d'IA.  </t>
  </si>
  <si>
    <t>Identifier des procédures de communication des corrections aux utilisateurs.</t>
  </si>
  <si>
    <t>Les utilisateurs sont-ils informés des corrections ?</t>
  </si>
  <si>
    <t xml:space="preserve">Procédures de gestion des logs dans les scénarios de mobilité  </t>
  </si>
  <si>
    <t xml:space="preserve">Défaillance des contrôles d'intégrité des métadonnées associées  </t>
  </si>
  <si>
    <t xml:space="preserve">Dégradation de l'agilité organisationnelle face aux changements.  </t>
  </si>
  <si>
    <t xml:space="preserve">Intégration de clauses éthiques dans les contrats d'utilisation de l'IA pour garantir la transparence et la redevabilité.  </t>
  </si>
  <si>
    <t>S’assurer de l’existence d'un logiciel de contrôle de programmes 
sources et de programmes exécutables</t>
  </si>
  <si>
    <t>Vérifier des logs de contrôle des programmes sur 6 mois.</t>
  </si>
  <si>
    <t>Les logs de contrôle des programmes sur 6 mois existent-ils ?</t>
  </si>
  <si>
    <t xml:space="preserve">Registre des tests d’intégrité des données de logs  </t>
  </si>
  <si>
    <t xml:space="preserve">Absence de procédures de gestion des versions des données archivées  </t>
  </si>
  <si>
    <t xml:space="preserve">Perte d'avantage concurrentiel par retard technologique.  </t>
  </si>
  <si>
    <t xml:space="preserve">Adoption de protocoles de sécurité pour les dispositifs IoT médicaux, incluant des mises à jour critiques automatiques.  </t>
  </si>
  <si>
    <t>Confirmer la présence d’un système de versioning (ex : Git).</t>
  </si>
  <si>
    <t>Un système de versioning (Git) est-il utilisé ?</t>
  </si>
  <si>
    <t xml:space="preserve">Rapports d’analyse des schémas de journalisation  </t>
  </si>
  <si>
    <t xml:space="preserve">Non-respect des bonnes pratiques de gouvernance des données  </t>
  </si>
  <si>
    <t xml:space="preserve">Exposition aux amendes pour non-conformité aux normes sectorielles.  </t>
  </si>
  <si>
    <t xml:space="preserve">Réalisation d'audits de conformité des systèmes de vote électronique aux normes de sécurité et de transparence.  </t>
  </si>
  <si>
    <t>Analyser des rapports de conformité des programmes.</t>
  </si>
  <si>
    <t>Des rapports de conformité des programmes existent-ils ?</t>
  </si>
  <si>
    <t xml:space="preserve">Procédures de gestion des logs dans les environnements DevOps  </t>
  </si>
  <si>
    <t xml:space="preserve">Utilisation de configurations par défaut non sécurisées  </t>
  </si>
  <si>
    <t xml:space="preserve">Détérioration de la collaboration inter-services.  </t>
  </si>
  <si>
    <t xml:space="preserve">Déploiement de solutions de protection des données sensibles dans les environnements edge computing.  </t>
  </si>
  <si>
    <t xml:space="preserve">Documentation des politiques de journalisation des actions Kubernetes  </t>
  </si>
  <si>
    <t xml:space="preserve">Manque de documentation opérationnelle pour les processus clés  </t>
  </si>
  <si>
    <t xml:space="preserve">Complexité accrue dans la gestion des droits d'accès historiques.  </t>
  </si>
  <si>
    <t xml:space="preserve">Mise en œuvre de contrôles de sécurité pour les systèmes de réalité augmentée/virtuelle (AR/VR) en entreprise.  </t>
  </si>
  <si>
    <t>Des procédures de correction des anomalies existent-elles ?</t>
  </si>
  <si>
    <t xml:space="preserve">Contrats de service pour la gestion des logs des applications SaaS  </t>
  </si>
  <si>
    <t xml:space="preserve">Exposition à des erreurs de manipulation lors des opérations courantes  </t>
  </si>
  <si>
    <t xml:space="preserve">Incapacité à capitaliser sur les données pour l'analyse prédictive.  </t>
  </si>
  <si>
    <t xml:space="preserve">Création d'un plan de gestion des risques liés aux deepfakes et autres technologies de synthèse médiatique.  </t>
  </si>
  <si>
    <t>S’assurer que les travaux batch de l'application, qu'ils soient 
périodiques ou à la demande, sont bien suivis</t>
  </si>
  <si>
    <t>Vérifier des logs d’exécution des travaux batch sur 6 mois.</t>
  </si>
  <si>
    <t>Les logs d'exécution des travaux batch sur 6 mois existent-ils ?</t>
  </si>
  <si>
    <t xml:space="preserve">Procédures de gestion des logs dans les architectures Zero Trust  </t>
  </si>
  <si>
    <t xml:space="preserve">Inadéquation des capacités de stockage face à la croissance des données  </t>
  </si>
  <si>
    <t xml:space="preserve">Déséquilibre entre les investissements IT et les retours mesurables.  </t>
  </si>
  <si>
    <t xml:space="preserve">Utilisation de contrats intelligents (smart contracts) sécurisés pour automatiser les accords avec vérification cryptographique.  </t>
  </si>
  <si>
    <t>Confirmer la présence d’un calendrier des travaux batch.</t>
  </si>
  <si>
    <t>Un calendrier des travaux batch existe-t-il ?</t>
  </si>
  <si>
    <t xml:space="preserve">Registre des audits de conformité des logs aux normes sectorielles  </t>
  </si>
  <si>
    <t xml:space="preserve">Défaillance des mécanismes de détection des accès anormaux  </t>
  </si>
  <si>
    <t xml:space="preserve">Fragilisation de la position contractuelle avec les prestataires.  </t>
  </si>
  <si>
    <t xml:space="preserve">Déploiement de solutions de détection des fuites de données dans les environnements de big data.  </t>
  </si>
  <si>
    <t>Analyser des rapports de performance des travaux batch.</t>
  </si>
  <si>
    <t>Des rapports de performance des travaux batch existent-ils ?</t>
  </si>
  <si>
    <t xml:space="preserve">Rapports d’optimisation des performances des systèmes de logs  </t>
  </si>
  <si>
    <t xml:space="preserve">Absence de revue post-incident pour améliorer les processus  </t>
  </si>
  <si>
    <t xml:space="preserve">Détérioration de la qualité des services supports aux utilisateurs.  </t>
  </si>
  <si>
    <t xml:space="preserve">Mise en place de contrôles d'accès granulaires aux entrepôts de données (data warehouses) et lacs de données (data lakes).  </t>
  </si>
  <si>
    <t>Tester la détection d’erreurs lors d’une exécution simulée.</t>
  </si>
  <si>
    <t>Les erreurs lors d'une exécution simulée sont-elles détectées ?</t>
  </si>
  <si>
    <t xml:space="preserve">Procédures de gestion des logs dans les environnements Edge Computing  </t>
  </si>
  <si>
    <t xml:space="preserve">Non-conformité aux exigences de confidentialité des partenaires  </t>
  </si>
  <si>
    <t xml:space="preserve">Augmentation des litiges liés à la gestion des données personnelles.  </t>
  </si>
  <si>
    <t xml:space="preserve">Intégration de mécanismes de chiffrement homomorphique pour les analyses de données sensibles sans exposition.  </t>
  </si>
  <si>
    <t>Des procédures de correction des erreurs existent-elles ?</t>
  </si>
  <si>
    <t xml:space="preserve">Documentation des mécanismes de journalisation des transactions blockchain  </t>
  </si>
  <si>
    <t xml:space="preserve">Utilisation de protocoles non authentifiés pour les transferts de données  </t>
  </si>
  <si>
    <t xml:space="preserve">Perte de maîtrise des actifs informationnels stratégiques.  </t>
  </si>
  <si>
    <t xml:space="preserve">Adoption de politiques de sécurité pour les systèmes de gestion des identités décentralisées (SSI).  </t>
  </si>
  <si>
    <t>S’assurer que l’existence d’une procédure de contrôle des 
traitements batch et d'archivage des comptes-rendus d'exécution est 
garantie</t>
  </si>
  <si>
    <t>Vérifier un document de procédures de contrôle des batch signé.</t>
  </si>
  <si>
    <t>Un document de procédures de contrôle des batch est-il signé ?</t>
  </si>
  <si>
    <t xml:space="preserve">Contrats de partenariat pour l’analyse prédictive des logs  </t>
  </si>
  <si>
    <t xml:space="preserve">Manque de coordination entre les équipes de sécurité et d'archivage  </t>
  </si>
  <si>
    <t xml:space="preserve">Désalignement entre les architectures techniques et les besoins métiers.  </t>
  </si>
  <si>
    <t xml:space="preserve">Réalisation d'audits de sécurité des protocoles de communication quantique pour anticiper les futures menaces.  </t>
  </si>
  <si>
    <t>Un système d'archivage sécurisé est-il en place ?</t>
  </si>
  <si>
    <t xml:space="preserve">Procédures de gestion des logs dans les architectures IA/ML  </t>
  </si>
  <si>
    <t xml:space="preserve">Exposition à des sanctions réglementaires pour manquements répétés  </t>
  </si>
  <si>
    <t xml:space="preserve">Exposition aux erreurs de configuration des équipements réseau.  </t>
  </si>
  <si>
    <t xml:space="preserve">Déploiement de solutions de protection des infrastructures critiques contre les attaques physiques et logiques.  </t>
  </si>
  <si>
    <t>Analyser des logs d’archivage sur 6 mois.</t>
  </si>
  <si>
    <t>Les logs d'archivages sur 6 mois existent-ils ?</t>
  </si>
  <si>
    <t xml:space="preserve">Registre des tests de résistance des systèmes de journalisation  </t>
  </si>
  <si>
    <t xml:space="preserve">Incapacité à maintenir la disponibilité des données durant les audits  </t>
  </si>
  <si>
    <t xml:space="preserve">Détérioration de la cohérence des référentiels de données.  </t>
  </si>
  <si>
    <t xml:space="preserve">Mise en œuvre de contrôles de résilience pour les systèmes de gestion de l'énergie (smart grids).  </t>
  </si>
  <si>
    <t>Tester la restauration des données archivées.</t>
  </si>
  <si>
    <t>Les données archivées sont-elles restaurables ?</t>
  </si>
  <si>
    <t xml:space="preserve">Rapports d’évaluation de la valeur métier des données de logs  </t>
  </si>
  <si>
    <t xml:space="preserve">Défaillance des processus de gestion des clés de chiffrement  </t>
  </si>
  <si>
    <t xml:space="preserve">Incapacité à maintenir un inventaire précis des actifs IT.  </t>
  </si>
  <si>
    <t xml:space="preserve">Création d'un cadre de gouvernance pour les données générées par les objets connectés (IoT Governance).  </t>
  </si>
  <si>
    <t>Une procédure de suppression sécurisée des données obsolètes existe-t-elle ?</t>
  </si>
  <si>
    <t xml:space="preserve">Procédures de gestion des logs dans les scénarios de télétravail  </t>
  </si>
  <si>
    <t xml:space="preserve">Absence de tests de résistance aux scénarios catastrophes complexes  </t>
  </si>
  <si>
    <t xml:space="preserve">Complexité accrue dans la gestion des licences logicielles.  </t>
  </si>
  <si>
    <t>Utilisation de normes de sécurité pour les systèmes de transport autonomes, incluant des tests de pénétration réguliers</t>
  </si>
  <si>
    <t xml:space="preserve">Vérifier que la gestion des incidents en général et les procédures 
d'urgence en particulier est bien documentée </t>
  </si>
  <si>
    <t>Vérifier des logs de gestion des incidents sur 12 mois.</t>
  </si>
  <si>
    <t>Les logs de gestion d'incidents sur 12 mois sont-ils disponibles ?</t>
  </si>
  <si>
    <t xml:space="preserve">Documentation des politiques de journalisation des accès VPN  </t>
  </si>
  <si>
    <t xml:space="preserve">Non-respect des engagements environnementaux dans la gestion des supports  </t>
  </si>
  <si>
    <t xml:space="preserve">Dégradation de la transparence dans les processus décisionnels.  </t>
  </si>
  <si>
    <t xml:space="preserve">Implémenter une politique de gestion des déchets électroniques alignée sur les normes environnementales et documenter les processus pour renforcer la traçabilité.  </t>
  </si>
  <si>
    <t>Confirmer la présence d’un plan de gestion des incidents.</t>
  </si>
  <si>
    <t>Un plan de gestion des incidents est-il établi ?</t>
  </si>
  <si>
    <t xml:space="preserve">Contrats de service pour la surveillance des logs des terminaux mobiles  </t>
  </si>
  <si>
    <t xml:space="preserve">Utilisation de solutions non évolutives pour l'archivage à long terme  </t>
  </si>
  <si>
    <t xml:space="preserve">Faible résilience face aux attaques sophistiquées.  </t>
  </si>
  <si>
    <t xml:space="preserve">Établir des indicateurs de performance clairs pour mesurer l'efficacité des contrôles internes et communiquer régulièrement les résultats aux parties prenantes.  </t>
  </si>
  <si>
    <t>Analyser des rapports de résolution des incidents critiques.</t>
  </si>
  <si>
    <t>Des rapports de résolution d'incidents critiques existent-ils ?</t>
  </si>
  <si>
    <t xml:space="preserve">Procédures de gestion des logs dans les architectures 5G  </t>
  </si>
  <si>
    <t xml:space="preserve">Manque de visibilité sur le cycle de vie complet des données archivées  </t>
  </si>
  <si>
    <t xml:space="preserve">Perte d'intégrité des informations critiques lors des transferts.  </t>
  </si>
  <si>
    <t xml:space="preserve">Renforcer les mécanismes de validation des données critiques pour garantir leur intégrité et leur cohérence dans les rapports décisionnels.  </t>
  </si>
  <si>
    <t>Tester la réaction à un incident simulé.</t>
  </si>
  <si>
    <t>La réponse à un incident simulé est-elle satisfaisante ?</t>
  </si>
  <si>
    <t xml:space="preserve">Registre des analyses forensiques basées sur les logs  </t>
  </si>
  <si>
    <t xml:space="preserve">Exposition à des erreurs de planification des ressources allouées  </t>
  </si>
  <si>
    <t xml:space="preserve">Désorganisation des processus de gestion des incidents majeurs.  </t>
  </si>
  <si>
    <t xml:space="preserve">Mettre en place des contrôles automatisés de détection d'anomalies dans les flux de données pour prévenir les erreurs de traitement.  </t>
  </si>
  <si>
    <t>Identifier des procédures de communication des incidents aux parties prenantes.</t>
  </si>
  <si>
    <t>Les parties prenantes sont-elles informées des incidents ?</t>
  </si>
  <si>
    <t xml:space="preserve">Rapports d’évaluation de l’adéquation des logs aux besoins juridiques  </t>
  </si>
  <si>
    <t xml:space="preserve">Inadéquation des outils d'analyse des données archivées  </t>
  </si>
  <si>
    <t xml:space="preserve">Augmentation des conflits fonctionnels entre modules applicatifs.  </t>
  </si>
  <si>
    <t xml:space="preserve">Auditer régulièrement les matrices des droits d'accès pour s'assurer de leur conformité aux politiques de sécurité et aux besoins opérationnels.  </t>
  </si>
  <si>
    <t>S’assurer de l’existence de la documentation d'exploitation</t>
  </si>
  <si>
    <t>Vérifier des manuels d’exploitation mis à jour.</t>
  </si>
  <si>
    <t>Les manuels d'exploitation sont-ils à jour ?</t>
  </si>
  <si>
    <t xml:space="preserve">Procédures de gestion des logs dans les environnements hyperconvergés  </t>
  </si>
  <si>
    <t xml:space="preserve">Défaillance des mécanismes de réplication inter-sites  </t>
  </si>
  <si>
    <t xml:space="preserve">Incapacité à garantir l'authenticité des transactions électroniques.  </t>
  </si>
  <si>
    <t xml:space="preserve">Déployer des outils de surveillance continue des journaux système pour identifier rapidement les activités suspectes ou non autorisées.  </t>
  </si>
  <si>
    <t>Un référentiel documentaire centralisé est-il maintenu ?</t>
  </si>
  <si>
    <t xml:space="preserve">Documentation des mécanismes de journalisation des flux API  </t>
  </si>
  <si>
    <t xml:space="preserve">Absence de politique claire pour la destruction des données expirées  </t>
  </si>
  <si>
    <t xml:space="preserve">Détérioration de la crédibilité des rapports de gestion.  </t>
  </si>
  <si>
    <t xml:space="preserve">Réaliser des tests réguliers de restauration des sauvegardes pour valider leur intégrité et leur disponibilité en cas d'incident.  </t>
  </si>
  <si>
    <t>Les équipes consultent-elles régulièrement la documentation ?</t>
  </si>
  <si>
    <t xml:space="preserve">Contrats de consulting pour l’automatisation des analyses de logs  </t>
  </si>
  <si>
    <t xml:space="preserve">Non-conformité aux attentes des parties prenantes en matière de transparence  </t>
  </si>
  <si>
    <t xml:space="preserve">Exposition aux perturbations opérationnelles lors des mises à jour.  </t>
  </si>
  <si>
    <t xml:space="preserve">Formaliser une procédure de gestion des changements incluant une analyse d'impact et une validation hiérarchique avant déploiement.  </t>
  </si>
  <si>
    <t>Tester l’accès à la documentation par les équipes d’exploitation.</t>
  </si>
  <si>
    <t>Une mise à jour trimestrielle de la documentation est-elle effectuée ?</t>
  </si>
  <si>
    <t>Procédures de gestion des logs dans les architectures quantiques</t>
  </si>
  <si>
    <t xml:space="preserve">Utilisation de formats de données propriétaires non interopérables  </t>
  </si>
  <si>
    <t xml:space="preserve">Complexité accrue dans l'administration des bases de données.  </t>
  </si>
  <si>
    <t xml:space="preserve">Instaurer des revues périodiques des configurations de sécurité des équipements réseau pour prévenir les vulnérabilités.  </t>
  </si>
  <si>
    <t>Un SLA signé est-il en place ?</t>
  </si>
  <si>
    <t xml:space="preserve">Contrat de maintenance ou d’assistance pour les applications du domaine d’audit  </t>
  </si>
  <si>
    <t xml:space="preserve">Manque de procédures de gestion des conflits d'accès aux archives  </t>
  </si>
  <si>
    <t xml:space="preserve">Dégradation de la performance des interfaces utilisateurs.  </t>
  </si>
  <si>
    <t xml:space="preserve">Développer un plan de formation continu sur les bonnes pratiques de sécurité à destination des utilisateurs et administrateurs.  </t>
  </si>
  <si>
    <t>S’assurer de l’existence et l’application d’un Contrat de Service ( SLA)</t>
  </si>
  <si>
    <t>Vérifier un document SLA signé.</t>
  </si>
  <si>
    <t>Le SLA a-t-il été mis à jour dans les 12 mois ?</t>
  </si>
  <si>
    <t xml:space="preserve">Liste et le poids financier des principaux marchés SI en cours  </t>
  </si>
  <si>
    <t xml:space="preserve">Exposition à des pertes de compétitivité due à l'indisponibilité des données  </t>
  </si>
  <si>
    <t xml:space="preserve">Perte de synchronisation entre les systèmes interconnectés.  </t>
  </si>
  <si>
    <t xml:space="preserve">Intégrer des clauses contractuelles exigeant la conformité environnementale et la traçabilité des supports dans les accords avec les fournisseurs.  </t>
  </si>
  <si>
    <t>Confirmer la mise à jour du SLA (moins de 12 mois).</t>
  </si>
  <si>
    <t>Les performances respectent-elles le SLA ?</t>
  </si>
  <si>
    <t xml:space="preserve">Comptes rendus des comités ou groupes de travail (GT) consacrés pour tout ou partie aux SI  </t>
  </si>
  <si>
    <t xml:space="preserve">Incapacité à répondre aux demandes réglementaires de restitution  </t>
  </si>
  <si>
    <t xml:space="preserve">Désalignement entre les compétences des équipes et les technologies employées.  </t>
  </si>
  <si>
    <t xml:space="preserve">Créer un comité de gouvernance TI pour superviser l'alignement stratégique entre les investissements technologiques et les objectifs métiers.  </t>
  </si>
  <si>
    <t>Analyser des rapports de performance par rapport au SLA.</t>
  </si>
  <si>
    <t>Des actions sont-elles prises en cas de non-respect du SLA ?</t>
  </si>
  <si>
    <t xml:space="preserve">Défaillance des contrôles de qualité des processus automatisés  </t>
  </si>
  <si>
    <t xml:space="preserve">Incapacité à répondre aux exigences d'auditabilité des processus.  </t>
  </si>
  <si>
    <t xml:space="preserve">Automatiser la génération de rapports d'audit intermédiaires pour améliorer la réactivité dans la prise de décision corrective.  </t>
  </si>
  <si>
    <t>Tester la réaction en cas de non-respect du SLA.</t>
  </si>
  <si>
    <t>Le SLA est-il renégocié régulièrement ?</t>
  </si>
  <si>
    <t xml:space="preserve">Plan de continuité des activités  </t>
  </si>
  <si>
    <t xml:space="preserve">Absence de stratégie de migration vers des technologies modernes  </t>
  </si>
  <si>
    <t xml:space="preserve">Augmentation des coûts de formation et d'adaptation des utilisateurs.  </t>
  </si>
  <si>
    <t xml:space="preserve">Définir des seuils d'alerte sur les indicateurs clés de performance (KPI) liés à la disponibilité et à la sécurité des systèmes.  </t>
  </si>
  <si>
    <t>Identifier des procédures de renégociation du SLA.</t>
  </si>
  <si>
    <t xml:space="preserve">Plan de reprise des activités  </t>
  </si>
  <si>
    <t xml:space="preserve">Non-respect des normes internes de performance des systèmes  </t>
  </si>
  <si>
    <t xml:space="preserve">Exposition aux erreurs de paramétrage des outils de monitoring.  </t>
  </si>
  <si>
    <t xml:space="preserve">Consolider les données historiques dans un référentiel unique avec des mécanismes de contrôle d'accès granulaires.  </t>
  </si>
  <si>
    <t>S’assurer que les engagements de service et la mesure 
rigoureuse du niveau de service sont respectés</t>
  </si>
  <si>
    <t>Vérifier des rapports de performance sur 12 mois.</t>
  </si>
  <si>
    <t>Des KPI sont-ils définis pour mesurer les performances ?</t>
  </si>
  <si>
    <t xml:space="preserve">Politiques SI et de sécurité SI de l’organisation  </t>
  </si>
  <si>
    <t xml:space="preserve">Utilisation de méthodes d'authentification obsolètes pour les accès  </t>
  </si>
  <si>
    <t xml:space="preserve">Détérioration de la qualité des données analytiques.  </t>
  </si>
  <si>
    <t xml:space="preserve">Mettre en œuvre une solution de chiffrement des données sensibles stockées et en transit pour renforcer la confidentialité.  </t>
  </si>
  <si>
    <t>Confirmer la présence d’indicateurs clés de performance (KPI).</t>
  </si>
  <si>
    <t>Les engagements de service sont-ils suivis dans les logs ?</t>
  </si>
  <si>
    <t xml:space="preserve">Matrice des autorisations/droits d’accès pour chaque application du domaine d’audit  </t>
  </si>
  <si>
    <t xml:space="preserve">Manque de supervision des activités des prestataires externes  </t>
  </si>
  <si>
    <t xml:space="preserve">Faible réactivité face aux évolutions réglementaires.  </t>
  </si>
  <si>
    <t xml:space="preserve">Réaliser des audits de conformité réguliers pour vérifier l'adéquation des pratiques aux réglementations sectorielles.  </t>
  </si>
  <si>
    <t xml:space="preserve"> des logs de suivi des engagements de service.</t>
  </si>
  <si>
    <t>Des mesures sont-elles prises en cas de dégradation de service ?</t>
  </si>
  <si>
    <t xml:space="preserve">Procédures encadrant la gestion des incidents survenus en lien avec les applications du domaine d’audit  </t>
  </si>
  <si>
    <t xml:space="preserve">Exposition à des interruptions prolongées des services métiers  </t>
  </si>
  <si>
    <t xml:space="preserve">Perte de contrôle sur les environnements virtualisés.  </t>
  </si>
  <si>
    <t xml:space="preserve">Instaurer une procédure de révocation immédiate des droits d'accès en cas de départ ou de changement de fonction du personnel.  </t>
  </si>
  <si>
    <t>Tester la réaction en cas de dégradation du niveau de service.</t>
  </si>
  <si>
    <t>Une démarche d'amélioration continue est-elle mise en œuvre ?</t>
  </si>
  <si>
    <t xml:space="preserve">Inventaires des licences  </t>
  </si>
  <si>
    <t xml:space="preserve">Inadéquation des mécanismes de reporting aux instances dirigeantes  </t>
  </si>
  <si>
    <t xml:space="preserve">Désorganisation des stratégies de sortie des technologies obsolètes.  </t>
  </si>
  <si>
    <t xml:space="preserve">Déployer des outils de détection d'intrusions (IDS/IPS) pour surveiller les activités réseau anormales en temps réel.  </t>
  </si>
  <si>
    <t>Identifier des procédures d’amélioration continue.</t>
  </si>
  <si>
    <t>Les tableaux de bord sont-ils régulièrement mis à jour ?</t>
  </si>
  <si>
    <t xml:space="preserve">Défaillance des processus de gestion des métadonnées associées  </t>
  </si>
  <si>
    <t xml:space="preserve">Complexité accrue dans la gestion des droits d'accès temporaires.  </t>
  </si>
  <si>
    <t xml:space="preserve">Standardiser les processus de gestion des incidents pour réduire les délais de résolution et améliorer la documentation post-incident.  </t>
  </si>
  <si>
    <t>S’assurer que le niveau de service est effectué par l’analyse des 
tableaux de bord</t>
  </si>
  <si>
    <t>Vérifier des tableaux de bord mis à jour.</t>
  </si>
  <si>
    <t>Des KPI pertinents sont-ils affichés sur les tableaux de bord ?</t>
  </si>
  <si>
    <t xml:space="preserve">Bilan de la satisfaction des utilisateurs  </t>
  </si>
  <si>
    <t xml:space="preserve">Absence de plan de continuité aligné sur les besoins métiers  </t>
  </si>
  <si>
    <t xml:space="preserve">Incapacité à maintenir un niveau de service homogène.  </t>
  </si>
  <si>
    <t xml:space="preserve">Élaborer un plan de continuité d'activité (PCA) testé annuellement pour garantir la résilience opérationnelle face aux sinistres.  </t>
  </si>
  <si>
    <t>Les logs de consultation des tableaux de bord existent-ils ?</t>
  </si>
  <si>
    <t xml:space="preserve">Plan de formation  </t>
  </si>
  <si>
    <t xml:space="preserve">Non-conformité aux exigences de résilience opérationnelle  </t>
  </si>
  <si>
    <t xml:space="preserve">Dégradation de l'efficacité des mécanismes de supervision.  </t>
  </si>
  <si>
    <t xml:space="preserve">Renforcer les contrôles d'accès physique aux salles serveurs via des systèmes biométriques et des journaux d'entrée/sortie.  </t>
  </si>
  <si>
    <t>Analyser des logs de consultation des tableaux de bord.</t>
  </si>
  <si>
    <t>Les alertes de dégradation de service déclenchent-elles des actions ?</t>
  </si>
  <si>
    <t xml:space="preserve">Planning de formation avec liste des personnes formées  </t>
  </si>
  <si>
    <t xml:space="preserve">Utilisation de procédures manuelles augmentant les risques d'erreur  </t>
  </si>
  <si>
    <t xml:space="preserve">Exposition aux interruptions de service par défaut de redondance.  </t>
  </si>
  <si>
    <t xml:space="preserve">Mettre à jour les politiques de conservation des données pour respecter les exigences légales et limiter les risques de non-conformité.  </t>
  </si>
  <si>
    <t>Tester la réaction à une alerte de dégradation du service.</t>
  </si>
  <si>
    <t>Les résultats sont-ils communiqués aux parties prenantes ?</t>
  </si>
  <si>
    <t xml:space="preserve">Schéma/ diagramme d’interaction des applications informatiques métiers  </t>
  </si>
  <si>
    <t xml:space="preserve">Manque d'intégration des systèmes d'archivage avec les outils métiers  </t>
  </si>
  <si>
    <t xml:space="preserve">Détérioration de la cohérence des politiques de sécurité.  </t>
  </si>
  <si>
    <t xml:space="preserve">Instaurer des revues indépendantes des architectures techniques pour identifier les vulnérabilités structurelles.  </t>
  </si>
  <si>
    <t>Identifier des procédures de communication des résultats aux parties prenantes.</t>
  </si>
  <si>
    <t>Les logs de sauvegarde sur 6 mois sont-ils disponibles ?</t>
  </si>
  <si>
    <t xml:space="preserve">Manuel des procédures de la DSI  </t>
  </si>
  <si>
    <t xml:space="preserve">Exposition à des coûts imprévus liés à la récupération de données  </t>
  </si>
  <si>
    <t xml:space="preserve">Faible capacité à détecter les activités frauduleuses internes.  </t>
  </si>
  <si>
    <t xml:space="preserve">Intégrer des analyses de risques spécifiques aux projets d'externalisation pour anticiper les dépendances critiques.  </t>
  </si>
  <si>
    <t>Vérifier que les procédures de sauvegarde et de reprise de 
l’application sont effectives</t>
  </si>
  <si>
    <t>Vérifier des logs de sauvegarde sur 6 mois.</t>
  </si>
  <si>
    <t>Un PRA est-il formalisé et à jour ?</t>
  </si>
  <si>
    <t xml:space="preserve">Manuel des procédures des divisions en charge du domaine d’audit  </t>
  </si>
  <si>
    <t xml:space="preserve">Incapacité à maintenir la cohérence entre les environnements de test et production  </t>
  </si>
  <si>
    <t xml:space="preserve">Perte de flexibilité dans l'intégration de nouvelles solutions.  </t>
  </si>
  <si>
    <t xml:space="preserve">Déployer des solutions de gestion des identités et des accès (IAM) avec authentification multifacteur pour les comptes privilégiés.  </t>
  </si>
  <si>
    <t>Confirmer la présence d’un plan de reprise après sinistre (PRA).</t>
  </si>
  <si>
    <t>Des tests de restauration sont-ils régulièrement effectués ?</t>
  </si>
  <si>
    <t xml:space="preserve">Documents de spécifications techniques signés  </t>
  </si>
  <si>
    <t xml:space="preserve">Défaillance des mécanismes de contrôle d'accès hiérarchiques  </t>
  </si>
  <si>
    <t xml:space="preserve">Désalignement entre les procédures documentées et les pratiques réelles.  </t>
  </si>
  <si>
    <t xml:space="preserve">Créer un référentiel centralisé des actifs informatiques incluant leur cycle de vie et leur criticité opérationnelle.  </t>
  </si>
  <si>
    <t>Analyser des rapports de tests de restauration.</t>
  </si>
  <si>
    <t>La restauration après sinistre simulé fonctionne-t-elle ?</t>
  </si>
  <si>
    <t xml:space="preserve">Absence de revue des autorisations d'accès aux données sensibles  </t>
  </si>
  <si>
    <t xml:space="preserve">Augmentation des risques liés à l'externalisation des services critiques.  </t>
  </si>
  <si>
    <t xml:space="preserve">Réaliser des tests de pénétration périodiques pour évaluer l'efficacité des mesures de sécurité applicatives.  </t>
  </si>
  <si>
    <t>Tester la restauration des données après une simulation de sinistre.</t>
  </si>
  <si>
    <t>Le PRA est-il mis à jour après chaque test ?</t>
  </si>
  <si>
    <t xml:space="preserve">Manuel de déploiement  </t>
  </si>
  <si>
    <t xml:space="preserve">Non-respect des exigences de traçabilité des accès aux archives  </t>
  </si>
  <si>
    <t xml:space="preserve">Incapacité à garantir la conformité des développements spécifiques.  </t>
  </si>
  <si>
    <t xml:space="preserve">Documenter les flux de données entre systèmes internes et externes pour améliorer la transparence et la conformité.  </t>
  </si>
  <si>
    <t>Identifier des procédures de mise à jour du PRA.</t>
  </si>
  <si>
    <t>Un système de sauvegarde automatisé est-il opérationnel ?</t>
  </si>
  <si>
    <t xml:space="preserve">Logs d’accès aux bibliothèques sur 60 jours  </t>
  </si>
  <si>
    <t xml:space="preserve">Utilisation de solutions non adaptées aux spécificités sectorielles  </t>
  </si>
  <si>
    <t xml:space="preserve">Détérioration de la maintenabilité du code applicatif.  </t>
  </si>
  <si>
    <t xml:space="preserve">Instaurer des contrôles de qualité automatisés dans les processus de développement logiciel pour réduire les erreurs de codage.  </t>
  </si>
  <si>
    <t>Vérifier que les sauvegardes sont effectives</t>
  </si>
  <si>
    <t>Les sauvegardes sont-elles testées régulièrement ?</t>
  </si>
  <si>
    <t xml:space="preserve">Politique de séparation des environnements (dev/test/prod)  </t>
  </si>
  <si>
    <t xml:space="preserve">Manque de sensibilisation aux risques liés à la gestion des sauvegardes  </t>
  </si>
  <si>
    <t xml:space="preserve">Exposition aux vulnérabilités des bibliothèques tierces.  </t>
  </si>
  <si>
    <t xml:space="preserve">Mettre en place des mécanismes de surveillance des performances des fournisseurs cloud pour garantir le respect des SLA.  </t>
  </si>
  <si>
    <t>Confirmer la présence d’un système de sauvegarde automatisé.</t>
  </si>
  <si>
    <t>La restauration des données après sinistre est-elle validée ?</t>
  </si>
  <si>
    <t xml:space="preserve">Exposition à des erreurs de configuration des pare-feux applicatifs  </t>
  </si>
  <si>
    <t xml:space="preserve">Complexité accrue dans la gestion des correctifs de sécurité.  </t>
  </si>
  <si>
    <t xml:space="preserve">Développer une stratégie de gestion des vulnérabilités incluant une priorisation basée sur la criticité des actifs.  </t>
  </si>
  <si>
    <t>Des procédures de contrôle qualité des sauvegardes existent-elles ?</t>
  </si>
  <si>
    <t xml:space="preserve">Contrats avec les fournisseurs incluant des SLA  </t>
  </si>
  <si>
    <t xml:space="preserve">Inadéquation des protocoles de sécurité pour les accès distants  </t>
  </si>
  <si>
    <t xml:space="preserve">Dégradation de la traçabilité des modifications logicielles.  </t>
  </si>
  <si>
    <t xml:space="preserve">Renforcer les procédures de validation des sauvegardes via des tests de restauration partiels et complets.  </t>
  </si>
  <si>
    <t>Un plan de secours signé est-il disponible ?</t>
  </si>
  <si>
    <t xml:space="preserve">Rapports de performance du support technique  </t>
  </si>
  <si>
    <t xml:space="preserve">Défaillance des processus de gestion des identités et accès (IAM)  </t>
  </si>
  <si>
    <t xml:space="preserve">Perte de cohérence dans les stratégies de chiffrement des données.  </t>
  </si>
  <si>
    <t xml:space="preserve">Établir des protocoles de communication sécurisés pour les échanges de données avec les partenaires externes.  </t>
  </si>
  <si>
    <t>Identifier des procédures de contrôle qualité des sauvegardes.</t>
  </si>
  <si>
    <t>Le plan a-t-il été mis à jour dans les 12 mois ?</t>
  </si>
  <si>
    <t xml:space="preserve">Calendrier de mise à jour des versions  </t>
  </si>
  <si>
    <t xml:space="preserve">Absence de documentation des incidents passés et des correctifs  </t>
  </si>
  <si>
    <t xml:space="preserve">Désorganisation des processus de gestion des identités.  </t>
  </si>
  <si>
    <t xml:space="preserve">Auditer régulièrement les configurations des pare-feux et routeurs pour prévenir les accès non autorisés.  </t>
  </si>
  <si>
    <t>S’assurer de l’existence d'un plan de secours en adéquation 
avec les besoins et les enjeux</t>
  </si>
  <si>
    <t>Vérifier un document de plan de secours signé.</t>
  </si>
  <si>
    <t>Des tests du plan de secours sont-ils réalisés ?</t>
  </si>
  <si>
    <t xml:space="preserve">Rapports de tests de restauration  </t>
  </si>
  <si>
    <t xml:space="preserve">Non-conformité aux bonnes pratiques de gestion des risques informatiques  </t>
  </si>
  <si>
    <t xml:space="preserve">Incapacité à assurer une journalisation fiable des événements.  </t>
  </si>
  <si>
    <t xml:space="preserve">Instaurer des formations obligatoires sur la protection des données personnelles pour les employés en contact avec des informations sensibles.  </t>
  </si>
  <si>
    <t>Confirmer la mise à jour du plan (moins de 12 mois).</t>
  </si>
  <si>
    <t>La réponse à un sinistre simulé est-elle efficace ?</t>
  </si>
  <si>
    <t xml:space="preserve">Politique de sécurité signée  </t>
  </si>
  <si>
    <t xml:space="preserve">Utilisation de méthodes non standardisées pour l'archivage  </t>
  </si>
  <si>
    <t xml:space="preserve">Augmentation des risques de non-conformité aux standards internationaux.  </t>
  </si>
  <si>
    <t xml:space="preserve">Déployer des outils de monitoring des performances applicatives pour détecter les goulots d'étranglement en temps réel.  </t>
  </si>
  <si>
    <t>Analyser des rapports de tests du plan de secours.</t>
  </si>
  <si>
    <t>Les résultats des tests sont-ils communiqués aux parties prenantes ?</t>
  </si>
  <si>
    <t xml:space="preserve">Logs d’accès aux commandes système sur 6 mois  </t>
  </si>
  <si>
    <t xml:space="preserve">Manque d'audits de sécurité périodiques sur les systèmes d'archivage  </t>
  </si>
  <si>
    <t xml:space="preserve">Exposition aux sanctions pour manquements aux clauses contractuelles.  </t>
  </si>
  <si>
    <t xml:space="preserve">Créer un processus de gestion des correctifs critiques avec des fenêtres de maintenance planifiées et documentées.  </t>
  </si>
  <si>
    <t>Tester la réaction à une simulation de sinistre.</t>
  </si>
  <si>
    <t>Les logs de tests du plan sur 12 mois existent-ils ?</t>
  </si>
  <si>
    <t xml:space="preserve">Exposition à des attaques ciblant les vulnérabilités connues  </t>
  </si>
  <si>
    <t xml:space="preserve">Détérioration de la qualité des livrables lors des projets complexes.  </t>
  </si>
  <si>
    <t xml:space="preserve">Mettre en œuvre des contrôles d'intégrité des données lors des migrations pour éviter les corruptions ou pertes.  </t>
  </si>
  <si>
    <t>Un calendrier de tests est-il établi ?</t>
  </si>
  <si>
    <t xml:space="preserve">Schéma-directeur du SI approuvé  </t>
  </si>
  <si>
    <t xml:space="preserve">Incapacité à garantir l'exhaustivité des données archivées  </t>
  </si>
  <si>
    <t xml:space="preserve">Faible maîtrise des coûts cachés liés aux dépendances techniques.  </t>
  </si>
  <si>
    <t xml:space="preserve">Standardiser les interfaces utilisateur pour améliorer l'ergonomie et réduire les erreurs de saisie manuelles.  </t>
  </si>
  <si>
    <t xml:space="preserve">S’assurer que des tests et mises à jour du plan sont effectifs ; </t>
  </si>
  <si>
    <t>Vérifier des logs de tests du plan de secours sur 12 mois.</t>
  </si>
  <si>
    <t>Les performances lors des tests sont-elles satisfaisantes ?</t>
  </si>
  <si>
    <t xml:space="preserve">Rapport d’alignement stratégique  </t>
  </si>
  <si>
    <t xml:space="preserve">Défaillance des mécanismes de détection des modifications non autorisées  </t>
  </si>
  <si>
    <t xml:space="preserve">Perte d'opportunités d'optimisation des ressources informatiques.  </t>
  </si>
  <si>
    <t xml:space="preserve">Instaurer des revues post-mortem après chaque incident majeur pour identifier les causes racines et améliorer les processus.  </t>
  </si>
  <si>
    <t>Confirmer la présence d’un calendrier de tests.</t>
  </si>
  <si>
    <t>Le plan est-il mis à jour après chaque test ?</t>
  </si>
  <si>
    <t xml:space="preserve">Absence de procédures de gestion des erreurs de traitement des données  </t>
  </si>
  <si>
    <t xml:space="preserve">Désalignement entre les indicateurs de performance et les objectifs réels.  </t>
  </si>
  <si>
    <t xml:space="preserve">Développer une politique de gestion des risques tiers incluant des audits réguliers des fournisseurs stratégiques.  </t>
  </si>
  <si>
    <t>Analyser des rapports de performance des tests.</t>
  </si>
  <si>
    <t>Une politique de sécurité signée existe-t-elle ?</t>
  </si>
  <si>
    <t xml:space="preserve">Fiches de poste détaillant les tâches  </t>
  </si>
  <si>
    <t xml:space="preserve">Non-respect des exigences de performance des accès aux archives  </t>
  </si>
  <si>
    <t xml:space="preserve">Complexité accrue dans l'orchestration des workflows métiers.  </t>
  </si>
  <si>
    <t xml:space="preserve">Renforcer les contrôles d'accès logique aux bases de données via des rôles granulaires et des journaux d'activité.  </t>
  </si>
  <si>
    <t>Un responsable sécurité est-il désigné ?</t>
  </si>
  <si>
    <t xml:space="preserve">Rapport ROI avec calculs détaillés  </t>
  </si>
  <si>
    <t xml:space="preserve">Utilisation de matériel non couvert par des contrats de maintenance  </t>
  </si>
  <si>
    <t xml:space="preserve">Incapacité à maintenir un niveau de documentation à jour.  </t>
  </si>
  <si>
    <t xml:space="preserve">Mettre en place des mécanismes de détection des fuites de données (DLP) pour protéger les informations sensibles.  </t>
  </si>
  <si>
    <t>Identifier des procédures de mise à jour du plan de secours.</t>
  </si>
  <si>
    <t>Les performances en matière de sécurité sont-elles mesurées ?</t>
  </si>
  <si>
    <t xml:space="preserve">Analyse comparative des offres du marché  </t>
  </si>
  <si>
    <t xml:space="preserve">Manque de tests de compatibilité après les mises à jour logicielles  </t>
  </si>
  <si>
    <t xml:space="preserve">Dégradation de la résilience des processus de reprise d'activité.  </t>
  </si>
  <si>
    <t xml:space="preserve">Élaborer un inventaire détaillé des licences logicielles pour éviter les surcoûts et les risques juridiques.  </t>
  </si>
  <si>
    <t>Vérifier la présence de responsable sécurité et d’une politique 
formalisée en matière de sécurité informatique</t>
  </si>
  <si>
    <t>Vérifier un document de politique de sécurité signé.</t>
  </si>
  <si>
    <t>La réponse à une faille de sécurité simulée est-elle adéquate ?</t>
  </si>
  <si>
    <t xml:space="preserve">Calendrier de mise en œuvre avec échéances  </t>
  </si>
  <si>
    <t xml:space="preserve">Exposition à des interruptions de service dues à des pannes matérielles  </t>
  </si>
  <si>
    <t xml:space="preserve">Exposition aux erreurs de conception des architectures cloud.  </t>
  </si>
  <si>
    <t xml:space="preserve">Instaurer des procédures de gestion des identités temporaires avec des dates d'expiration automatiques.  </t>
  </si>
  <si>
    <t>Confirmer la présence d’un responsable sécurité désigné.</t>
  </si>
  <si>
    <t>La politique de sécurité est-elle mise à jour régulièrement ?</t>
  </si>
  <si>
    <t xml:space="preserve">Inadéquation des politiques de conservation des logs d'activité  </t>
  </si>
  <si>
    <t xml:space="preserve">Détérioration de la collaboration avec les éditeurs de solutions.  </t>
  </si>
  <si>
    <t xml:space="preserve">Déployer des solutions de chiffrement homomorphique pour les données analysées dans des environnements non sécurisés.  </t>
  </si>
  <si>
    <t>Analyser des rapports de performance de la sécurité.</t>
  </si>
  <si>
    <t>Les logs d'accès aux commandes système sur 6 mois existent-ils ?</t>
  </si>
  <si>
    <t xml:space="preserve">Feuille de route technologique  </t>
  </si>
  <si>
    <t xml:space="preserve">Défaillance des processus de gestion des capacités de stockage  </t>
  </si>
  <si>
    <t xml:space="preserve">Faible capacité à anticiper les impacts des évolutions technologiques.  </t>
  </si>
  <si>
    <t xml:space="preserve">Réaliser des audits de code source pour identifier les vulnérabilités liées aux bibliothèques obsolètes.  </t>
  </si>
  <si>
    <t>Tester la réaction à une simulation de faille de sécurité.</t>
  </si>
  <si>
    <t>Un contrôle d'accès strict est-il implémenté ?</t>
  </si>
  <si>
    <t xml:space="preserve">Absence de stratégie de reprise après sinistre alignée sur les besoins métiers  </t>
  </si>
  <si>
    <t xml:space="preserve">Perte de visibilité sur l'état réel des actifs et des risques associés.  </t>
  </si>
  <si>
    <t xml:space="preserve">Mettre à jour les politiques de mot de passe pour exiger une complexité accrue et une rotation régulière.  </t>
  </si>
  <si>
    <t>Identifier des procédures de mise à jour de la politique de sécurité.</t>
  </si>
  <si>
    <t>Les accès non autorisés génèrent-ils des alertes ?</t>
  </si>
  <si>
    <t xml:space="preserve">Contrats avec éditeurs garantissant l’évolutivité  </t>
  </si>
  <si>
    <t xml:space="preserve">Non-conformité aux attentes des utilisateurs en matière d'accessibilité  </t>
  </si>
  <si>
    <t xml:space="preserve">Désorganisation des mécanismes de contrôle interne automatisés.  </t>
  </si>
  <si>
    <t xml:space="preserve">Instaurer des contrôles d'accès basés sur les rôles (RBAC) pour limiter les privilèges aux besoins opérationnels.  </t>
  </si>
  <si>
    <t xml:space="preserve">
Vérifier que les accès aux commandes système, aux 
bibliothèques et bases de données de production sont réglementés </t>
  </si>
  <si>
    <t>Vérifier des logs d’accès aux commandes système sur 6 mois.</t>
  </si>
  <si>
    <t>La réponse aux tentatives d'accès non autorisé est-elle documentée ?</t>
  </si>
  <si>
    <t xml:space="preserve">Historique des versions de l’application  </t>
  </si>
  <si>
    <t xml:space="preserve">Utilisation de méthodes d'archivage non vérifiables  </t>
  </si>
  <si>
    <t xml:space="preserve">Incapacité à garantir l'exhaustivité des tests de non-régression.  </t>
  </si>
  <si>
    <t xml:space="preserve">Développer un plan de réponse aux incidents de sécurité incluant des scénarios de crise simulés.  </t>
  </si>
  <si>
    <t>Confirmer la présence d’un système de contrôle d’accès.</t>
  </si>
  <si>
    <t>Les droits sont-ils révoqués lors du départ des collaborateurs ?</t>
  </si>
  <si>
    <t xml:space="preserve">Suivi des demandes de maintenance  </t>
  </si>
  <si>
    <t xml:space="preserve">Manque de supervision des performances des systèmes en temps réel  </t>
  </si>
  <si>
    <t xml:space="preserve">Augmentation des délais de mise en production des correctifs.  </t>
  </si>
  <si>
    <t xml:space="preserve">Renforcer la surveillance des activités des comptes à privilèges via des outils de journalisation centralisée.  </t>
  </si>
  <si>
    <t>Analyser des alertes automatiques pour les accès non autorisés.</t>
  </si>
  <si>
    <t>Les logs d'accès aux utilitaires sensibles sur 6 mois existent-ils ?</t>
  </si>
  <si>
    <t xml:space="preserve">CV/certifications des membres de l’équipe de maintenance  </t>
  </si>
  <si>
    <t xml:space="preserve">Exposition à des erreurs humaines dans la gestion des sauvegardes  </t>
  </si>
  <si>
    <t xml:space="preserve">Exposition aux conflits de version lors des mises à jour logicielles.  </t>
  </si>
  <si>
    <t xml:space="preserve">Mettre en œuvre des protocoles de sécurisation des API pour prévenir les attaques par injection ou exploitation.  </t>
  </si>
  <si>
    <t>Tester la réaction à une tentative d’accès non autorisé.</t>
  </si>
  <si>
    <t>Les contrôles d'accès sont-ils périodiquement vérifiés ?</t>
  </si>
  <si>
    <t xml:space="preserve">Clause "Escrow Agreement" dans le contrat  </t>
  </si>
  <si>
    <t xml:space="preserve">Incapacité à maintenir l'intégrité des données lors des migrations  </t>
  </si>
  <si>
    <t xml:space="preserve">Détérioration de la cohérence des stratégies de sauvegarde.  </t>
  </si>
  <si>
    <t xml:space="preserve">Établir des procédures de purge sécurisée des données obsolètes conformes aux réglementations en vigueur.  </t>
  </si>
  <si>
    <t>Identifier des procédures de révocation des accès en cas de départ.</t>
  </si>
  <si>
    <t>Les performances des contrôles sont-elles évaluées ?</t>
  </si>
  <si>
    <t xml:space="preserve">Rapports de pérennité de l’application  </t>
  </si>
  <si>
    <t xml:space="preserve">Défaillance des contrôles d'accès aux interfaces d'administration  </t>
  </si>
  <si>
    <t xml:space="preserve">Faible adéquation entre les formations proposées et les besoins réels.  </t>
  </si>
  <si>
    <t xml:space="preserve">Instaurer des contrôles réguliers de l'intégrité des configurations des serveurs et équipements réseau.  </t>
  </si>
  <si>
    <t xml:space="preserve">
S’assurer que les accès aux logiciels de base et utilitaires 
sensibles sont réglementés</t>
  </si>
  <si>
    <t>Vérifier des logs d’accès aux utilitaires sensibles sur 6 mois.</t>
  </si>
  <si>
    <t>Les anomalies sont-elles détectées automatiquement ?</t>
  </si>
  <si>
    <t xml:space="preserve">Tests de compatibilité avec les nouvelles versions  </t>
  </si>
  <si>
    <t xml:space="preserve">Absence de procédures de gestion des incidents de sécurité majeurs  </t>
  </si>
  <si>
    <t xml:space="preserve">Perte d'efficacité dans la gestion des demandes utilisateurs.  </t>
  </si>
  <si>
    <t xml:space="preserve">Déployer des solutions de détection des menaces internes via l'analyse comportementale des utilisateurs.  </t>
  </si>
  <si>
    <t xml:space="preserve">Retours d’expérience des utilisateurs sur la pérennité  </t>
  </si>
  <si>
    <t xml:space="preserve">Non-respect des exigences de confidentialité des données personnelles  </t>
  </si>
  <si>
    <t xml:space="preserve">Désalignement entre les outils de reporting et les attentes décisionnelles.  </t>
  </si>
  <si>
    <t xml:space="preserve">Créer un référentiel des bonnes pratiques de développement sécurisé accessible à toutes les équipes techniques.  </t>
  </si>
  <si>
    <t>Un schéma-directeur du SI approuvé existe-t-il ?</t>
  </si>
  <si>
    <t xml:space="preserve">Plans de maintien de la pérennité  </t>
  </si>
  <si>
    <t xml:space="preserve">Utilisation de protocoles non chiffrés pour les transferts internes  </t>
  </si>
  <si>
    <t xml:space="preserve">Complexité accrue dans l'intégration des retours d'expérience utilisateurs.  </t>
  </si>
  <si>
    <t xml:space="preserve">Mettre en place des mécanismes de validation des données d'entrée pour prévenir les attaques par injection SQL.  </t>
  </si>
  <si>
    <t>Le schéma est-il aligné sur la stratégie métier ?</t>
  </si>
  <si>
    <t>Preuves de formation des équipes sur les enjeux de pérennité</t>
  </si>
  <si>
    <t xml:space="preserve">Manque de formation continue du personnel sur les nouvelles menaces  </t>
  </si>
  <si>
    <t xml:space="preserve">Incapacité à maintenir un référentiel unique des configurations.  </t>
  </si>
  <si>
    <t xml:space="preserve">Instaurer des audits périodiques des configurations de sécurité des environnements virtualisés.  </t>
  </si>
  <si>
    <t>Une mise à jour annuelle du schéma-directeur est-elle effectuée ?</t>
  </si>
  <si>
    <t xml:space="preserve">Schéma-directeur du SI approuvé et daté  </t>
  </si>
  <si>
    <t xml:space="preserve">Exposition à des attaques par déni de service distribué (DDoS)  </t>
  </si>
  <si>
    <t xml:space="preserve">Dégradation de la qualité des services fournis par les prestataires externes.  </t>
  </si>
  <si>
    <t xml:space="preserve">Développer une stratégie de gestion des risques liés à l'IoT incluant des contrôles d'accès et de chiffrement.  </t>
  </si>
  <si>
    <t>Vérifier l’existence des procédures de contrôle périodique des 
accès aux ressources de l'application</t>
  </si>
  <si>
    <t>Vérifier des logs de contrôle des accès sur 6 mois.</t>
  </si>
  <si>
    <t>Le schéma est-il diffusé aux parties prenantes ?</t>
  </si>
  <si>
    <t xml:space="preserve">Procès-verbaux de réunion du comité de pilotage  </t>
  </si>
  <si>
    <t xml:space="preserve">Inadéquation des mesures de protection contre les menaces internes  </t>
  </si>
  <si>
    <t xml:space="preserve">Exposition aux interruptions de service liées à des pannes matérielles.  </t>
  </si>
  <si>
    <t xml:space="preserve">Renforcer les procédures d'archivage des journaux d'activité pour garantir leur disponibilité lors des enquêtes.  </t>
  </si>
  <si>
    <t>Confirmer la présence d’un calendrier de contrôles périodiques.</t>
  </si>
  <si>
    <t>Les équipes sont-elles formées sur le schéma-directeur ?</t>
  </si>
  <si>
    <t xml:space="preserve">Défaillance des mécanismes de surveillance des activités suspectes  </t>
  </si>
  <si>
    <t xml:space="preserve">Détérioration de la crédibilité des tableaux de bord de pilotage.  </t>
  </si>
  <si>
    <t xml:space="preserve">Mettre en œuvre des contrôles d'accès physique biométriques pour les zones hébergeant des infrastructures critiques.  </t>
  </si>
  <si>
    <t>Analyser des rapports de performance des contrôles.</t>
  </si>
  <si>
    <t>Un rapport d'alignement stratégique existe-t-il ?</t>
  </si>
  <si>
    <t xml:space="preserve">Politique de sécurité des applications signée  </t>
  </si>
  <si>
    <t xml:space="preserve">Absence de plan de réponse aux incidents de sécurité  </t>
  </si>
  <si>
    <t xml:space="preserve">Faible capacité à capitaliser sur les données pour l'innovation.  </t>
  </si>
  <si>
    <t xml:space="preserve">Établir des partenariats avec des organismes de certification pour valider la conformité aux normes internationales.  </t>
  </si>
  <si>
    <t>Les objectifs métiers correspondent-ils aux fonctionnalités ?</t>
  </si>
  <si>
    <t xml:space="preserve">Accusés de réception des utilisateurs pour la politique  </t>
  </si>
  <si>
    <t xml:space="preserve">Non-conformité aux exigences de reporting réglementaire  </t>
  </si>
  <si>
    <t xml:space="preserve">Perte de compétitivité due à des processus métiers sous-optimisés.  </t>
  </si>
  <si>
    <t xml:space="preserve">Instaurer des revues annuelles des politiques de sécurité pour s'adapter aux évolutions des menaces cyber.  </t>
  </si>
  <si>
    <t>Des indicateurs de satisfaction utilisateur sont-ils mesurés ?</t>
  </si>
  <si>
    <t xml:space="preserve">Utilisation de solutions non testées en environnement de production  </t>
  </si>
  <si>
    <t xml:space="preserve">Désorganisation des mécanismes de priorisation des demandes IT.  </t>
  </si>
  <si>
    <t xml:space="preserve">Déployer des outils d'automatisation des contrôles de conformité pour réduire les erreurs humaines.  </t>
  </si>
  <si>
    <t>Adéquation de l'application aux besoins</t>
  </si>
  <si>
    <t>Vérifier qu’un Schéma-directeur du système d’information 
existe et est à jour</t>
  </si>
  <si>
    <t>Vérifier un document "Schéma-directeur du SI" approuvé et daté de moins de 12 mois.</t>
  </si>
  <si>
    <t>Des plans d'amélioration sont-ils établis ?</t>
  </si>
  <si>
    <t xml:space="preserve">Fiches de poste des utilisateurs  </t>
  </si>
  <si>
    <t xml:space="preserve">Manque de coordination entre les équipes de développement et d'exploitation  </t>
  </si>
  <si>
    <t xml:space="preserve">Incapacité à garantir la pérennité des solutions déployées.  </t>
  </si>
  <si>
    <t xml:space="preserve">Créer un processus centralisé de gestion des demandes d'accès aux données sensibles avec approbation hiérarchique.  </t>
  </si>
  <si>
    <t>Confirmer l’alignement du schéma-directeur avec la stratégie métier de l’entreprise.</t>
  </si>
  <si>
    <t xml:space="preserve">Charte d’utilisation signée par les utilisateurs  </t>
  </si>
  <si>
    <t xml:space="preserve">Exposition à des vulnérabilités liées à l'intégration de systèmes tiers  </t>
  </si>
  <si>
    <t xml:space="preserve">Augmentation des coûts de possession totale des actifs informatiques.  </t>
  </si>
  <si>
    <t xml:space="preserve">Mettre en place des indicateurs de performance liés à la rapidité de résolution des incidents critiques.  </t>
  </si>
  <si>
    <t>Analyser des preuves de mise à jour annuelle du schéma-directeur.</t>
  </si>
  <si>
    <t>Des spécifications fonctionnelles signées existent-elles ?</t>
  </si>
  <si>
    <t xml:space="preserve">Tableau de gestion des droits d’accès mis à jour  </t>
  </si>
  <si>
    <t xml:space="preserve">Incapacité à garantir la disponibilité des données durant les pics d'activité  </t>
  </si>
  <si>
    <t xml:space="preserve">Instaurer des tests d'intrusion réguliers pour évaluer l'efficacité des mesures de protection des périmètres réseau.  </t>
  </si>
  <si>
    <t>Identifier des preuves de diffusion du schéma-directeur aux parties prenantes.</t>
  </si>
  <si>
    <t>Les critères de choix (coût, fonctionnalités) sont-ils documentés ?</t>
  </si>
  <si>
    <t xml:space="preserve">Logs d’accès aux systèmes sensibles  </t>
  </si>
  <si>
    <t xml:space="preserve">Défaillance des processus de gestion des correctifs de sécurité  </t>
  </si>
  <si>
    <t xml:space="preserve">Détérioration de la qualité des interfaces avec les partenaires externes.  </t>
  </si>
  <si>
    <t xml:space="preserve">Développer une politique de gestion des actifs numériques incluant leur classification et leur protection.  </t>
  </si>
  <si>
    <t>Contrôler des preuves de formation des équipes sur le schéma-directeur.</t>
  </si>
  <si>
    <t>Les utilisateurs sont-ils consultés lors de l'élaboration ?</t>
  </si>
  <si>
    <t xml:space="preserve">Procédure écrite de révocation des accès  </t>
  </si>
  <si>
    <t xml:space="preserve">Absence de revue des configurations de sécurité après les mises à jour  </t>
  </si>
  <si>
    <t xml:space="preserve">Faible maîtrise des impacts environnementaux des infrastructures IT.  </t>
  </si>
  <si>
    <t xml:space="preserve">Renforcer les contrôles d'intégrité des données lors des transferts inter-applicatifs via des signatures numériques.  </t>
  </si>
  <si>
    <t>S’assurer qu’une évaluation de l’alignement stratégique de 
l’application avec les orientation de l’entreprise a été réalisée</t>
  </si>
  <si>
    <t>Vérifier un rapport d’évaluation de l’alignement stratégique approuvé.</t>
  </si>
  <si>
    <t>Les spécifications sont-elles mises à jour selon les besoins ?</t>
  </si>
  <si>
    <t xml:space="preserve">Rapport d’audit semestriel des droits  </t>
  </si>
  <si>
    <t xml:space="preserve">Non-respect des bonnes pratiques de sécurisation des API  </t>
  </si>
  <si>
    <t xml:space="preserve">Perte d'agilité dans l'adaptation aux nouvelles réglementations.  </t>
  </si>
  <si>
    <t xml:space="preserve">Mettre à jour les contrats de maintenance pour inclure des clauses de responsabilité en cas de défaillance technique.  </t>
  </si>
  <si>
    <t>Confirmer des comparaisons entre les objectifs métiers et les fonctionnalités de l’application.</t>
  </si>
  <si>
    <t>Les parties prenantes valident-elles les spécifications ?</t>
  </si>
  <si>
    <t xml:space="preserve">Utilisation de certificats SSL/TLS expirés ou non fiables  </t>
  </si>
  <si>
    <t xml:space="preserve">Désalignement entre les capacités techniques et les ambitions stratégiques.  </t>
  </si>
  <si>
    <t xml:space="preserve">Établir des procédures de gestion des risques liés aux technologies émergentes (IA, blockchain, etc.).  </t>
  </si>
  <si>
    <t>Analyser des indicateurs de performance liés à l’alignement (ex : satisfaction utilisateur).</t>
  </si>
  <si>
    <t>Des fiches de poste détaillant les tâches existent-elles ?</t>
  </si>
  <si>
    <t xml:space="preserve">Document de classification des données  </t>
  </si>
  <si>
    <t xml:space="preserve">Manque de tests de pénétration réguliers sur les systèmes d'archivage  </t>
  </si>
  <si>
    <t xml:space="preserve">Complexité accrue dans la gestion des droits d'accès hérités.  </t>
  </si>
  <si>
    <t xml:space="preserve">Instaurer des audits croisés entre équipes pour garantir l'objectivité des évaluations de contrôle interne.  </t>
  </si>
  <si>
    <t>Identifier des plans d’amélioration basés sur l’évaluation.</t>
  </si>
  <si>
    <t>Les utilisateurs trouvent-ils les tâches clairement définies ?</t>
  </si>
  <si>
    <t xml:space="preserve">Logs de consultation des données sensibles  </t>
  </si>
  <si>
    <t xml:space="preserve">Exposition à des fuites de données via des canaux non sécurisés  </t>
  </si>
  <si>
    <t xml:space="preserve">Incapacité à assurer une supervision proactive des performances.  </t>
  </si>
  <si>
    <t xml:space="preserve">Déployer des solutions de supervision unifiée pour corréler les événements de sécurité across multiple systèmes.  </t>
  </si>
  <si>
    <t>Contrôler des preuves de communication des résultats aux parties prenantes.</t>
  </si>
  <si>
    <t>Des indicateurs de productivité sont-ils suivis ?</t>
  </si>
  <si>
    <t xml:space="preserve">Procédures de protection des données critiques  </t>
  </si>
  <si>
    <t xml:space="preserve">Inadéquation des contrôles d'accès physiques aux centres de données  </t>
  </si>
  <si>
    <t xml:space="preserve">Dégradation de la fiabilité des mécanismes d'authentification.  </t>
  </si>
  <si>
    <t xml:space="preserve">Créer un plan de communication de crise pour coordonner les actions en cas de violation majeure de données.  </t>
  </si>
  <si>
    <t>S’assurer que la définition des spécifications ou les critères de 
choix de la solution a été clairement établie</t>
  </si>
  <si>
    <t>Vérifier un document de spécifications fonctionnelles signé.</t>
  </si>
  <si>
    <t>Les utilisateurs sont-ils formés sur leurs tâches ?</t>
  </si>
  <si>
    <t xml:space="preserve">Manuel d’administration de l’application  </t>
  </si>
  <si>
    <t xml:space="preserve">Défaillance des systèmes de détection d'intrusion en temps réel  </t>
  </si>
  <si>
    <t xml:space="preserve">Exposition aux attaques par déni de service distribuées (DDoS).  </t>
  </si>
  <si>
    <t xml:space="preserve">Mettre en œuvre des mécanismes de validation des mises à jour logicielles en environnements de pré-production.  </t>
  </si>
  <si>
    <t>Confirmer des critères de choix clairement définis (ex : coût, fonctionnalités, support).</t>
  </si>
  <si>
    <t>Les descriptions de tâches sont-elles mises à jour régulièrement ?</t>
  </si>
  <si>
    <t xml:space="preserve">Procédures détaillées de sauvegarde et restauration  </t>
  </si>
  <si>
    <t xml:space="preserve">Absence de procédures de gestion des identités à privilèges  </t>
  </si>
  <si>
    <t xml:space="preserve">Détérioration de la cohérence des politiques de gestion des identités.  </t>
  </si>
  <si>
    <t xml:space="preserve">Instaurer des contrôles d'accès temporels pour les ressources sensibles afin de limiter les expositions inutiles.  </t>
  </si>
  <si>
    <t>Analyser des preuves de consultation des utilisateurs lors de la définition des spécifications.</t>
  </si>
  <si>
    <t>Les logs d'activité des systèmes parallèles sur 6 mois existent-ils ?</t>
  </si>
  <si>
    <t xml:space="preserve">Logs d’interventions de maintenance  </t>
  </si>
  <si>
    <t xml:space="preserve">Non-conformité aux standards de chiffrement des données en repos  </t>
  </si>
  <si>
    <t xml:space="preserve">Faible résilience face aux menaces internes malveillantes.  </t>
  </si>
  <si>
    <t xml:space="preserve">Développer une stratégie de sortie pour les technologies obsolètes incluant leur remplacement progressif.  </t>
  </si>
  <si>
    <t>Identifier des plans de mise à jour des spécifications en fonction des besoins évolutifs.</t>
  </si>
  <si>
    <t>Les performances des systèmes parallèles sont-elles testées ?</t>
  </si>
  <si>
    <t xml:space="preserve">Plan de continuité d’activité (PCA) mis à jour  </t>
  </si>
  <si>
    <t xml:space="preserve">Utilisation de méthodes d'authentification non adaptées aux risques  </t>
  </si>
  <si>
    <t xml:space="preserve">Perte de contrôle sur les données sensibles stockées dans le cloud.  </t>
  </si>
  <si>
    <t xml:space="preserve">Renforcer la formation des équipes sur les techniques d'ingénierie sociale pour réduire les risques de phishing.  </t>
  </si>
  <si>
    <t>Contrôler des preuves de validation des spécifications par les parties prenantes.</t>
  </si>
  <si>
    <t>Des comparaisons avec l'application sont-elles effectuées ?</t>
  </si>
  <si>
    <t xml:space="preserve">Contrats de maintenance avec les éditeurs  </t>
  </si>
  <si>
    <t xml:space="preserve">Manque de surveillance des activités des utilisateurs à privilèges  </t>
  </si>
  <si>
    <t xml:space="preserve">Désorganisation des processus de gestion des vulnérabilités logicielles.  </t>
  </si>
  <si>
    <t xml:space="preserve">Mettre en place des contrôles d'accès contextuels adaptatifs basés sur le comportement des utilisateurs.  </t>
  </si>
  <si>
    <t>Vérifier que les tâches des utilisateurs dans l’application sont 
clairement définies</t>
  </si>
  <si>
    <t>Vérifier des fiches de poste ou des manuels utilisateur détaillant les tâches.</t>
  </si>
  <si>
    <t>Une migration vers l'application est-elle planifiée ?</t>
  </si>
  <si>
    <t xml:space="preserve">Exposition à des attaques par ingénierie sociale ciblant les administrateurs  </t>
  </si>
  <si>
    <t xml:space="preserve">Incapacité à maintenir un niveau de sécurité homogène sur tous les actifs.  </t>
  </si>
  <si>
    <t xml:space="preserve">Établir des procédures de gestion des incidents liés aux fournisseurs cloud avec des SLA contraignants.  </t>
  </si>
  <si>
    <t>Confirmer des retours d’expérience des utilisateurs sur la clarté des tâches.</t>
  </si>
  <si>
    <t>Les utilisateurs sont-ils formés sur les systèmes parallèles ?</t>
  </si>
  <si>
    <t xml:space="preserve">Procédures de gestion des incidents critiques  </t>
  </si>
  <si>
    <t xml:space="preserve">Incapacité à détecter les activités anormales dans les logs système  </t>
  </si>
  <si>
    <t xml:space="preserve">Augmentation des risques liés à l'utilisation de logiciels obsolètes.  </t>
  </si>
  <si>
    <t xml:space="preserve">Instaurer des revues trimestrielles des stratégies de chiffrement pour s'adapter aux avancées cryptographiques.  </t>
  </si>
  <si>
    <t>Analyser des indicateurs de performance liés aux tâches (ex : productivité).</t>
  </si>
  <si>
    <t>Un rapport d'adéquation aux besoins utilisateurs existe-t-il ?</t>
  </si>
  <si>
    <t xml:space="preserve">Tableaux de bord de performance IT  </t>
  </si>
  <si>
    <t xml:space="preserve">Défaillance des mécanismes de corrélation des événements de sécurité  </t>
  </si>
  <si>
    <t xml:space="preserve">Exposition aux erreurs de manipulation des bases de données.  </t>
  </si>
  <si>
    <t xml:space="preserve">Déployer des outils d'analyse proactive des logs pour anticiper les menaces avant leur matérialisation.  </t>
  </si>
  <si>
    <t>Identifier des plans de formation des utilisateurs sur les tâches définies.</t>
  </si>
  <si>
    <t>Les retours utilisateurs sont-ils recueillis régulièrement ?</t>
  </si>
  <si>
    <t xml:space="preserve">Clauses de contrat SLA signées  </t>
  </si>
  <si>
    <t xml:space="preserve">Absence de plan de gestion des crises impliquant les parties prenantes  </t>
  </si>
  <si>
    <t xml:space="preserve">Détérioration de la qualité des services d'assistance technique.  </t>
  </si>
  <si>
    <t xml:space="preserve">Créer un référentiel des vulnérabilités connues avec des plans d'action prioritaires pour leur correction.  </t>
  </si>
  <si>
    <t>Contrôler des preuves de mise à jour des tâches en fonction des besoins évolutifs.</t>
  </si>
  <si>
    <t>Le taux d'adoption est-il mesuré ?</t>
  </si>
  <si>
    <t xml:space="preserve">Rapports d’évaluation des risques annuels  </t>
  </si>
  <si>
    <t xml:space="preserve">Non-respect des exigences de conformité sectorielles spécifiques  </t>
  </si>
  <si>
    <t xml:space="preserve">Faible capacité à détecter les anomalies dans les flux financiers.  </t>
  </si>
  <si>
    <t xml:space="preserve">Mettre en œuvre des contrôles de qualité des données en temps réel pour les flux transactionnels critiques.  </t>
  </si>
  <si>
    <t>Vérifier que des systèmes parallèles sont maintenus en activité</t>
  </si>
  <si>
    <t>Vérifier des logs d’activité des systèmes parallèles sur 6 mois.</t>
  </si>
  <si>
    <t>Des plans d'amélioration basés sur les retours existent-ils ?</t>
  </si>
  <si>
    <t xml:space="preserve">Analyse des risques utilisant une méthodologie reconnue  </t>
  </si>
  <si>
    <t xml:space="preserve">Utilisation de solutions non alignées sur la stratégie de sécurité globale  </t>
  </si>
  <si>
    <t xml:space="preserve">Perte de confiance dans l'exactitude des rapports opérationnels.  </t>
  </si>
  <si>
    <t xml:space="preserve">Instaurer des audits aléatoires des processus métiers pour détecter les écarts par rapport aux procédures établies.  </t>
  </si>
  <si>
    <t>Confirmer des tests de performance des systèmes parallèles.</t>
  </si>
  <si>
    <t>Les résultats sont-ils partagés avec les parties prenantes ?</t>
  </si>
  <si>
    <t xml:space="preserve">Plan d’action de gestion des risques avec responsables  </t>
  </si>
  <si>
    <t xml:space="preserve">Manque de ressources dédiées à la surveillance continue des systèmes  </t>
  </si>
  <si>
    <t xml:space="preserve">Désalignement entre les outils de BI et les besoins analytiques réels.  </t>
  </si>
  <si>
    <t xml:space="preserve">Développer une politique de gestion des clés de chiffrement incluant leur rotation et stockage sécurisé.  </t>
  </si>
  <si>
    <t>Analyser des indicateurs de performance comparatifs entre l’application et les systèmes parallèles.</t>
  </si>
  <si>
    <t>Un rapport ROI avec calculs détaillés existe-t-il ?</t>
  </si>
  <si>
    <t xml:space="preserve">Procédures de mise à jour des risques  </t>
  </si>
  <si>
    <t xml:space="preserve">Exposition à des erreurs de configuration des équipements réseau  </t>
  </si>
  <si>
    <t xml:space="preserve">Complexité accrue dans la gestion des correctifs critiques.  </t>
  </si>
  <si>
    <t xml:space="preserve">Renforcer les contrôles d'accès aux outils d'administration à distance via des VPN et authentification forte.  </t>
  </si>
  <si>
    <t>Identifier des plans de migration des systèmes parallèles vers l’application.</t>
  </si>
  <si>
    <t>Des benchmarks sectoriels sont-ils utilisés pour comparaison ?</t>
  </si>
  <si>
    <t xml:space="preserve">Indicateurs de suivi des risques  </t>
  </si>
  <si>
    <t xml:space="preserve">Inadéquation des politiques de gestion des mots de passe  </t>
  </si>
  <si>
    <t xml:space="preserve">Incapacité à garantir la conformité des développements en low-code.  </t>
  </si>
  <si>
    <t xml:space="preserve">Mettre à jour les politiques de sécurité pour intégrer les exigences des réglementations locales et internationales.  </t>
  </si>
  <si>
    <t>Contrôler des preuves de formation des utilisateurs sur les systèmes parallèles.</t>
  </si>
  <si>
    <t>Le temps de traitement a-t-il été réduit de 30% ?</t>
  </si>
  <si>
    <t xml:space="preserve">Procédures de reporting aux instances dirigeantes  </t>
  </si>
  <si>
    <t xml:space="preserve">Défaillance des processus de révocation rapide des accès obsolètes  </t>
  </si>
  <si>
    <t xml:space="preserve">Dégradation de la performance des API d'intégration système.  </t>
  </si>
  <si>
    <t xml:space="preserve">Établir des procédures de gestion des anomalies détectées lors des audits internes avec suivi des correctifs.  </t>
  </si>
  <si>
    <t>S’assurer qu’une évaluation de l’évaluation de l’adéquation aux 
besoins des utilisateurs a été réalisée</t>
  </si>
  <si>
    <t>Vérifier un rapport d’évaluation de l’adéquation aux besoins des utilisateurs.</t>
  </si>
  <si>
    <t>Les coûts d'exploitation sont-ils suivis trimestriellement ?</t>
  </si>
  <si>
    <t xml:space="preserve">Manuel des procédures métiers  </t>
  </si>
  <si>
    <t xml:space="preserve">Absence de tests réguliers de restauration des données critiques  </t>
  </si>
  <si>
    <t xml:space="preserve">Exposition aux fuites de données par défaut de chiffrement.  </t>
  </si>
  <si>
    <t xml:space="preserve">Instaurer des formations pratiques sur les scénarios de crise pour améliorer la réactivité des équipes.  </t>
  </si>
  <si>
    <t>Confirmer des retours d’expérience des utilisateurs sur l’adéquation.</t>
  </si>
  <si>
    <t>Des gains financiers sont-ils clairement identifiés ?</t>
  </si>
  <si>
    <t xml:space="preserve">Workflows de validation hiérarchique  </t>
  </si>
  <si>
    <t xml:space="preserve">Non-conformité aux réglementations en matière de protection des données personnelles.  </t>
  </si>
  <si>
    <t xml:space="preserve">Détérioration de la cohérence des stratégies de gestion des mots de passe.  </t>
  </si>
  <si>
    <t xml:space="preserve">Déployer des solutions de gestion des risques opérationnels avec cartographie des menaces et plans d'atténuation.  </t>
  </si>
  <si>
    <t>Analyser des indicateurs de performance liés à l’adéquation (ex : taux d’adoption).</t>
  </si>
  <si>
    <t>Un rapport détaillant les coûts de déploiement existe-t-il ?</t>
  </si>
  <si>
    <t xml:space="preserve">Logs de validation des transactions sensibles  </t>
  </si>
  <si>
    <t xml:space="preserve">Absence de documentation formalisée des processus métiers critiques.  </t>
  </si>
  <si>
    <t xml:space="preserve">Faible maîtrise des coûts liés à la consommation des ressources cloud.  </t>
  </si>
  <si>
    <t xml:space="preserve">Créer un comité de pilotage pour superviser la mise en œuvre des recommandations issues des audits.  </t>
  </si>
  <si>
    <t>Identifier des plans d’amélioration basés sur les retours des utilisateurs.</t>
  </si>
  <si>
    <t>Les écarts avec le budget initial sont-ils analysés ?</t>
  </si>
  <si>
    <t xml:space="preserve">Procédures de contrôle qualité des données  </t>
  </si>
  <si>
    <t xml:space="preserve">Défaillance dans la gestion des accès privilégiés aux systèmes sensibles.  </t>
  </si>
  <si>
    <t xml:space="preserve">Perte de visibilité sur l'état de conformité des fournisseurs tiers.  </t>
  </si>
  <si>
    <t xml:space="preserve">Mettre en œuvre des mécanismes de feedback utilisateur pour améliorer l'adoption des outils informatiques.  </t>
  </si>
  <si>
    <t>Les dépassements budgétaires sont-ils justifiés ?</t>
  </si>
  <si>
    <t xml:space="preserve">Captures d’écran des interfaces de saisie  </t>
  </si>
  <si>
    <t xml:space="preserve">Manque de traçabilité des modifications apportées aux configurations critiques.  </t>
  </si>
  <si>
    <t xml:space="preserve">Désorganisation des mécanismes de gestion des incidents critiques.  </t>
  </si>
  <si>
    <t xml:space="preserve">Instaurer des contrôles réguliers de l'efficacité des pare-feux applicatifs et des systèmes de détection d'intrusion.  </t>
  </si>
  <si>
    <t xml:space="preserve">Performance et de la rentabilité </t>
  </si>
  <si>
    <t xml:space="preserve">Vérifier qu’une évaluation de la rentabilité existe </t>
  </si>
  <si>
    <t>Vérifier un rapport ROI (Return on Investment) avec calculs détaillés.</t>
  </si>
  <si>
    <t>Des économies ont-elles été réalisées via des négociations ?</t>
  </si>
  <si>
    <t xml:space="preserve">Rapports d’erreurs de saisie et corrections  </t>
  </si>
  <si>
    <t xml:space="preserve">Inadéquation des contrôles de sécurité physique des infrastructures hébergeant les données.  </t>
  </si>
  <si>
    <t xml:space="preserve">Incapacité à maintenir un référentiel à jour des actifs virtualisés.  </t>
  </si>
  <si>
    <t xml:space="preserve">Développer une stratégie de gestion des données massives (Big Data) incluant sécurité et conformité.  </t>
  </si>
  <si>
    <t>Confirmer la comparaison avec des benchmarks sectoriels.</t>
  </si>
  <si>
    <t>Une analyse comparative des offres du marché existe-t-elle ?</t>
  </si>
  <si>
    <t xml:space="preserve">Procédures de chiffrement des données en transit  </t>
  </si>
  <si>
    <t xml:space="preserve">Non-respect des exigences légales en matière de conservation des preuves électroniques.  </t>
  </si>
  <si>
    <t xml:space="preserve">Augmentation des délais de réponse aux audits réglementaires.  </t>
  </si>
  <si>
    <t xml:space="preserve">Renforcer les procédures de validation des accès aux APIs critiques via des jetons d'authentification temporaires.  </t>
  </si>
  <si>
    <t>Analyser des indicateurs de performance (ex : temps de traitement réduit de 30%).</t>
  </si>
  <si>
    <t>Les critères de sélection sont-ils clairement définis ?</t>
  </si>
  <si>
    <t xml:space="preserve">Logs d’opérations sur données sensibles  </t>
  </si>
  <si>
    <t xml:space="preserve">Défaut d'alignement entre les objectifs métiers et les capacités réelles du système.  </t>
  </si>
  <si>
    <t xml:space="preserve">Exposition aux erreurs de configuration des pare-feux applicatifs.  </t>
  </si>
  <si>
    <t xml:space="preserve">Mettre à jour les politiques de sauvegarde pour inclure des tests de restauration automatisés et documentés.  </t>
  </si>
  <si>
    <t>Identifier un suivi trimestriel des coûts d’exploitation.</t>
  </si>
  <si>
    <t>Les fournisseurs ont-ils été consultés (appels d'offres) ?</t>
  </si>
  <si>
    <t xml:space="preserve">Insuffisance des mécanismes de détection d'intrusions sur les réseaux internes.  </t>
  </si>
  <si>
    <t xml:space="preserve">Détérioration de la qualité des services de support aux utilisateurs finaux.  </t>
  </si>
  <si>
    <t xml:space="preserve">Établir des partenariats avec des CERTs (Computer Emergency Response Teams) pour une veille proactive.  </t>
  </si>
  <si>
    <t>Contrôler des preuves de gains financiers (ex : factures avant/après).</t>
  </si>
  <si>
    <t>Les retours utilisateurs sur les solutions choisies existent-ils ?</t>
  </si>
  <si>
    <t xml:space="preserve">Absence de tests réguliers des plans de continuité d'activité.  </t>
  </si>
  <si>
    <t xml:space="preserve">Faible capacité à anticiper les besoins en capacité de stockage.  </t>
  </si>
  <si>
    <t xml:space="preserve">Instaurer des audits de conformité RGPD pour garantir la protection des données personnelles stockées.  </t>
  </si>
  <si>
    <t xml:space="preserve">S’assurer qu’une intégration des coûts de déploiement a été 
réalisée </t>
  </si>
  <si>
    <t>Vérifier un rapport détaillant les coûts de déploiement (ex : matériel, logiciel, formation).</t>
  </si>
  <si>
    <t>Les contrats avec les fournisseurs sont-ils signés ?</t>
  </si>
  <si>
    <t xml:space="preserve">Contrats avec les fournisseurs de cloud  </t>
  </si>
  <si>
    <t xml:space="preserve">Vulnérabilités non corrigées dans les versions logicielles obsolètes.  </t>
  </si>
  <si>
    <t xml:space="preserve">Perte de cohérence dans les stratégies de gestion des sauvegardes.  </t>
  </si>
  <si>
    <t xml:space="preserve">Déployer des outils de gestion des identités fédérées pour simplifier l'accès sécurisé aux applications métiers.  </t>
  </si>
  <si>
    <t>Confirmer des comparaisons avec les prévisions budgétaires initiales.</t>
  </si>
  <si>
    <t>Un calendrier de mise en œuvre avec échéances existe-t-il ?</t>
  </si>
  <si>
    <t xml:space="preserve">Défaillances dans le chiffrement des données sensibles en transit et au repos.  </t>
  </si>
  <si>
    <t xml:space="preserve">Désalignement entre les outils de monitoring et les indicateurs clés.  </t>
  </si>
  <si>
    <t xml:space="preserve">Créer un processus de gestion des demandes d'accès exceptionnelles avec approbation à plusieurs niveaux.  </t>
  </si>
  <si>
    <t>Analyser des indicateurs de performance liés aux coûts (ex : dépassement budgétaire).</t>
  </si>
  <si>
    <t>Les retards éventuels sont-ils documentés et justifiés ?</t>
  </si>
  <si>
    <t xml:space="preserve">CV et certifications des administrateurs système  </t>
  </si>
  <si>
    <t xml:space="preserve">Absence de séparation des environnements de développement, test et production.  </t>
  </si>
  <si>
    <t xml:space="preserve">Mettre en œuvre des contrôles d'intégrité des configurations via des outils de gestion des changements automatisés.  </t>
  </si>
  <si>
    <t>Identifier un suivi mensuel des coûts de déploiement.</t>
  </si>
  <si>
    <t>Les délais sont-ils globalement respectés ?</t>
  </si>
  <si>
    <t xml:space="preserve">Plan de recrutement et formation IT  </t>
  </si>
  <si>
    <t xml:space="preserve">Contrôles insuffisants sur les intégrations de données avec les systèmes externes.  </t>
  </si>
  <si>
    <t xml:space="preserve">Incapacité à garantir l'exhaustivité des tests de pénétration.  </t>
  </si>
  <si>
    <t xml:space="preserve">Instaurer des revues post-déploiement pour évaluer l'impact des nouvelles fonctionnalités sur la sécurité.  </t>
  </si>
  <si>
    <t>Contrôler des preuves de réduction des coûts (ex : négociations avec les fournisseurs).</t>
  </si>
  <si>
    <t>Des plans de rattrapage en cas de retard existent-ils ?</t>
  </si>
  <si>
    <t xml:space="preserve">Rapports de performance des équipes techniques  </t>
  </si>
  <si>
    <t xml:space="preserve">Dépassement des budgets alloués aux projets informatiques stratégiques.  </t>
  </si>
  <si>
    <t xml:space="preserve">Dégradation de la résilience des infrastructures face aux attaques.  </t>
  </si>
  <si>
    <t xml:space="preserve">Développer une politique de gestion des risques liés aux médias amovibles avec chiffrement obligatoire.  </t>
  </si>
  <si>
    <t>S’assurer qu’une étude sérieuse des offres du marché a été 
réalisée</t>
  </si>
  <si>
    <t>Vérifier un rapport d’analyse comparative des offres du marché.</t>
  </si>
  <si>
    <t>Les parties prenantes sont-elles informées des délais ?</t>
  </si>
  <si>
    <t xml:space="preserve">Documentation technique des API et intégrations  </t>
  </si>
  <si>
    <t xml:space="preserve">Manque de formalisation des procédures de gestion des incidents de sécurité.  </t>
  </si>
  <si>
    <t xml:space="preserve">Exposition aux erreurs de paramétrage des systèmes de détection d'intrusions.  </t>
  </si>
  <si>
    <t xml:space="preserve">Renforcer les contrôles d'accès aux données sensibles via des solutions de masquage dynamique.  </t>
  </si>
  <si>
    <t>Confirmer des critères de sélection clairement définis (ex : coût, fonctionnalités, support).</t>
  </si>
  <si>
    <t>Un bilan post-projet avec conclusions existe-t-il ?</t>
  </si>
  <si>
    <t xml:space="preserve">Non-respect des délais contractuels pour les mises à jour critiques.  </t>
  </si>
  <si>
    <t xml:space="preserve">Détérioration de la crédibilité des processus de gestion des risques.  </t>
  </si>
  <si>
    <t xml:space="preserve">Mettre à jour les procédures de gestion des incidents pour inclure des analyses forensiques en cas de violation.  </t>
  </si>
  <si>
    <t>Analyser des preuves de consultation des fournisseurs (ex : appels d’offres, réunions).</t>
  </si>
  <si>
    <t>Les objectifs initiaux (coûts, délais) sont-ils atteints ?</t>
  </si>
  <si>
    <t xml:space="preserve">Historique des versions logicielles  </t>
  </si>
  <si>
    <t xml:space="preserve">Exposition aux risques de fraude via des droits d'accès inadaptés.  </t>
  </si>
  <si>
    <t xml:space="preserve">Faible adéquation entre les formations et les compétences requises.  </t>
  </si>
  <si>
    <t xml:space="preserve">Établir des indicateurs de performance liés à la rapidité de détection et correction des vulnérabilités.  </t>
  </si>
  <si>
    <t>Identifier des retours d’expérience des utilisateurs sur les offres sélectionnées.</t>
  </si>
  <si>
    <t>La satisfaction utilisateur finale est-elle mesurée ?</t>
  </si>
  <si>
    <t xml:space="preserve">Procédures de tests de compatibilité ascendante  </t>
  </si>
  <si>
    <t xml:space="preserve">Défaillance dans l'archivage sécurisé des journaux d'activité système.  </t>
  </si>
  <si>
    <t xml:space="preserve">Perte d'efficacité opérationnelle due à des processus manuels redondants.  </t>
  </si>
  <si>
    <t xml:space="preserve">Instaurer des audits croisés entre départements pour garantir l'objectivité des évaluations de contrôle interne.  </t>
  </si>
  <si>
    <t>Contrôler des preuves de négociation avec les fournisseurs (ex : contrats signés).</t>
  </si>
  <si>
    <t>Des leçons apprises sont-elles capitalisées ?</t>
  </si>
  <si>
    <t xml:space="preserve">Retours d’expérience des utilisateurs formalisés  </t>
  </si>
  <si>
    <t xml:space="preserve">Absence de revues périodiques des habilitations des utilisateurs privilégiés.  </t>
  </si>
  <si>
    <t xml:space="preserve">Désorganisation des mécanismes de gestion des correctifs d'urgence.  </t>
  </si>
  <si>
    <t xml:space="preserve">Déployer des solutions de gestion des risques liés à l'utilisation de l'IA dans les processus décisionnels.  </t>
  </si>
  <si>
    <t>Vérifier que les délais de mise en œuvre de l’application ont été 
pris en compte</t>
  </si>
  <si>
    <t>Vérifier un calendrier de mise en œuvre avec des échéances claires.</t>
  </si>
  <si>
    <t>Le bilan est-il diffusé aux parties prenantes ?</t>
  </si>
  <si>
    <t xml:space="preserve">Études de cas de l’éditeur  </t>
  </si>
  <si>
    <t xml:space="preserve">Incapacité à restaurer les données après un incident majeur.  </t>
  </si>
  <si>
    <t xml:space="preserve">Incapacité à maintenir un niveau de documentation technique à jour.  </t>
  </si>
  <si>
    <t xml:space="preserve">Créer un référentiel des bonnes pratiques de codage sécurisé accessible à toutes les équipes de développement.  </t>
  </si>
  <si>
    <t>Confirmer des rapports de suivi des délais (ex : retards, avancements).</t>
  </si>
  <si>
    <t>Un rapport détaillant les économies réalisées existe-t-il ?</t>
  </si>
  <si>
    <t xml:space="preserve">Contrat de maintenance incluant un Escrow Agreement  </t>
  </si>
  <si>
    <t xml:space="preserve">Non-conformité aux normes sectorielles en matière de résilience technique.  </t>
  </si>
  <si>
    <t xml:space="preserve">Augmentation des coûts liés à la maintenance corrective.  </t>
  </si>
  <si>
    <t xml:space="preserve">Mettre en œuvre des contrôles de conformité des configurations matérielles aux normes de sécurité sectorielles.  </t>
  </si>
  <si>
    <t>Analyser des indicateurs de performance liés aux délais (ex : respect des deadlines).</t>
  </si>
  <si>
    <t>Les économies correspondent-elles aux prévisions ?</t>
  </si>
  <si>
    <t xml:space="preserve">Calendrier des mises à jour logicielles  </t>
  </si>
  <si>
    <t xml:space="preserve">Défaut de supervision des performances des fournisseurs externes.  </t>
  </si>
  <si>
    <t xml:space="preserve">Exposition aux vulnérabilités des protocoles de communication non sécurisés.  </t>
  </si>
  <si>
    <t xml:space="preserve">Instaurer des formations régulières sur les nouvelles menaces cyber pour maintenir la vigilance des équipes.  </t>
  </si>
  <si>
    <t>Identifier des plans de rattrapage en cas de retard.</t>
  </si>
  <si>
    <t>Le ROI et les gains de temps sont-ils quantifiés ?</t>
  </si>
  <si>
    <t xml:space="preserve">Procédures de migration vers les nouvelles versions  </t>
  </si>
  <si>
    <t xml:space="preserve">Manque de sensibilisation des utilisateurs aux bonnes pratiques de sécurité.  </t>
  </si>
  <si>
    <t xml:space="preserve">Détérioration de la qualité des services de gestion des identités.  </t>
  </si>
  <si>
    <t xml:space="preserve">Développer une stratégie de gestion des risques liés aux partenariats technologiques avec due diligence.  </t>
  </si>
  <si>
    <t>Contrôler des preuves de communication des délais aux parties prenantes.</t>
  </si>
  <si>
    <t>Des plans de réduction des coûts à long terme existent-ils ?</t>
  </si>
  <si>
    <t xml:space="preserve">Rapports de maturité technologique (Gartner, Forrester)  </t>
  </si>
  <si>
    <t xml:space="preserve">Insuffisance des contrôles d'intégrité des données lors des migrations.  </t>
  </si>
  <si>
    <t xml:space="preserve">Faible capacité à répondre aux exigences de traçabilité réglementaire.  </t>
  </si>
  <si>
    <t xml:space="preserve">Renforcer les contrôles d'accès aux environnements de test pour éviter les fuites de données sensibles.  </t>
  </si>
  <si>
    <t>S’assurer qu’un bilan post-projet a été réalisé</t>
  </si>
  <si>
    <t>Vérifier un rapport de bilan post-projet avec des conclusions claires.</t>
  </si>
  <si>
    <t>Les économies sont-elles vérifiables (factures avant/après) ?</t>
  </si>
  <si>
    <t xml:space="preserve">Tests de montée en charge de l’infrastructure  </t>
  </si>
  <si>
    <t xml:space="preserve">Exposition aux attaques par déni de service en raison de configurations réseau laxistes.  </t>
  </si>
  <si>
    <t xml:space="preserve">Perte de contrôle sur les données partagées avec des partenaires externes.  </t>
  </si>
  <si>
    <t xml:space="preserve">Mettre à jour les politiques de sécurité physique pour inclure des contrôles d'accès biométriques et vidéosurveillance.  </t>
  </si>
  <si>
    <t>Confirmer des comparaisons avec les objectifs initiaux (ex : coûts, délais, fonctionnalités).</t>
  </si>
  <si>
    <t>Un rapport sur les améliorations qualitatives existe-t-il ?</t>
  </si>
  <si>
    <t xml:space="preserve">Plan d’extension de l’infrastructure IT  </t>
  </si>
  <si>
    <t xml:space="preserve">Absence de validation indépendante des correctifs de sécurité appliqués.  </t>
  </si>
  <si>
    <t xml:space="preserve">Désalignement entre les architectures techniques et les meilleures pratiques.  </t>
  </si>
  <si>
    <t xml:space="preserve">Implémenter une revue indépendante des correctifs de sécurité avant déploiement en suivant les procédures de contrôle des changements du référentiel COBIT.  </t>
  </si>
  <si>
    <t>Analyser des indicateurs de performance post-projet (ex : satisfaction utilisateur).</t>
  </si>
  <si>
    <t>Les retours utilisateurs sur les améliorations sont-ils recueillis ?</t>
  </si>
  <si>
    <t xml:space="preserve">Rapports d’interopérabilité avec les systèmes existants  </t>
  </si>
  <si>
    <t xml:space="preserve">Défaillances dans la gestion des clés cryptographiques.  </t>
  </si>
  <si>
    <t xml:space="preserve">Complexité accrue dans la gestion des environnements hybrides.  </t>
  </si>
  <si>
    <t xml:space="preserve">Concevoir une matrice d'alignement stratégique entre les architectures techniques et les frameworks reconnus comme TOGAF ou Zachman.  </t>
  </si>
  <si>
    <t>Identifier des plans d’amélioration basés sur le bilan.</t>
  </si>
  <si>
    <t>Le taux d'adoption et la satisfaction sont-ils mesurés ?</t>
  </si>
  <si>
    <t xml:space="preserve">Procédures de modularité des applications  </t>
  </si>
  <si>
    <t xml:space="preserve">Non-respect des engagements de service (SLA) envers les utilisateurs finaux.  </t>
  </si>
  <si>
    <t xml:space="preserve">Incapacité à garantir la disponibilité des services lors des pics de charge.  </t>
  </si>
  <si>
    <t xml:space="preserve">Établir des procédures de tests de non-régression automatisés pour les correctifs critiques conformément aux normes ISO 27034 sur la sécurité des applications.  </t>
  </si>
  <si>
    <t>Contrôler des preuves de diffusion du bilan aux parties prenantes.</t>
  </si>
  <si>
    <t>Une démarche d'amélioration continue est-elle en place ?</t>
  </si>
  <si>
    <t xml:space="preserve">Documentation des architectures microservices  </t>
  </si>
  <si>
    <t xml:space="preserve">Inadéquation des mécanismes d'authentification multifacteur.  </t>
  </si>
  <si>
    <t xml:space="preserve">Dégradation de la performance des systèmes de journalisation centralisés.  </t>
  </si>
  <si>
    <t xml:space="preserve">Déployer des outils de supervision centralisée des performances réseau et applicatives pour détecter les anomalies en temps réel.  </t>
  </si>
  <si>
    <t xml:space="preserve">Vérifier qu’une analyse de la réduction des charges a été 
effectuée </t>
  </si>
  <si>
    <t>Vérifier un rapport détaillant les économies réalisées (ex : réduction des coûts opérationnels).</t>
  </si>
  <si>
    <t>Les améliorations sont-elles effectivement mises en œuvre ?</t>
  </si>
  <si>
    <t xml:space="preserve">Absence de documentation technique à jour pour les applications critiques.  </t>
  </si>
  <si>
    <t xml:space="preserve">Exposition aux erreurs de configuration des systèmes de haute disponibilité.  </t>
  </si>
  <si>
    <t xml:space="preserve">Mettre en place des audits réguliers des configurations des équipements réseau selon les bonnes pratiques CIS Benchmarks.  </t>
  </si>
  <si>
    <t>Confirmer des comparaisons avec les prévisions initiales.</t>
  </si>
  <si>
    <t>Un document de réingénierie des processus existe-t-il ?</t>
  </si>
  <si>
    <t xml:space="preserve">Logs de corrections appliquées en production  </t>
  </si>
  <si>
    <t xml:space="preserve">Manque de redondance des équipements réseau essentiels.  </t>
  </si>
  <si>
    <t xml:space="preserve">Détérioration de la cohérence des politiques de gestion des journaux.  </t>
  </si>
  <si>
    <t xml:space="preserve">Instaurer des revues techniques indépendantes des développements logiciels pour garantir la conformité aux standards de codage sécurisé (OWASP, CWE).  </t>
  </si>
  <si>
    <t>Analyser des indicateurs de performance liés aux économies (ex : ROI, temps de traitement).</t>
  </si>
  <si>
    <t>Les gains d'efficacité sont-ils quantifiés ?</t>
  </si>
  <si>
    <t xml:space="preserve">Procédures de contrôle qualité post-déploiement  </t>
  </si>
  <si>
    <t xml:space="preserve">Défaut de mise à jour des politiques de sécurité face aux nouvelles menaces.  </t>
  </si>
  <si>
    <t xml:space="preserve">Faible résilience face aux pannes matérielles non anticipées.  </t>
  </si>
  <si>
    <t xml:space="preserve">Créer un référentiel unique des actifs IT avec classification des données sensibles selon ISO 27001.  </t>
  </si>
  <si>
    <t>Identifier des plans de réduction des charges à long terme.</t>
  </si>
  <si>
    <t>Les nouveaux processus améliorent-ils les temps de traitement ?</t>
  </si>
  <si>
    <t xml:space="preserve">Rapports de satisfaction des utilisateurs finaux  </t>
  </si>
  <si>
    <t xml:space="preserve">Insuffisance des audits internes sur les processus de développement logiciel.  </t>
  </si>
  <si>
    <t xml:space="preserve">Perte de confiance dans la fiabilité des mécanismes de reprise après sinistre.  </t>
  </si>
  <si>
    <t xml:space="preserve">Définir des procédures de gestion des identités privilégiées (PAM) avec rotation des accès et journalisation renforcée.  </t>
  </si>
  <si>
    <t>Contrôler des preuves de mise en œuvre des mesures d’économie.</t>
  </si>
  <si>
    <t>Les équipes sont-elles formées aux nouveaux processus ?</t>
  </si>
  <si>
    <t xml:space="preserve">Exposition aux risques légaux liés à l'utilisation de licences non conformes.  </t>
  </si>
  <si>
    <t xml:space="preserve">Désorganisation des processus de gestion des mises à jour critiques.  </t>
  </si>
  <si>
    <t xml:space="preserve">Implémenter des contrôles d'intégrité des données avant et après les migrations via des outils de checksum et de validation métier.  </t>
  </si>
  <si>
    <t xml:space="preserve">Vérifier que des améliorations non quantifiables ont été pris en 
compte </t>
  </si>
  <si>
    <t>Vérifier un rapport détaillant les améliorations qualitatives (ex : satisfaction utilisateur).</t>
  </si>
  <si>
    <t>Les nouveaux processus sont-ils appliqués concrètement ?</t>
  </si>
  <si>
    <t xml:space="preserve">Benchmarks sectoriels de performance IT  </t>
  </si>
  <si>
    <t xml:space="preserve">Défaillance dans le contrôle des modifications non autorisées des paramètres système.  </t>
  </si>
  <si>
    <t xml:space="preserve">Incapacité à maintenir un inventaire précis des licences logicielles.  </t>
  </si>
  <si>
    <t xml:space="preserve">Adopter une politique de chiffrement systématique des données en transit et au repos conforme à ISO 27018 pour le cloud.  </t>
  </si>
  <si>
    <t>Confirmer des retours d’expérience des utilisateurs sur les améliorations.</t>
  </si>
  <si>
    <t>Un rapport d'alignement processus/application existe-t-il ?</t>
  </si>
  <si>
    <t xml:space="preserve">Analyse coûts-avantages (ROI) des projets IT  </t>
  </si>
  <si>
    <t xml:space="preserve">Absence de procédures formalisées pour la gestion des vulnérabilités logicielles.  </t>
  </si>
  <si>
    <t xml:space="preserve">Augmentation des risques liés à l'utilisation de composants open source non supportés.  </t>
  </si>
  <si>
    <t xml:space="preserve">Renforcer les contrôles d'accès physique aux datacenters via des systèmes biométriques et journalisation des entrées/sorties.  </t>
  </si>
  <si>
    <t>Analyser des indicateurs de performance qualitatifs (ex : feedback, taux d’adoption).</t>
  </si>
  <si>
    <t>Les utilisateurs trouvent-ils les processus adaptés ?</t>
  </si>
  <si>
    <t xml:space="preserve">Procédures de réingénierie des processus métiers  </t>
  </si>
  <si>
    <t xml:space="preserve">Non-respect des exigences de confidentialité des données métiers sensibles.  </t>
  </si>
  <si>
    <t xml:space="preserve">Exposition aux erreurs de conception des workflows d'approbation.  </t>
  </si>
  <si>
    <t xml:space="preserve">Déployer des solutions de détection d'intrusions (IDS/IPS) alignées sur les recommandations NIST SP 800-94.  </t>
  </si>
  <si>
    <t>Identifier des plans d’amélioration continue basés sur les retours.</t>
  </si>
  <si>
    <t>La productivité est-elle améliorée ?</t>
  </si>
  <si>
    <t xml:space="preserve">Tableaux de bord d’alignement stratégique  </t>
  </si>
  <si>
    <t xml:space="preserve">Incapacité à détecter les activités anormales sur les comptes administrateurs.  </t>
  </si>
  <si>
    <t xml:space="preserve">Détérioration de la qualité des services de support technique.  </t>
  </si>
  <si>
    <t xml:space="preserve">Élaborer un plan de continuité d'activité (PCA) testé annuellement avec scénarios réalistes couvrant les pannes critiques.  </t>
  </si>
  <si>
    <t>Contrôler des preuves de mise en œuvre des améliorations.</t>
  </si>
  <si>
    <t>Des plans d'optimisation des processus existent-ils ?</t>
  </si>
  <si>
    <t xml:space="preserve">Procédures d’archivage sécurisé des données  </t>
  </si>
  <si>
    <t xml:space="preserve">Manque de supervision centralisée des journaux de sécurité.  </t>
  </si>
  <si>
    <t xml:space="preserve">Faible capacité à détecter les anomalies dans les logs système.  </t>
  </si>
  <si>
    <t xml:space="preserve">Instaurer des revues post-incident systématiques pour améliorer les processus de réponse aux violations de données.  </t>
  </si>
  <si>
    <t>S’assurer qu’une réingénierie des processus est disponible</t>
  </si>
  <si>
    <t>Vérifier un document de réingénierie des processus signé.</t>
  </si>
  <si>
    <t>Les améliorations sont-elles mises en production ?</t>
  </si>
  <si>
    <t xml:space="preserve">Logs de suppression sécurisée des données obsolètes  </t>
  </si>
  <si>
    <t xml:space="preserve">Défaut de conformité aux cadres réglementaires sectoriels spécifiques.  </t>
  </si>
  <si>
    <t xml:space="preserve">Perte de cohérence dans les stratégies de gestion des correctifs.  </t>
  </si>
  <si>
    <t xml:space="preserve">Mettre en œuvre des mécanismes de segmentation réseau (microsegmentation) pour isoler les zones sensibles.  </t>
  </si>
  <si>
    <t>Confirmer des comparaisons avec les processus existants (ex : gains d’efficacité).</t>
  </si>
  <si>
    <t>Un rapport sur les traitements automatisés existe-t-il ?</t>
  </si>
  <si>
    <t xml:space="preserve">Insuffisance des tests de pénétration sur les interfaces exposées.  </t>
  </si>
  <si>
    <t xml:space="preserve">Désalignement entre les outils de supervision et les besoins opérationnels.  </t>
  </si>
  <si>
    <t xml:space="preserve">Définir des SLA stricts avec les fournisseurs cloud incluant des clauses de sécurité et de conformité RGPD.  </t>
  </si>
  <si>
    <t>Analyser des indicateurs de performance liés aux nouveaux processus (ex : temps de traitement).</t>
  </si>
  <si>
    <t>Les gains de temps par rapport au manuel sont-ils mesurés ?</t>
  </si>
  <si>
    <t xml:space="preserve">Workflows de validation des corrections de données  </t>
  </si>
  <si>
    <t xml:space="preserve">Absence de stratégie claire pour la gestion des correctifs critiques.  </t>
  </si>
  <si>
    <t xml:space="preserve">Complexité accrue dans la gestion des droits d'accès aux API.  </t>
  </si>
  <si>
    <t xml:space="preserve">Automatiser la gestion des vulnérabilités via des outils SCAP et des scans réguliers conformes à ISO 27005.  </t>
  </si>
  <si>
    <t>Identifier des plans de formation des équipes sur les nouveaux processus.</t>
  </si>
  <si>
    <t>Le taux d'erreur a-t-il diminué ?</t>
  </si>
  <si>
    <t xml:space="preserve">Procédures de contrôle d’accès physique aux serveurs  </t>
  </si>
  <si>
    <t xml:space="preserve">Non-application des principes de moindre privilège dans les habilitations.  </t>
  </si>
  <si>
    <t xml:space="preserve">Incapacité à garantir la conformité aux normes de codage sécurisé.  </t>
  </si>
  <si>
    <t xml:space="preserve">Créer des workflows d'approbation hiérarchique pour les modifications critiques, intégrant la règle des quatre yeux.  </t>
  </si>
  <si>
    <t>Contrôler des preuves de mise en œuvre des nouveaux processus.</t>
  </si>
  <si>
    <t>Des optimisations sont-elles planifiées ?</t>
  </si>
  <si>
    <t xml:space="preserve">Rapports d’audit de conformité RGPD/ISO  </t>
  </si>
  <si>
    <t xml:space="preserve">Défaillance dans la protection des APIs contre les exploitations malveillantes.  </t>
  </si>
  <si>
    <t xml:space="preserve">Dégradation de la résilience des systèmes face aux attaques zero-day.  </t>
  </si>
  <si>
    <t xml:space="preserve">Déployer des solutions SIEM pour centraliser et analyser les logs conformément à ISO 27007.  </t>
  </si>
  <si>
    <t>Vérifier que les processus métiers ont été pris en compte</t>
  </si>
  <si>
    <t>Vérifier un rapport d’alignement des processus métiers avec l’application.</t>
  </si>
  <si>
    <t>Les optimisations sont-elles testées et validées ?</t>
  </si>
  <si>
    <t xml:space="preserve">Procédures de réponse aux incidents de sécurité  </t>
  </si>
  <si>
    <t xml:space="preserve">Manque de revues périodiques des configurations de pare-feu.  </t>
  </si>
  <si>
    <t xml:space="preserve">Exposition aux vulnérabilités des systèmes de gestion de contenu.  </t>
  </si>
  <si>
    <t xml:space="preserve">Formaliser une politique de sauvegarde incluant des tests de restauration trimestriels et un stockage hors site chiffré.  </t>
  </si>
  <si>
    <t>Confirmer des retours d’expérience des utilisateurs sur l’alignement.</t>
  </si>
  <si>
    <t>Un document d'architecture technique existe-t-il ?</t>
  </si>
  <si>
    <t xml:space="preserve">Plan de reprise d’activité (PRA) testé  </t>
  </si>
  <si>
    <t xml:space="preserve">Exposition aux risques d'interruption de service en cas de défaillance matérielle.  </t>
  </si>
  <si>
    <t xml:space="preserve">Détérioration de la crédibilité des processus de gestion des configurations.  </t>
  </si>
  <si>
    <t xml:space="preserve">Instaurer des audits de conformité réguliers des configurations serveur aux benchmarks CIS.  </t>
  </si>
  <si>
    <t>Analyser des indicateurs de performance liés aux processus métiers (ex : productivité).</t>
  </si>
  <si>
    <t>Des tests de montée en charge ont-ils été réalisés ?</t>
  </si>
  <si>
    <t xml:space="preserve">Procédures de gestion des identités (IAM)  </t>
  </si>
  <si>
    <t xml:space="preserve">Absence de mécanismes de détection des fuites de données sensibles.  </t>
  </si>
  <si>
    <t xml:space="preserve">Faible maîtrise des impacts des migrations de données massives.  </t>
  </si>
  <si>
    <t xml:space="preserve">Adopter des contrôles d'accès dynamiques (RBAC) alignés sur les besoins métiers et revus semestriellement.  </t>
  </si>
  <si>
    <t>Identifier des plans d’amélioration des processus métiers.</t>
  </si>
  <si>
    <t>La disponibilité du système est-elle satisfaisante ?</t>
  </si>
  <si>
    <t xml:space="preserve">Logs de tentatives d’accès non autorisées  </t>
  </si>
  <si>
    <t xml:space="preserve">Non-conformité aux exigences de traçabilité des opérations financières.  </t>
  </si>
  <si>
    <t xml:space="preserve">Perte d'efficacité dans la gestion des environnements virtualisés.  </t>
  </si>
  <si>
    <t xml:space="preserve">Intégrer des revues de code automatisées dans le pipeline CI/CD pour détecter les failles de sécurité early-stage.  </t>
  </si>
  <si>
    <t>Des évolutions architecturales sont-elles prévues ?</t>
  </si>
  <si>
    <t xml:space="preserve">Procédures de gestion des mots de passe  </t>
  </si>
  <si>
    <t xml:space="preserve">Défaut de mise en œuvre des recommandations issues des audits précédents.  </t>
  </si>
  <si>
    <t xml:space="preserve">Désorganisation des mécanismes de contrôle d'accès physique aux datacenters.  </t>
  </si>
  <si>
    <t xml:space="preserve">Mettre en place des formations obligatoires sur la cybersécurité pour tous les employés, avec simulations de phishing.  </t>
  </si>
  <si>
    <t>S’assurer que les traitements ont été pris en compte</t>
  </si>
  <si>
    <t>Vérifier un rapport détaillant les traitements automatisés par l’application.</t>
  </si>
  <si>
    <t>Les équipes sont-elles formées sur l'architecture ?</t>
  </si>
  <si>
    <t xml:space="preserve">Politique de complexité des mots de passe  </t>
  </si>
  <si>
    <t xml:space="preserve">Insuffisance des contrôles d'accès physique aux salles serveurs.  </t>
  </si>
  <si>
    <t xml:space="preserve">Incapacité à maintenir un niveau de sécurité conforme aux attentes des clients.  </t>
  </si>
  <si>
    <t xml:space="preserve">Définir des procédures de gestion des incidents critiques incluant une communication structurée avec les parties prenantes.  </t>
  </si>
  <si>
    <t>Confirmer des comparaisons avec les traitements manuels précédents (ex : gains de temps).</t>
  </si>
  <si>
    <t>Des tableaux de bord avec KPI existent-ils ?</t>
  </si>
  <si>
    <t xml:space="preserve">Procédures de verrouillage des comptes après échecs  </t>
  </si>
  <si>
    <t xml:space="preserve">Absence de procédures de gestion des identités numériques temporaires.  </t>
  </si>
  <si>
    <t xml:space="preserve">Augmentation des coûts liés à la non-conformité aux standards du secteur.  </t>
  </si>
  <si>
    <t xml:space="preserve">Implémenter des contrôles d'intégrité des sauvegardes via des signatures numériques et des checksums.  </t>
  </si>
  <si>
    <t>Analyser des indicateurs de performance liés aux traitements (ex : erreurs réduites).</t>
  </si>
  <si>
    <t>Les performances correspondent-elles aux objectifs ?</t>
  </si>
  <si>
    <t xml:space="preserve">Alertes automatiques de sécurité configurées  </t>
  </si>
  <si>
    <t xml:space="preserve">Non-respect des bonnes pratiques en matière de gestion des mots de passe.  </t>
  </si>
  <si>
    <t xml:space="preserve">Exposition aux erreurs de configuration des systèmes de détection de fraudes.  </t>
  </si>
  <si>
    <t xml:space="preserve">Déployer des solutions de monitoring des performances applicatives en temps réel avec alertes proactives.  </t>
  </si>
  <si>
    <t>Identifier des plans d’optimisation des traitements.</t>
  </si>
  <si>
    <t>Les SLA couvrent-ils les aspects critiques ?</t>
  </si>
  <si>
    <t xml:space="preserve">Procédures de réponse aux cybermenaces  </t>
  </si>
  <si>
    <t xml:space="preserve">Défaillance dans l'isolation des environnements virtuels critiques.  </t>
  </si>
  <si>
    <t xml:space="preserve">Détérioration de la qualité des services de gestion des vulnérabilités.  </t>
  </si>
  <si>
    <t xml:space="preserve">Établir une gouvernance des identités (IGA) pour harmoniser les cycles de vie des comptes utilisateurs.  </t>
  </si>
  <si>
    <t>Contrôler des preuves de mise en œuvre des optimisations.</t>
  </si>
  <si>
    <t>Des plans d'amélioration basés sur les KPI existent-ils ?</t>
  </si>
  <si>
    <t xml:space="preserve">Rapports de tests d’intrusion pentest  </t>
  </si>
  <si>
    <t xml:space="preserve">Manque de documentation opérationnelle pour les scénarios de reprise.  </t>
  </si>
  <si>
    <t xml:space="preserve">Faible capacité à anticiper les évolutions des menaces cyber.  </t>
  </si>
  <si>
    <t xml:space="preserve">Créer un comité de pilotage SI pour superviser l'alignement des architectures techniques avec la stratégie métier.  </t>
  </si>
  <si>
    <t>Vérifier que l’architecture technique est prise en compte</t>
  </si>
  <si>
    <t>Vérifier un document détaillant l’architecture technique de l’application.</t>
  </si>
  <si>
    <t>Les performances sont-elles communiquées aux parties prenantes ?</t>
  </si>
  <si>
    <t xml:space="preserve">Procédures de mise à jour des correctifs de sécurité  </t>
  </si>
  <si>
    <t xml:space="preserve">Exposition aux risques de corruption des données lors des transferts massifs.  </t>
  </si>
  <si>
    <t xml:space="preserve">Perte de contrôle sur les données sensibles lors des transferts internationaux.  </t>
  </si>
  <si>
    <t xml:space="preserve">Adopter des outils de gestion des configurations (CMDB) pour maintenir un inventaire précis des actifs IT.  </t>
  </si>
  <si>
    <t>Confirmer des tests de performance sur l’architecture (ex : montée en charge).</t>
  </si>
  <si>
    <t>Des outils de monitoring sont-ils déployés ?</t>
  </si>
  <si>
    <t xml:space="preserve">Documentation des configurations sécurisées  </t>
  </si>
  <si>
    <t xml:space="preserve">Absence de validation des sauvegardes par des tests de restauration réguliers.  </t>
  </si>
  <si>
    <t xml:space="preserve">Désalignement entre les politiques de sécurité et les réalités opérationnelles.  </t>
  </si>
  <si>
    <t xml:space="preserve">Mettre en œuvre des contrôles d'accès réseau Zero Trust avec authentification multifacteur (MFA).  </t>
  </si>
  <si>
    <t>Analyser des indicateurs de performance liés à l’architecture (ex : disponibilité).</t>
  </si>
  <si>
    <t>Les tableaux de bord sont-ils actualisés régulièrement ?</t>
  </si>
  <si>
    <t xml:space="preserve">Procédures de surveillance des réseaux  </t>
  </si>
  <si>
    <t xml:space="preserve">Non-conformité aux exigences de conservation des preuves d'audit.  </t>
  </si>
  <si>
    <t xml:space="preserve">Complexité accrue dans la gestion des identités privilégiées.  </t>
  </si>
  <si>
    <t xml:space="preserve">Instaurer des revues indépendantes des contrats fournisseurs pour garantir le respect des clauses de sécurité.  </t>
  </si>
  <si>
    <t>Identifier des plans de mise à jour de l’architecture.</t>
  </si>
  <si>
    <t>Les KPI sont-ils pertinents et actionnables ?</t>
  </si>
  <si>
    <t xml:space="preserve">Logs de trafic réseau analysés  </t>
  </si>
  <si>
    <t xml:space="preserve">Défaut de supervision des activités des prestataires externes hébergeant des données.  </t>
  </si>
  <si>
    <t xml:space="preserve">Incapacité à garantir l'exhaustivité des audits de sécurité périodiques.  </t>
  </si>
  <si>
    <t xml:space="preserve">Déployer des solutions de prévention des pertes de données (DLP) pour protéger les informations sensibles.  </t>
  </si>
  <si>
    <t>Contrôler des preuves de formation des équipes sur l’architecture.</t>
  </si>
  <si>
    <t>Les équipes sont-elles formées à l'utilisation des outils ?</t>
  </si>
  <si>
    <t xml:space="preserve">Procédures de segmentation réseau  </t>
  </si>
  <si>
    <t xml:space="preserve">Insuffisance des contrôles d'intégrité des applications métiers critiques.  </t>
  </si>
  <si>
    <t xml:space="preserve">Dégradation de la résilience des systèmes face aux attaques par ingénierie sociale.  </t>
  </si>
  <si>
    <t xml:space="preserve">Créer des procédures de gestion des risques tiers incluant des audits de conformité des partenaires externes.  </t>
  </si>
  <si>
    <t xml:space="preserve">S’assurer que les indicateurs de performance et un contrat de 
service sont disponibles </t>
  </si>
  <si>
    <t>Vérifier des tableaux de bord avec des indicateurs de performance clés (KPI).</t>
  </si>
  <si>
    <t>Les décisions s'appuient-elles sur les données des tableaux ?</t>
  </si>
  <si>
    <t xml:space="preserve">Certificats SSL/TLS à jour  </t>
  </si>
  <si>
    <t xml:space="preserve">Absence de stratégie de gestion des risques liés à l'infrastructure cloud.  </t>
  </si>
  <si>
    <t xml:space="preserve">Exposition aux vulnérabilités des systèmes de paiement électronique.  </t>
  </si>
  <si>
    <t xml:space="preserve">Implémenter des tests d'intrusion annuels réalisés par des auditeurs externes certifiés (OSCP, CEH).  </t>
  </si>
  <si>
    <t>Confirmer des rapports de performance par rapport aux objectifs.</t>
  </si>
  <si>
    <t>Une feuille de route technologique existe-t-elle ?</t>
  </si>
  <si>
    <t xml:space="preserve">Organigramme officiel du comité signé par la direction  </t>
  </si>
  <si>
    <t xml:space="preserve">Non-respect des exigences de segmentation réseau pour les données sensibles.  </t>
  </si>
  <si>
    <t xml:space="preserve">Détérioration de la cohérence des stratégies de gestion des risques tiers.  </t>
  </si>
  <si>
    <t xml:space="preserve">Définir des politiques de durcissement des systèmes basées sur les guides CIS Hardening Checklists.  </t>
  </si>
  <si>
    <t>Analyser des clauses de contrat de service (SLA) liées aux performances.</t>
  </si>
  <si>
    <t>Des tests de montée en charge ont-ils validé la scalabilité ?</t>
  </si>
  <si>
    <t xml:space="preserve">Procès-verbaux de réunion des 6 derniers mois  </t>
  </si>
  <si>
    <t xml:space="preserve">Défaillance dans la gestion des certificats numériques expirés ou compromis.  </t>
  </si>
  <si>
    <t xml:space="preserve">Faible maîtrise des impacts des transformations numériques sur les processus métiers.  </t>
  </si>
  <si>
    <t xml:space="preserve">Instaurer des mécanismes de validation automatisée des entrées utilisateur pour prévenir les injections SQL/XSS.  </t>
  </si>
  <si>
    <t>Identifier des plans d’amélioration basés sur les indicateurs.</t>
  </si>
  <si>
    <t>Les contrats avec éditeurs garantissent-ils l'évolutivité ?</t>
  </si>
  <si>
    <t xml:space="preserve">CV et certifications des membres du comité  </t>
  </si>
  <si>
    <t xml:space="preserve">Manque de revues indépendantes des architectures techniques critiques.  </t>
  </si>
  <si>
    <t xml:space="preserve">Perte d'agilité dans l'adaptation aux nouvelles technologies émergentes.  </t>
  </si>
  <si>
    <t xml:space="preserve">Adopter des solutions de chiffrement homomorphe pour les données sensibles en traitement analytique.  </t>
  </si>
  <si>
    <t>Contrôler des preuves de communication des performances aux parties prenantes.</t>
  </si>
  <si>
    <t>Des budgets sont-ils prévus pour les mises à niveau ?</t>
  </si>
  <si>
    <t xml:space="preserve">Mandat écrit du comité définissant missions et fréquence  </t>
  </si>
  <si>
    <t xml:space="preserve">Exposition aux attaques par ingénierie sociale en raison de formations insuffisantes.  </t>
  </si>
  <si>
    <t xml:space="preserve">Désorganisation des mécanismes de gestion des incidents de sécurité majeurs.  </t>
  </si>
  <si>
    <t xml:space="preserve">Mettre en place des contrôles de redondance matérielle et logicielle pour les infrastructures critiques.  </t>
  </si>
  <si>
    <t>S’assurer que les outils de mesure de la performance et les 
tableaux de bord sont disponibles</t>
  </si>
  <si>
    <t>Vérifier des outils de mesure de la performance (ex : logiciels de monitoring).</t>
  </si>
  <si>
    <t>Les utilisateurs confirment-ils la bonne scalabilité ?</t>
  </si>
  <si>
    <t xml:space="preserve">Emails ou documents internes de diffusion des décisions  </t>
  </si>
  <si>
    <t xml:space="preserve">Absence de procédures de réponse coordonnée aux incidents cybernétiques.  </t>
  </si>
  <si>
    <t xml:space="preserve">Incapacité à maintenir un niveau de conformité aux exigences RGPD.  </t>
  </si>
  <si>
    <t xml:space="preserve">Créer des procédures de gestion des mises à jour correctives avec fenêtres de maintenance planifiées.  </t>
  </si>
  <si>
    <t>Confirmer des tableaux de bord mis à jour régulièrement.</t>
  </si>
  <si>
    <t>Un rapport d'évaluation technologique existe-t-il ?</t>
  </si>
  <si>
    <t xml:space="preserve">Document "Politique des Applications" approuvé  </t>
  </si>
  <si>
    <t xml:space="preserve">Non-conformité aux exigences de journalisation des accès aux données réglementées.  </t>
  </si>
  <si>
    <t xml:space="preserve">Augmentation des risques liés à la gestion des données personnelles.  </t>
  </si>
  <si>
    <t xml:space="preserve">Déployer des outils de gestion des vulnérabilités des conteneurs et orchestrateurs (Kubernetes, Docker).  </t>
  </si>
  <si>
    <t>Analyser des indicateurs de performance clés (KPI) sur les tableaux de bord.</t>
  </si>
  <si>
    <t>La compatibilité avec l'existant est-elle validée ?</t>
  </si>
  <si>
    <t xml:space="preserve">Historique des versions de la politique avec dates  </t>
  </si>
  <si>
    <t xml:space="preserve">Défaut de mise à jour des contrats de sous-traitance informatique.  </t>
  </si>
  <si>
    <t xml:space="preserve">Exposition aux erreurs de configuration des systèmes de chiffrement.  </t>
  </si>
  <si>
    <t xml:space="preserve">Instaurer des revues architecturales systématiques pour les nouveaux projets, intégrant les principes Secure by Design.  </t>
  </si>
  <si>
    <t>Identifier des plans de formation des équipes sur les outils de mesure.</t>
  </si>
  <si>
    <t>Les retours utilisateurs sur la technologie sont-ils positifs ?</t>
  </si>
  <si>
    <t xml:space="preserve">Mentions de conformité RGPD/ISO dans la politique  </t>
  </si>
  <si>
    <t xml:space="preserve">Insuffisance des contrôles sur les intégrations de systèmes hétérogènes.  </t>
  </si>
  <si>
    <t xml:space="preserve">Détérioration de la qualité des services de gestion des accès à distance.  </t>
  </si>
  <si>
    <t xml:space="preserve">Implémenter des contrôles d'accès temporels pour les comptes privilégiés (juste-à-temps).  </t>
  </si>
  <si>
    <t>Contrôler des preuves de prise de décision basée sur les tableaux de bord.</t>
  </si>
  <si>
    <t>Une migration vers des technologies plus récentes est-elle prévue ?</t>
  </si>
  <si>
    <t xml:space="preserve">Accusés de réception signés par les employés  </t>
  </si>
  <si>
    <t xml:space="preserve">Absence de politique claire pour la gestion des actifs numériques obsolètes.  </t>
  </si>
  <si>
    <t>Faible capacité à détecter les activités suspectes sur les</t>
  </si>
  <si>
    <t xml:space="preserve">Définir des indicateurs de performance (KRI/KPI) pour mesurer l'efficacité des contrôles de sécurité.  </t>
  </si>
  <si>
    <t xml:space="preserve">Evolutivité/pérennité de l'application </t>
  </si>
  <si>
    <t>Vérifier que les technologies utilisées sont conformes aux 
aspirations de l’entité</t>
  </si>
  <si>
    <t>Vérifier un document "Feuille de Route Technologique" approuvé.</t>
  </si>
  <si>
    <t>Les équipes sont-elles formées sur les nouvelles technologies ?</t>
  </si>
  <si>
    <t xml:space="preserve">Non-respect des normes industrielles en matière de codage sécurisé.  </t>
  </si>
  <si>
    <t xml:space="preserve">Défaut d'alignement stratégique entre les technologies et les objectifs métiers  </t>
  </si>
  <si>
    <t xml:space="preserve">Adopter des solutions de gestion des certificats numériques (PKI) automatisée pour éviter les expirations.  </t>
  </si>
  <si>
    <t>Confirmer des tests de montée en charge (rapports de performance).</t>
  </si>
  <si>
    <t>Des rapports de maturité technologique existent-ils ?</t>
  </si>
  <si>
    <t xml:space="preserve">Fiches de poste pour chaque profil utilisateur  </t>
  </si>
  <si>
    <t xml:space="preserve">Défaillance dans la gestion des dépendances logicielles non patchées.  </t>
  </si>
  <si>
    <t xml:space="preserve">Incapacité à répondre aux besoins évolutifs de l'organisation  </t>
  </si>
  <si>
    <t xml:space="preserve">Mettre en œuvre des audits réguliers des droits d'accès aux bases de données sensibles.  </t>
  </si>
  <si>
    <t>Analyser des clauses de contrat avec les éditeurs (évolutivité garantie).</t>
  </si>
  <si>
    <t>La stabilité des technologies est-elle démontrée ?</t>
  </si>
  <si>
    <t xml:space="preserve">Charte d'utilisation signée par les utilisateurs  </t>
  </si>
  <si>
    <t xml:space="preserve">Manque de supervision des performances des mécanismes de chiffrement.  </t>
  </si>
  <si>
    <t xml:space="preserve">Fragmentation des processus de gouvernance informatique  </t>
  </si>
  <si>
    <t xml:space="preserve">Créer des procédures de réponse aux incidents ransomware incluant des sauvegardes isolées et immuables.  </t>
  </si>
  <si>
    <t>Identifier des budgets alloués aux mises à niveau (prévisionnel 2025).</t>
  </si>
  <si>
    <t>Les utilisateurs trouvent-ils le système stable ?</t>
  </si>
  <si>
    <t xml:space="preserve">Tableau de gestion des accès à jour  </t>
  </si>
  <si>
    <t xml:space="preserve">Exposition aux risques de non-conformité lors des audits externes réglementaires.  </t>
  </si>
  <si>
    <t xml:space="preserve">Délais prolongés dans la prise de décision stratégique  </t>
  </si>
  <si>
    <t xml:space="preserve">Déployer des technologies EDR (Endpoint Detection and Response) pour surveiller les terminaux.  </t>
  </si>
  <si>
    <t>Contrôler des retours d’expérience utilisateur sur la scalabilité.</t>
  </si>
  <si>
    <t>Des mises à jour vers versions stables sont-elles planifiées ?</t>
  </si>
  <si>
    <t xml:space="preserve">Logs d'accès corrélés aux rôles déclarés  </t>
  </si>
  <si>
    <t xml:space="preserve">Absence de procédures de gestion des droits d'accès en cas de départ du personnel.  </t>
  </si>
  <si>
    <t xml:space="preserve">Exposition accrue aux cybermenaces par manque de contrôles modernes  </t>
  </si>
  <si>
    <t xml:space="preserve">Instaurer des tests de résistance aux attaques DDoS pour les services exposés sur Internet.  </t>
  </si>
  <si>
    <t>S’assurer que technologie du logiciel sont conformes aux 
aspirations de l’entité</t>
  </si>
  <si>
    <t>Vérifier des rapports d’évaluation technologique (ex : compatibilité avec les systèmes existants).</t>
  </si>
  <si>
    <t>Le support technique des éditeurs est-il satisfaisant ?</t>
  </si>
  <si>
    <t xml:space="preserve">Procédure de révision trimestrielle des droits  </t>
  </si>
  <si>
    <t xml:space="preserve">Non-respect des exigences de documentation des flux de données transfrontaliers.  </t>
  </si>
  <si>
    <t xml:space="preserve">Non-conformité aux exigences légales en matière de sécurité des données  </t>
  </si>
  <si>
    <t xml:space="preserve">Implémenter des contrôles d'accès contextuels basés sur le comportement utilisateur (UEBA).  </t>
  </si>
  <si>
    <t>Confirmer des tests de performance sur les technologies utilisées.</t>
  </si>
  <si>
    <t>Des tests de montée en charge avec croissance simulée existent-ils ?</t>
  </si>
  <si>
    <t xml:space="preserve">Rapport d'analyse des risques daté de moins de 12 mois  </t>
  </si>
  <si>
    <t xml:space="preserve">Défaut de contrôle des accès aux outils de développement et de débogage.  </t>
  </si>
  <si>
    <t xml:space="preserve">Dégradation de la qualité des données due à des procédures obsolètes  </t>
  </si>
  <si>
    <t xml:space="preserve">Définir des politiques de conservation et de destruction sécurisée des données conformes au RGPD.  </t>
  </si>
  <si>
    <t>Analyser des retours d’expérience des utilisateurs sur la technologie.</t>
  </si>
  <si>
    <t>Les performances en charge maximale sont-elles acceptables ?</t>
  </si>
  <si>
    <t xml:space="preserve">Documentation méthodologique (EBIOS, OCTAVE)  </t>
  </si>
  <si>
    <t xml:space="preserve">Insuffisance des mécanismes de détection des modifications non autorisées.  </t>
  </si>
  <si>
    <t xml:space="preserve">Augmentation des coûts opérationnels liés à des inefficacités techniques  </t>
  </si>
  <si>
    <t xml:space="preserve">Adopter des solutions de gestion des risques opérationnels alignées sur le framework COSO ERM.  </t>
  </si>
  <si>
    <t>Identifier des plans de migration vers des technologies plus récentes.</t>
  </si>
  <si>
    <t>Un plan d'extension de l'infrastructure existe-t-il ?</t>
  </si>
  <si>
    <t xml:space="preserve">Liste des risques critiques identifiés  </t>
  </si>
  <si>
    <t xml:space="preserve">Absence de revues périodiques des configurations de sécurité des bases de données.  </t>
  </si>
  <si>
    <t xml:space="preserve">Perte de confiance des parties prenantes envers les systèmes informatiques  </t>
  </si>
  <si>
    <t xml:space="preserve">Mettre en place des revues post-déploiement pour évaluer l'efficacité des correctifs appliqués.  </t>
  </si>
  <si>
    <t>Contrôler des preuves de formation des équipes sur les nouvelles technologies.</t>
  </si>
  <si>
    <t>Des budgets sont-ils alloués pour cette extension ?</t>
  </si>
  <si>
    <t xml:space="preserve">Plan d'action avec responsables et échéances  </t>
  </si>
  <si>
    <t xml:space="preserve">Exposition aux risques de perte de données en raison de sauvegardes défectueuses.  </t>
  </si>
  <si>
    <t xml:space="preserve">Risque accru de violations de données sensibles  </t>
  </si>
  <si>
    <t xml:space="preserve">Créer des procédures de gestion des identités dans les environnements multicloud (Azure AD, AWS IAM).  </t>
  </si>
  <si>
    <t xml:space="preserve">Vérifier que les technologies utilisées sont matures </t>
  </si>
  <si>
    <t>Vérifier des rapports de maturité technologique (ex : Gartner, Forrester).</t>
  </si>
  <si>
    <t>Les utilisateurs confirment-ils la bonne gestion de la croissance ?</t>
  </si>
  <si>
    <t xml:space="preserve">Rapports de suivi de mise en œuvre des actions  </t>
  </si>
  <si>
    <t xml:space="preserve">Non-conformité aux exigences de traçabilité des modifications du code source.  </t>
  </si>
  <si>
    <t xml:space="preserve">Interruptions fréquentes des services critiques  </t>
  </si>
  <si>
    <t xml:space="preserve">Déployer des outils de détection des anomalies de trafic réseau (NetFlow, sFlow).  </t>
  </si>
  <si>
    <t>Confirmer des tests de stabilité sur les technologies utilisées.</t>
  </si>
  <si>
    <t>Un rapport d'intégration avec les systèmes existants existe-t-il ?</t>
  </si>
  <si>
    <t xml:space="preserve">Historique des mises à jour de l'analyse des risques  </t>
  </si>
  <si>
    <t xml:space="preserve">Défaillance dans la gestion des vulnérabilités des composants tiers.  </t>
  </si>
  <si>
    <t xml:space="preserve">Difficultés à maintenir la continuité des activités en cas de sinistre  </t>
  </si>
  <si>
    <t xml:space="preserve">Instaurer des contrôles de conformité automatiques pour les configurations d'infrastructure as-code (Terraform).  </t>
  </si>
  <si>
    <t>Analyser des retours d’expérience des utilisateurs sur la stabilité.</t>
  </si>
  <si>
    <t>L'interopérabilité avec les autres applications est-elle validée ?</t>
  </si>
  <si>
    <t xml:space="preserve">Procédures d'intégration des nouveaux risques  </t>
  </si>
  <si>
    <t xml:space="preserve">Manque de procédures de contrôle qualité pour les mises à jour logicielles.  </t>
  </si>
  <si>
    <t xml:space="preserve">Désynchronisation entre les équipes métiers et informatiques  </t>
  </si>
  <si>
    <t xml:space="preserve">Implémenter des mécanismes de vérification d'intégrité des firmware et BIOS des équipements critiques.  </t>
  </si>
  <si>
    <t>Identifier des plans de mise à jour vers des versions stables.</t>
  </si>
  <si>
    <t>Les utilisateurs trouvent-ils l'intégration satisfaisante ?</t>
  </si>
  <si>
    <t xml:space="preserve">Tableaux de bord des indicateurs de risques  </t>
  </si>
  <si>
    <t xml:space="preserve">Absence de tests de résistance aux attaques sur les interfaces utilisateurs.  </t>
  </si>
  <si>
    <t xml:space="preserve">Augmentation des erreurs humaines lors des opérations quotidiennes  </t>
  </si>
  <si>
    <t xml:space="preserve">Définir des stratégies de sortie sécurisée pour les technologies obsolètes (EOL/EOS).  </t>
  </si>
  <si>
    <t>Contrôler des preuves de support technique des éditeurs.</t>
  </si>
  <si>
    <t>Une migration vers des systèmes intégrés est-elle prévue ?</t>
  </si>
  <si>
    <t xml:space="preserve">Non-respect des bonnes pratiques en matière de gestion des sessions utilisateurs.  </t>
  </si>
  <si>
    <t xml:space="preserve">Détérioration de la performance globale des applications  </t>
  </si>
  <si>
    <t xml:space="preserve">Adopter des contrôles d'accès granulaires aux APIs métier via des solutions API Gateway.  </t>
  </si>
  <si>
    <t>S’assurer que les technologies utilisées peuvent s’adapter à la 
croissance</t>
  </si>
  <si>
    <t>Vérifier des tests de montée en charge avec des scénarios de croissance.</t>
  </si>
  <si>
    <t>Les équipes sont-elles formées sur les interfaces d'intégration ?</t>
  </si>
  <si>
    <t xml:space="preserve">Supports de sensibilisation aux risques majeurs  </t>
  </si>
  <si>
    <t xml:space="preserve">Défaut de supervision des activités des comptes de service techniques.  </t>
  </si>
  <si>
    <t xml:space="preserve">Retards dans la résolution des incidents techniques  </t>
  </si>
  <si>
    <t xml:space="preserve">Mettre en œuvre des audits de code source pour les applications critiques selon les normes MISRA ou CERT.  </t>
  </si>
  <si>
    <t>Confirmer des rapports de performance sous charge maximale.</t>
  </si>
  <si>
    <t>Un rapport sur la modularité de l'application existe-t-il ?</t>
  </si>
  <si>
    <t xml:space="preserve">Insuffisance des contrôles d'intégrité des données dans les environnements virtualisés.  </t>
  </si>
  <si>
    <t xml:space="preserve">Manque de visibilité sur les responsabilités en cas de défaillance  </t>
  </si>
  <si>
    <t xml:space="preserve">Créer des procédures de gestion des incidents de supply chain incluant les fournisseurs de composants logiciels.  </t>
  </si>
  <si>
    <t>Analyser des plans d’extension de l’infrastructure pour répondre à la croissance.</t>
  </si>
  <si>
    <t>L'ajout/suppression de modules est-il testé et fonctionnel ?</t>
  </si>
  <si>
    <t xml:space="preserve">Historique des révisions de classification  </t>
  </si>
  <si>
    <t xml:space="preserve">Absence de stratégie de gestion des risques liés à l'intelligence artificielle.  </t>
  </si>
  <si>
    <t xml:space="preserve">Faible adoption des outils par les utilisateurs finaux  </t>
  </si>
  <si>
    <t xml:space="preserve">Déployer des solutions de protection contre les attaques par ingénierie sociale (simulations, formations).  </t>
  </si>
  <si>
    <t>Identifier des budgets alloués à l’extension de l’infrastructure.</t>
  </si>
  <si>
    <t>Les utilisateurs apprécient-ils la modularité ?</t>
  </si>
  <si>
    <t xml:space="preserve">Logs d'accès aux données sensibles sur 30 jours  </t>
  </si>
  <si>
    <t xml:space="preserve">Exposition aux failles de sécurité en raison de configurations par défaut non sécurisées.  </t>
  </si>
  <si>
    <t xml:space="preserve">Exposition aux amendes réglementaires pour non-respect des normes  </t>
  </si>
  <si>
    <t xml:space="preserve">Instaurer des contrôles de journalisation centralisée avec rétention conforme aux exigences légales.  </t>
  </si>
  <si>
    <t>Contrôler des retours d’expérience utilisateur sur la capacité à gérer la croissance.</t>
  </si>
  <si>
    <t>Le développement de nouveaux modules est-il planifié ?</t>
  </si>
  <si>
    <t xml:space="preserve">Non-conformité aux exigences de chiffrement des communications internes.  </t>
  </si>
  <si>
    <t xml:space="preserve">Dépassements budgétaires récurrents dans les projets IT  </t>
  </si>
  <si>
    <t xml:space="preserve">Implémenter des mécanismes de validation des sauvegardes via des tests de restauration partiels automatisés.  </t>
  </si>
  <si>
    <t>S’assurer que l'application peut s’intégrer dans le système de 
l’entité</t>
  </si>
  <si>
    <t>Vérifier des rapports d’intégration avec les systèmes existants.</t>
  </si>
  <si>
    <t>Les équipes sont-elles formées sur l'architecture modulaire ?</t>
  </si>
  <si>
    <t xml:space="preserve">Attestations de formation sur la classification  </t>
  </si>
  <si>
    <t xml:space="preserve">Défaillance dans la gestion des accès aux outils d'administration à distance.  </t>
  </si>
  <si>
    <t xml:space="preserve">Incapacité à détecter les anomalies en temps réel  </t>
  </si>
  <si>
    <t xml:space="preserve">Définir des politiques de gestion des risques liés à l'IoT incluant l'isolation réseau et les mises à jour firmware.  </t>
  </si>
  <si>
    <t>Confirmer des tests d’interopérabilité avec les autres applications.</t>
  </si>
  <si>
    <t>Un historique des versions est-il maintenu ?</t>
  </si>
  <si>
    <t xml:space="preserve">Manuel d'administration mis à jour  </t>
  </si>
  <si>
    <t xml:space="preserve">Manque de revues indépendantes des politiques de contrôle d'accès logique.  </t>
  </si>
  <si>
    <t xml:space="preserve">Dégradation de l'intégrité des informations financières  </t>
  </si>
  <si>
    <t xml:space="preserve">Adopter des contrôles d'accès aux environnements de développement via des VPN sécurisés et MFA.  </t>
  </si>
  <si>
    <t>Analyser des retours d’expérience des utilisateurs sur l’intégration.</t>
  </si>
  <si>
    <t>La compatibilité ascendante/descendante est-elle testée ?</t>
  </si>
  <si>
    <t xml:space="preserve">Absence de procédures de gestion des incidents liés aux fournisseurs cloud.  </t>
  </si>
  <si>
    <t xml:space="preserve">Vulnérabilité aux attaques internes par accès non contrôlés  </t>
  </si>
  <si>
    <t xml:space="preserve">Mettre en place des revues de sécurité pour les contrats d'externalisation, incluant des clauses de auditabilité.  </t>
  </si>
  <si>
    <t>Identifier des plans de migration vers des systèmes intégrés.</t>
  </si>
  <si>
    <t>Les utilisateurs sont-ils satisfaits des nouvelles versions ?</t>
  </si>
  <si>
    <t xml:space="preserve">Exemples de procédures détaillées avec captures  </t>
  </si>
  <si>
    <t xml:space="preserve">Non-respect des normes en matière de durcissement des systèmes d'exploitation.  </t>
  </si>
  <si>
    <t xml:space="preserve">Perte de compétitivité face aux innovations technologiques  </t>
  </si>
  <si>
    <t xml:space="preserve">Créer des procédures de réponse aux fuites de données personnelles conformes aux délais légaux du RGPD.  </t>
  </si>
  <si>
    <t>Contrôler des preuves de formation des équipes sur l’intégration.</t>
  </si>
  <si>
    <t>Une migration vers les dernières versions est-elle prévue ?</t>
  </si>
  <si>
    <t xml:space="preserve">Logs de consultation du manuel d'administration  </t>
  </si>
  <si>
    <t xml:space="preserve">Défaut de mise en œuvre des contrôles de sécurité pour les applications mobiles.  </t>
  </si>
  <si>
    <t xml:space="preserve">Défaillances dans la gestion des identités et des accès  </t>
  </si>
  <si>
    <t xml:space="preserve">Déployer des outils de gestion des correctifs automatisés (WSUS, SCCM) avec validation pré-déploiement.  </t>
  </si>
  <si>
    <t xml:space="preserve">S’assurer que l’application est modulaire et adaptable </t>
  </si>
  <si>
    <t>Vérifier des rapports de modularité de l’application (ex : architecture microservices).</t>
  </si>
  <si>
    <t>Les équipes sont-elles formées sur les nouvelles versions ?</t>
  </si>
  <si>
    <t xml:space="preserve">Plan de formation de l'équipe d'administration  </t>
  </si>
  <si>
    <t xml:space="preserve">Insuffisance des mécanismes de détection des comportements anormaux des utilisateurs.  </t>
  </si>
  <si>
    <t xml:space="preserve">Risque de corruption des données lors des migrations  </t>
  </si>
  <si>
    <t xml:space="preserve">Instaurer des audits de conformité réguliers des configurations de sécurité des bases de données (Oracle, SQL).  </t>
  </si>
  <si>
    <t>Confirmer des tests de modularité (ajout/suppression de modules).</t>
  </si>
  <si>
    <t>Un suivi des demandes de maintenance existe-t-il ?</t>
  </si>
  <si>
    <t xml:space="preserve">Procédures écrites pour 5 processus critiques  </t>
  </si>
  <si>
    <t xml:space="preserve">Absence de documentation des dépendances critiques entre systèmes interconnectés.  </t>
  </si>
  <si>
    <t xml:space="preserve">Inadéquation des sauvegardes pour une restauration complète  </t>
  </si>
  <si>
    <t xml:space="preserve">Implémenter des contrôles de détection des modifications non autorisées via des solutions FIM (File Integrity Monitoring).  </t>
  </si>
  <si>
    <t>Analyser des retours d’expérience des utilisateurs sur la modularité.</t>
  </si>
  <si>
    <t>La résolution des demandes est-elle satisfaisante ?</t>
  </si>
  <si>
    <t xml:space="preserve">Procédures signées par les responsables  </t>
  </si>
  <si>
    <t xml:space="preserve">Exposition aux risques de compromission via des composants matériels non sécurisés.  </t>
  </si>
  <si>
    <t xml:space="preserve">Manque de traçabilité des actions administratives critiques  </t>
  </si>
  <si>
    <t xml:space="preserve">Définir des stratégies de chiffrement des sauvegardes cloud avec gestion centralisée des clés (HSM, KMS).  </t>
  </si>
  <si>
    <t>Identifier des plans de développement de nouveaux modules.</t>
  </si>
  <si>
    <t>Les utilisateurs sont-ils satisfaits de la maintenance ?</t>
  </si>
  <si>
    <t xml:space="preserve">Logs d'exécution des processus  </t>
  </si>
  <si>
    <t xml:space="preserve">Non-conformité aux exigences de gestion des identités numériques temporaires.  </t>
  </si>
  <si>
    <t xml:space="preserve">Dépendance excessive vis-à-vis des fournisseurs externes  </t>
  </si>
  <si>
    <t xml:space="preserve">Adopter des contrôles d'accès aux outils d'administration à distance (RMM) avec journalisation renforcée.  </t>
  </si>
  <si>
    <t>Contrôler des preuves de formation des équipes sur la modularité.</t>
  </si>
  <si>
    <t>Des améliorations des processus de maintenance sont-elles prévues ?</t>
  </si>
  <si>
    <t xml:space="preserve">Indicateurs de performance des procédures  </t>
  </si>
  <si>
    <t xml:space="preserve">Défaillance dans la protection des données sensibles lors des transferts interapplicatifs.  </t>
  </si>
  <si>
    <t xml:space="preserve">Incidents répétés de non-disponibilité des systèmes  </t>
  </si>
  <si>
    <t xml:space="preserve">Mettre en œuvre des tests d'évasion pour les solutions de sécurité (pare-feux, antivirus) lors des audits pentest.  </t>
  </si>
  <si>
    <t>S’assurer que l'application significativement version par 
version</t>
  </si>
  <si>
    <t>Vérifier des rapports de versioning (ex : historique des versions).</t>
  </si>
  <si>
    <t>Les équipes de maintenance sont-elles formées régulièrement ?</t>
  </si>
  <si>
    <t xml:space="preserve">Historique des mises à jour des procédures  </t>
  </si>
  <si>
    <t xml:space="preserve">Manque de supervision des journaux d'activité des systèmes de gestion des identités.  </t>
  </si>
  <si>
    <t xml:space="preserve">Difficultés à auditer les conformités techniques et réglementaires  </t>
  </si>
  <si>
    <t xml:space="preserve">Créer des procédures de gestion des risques liés à l'IA/ML incluant la validation des jeux de données et modèles.  </t>
  </si>
  <si>
    <t>Confirmer des tests de compatibilité ascendante et descendante.</t>
  </si>
  <si>
    <t>Les CV et certifications des mainteneurs sont-ils à jour ?</t>
  </si>
  <si>
    <t xml:space="preserve">Comptes rendus mensuels des 6 derniers mois  </t>
  </si>
  <si>
    <t xml:space="preserve">Absence de procédures de gestion des risques liés aux technologies émergentes.  </t>
  </si>
  <si>
    <t xml:space="preserve">Augmentation des conflits d'intérêts dans les processus décisionnels  </t>
  </si>
  <si>
    <t xml:space="preserve">Déployer des solutions de monitoring des comportements utilisateurs pour détecter les activités anormales.  </t>
  </si>
  <si>
    <t>Analyser des retours d’expérience des utilisateurs sur les nouvelles versions.</t>
  </si>
  <si>
    <t>Les performances de l'équipe de maintenance sont-elles suivies ?</t>
  </si>
  <si>
    <t xml:space="preserve">Signature des comptes rendus par le propriétaire  </t>
  </si>
  <si>
    <t xml:space="preserve">Non-respect des bonnes pratiques en matière de gestion des clés de chiffrement.  </t>
  </si>
  <si>
    <t xml:space="preserve">Erreurs persistantes dans les traitements automatisés  </t>
  </si>
  <si>
    <t xml:space="preserve">Instaurer des contrôles de sécurité physique des périphériques amovibles via des politiques de blocage USB.  </t>
  </si>
  <si>
    <t>Identifier des plans de migration vers les nouvelles versions.</t>
  </si>
  <si>
    <t>L'équipe résout-elle efficacement les incidents critiques ?</t>
  </si>
  <si>
    <t xml:space="preserve">Indicateurs clés (disponibilité, incidents)  </t>
  </si>
  <si>
    <t xml:space="preserve">Défaut de contrôle des accès aux outils de surveillance réseau.  </t>
  </si>
  <si>
    <t xml:space="preserve">Décalage entre les capacités techniques et les attentes utilisateurs  </t>
  </si>
  <si>
    <t xml:space="preserve">Implémenter des mécanismes de vérification de l'intégrité des images conteneurisées (Docker, Kubernetes).  </t>
  </si>
  <si>
    <t>Contrôler des preuves de formation des équipes sur les nouvelles versions.</t>
  </si>
  <si>
    <t>Des recrutements pour renforcer l'équipe sont-ils prévus ?</t>
  </si>
  <si>
    <t xml:space="preserve">Plans d'actions correctives dans les comptes rendus  </t>
  </si>
  <si>
    <t xml:space="preserve">Insuffisance des mécanismes d'authentification pour les API critiques.  </t>
  </si>
  <si>
    <t xml:space="preserve">Risque de perte de données critiques lors de pannes  </t>
  </si>
  <si>
    <t xml:space="preserve">Définir des politiques de gestion des mots de passe excluant les réutilisations et imposant une complexité minimale.  </t>
  </si>
  <si>
    <t>Vérifier que le volume des demandes de maintenance évolutive 
est acceptable et cohérent avec l’utilisation de l’application</t>
  </si>
  <si>
    <t>Vérifier des rapports de suivi des demandes de maintenance.</t>
  </si>
  <si>
    <t>La formation continue de l'équipe est-elle assurée ?</t>
  </si>
  <si>
    <t xml:space="preserve">Rapports de clôture des actions correctives  </t>
  </si>
  <si>
    <t xml:space="preserve">Absence de revues périodiques des politiques de sécurité des partenaires commerciaux.  </t>
  </si>
  <si>
    <t xml:space="preserve">Inefficacité des mécanismes de contrôle interne  </t>
  </si>
  <si>
    <t xml:space="preserve">Adopter des contrôles de sécurité pour les environnements DevOps (CI/CD sécurisé, secrets management).  </t>
  </si>
  <si>
    <t>Confirmer des tests de résolution des demandes de maintenance.</t>
  </si>
  <si>
    <t>La dépendance aux développeurs est-elle mesurée ?</t>
  </si>
  <si>
    <t xml:space="preserve">Exposition aux attaques par déni de service distribué (DDoS) en raison de protections insuffisantes.  </t>
  </si>
  <si>
    <t xml:space="preserve">Défaillances dans la gestion des configurations logicielles  </t>
  </si>
  <si>
    <t xml:space="preserve">Mettre en place des audits de conformité des configurations de sécurité des solutions SaaS utilisées.  </t>
  </si>
  <si>
    <t>Analyser des retours d’expérience des utilisateurs sur la maintenance.</t>
  </si>
  <si>
    <t>L'autonomie de l'équipe de maintenance est-elle validée ?</t>
  </si>
  <si>
    <t xml:space="preserve">Historique des versions des documents  </t>
  </si>
  <si>
    <t xml:space="preserve">Non-conformité aux exigences de conservation des journaux d'audit réglementaires.  </t>
  </si>
  <si>
    <t xml:space="preserve">Manque de coordination entre les environnements de développement et production  </t>
  </si>
  <si>
    <t xml:space="preserve">Créer des procédures de réponse aux attaques zero-day incluant une veille active des vulnérabilités.  </t>
  </si>
  <si>
    <t>Identifier des plans d’amélioration des processus de maintenance.</t>
  </si>
  <si>
    <t>Les utilisateurs trouvent-ils l'équipe suffisamment autonome ?</t>
  </si>
  <si>
    <t xml:space="preserve">Exemples de procédures illustrées  </t>
  </si>
  <si>
    <t xml:space="preserve">Défaillance dans la gestion des vulnérabilités des systèmes de virtualisation.  </t>
  </si>
  <si>
    <t xml:space="preserve">Exposition aux vulnérabilités non corrigées  </t>
  </si>
  <si>
    <t xml:space="preserve">Déployer des solutions de prévention des exfiltrations de données via des proxies sécurisés et filtrage SSL.  </t>
  </si>
  <si>
    <t>Contrôler des preuves de formation des équipes sur la maintenance.</t>
  </si>
  <si>
    <t>Des actions pour réduire la dépendance existent-elles ?</t>
  </si>
  <si>
    <t xml:space="preserve">Accusés de réception de diffusion aux utilisateurs  </t>
  </si>
  <si>
    <t xml:space="preserve">Manque de procédures de réponse aux incidents de fuite de données personnelles.  </t>
  </si>
  <si>
    <t xml:space="preserve">Détérioration de la réputation de l'organisation  </t>
  </si>
  <si>
    <t xml:space="preserve">Instaurer des contrôles d'accès réseau basés sur l'identité (NAC) pour les équipements IoT et OT.  </t>
  </si>
  <si>
    <t>Vérifier que structure en charge de la maintenance est 
autonome et compétente</t>
  </si>
  <si>
    <t>Les équipes sont-elles formées pour gagner en autonomie ?</t>
  </si>
  <si>
    <t xml:space="preserve">Planning de formation sur les documents  </t>
  </si>
  <si>
    <t xml:space="preserve">Absence de tests de résilience des infrastructures critiques face aux catastrophes naturelles.  </t>
  </si>
  <si>
    <t xml:space="preserve">Incapacité à répondre aux audits externes de conformité  </t>
  </si>
  <si>
    <t xml:space="preserve">Implémenter des mécanismes de validation des certificats SSL/TLS via des outils d'inspection approfondie.  </t>
  </si>
  <si>
    <t>Confirmer des rapports de performance de l’équipe de maintenance.</t>
  </si>
  <si>
    <t>Des références de l'éditeur (études de cas) existent-elles ?</t>
  </si>
  <si>
    <t xml:space="preserve">Matrice RBAC active  </t>
  </si>
  <si>
    <t xml:space="preserve">Non-respect des normes en matière de gestion des droits d'accès aux données médicales.  </t>
  </si>
  <si>
    <t xml:space="preserve">Prolifération de données obsolètes ou redondantes  </t>
  </si>
  <si>
    <t xml:space="preserve">Définir des politiques de gestion des risques liés aux APIs publiques incluant le throttling et le monitoring.  </t>
  </si>
  <si>
    <t>Les performances des solutions de l'éditeur sont-elles validées ?</t>
  </si>
  <si>
    <t xml:space="preserve">Défaut de supervision des activités des robots logiciels (RPA) dans les processus métiers.  </t>
  </si>
  <si>
    <t xml:space="preserve">Dépassement des délais de livraison des projets IT  </t>
  </si>
  <si>
    <t xml:space="preserve">Adopter des contrôles de sécurité pour les infrastructures hyperconvergées (HCI) avec isolation des workloads.  </t>
  </si>
  <si>
    <t>Identifier des plans de recrutement pour renforcer l’équipe.</t>
  </si>
  <si>
    <t>Les utilisateurs sont-ils satisfaits de l'éditeur ?</t>
  </si>
  <si>
    <t xml:space="preserve">Liste des utilisateurs avec droits administrateur  </t>
  </si>
  <si>
    <t xml:space="preserve">Insuffisance des contrôles d'intégrité des données dans les environnements hybrides.  </t>
  </si>
  <si>
    <t xml:space="preserve">Insuffisance dans la gestion des risques opérationnels  </t>
  </si>
  <si>
    <t xml:space="preserve">Mettre en œuvre des audits de conformité des configurations de sécurité des environnements virtualisés (VMware, Hyper-V).  </t>
  </si>
  <si>
    <t>Contrôler des preuves de formation continue de l’équipe.</t>
  </si>
  <si>
    <t>Un partenariat stratégique avec l'éditeur existe-t-il ?</t>
  </si>
  <si>
    <t xml:space="preserve">Rapports de test de refus d'accès hors profil  </t>
  </si>
  <si>
    <t xml:space="preserve">Absence de stratégie de gestion des risques liés à l'Internet des objets (IoT).  </t>
  </si>
  <si>
    <t xml:space="preserve">Faible résilience face aux incidents de sécurité majeurs  </t>
  </si>
  <si>
    <t xml:space="preserve">Créer des procédures de gestion des incidents de sécurité cloud incluant la coordination avec le fournisseur.  </t>
  </si>
  <si>
    <t>S’assurer que le niveau de dépendance vis-à-vis de la structure 
de développement de l’application est acceptable</t>
  </si>
  <si>
    <t>Vérifier des rapports de dépendance vis-à-vis des développeurs.</t>
  </si>
  <si>
    <t>Le support technique de l'éditeur est-il réactif et efficace ?</t>
  </si>
  <si>
    <t xml:space="preserve">Procédure de révocation des accès  </t>
  </si>
  <si>
    <t xml:space="preserve">Exposition aux failles de sécurité en raison de l'utilisation de protocoles réseau obsolètes.  </t>
  </si>
  <si>
    <t xml:space="preserve">Inadéquation des plans de reprise après sinistre  </t>
  </si>
  <si>
    <t xml:space="preserve">Déployer des solutions de protection contre les attaques par supply chain (log4j-style) via des scanners de dépendances.  </t>
  </si>
  <si>
    <t>Confirmer des tests d’autonomie de l’équipe de maintenance.</t>
  </si>
  <si>
    <t>Un historique des versions est-il disponible ?</t>
  </si>
  <si>
    <t xml:space="preserve">Workflow de gestion des profils (Jira/équivalent)  </t>
  </si>
  <si>
    <t xml:space="preserve">Non-conformité aux exigences de traçabilité des accès aux données de santé.  </t>
  </si>
  <si>
    <t xml:space="preserve">Manque de documentation technique à jour  </t>
  </si>
  <si>
    <t xml:space="preserve">Instaurer des contrôles d'accès aux données sensibles via des solutions de chiffrement en mémoire (Intel SGX).  </t>
  </si>
  <si>
    <t>Analyser des retours d’expérience des utilisateurs sur l’autonomie.</t>
  </si>
  <si>
    <t>La compatibilité avec la dernière version est-elle assurée ?</t>
  </si>
  <si>
    <t xml:space="preserve">Traces de validation hiérarchique pour 5 profils  </t>
  </si>
  <si>
    <t xml:space="preserve">Défaillance dans la gestion des certificats SSL/TLS expirés ou non fiables.  </t>
  </si>
  <si>
    <t xml:space="preserve">Difficultés à maintenir l'interopérabilité des systèmes  </t>
  </si>
  <si>
    <t xml:space="preserve">Implémenter des mécanismes de vérification de l'intégrité des firmware des dispositifs IoT/OT.  </t>
  </si>
  <si>
    <t>Identifier des plans de réduction de la dépendance.</t>
  </si>
  <si>
    <t>Les utilisateurs adoptent-ils facilement les nouvelles versions ?</t>
  </si>
  <si>
    <t xml:space="preserve">Référentiel des profils types (PDF/Excel)  </t>
  </si>
  <si>
    <t xml:space="preserve">Manque de revues indépendantes des configurations de sécurité des conteneurs.  </t>
  </si>
  <si>
    <t xml:space="preserve">Défaillances dans la surveillance des performances applicatives  </t>
  </si>
  <si>
    <t xml:space="preserve">Définir des politiques de gestion des risques liés au télétravail incluant VPN, MFA et durcissement des postes.  </t>
  </si>
  <si>
    <t>Contrôler des preuves de formation des équipes sur l’autonomie.</t>
  </si>
  <si>
    <t>Une migration vers la dernière version est-elle planifiée ?</t>
  </si>
  <si>
    <t xml:space="preserve">Rapport d'audit semestriel des droits  </t>
  </si>
  <si>
    <t xml:space="preserve">Absence de procédures de gestion des incidents liés aux fournisseurs de services managés.  </t>
  </si>
  <si>
    <t xml:space="preserve">Augmentation des coûts de maintenance imprévus  </t>
  </si>
  <si>
    <t xml:space="preserve">Adopter des contrôles de sécurité pour les infrastructures sans serveur (serverless) avec monitoring des fonctions.  </t>
  </si>
  <si>
    <t>S’assurer que l’éditeur de l’application a des références 
indiscutables</t>
  </si>
  <si>
    <t>Vérifier des rapports de référence de l’éditeur (ex : études de cas).</t>
  </si>
  <si>
    <t>Les équipes sont-elles formées sur les évolutions ?</t>
  </si>
  <si>
    <t xml:space="preserve">Procès-verbaux mentionnant les sanctions  </t>
  </si>
  <si>
    <t xml:space="preserve">Non-respect des bonnes pratiques en matière de gestion des journaux système.  </t>
  </si>
  <si>
    <t xml:space="preserve">Incapacité à capitaliser sur les nouvelles technologies  </t>
  </si>
  <si>
    <t xml:space="preserve">Mettre en place des audits de conformité des configurations de sécurité des solutions de messagerie électronique.  </t>
  </si>
  <si>
    <t>Confirmer des tests de performance des solutions de l’éditeur.</t>
  </si>
  <si>
    <t>Un suivi des développements spécifiques existe-t-il ?</t>
  </si>
  <si>
    <t xml:space="preserve">Journal des tentatives de connexion sans identifiant  </t>
  </si>
  <si>
    <t xml:space="preserve">Défaut de mise en œuvre des contrôles de sécurité pour les applications SaaS.  </t>
  </si>
  <si>
    <t xml:space="preserve">Risque de non-atteinte des objectifs métiers clés  </t>
  </si>
  <si>
    <t xml:space="preserve">Créer des procédures de gestion des accès temporaires aux systèmes critiques avec révocation automatique.  </t>
  </si>
  <si>
    <t>Analyser des retours d’expérience des utilisateurs sur l’éditeur.</t>
  </si>
  <si>
    <t>Les performances des développements sont-elles satisfaisantes ?</t>
  </si>
  <si>
    <t xml:space="preserve">Liste des comptes système actifs  </t>
  </si>
  <si>
    <t xml:space="preserve">Insuffisance des mécanismes de détection des tentatives de phishing ciblant les employés.  </t>
  </si>
  <si>
    <t xml:space="preserve">Dégradation de l'expérience utilisateur final  </t>
  </si>
  <si>
    <t xml:space="preserve">Déployer des solutions de détection des menaces internes via l'analyse comportementale des utilisateurs privilégiés.  </t>
  </si>
  <si>
    <t>Identifier des plans de partenariat avec l’éditeur.</t>
  </si>
  <si>
    <t>Les utilisateurs sont-ils satisfaits des évolutions ?</t>
  </si>
  <si>
    <t xml:space="preserve">Configuration LDAP/Active Directory synchronisée  </t>
  </si>
  <si>
    <t xml:space="preserve">Absence de documentation des dépendances critiques avec les systèmes tiers.  </t>
  </si>
  <si>
    <t xml:space="preserve">Manque de transparence dans les processus de gouvernance  </t>
  </si>
  <si>
    <t xml:space="preserve">Instaurer des contrôles de sécurité pour les environnements de développement low-code/no-code.  </t>
  </si>
  <si>
    <t>Contrôler des preuves de support technique de l’éditeur.</t>
  </si>
  <si>
    <t>Des améliorations des développements sont-elles prévues ?</t>
  </si>
  <si>
    <t xml:space="preserve">Procédure de réinitialisation sécurisée  </t>
  </si>
  <si>
    <t xml:space="preserve">Exposition aux risques de manipulation des données en raison de contrôles d'intégrité insuffisants.  </t>
  </si>
  <si>
    <t xml:space="preserve">Exposition aux litiges contractuels avec les fournisseurs  </t>
  </si>
  <si>
    <t xml:space="preserve">Implémenter des mécanismes de protection contre les attaques par rebond (isolation des environnements de test).  </t>
  </si>
  <si>
    <t>S’assurer que la version du progiciel installée dans 
l’organisation est la plus récente</t>
  </si>
  <si>
    <t>Les équipes sont-elles formées sur les nouveaux développements ?</t>
  </si>
  <si>
    <t xml:space="preserve">Logs de connexion avec IP et horodatage  </t>
  </si>
  <si>
    <t xml:space="preserve">Non-conformité aux exigences de chiffrement des sauvegardes hors site.  </t>
  </si>
  <si>
    <t xml:space="preserve">Inefficacité des mécanismes de reporting financier  </t>
  </si>
  <si>
    <t xml:space="preserve">Définir des politiques de gestion des risques liés à la 5G incluant la segmentation réseau et le chiffrement E2E.  </t>
  </si>
  <si>
    <t>Confirmer des tests de compatibilité avec la dernière version.</t>
  </si>
  <si>
    <t>Une adhésion à un club utilisateurs est-elle active ?</t>
  </si>
  <si>
    <t xml:space="preserve">Politique de mots de passe documentée  </t>
  </si>
  <si>
    <t xml:space="preserve">Défaillance dans la gestion des accès aux systèmes de gestion des identités et des accès (IAM).  </t>
  </si>
  <si>
    <t xml:space="preserve">Défaillances dans la gestion des changements techniques  </t>
  </si>
  <si>
    <t xml:space="preserve">Adopter des contrôles de sécurité pour les infrastructures edge computing avec supervision centralisée.  </t>
  </si>
  <si>
    <t>Analyser des retours d’expérience des utilisateurs sur la dernière version.</t>
  </si>
  <si>
    <t>L'entreprise participe-t-elle aux réunions du club ?</t>
  </si>
  <si>
    <t xml:space="preserve">Rapports de détection de mots de passe faibles  </t>
  </si>
  <si>
    <t xml:space="preserve">Manque de supervision des activités des comptes privilégiés dans les environnements cloud.  </t>
  </si>
  <si>
    <t xml:space="preserve">Incapacité à prioriser les investissements IT stratégiques  </t>
  </si>
  <si>
    <t xml:space="preserve">Mettre en œuvre des audits de conformité des configurations de sécurité des appliances réseau (firewalls, routeurs).  </t>
  </si>
  <si>
    <t>Identifier des plans de migration vers la dernière version.</t>
  </si>
  <si>
    <t>Les utilisateurs trouvent-ils le club utile ?</t>
  </si>
  <si>
    <t xml:space="preserve">Configuration de réinitialisation forcée après 90j  </t>
  </si>
  <si>
    <t xml:space="preserve">Absence de procédures de gestion des risques liés aux APIs publiques exposées.  </t>
  </si>
  <si>
    <t xml:space="preserve">Risque de fuite d'informations sensibles  </t>
  </si>
  <si>
    <t xml:space="preserve">Créer des procédures de réponse aux attaques ciblant les systèmes de contrôle industriel (ICS/SCADA).  </t>
  </si>
  <si>
    <t>Contrôler des preuves de formation des équipes sur la dernière version.</t>
  </si>
  <si>
    <t>Une collaboration active avec le club est-elle mise en place ?</t>
  </si>
  <si>
    <t xml:space="preserve">Alertes de réutilisation d'anciens mots de passe  </t>
  </si>
  <si>
    <t xml:space="preserve">Non-respect des normes en matière de gestion des journaux d'activité des utilisateurs.  </t>
  </si>
  <si>
    <t xml:space="preserve">Détérioration de la qualité des services fournis  </t>
  </si>
  <si>
    <t xml:space="preserve">Déployer des solutions de protection des données biométriques conforme à la norme ISO/IEC 24745.  </t>
  </si>
  <si>
    <t>S’assurer que les développements spécifiques sont bien suivis</t>
  </si>
  <si>
    <t>Vérifier des rapports de suivi des développements spécifiques.</t>
  </si>
  <si>
    <t>Les équipes bénéficient-elles des échanges du club ?</t>
  </si>
  <si>
    <t xml:space="preserve">Journal des tentatives infructueuses sur 30j  </t>
  </si>
  <si>
    <t xml:space="preserve">Défaut de contrôle des accès aux outils de diagnostic et de maintenance à distance.  </t>
  </si>
  <si>
    <t xml:space="preserve">Manque d'agilité pour s'adapter aux évolutions du marché  </t>
  </si>
  <si>
    <t xml:space="preserve">Instaurer des contrôles d'accès aux systèmes de gestion des identités (IAM) avec journalisation des changements.  </t>
  </si>
  <si>
    <t>Confirmer des tests de performance des développements spécifiques.</t>
  </si>
  <si>
    <t>Un contrat de maintenance avec l'éditeur existe-t-il ?</t>
  </si>
  <si>
    <t xml:space="preserve">Configuration de verrouillage après 5 échecs  </t>
  </si>
  <si>
    <t xml:space="preserve">Insuffisance des mécanismes de protection contre les injections de code malveillant.  </t>
  </si>
  <si>
    <t xml:space="preserve">Défaillances dans l'archivage sécurisé des données  </t>
  </si>
  <si>
    <t xml:space="preserve">Implémenter des mécanismes de vérification de l'intégrité des données dans les entrepôts de données (Data Lakes).  </t>
  </si>
  <si>
    <t>Analyser des retours d’expérience des utilisateurs sur les développements.</t>
  </si>
  <si>
    <t>Les performances du support technique sont-elles suivies ?</t>
  </si>
  <si>
    <t xml:space="preserve">Alertes automatiques aux administrateurs  </t>
  </si>
  <si>
    <t xml:space="preserve">Absence de revues périodiques des politiques de sécurité des applications web.  </t>
  </si>
  <si>
    <t xml:space="preserve">Incapacité à mesurer l'impact réel des initiatives IT  </t>
  </si>
  <si>
    <t xml:space="preserve">Définir des politiques de gestion des risques liés à la blockchain incluant la validation des smart contracts.  </t>
  </si>
  <si>
    <t>Identifier des plans d’amélioration des développements.</t>
  </si>
  <si>
    <t>Les utilisateurs sont-ils satisfaits du support ?</t>
  </si>
  <si>
    <t xml:space="preserve">Procédure de réinitialisation manuelle  </t>
  </si>
  <si>
    <t xml:space="preserve">Exposition aux attaques par force brute en raison de politiques de mot de passe laxistes.  </t>
  </si>
  <si>
    <t xml:space="preserve">Augmentation des erreurs de configuration réseau  </t>
  </si>
  <si>
    <t xml:space="preserve">Adopter des contrôles de sécurité pour les applications RPA (Robotic Process Automation) avec audit des scripts.  </t>
  </si>
  <si>
    <t>Contrôler des preuves de formation des équipes sur les développements.</t>
  </si>
  <si>
    <t>Une renégociation du contrat est-elle prévue ?</t>
  </si>
  <si>
    <t xml:space="preserve">Documentation du suivi des tentatives suspectes  </t>
  </si>
  <si>
    <t xml:space="preserve">Non-conformité aux exigences de journalisation des accès aux données financières sensibles.  </t>
  </si>
  <si>
    <t xml:space="preserve">Manque de sensibilisation des employés aux risques cyber  </t>
  </si>
  <si>
    <t xml:space="preserve">Mettre en place des audits de conformité des configurations de sécurité des solutions de virtualisation de postes.  </t>
  </si>
  <si>
    <t>Vérifier que l’entité est membre d’un club utilisateurs</t>
  </si>
  <si>
    <t>Vérifier des preuves d’adhésion à un club utilisateurs.</t>
  </si>
  <si>
    <t>Les équipes bénéficient-elles des formations du support ?</t>
  </si>
  <si>
    <t xml:space="preserve">Logs d'accès aux transactions sensibles  </t>
  </si>
  <si>
    <t xml:space="preserve">Défaillance dans la gestion des vulnérabilités des systèmes de paiement électronique.  </t>
  </si>
  <si>
    <t xml:space="preserve">Défaillances dans la gestion des correctifs de sécurité  </t>
  </si>
  <si>
    <t xml:space="preserve">Créer des procédures de gestion des incidents de sécurité des systèmes de paiement électronique (PCI DSS).  </t>
  </si>
  <si>
    <t>Confirmer des participations aux réunions du club utilisateurs.</t>
  </si>
  <si>
    <t>Les redevances de maintenance sont-elles payées régulièrement ?</t>
  </si>
  <si>
    <t xml:space="preserve">Certificats de chiffrement des données en transit  </t>
  </si>
  <si>
    <t xml:space="preserve">Manque de procédures de réponse aux incidents de compromission de comptes administrateurs.  </t>
  </si>
  <si>
    <t xml:space="preserve">Incapacité à anticiper les besoins futurs en infrastructure  </t>
  </si>
  <si>
    <t xml:space="preserve">Déployer des solutions de détection des cryptojacking via l'analyse des ressources système anormales.  </t>
  </si>
  <si>
    <t>Analyser des retours d’expérience des utilisateurs sur le club.</t>
  </si>
  <si>
    <t>Un suivi des paiements existe-t-il ?</t>
  </si>
  <si>
    <t xml:space="preserve">Procédures de validation hiérarchique d'accès  </t>
  </si>
  <si>
    <t xml:space="preserve">Absence de tests de résistance aux attaques sur les infrastructures virtualisées.  </t>
  </si>
  <si>
    <t xml:space="preserve">Risque de perte de productivité due à des outils inadaptés  </t>
  </si>
  <si>
    <t xml:space="preserve">Instaurer des contrôles d'accès aux outils de monitoring avec authentification forte et limites de privilèges.  </t>
  </si>
  <si>
    <t>Identifier des plans de collaboration avec le club utilisateurs.</t>
  </si>
  <si>
    <t>Les utilisateurs valident-ils l'utilité de la maintenance ?</t>
  </si>
  <si>
    <t xml:space="preserve">Non-respect des bonnes pratiques en matière de gestion des correctifs de sécurité.  </t>
  </si>
  <si>
    <t xml:space="preserve">Dégradation de la collaboration entre équipes techniques  </t>
  </si>
  <si>
    <t xml:space="preserve">Implémenter des mécanismes de protection contre les attaques par side-channel via le durcissement matériel.  </t>
  </si>
  <si>
    <t>Contrôler des preuves de formation des équipes via le club.</t>
  </si>
  <si>
    <t>Des économies sur les coûts de maintenance sont-elles recherchées ?</t>
  </si>
  <si>
    <t xml:space="preserve">Alertes d'accès hors plage horaire  </t>
  </si>
  <si>
    <t xml:space="preserve">Défaut de supervision des activités des scripts automatisés dans les processus critiques.  </t>
  </si>
  <si>
    <t xml:space="preserve">Manque de visibilité sur les coûts totaux de possession  </t>
  </si>
  <si>
    <t xml:space="preserve">Définir des politiques de gestion des risques liés aux données ouvertes (open data) incluant l'anonymisation.  </t>
  </si>
  <si>
    <t>S’assurer que l’entité a un contrat de maintenance avec 
l’éditeur</t>
  </si>
  <si>
    <t>Vérifier un contrat de maintenance signé avec l’éditeur.</t>
  </si>
  <si>
    <t>Les équipes sont-elles formées sur les bonnes pratiques ?</t>
  </si>
  <si>
    <t xml:space="preserve">Logs d'actions administratives sur 90j  </t>
  </si>
  <si>
    <t xml:space="preserve">Insuffisance des contrôles d'accès aux données dans les entrepôts de données (data warehouses).  </t>
  </si>
  <si>
    <t xml:space="preserve">Incapacité à respecter les engagements de service (SLA)  </t>
  </si>
  <si>
    <t xml:space="preserve">Adopter des contrôles de sécurité pour les infrastructures quantum-ready avec chiffrement post-quantique.  </t>
  </si>
  <si>
    <t>Confirmer des rapports de performance du support technique.</t>
  </si>
  <si>
    <t>Une clause "Escrow Agreement" est-elle incluse dans le contrat ?</t>
  </si>
  <si>
    <t xml:space="preserve">Configuration de journalisation centralisée  </t>
  </si>
  <si>
    <t xml:space="preserve">Absence de stratégie de gestion des risques liés à l'utilisation de l'intelligence artificielle.  </t>
  </si>
  <si>
    <t xml:space="preserve">Défaillances dans la gestion des droits d'accès temporaires  </t>
  </si>
  <si>
    <t xml:space="preserve">Mettre en œuvre des audits de conformité des configurations de sécurité des systèmes de gestion de contenu (CMS).  </t>
  </si>
  <si>
    <t>Analyser des retours d’expérience des utilisateurs sur le support.</t>
  </si>
  <si>
    <t>Le respect de cette clause est-il vérifié régulièrement ?</t>
  </si>
  <si>
    <t xml:space="preserve">Alertes pour actions critiques  </t>
  </si>
  <si>
    <t xml:space="preserve">Exposition aux failles de sécurité en raison de configurations par défaut non modifiées.  </t>
  </si>
  <si>
    <t xml:space="preserve">Exposition aux perturbations des chaînes d'approvisionnement  </t>
  </si>
  <si>
    <t xml:space="preserve">Créer des procédures de réponse aux attaques ciblant les systèmes de gestion de la relation client (CRM).  </t>
  </si>
  <si>
    <t>Identifier des plans de renégociation du contrat.</t>
  </si>
  <si>
    <t>Les utilisateurs connaissent-ils les implications de cette clause ?</t>
  </si>
  <si>
    <t xml:space="preserve">Traces d'audit via compte administrateur  </t>
  </si>
  <si>
    <t xml:space="preserve">Non-conformité aux exigences de traçabilité des modifications des règles métiers.  </t>
  </si>
  <si>
    <t xml:space="preserve">Incapacité à garantir l'authenticité des transactions  </t>
  </si>
  <si>
    <t xml:space="preserve">Déployer des solutions de protection des métadonnées via des techniques de chiffrement et d'obfuscation.  </t>
  </si>
  <si>
    <t>Contrôler des preuves de formation des équipes via le support.</t>
  </si>
  <si>
    <t>Une renégociation de la clause est-elle envisagée ?</t>
  </si>
  <si>
    <t xml:space="preserve">Procédure de revue trimestrielle des logs  </t>
  </si>
  <si>
    <t xml:space="preserve">Défaillance dans la gestion des accès aux systèmes de gestion des logs centralisés.  </t>
  </si>
  <si>
    <t xml:space="preserve">Manque de cohérence dans les stratégies de sauvegarde  </t>
  </si>
  <si>
    <t xml:space="preserve">Instaurer des contrôles d'accès aux systèmes de business intelligence avec restriction des exports sensibles.  </t>
  </si>
  <si>
    <t>S’assurer que les redevances de maintenance sont payées dans 
les délais</t>
  </si>
  <si>
    <t>Vérifier des preuves de paiement des redevances de maintenance.</t>
  </si>
  <si>
    <t>Les équipes sont-elles informées des modalités de cette clause ?</t>
  </si>
  <si>
    <t xml:space="preserve">Exemples de documents sources validés  </t>
  </si>
  <si>
    <t xml:space="preserve">Manque de revues indépendantes des configurations de sécurité des bases de données NoSQL.  </t>
  </si>
  <si>
    <t xml:space="preserve">Défaillances dans l'intégration des nouveaux modules  </t>
  </si>
  <si>
    <t xml:space="preserve">Implémenter des mécanismes de vérification de l'intégrité des modèles d'IA/ML via des tests adversariaux.  </t>
  </si>
  <si>
    <t>Confirmer des rapports de suivi des paiements.</t>
  </si>
  <si>
    <t>Un suivi des montées de version existe-t-il ?</t>
  </si>
  <si>
    <t xml:space="preserve">Workflow de validation des documents  </t>
  </si>
  <si>
    <t xml:space="preserve">Absence de procédures de gestion des incidents liés aux services d'authentification tiers.  </t>
  </si>
  <si>
    <t xml:space="preserve">Risque de non-conformité aux standards sectoriels  </t>
  </si>
  <si>
    <t xml:space="preserve">Définir des politiques de gestion des risques liés aux jumeaux numériques (digital twins) incluant la sécurité des flux.  </t>
  </si>
  <si>
    <t>La compatibilité est-elle testée avant chaque mise à jour ?</t>
  </si>
  <si>
    <t xml:space="preserve">Logs de saisie corrélés aux sources  </t>
  </si>
  <si>
    <t xml:space="preserve">Non-respect des normes en matière de gestion des journaux d'accès aux applications critiques.  </t>
  </si>
  <si>
    <t xml:space="preserve">Incapacité à maintenir un référentiel de données fiable  </t>
  </si>
  <si>
    <t xml:space="preserve">Adopter des contrôles de sécurité pour les environnements multicloud avec gestion centralisée des identités.  </t>
  </si>
  <si>
    <t>Identifier des plans de réduction des coûts de maintenance.</t>
  </si>
  <si>
    <t xml:space="preserve">Procédure de reprise après erreur de saisie  </t>
  </si>
  <si>
    <t xml:space="preserve">Défaut de mise en œuvre des contrôles de sécurité pour les environnements DevOps.  </t>
  </si>
  <si>
    <t xml:space="preserve">Dégradation de la qualité des décisions métiers  </t>
  </si>
  <si>
    <t xml:space="preserve">Mettre en place des audits de conformité des configurations de sécurité des solutions de collaboration en temps réel.  </t>
  </si>
  <si>
    <t>Une migration progressive est-elle planifiée ?</t>
  </si>
  <si>
    <t xml:space="preserve">Checklists de contrôle qualité des saisies  </t>
  </si>
  <si>
    <t xml:space="preserve">Insuffisance des mécanismes de détection des activités anormales dans les réseaux OT/ICS.  </t>
  </si>
  <si>
    <t xml:space="preserve">Manque de réactivité face aux incidents de sécurité  </t>
  </si>
  <si>
    <t xml:space="preserve">Créer des procédures de gestion des incidents de sécurité des systèmes de gestion des identités décentralisées (SSI).  </t>
  </si>
  <si>
    <t xml:space="preserve">S’assurer qu’une clause dite d’ « Escrow Agreement » est 
présente dans le contrat </t>
  </si>
  <si>
    <t>Vérifier un contrat incluant une clause « Escrow Agreement ».</t>
  </si>
  <si>
    <t>Les équipes sont-elles préparées aux changements techniques ?</t>
  </si>
  <si>
    <t xml:space="preserve">Captures d'écran des interfaces de saisie  </t>
  </si>
  <si>
    <t xml:space="preserve">Absence de documentation des flux de données entre systèmes internes et externes.  </t>
  </si>
  <si>
    <t xml:space="preserve">Défaillances dans la gestion des versions logicielles  </t>
  </si>
  <si>
    <t xml:space="preserve">Déployer des solutions de détection des attaques par ingérence physique (cold boot, tampering).  </t>
  </si>
  <si>
    <t>Confirmer des rapports de suivi de la clause.</t>
  </si>
  <si>
    <t>Un rapport sur la pérennité de l'application existe-t-il ?</t>
  </si>
  <si>
    <t xml:space="preserve">Messages d'erreur système documentés  </t>
  </si>
  <si>
    <t xml:space="preserve">Exposition aux risques de fuite de données en raison de contrôles d'accès insuffisants.  </t>
  </si>
  <si>
    <t xml:space="preserve">Incapacité à optimiser l'utilisation des ressources IT  </t>
  </si>
  <si>
    <t xml:space="preserve">Instaurer des contrôles d'accès aux infrastructures hyperconvergées (HCI) avec séparation des rôles stricts.  </t>
  </si>
  <si>
    <t>Analyser des retours d’expérience des utilisateurs sur la clause.</t>
  </si>
  <si>
    <t>Des tests de performance sur la durée sont-ils réalisés ?</t>
  </si>
  <si>
    <t xml:space="preserve">Rapports de tests utilisateurs d'ergonomie  </t>
  </si>
  <si>
    <t xml:space="preserve">Non-conformité aux exigences de chiffrement des communications avec les partenaires externes.  </t>
  </si>
  <si>
    <t xml:space="preserve">Risque de conflits juridiques liés à la propriété intellectuelle  </t>
  </si>
  <si>
    <t xml:space="preserve">Implémenter des mécanismes de protection des données en mouvement via des tunnels chiffrés (IPsec, WireGuard).  </t>
  </si>
  <si>
    <t>Identifier des plans de renégociation de la clause.</t>
  </si>
  <si>
    <t>Les utilisateurs ont-ils confiance dans la pérennité du système ?</t>
  </si>
  <si>
    <t xml:space="preserve">Configuration de validation automatique des champs  </t>
  </si>
  <si>
    <t xml:space="preserve">Défaillance dans la gestion des certificats numériques pour les services web exposés.  </t>
  </si>
  <si>
    <t xml:space="preserve">Manque de flexibilité pour adapter l'infrastructure existante  </t>
  </si>
  <si>
    <t xml:space="preserve">Mettre en œuvre une architecture informatique modulaire et évolutive pour faciliter les adaptations futures.  </t>
  </si>
  <si>
    <t>Contrôler des preuves de formation des équipes sur la clause.</t>
  </si>
  <si>
    <t>Des actions pour maintenir la pérennité sont-elles mises en œuvre ?</t>
  </si>
  <si>
    <t xml:space="preserve">Historique des mises à jour d'interface  </t>
  </si>
  <si>
    <t xml:space="preserve">Manque de supervision des activités des comptes de service dans les environnements cloud hybrides.  </t>
  </si>
  <si>
    <t xml:space="preserve">Défaillances dans la gestion des performances des fournisseurs  </t>
  </si>
  <si>
    <t xml:space="preserve">Déployer une solution automatisée de gestion des certificats numériques avec surveillance proactive des dates d'expiration.  </t>
  </si>
  <si>
    <t>Vérifier que les montées de versions sont suivies</t>
  </si>
  <si>
    <t>Vérifier des rapports de suivi des montées de versions.</t>
  </si>
  <si>
    <t>Les équipes sont-elles formées sur les enjeux de pérennité ?</t>
  </si>
  <si>
    <t xml:space="preserve">Brouillards de saisie validés  </t>
  </si>
  <si>
    <t xml:space="preserve">Absence de procédures de gestion des risques liés aux technologies de conteneurisation.  </t>
  </si>
  <si>
    <t xml:space="preserve">Incapacité à aligner les KPI IT sur les objectifs stratégiques  </t>
  </si>
  <si>
    <t xml:space="preserve">Instaurer des audits réguliers des configurations de sécurité et des politiques de renouvellement des certificats.  </t>
  </si>
  <si>
    <t>Confirmer des tests de compatibilité avec les nouvelles versions.</t>
  </si>
  <si>
    <t>Des tests de compatibilité avec les nouvelles versions sont-ils effectuer ?</t>
  </si>
  <si>
    <t xml:space="preserve">Workflow de réconciliation documenté  </t>
  </si>
  <si>
    <t xml:space="preserve">Non-respect des bonnes pratiques en matière de gestion des clés d'API.  </t>
  </si>
  <si>
    <t xml:space="preserve">Risque de perturbation des opérations lors des mises à jour  </t>
  </si>
  <si>
    <t xml:space="preserve">Intégrer des contrôles automatisés pour vérifier la validité des certificats dans les workflows de déploiement.  </t>
  </si>
  <si>
    <t>Analyser des retours d’expérience des utilisateurs sur les montées.</t>
  </si>
  <si>
    <t>Est-ce que les retours d'experiences des utilisateurs sont analyser ?</t>
  </si>
  <si>
    <t xml:space="preserve">Logs de validation des brouillards  </t>
  </si>
  <si>
    <t xml:space="preserve">Défaut de contrôle des accès aux outils de surveillance des performances applicatives.  </t>
  </si>
  <si>
    <t xml:space="preserve">Manque de contrôles sur les environnements cloud  </t>
  </si>
  <si>
    <t xml:space="preserve">Formaliser une politique de gestion du cycle de vie des certificats incluant leur révocation en cas de compromission.  </t>
  </si>
  <si>
    <t>Les plans de migration vers les nouvelles versions sont-ils identifiables ?</t>
  </si>
  <si>
    <t xml:space="preserve">Rapports de détection d'erreurs automatiques  </t>
  </si>
  <si>
    <t xml:space="preserve">Insuffisance des mécanismes de protection contre les attaques par déni de service applicatif.  </t>
  </si>
  <si>
    <t xml:space="preserve">Défaillances dans la gestion des accès privilégiés  </t>
  </si>
  <si>
    <t xml:space="preserve">Renforcer les mécanismes d'authentification des services web via des protocoles sécurisés (TLS 1.3, etc.).  </t>
  </si>
  <si>
    <t>Contrôler des preuves de formation des équipes sur les montées.</t>
  </si>
  <si>
    <t>Les preuves de formation des des équipes sur les montées sont elles controler ?</t>
  </si>
  <si>
    <t xml:space="preserve">Procédures de correction des erreurs  </t>
  </si>
  <si>
    <t xml:space="preserve">Absence de revues périodiques des configurations de sécurité des passerelles API.  </t>
  </si>
  <si>
    <t xml:space="preserve">Incapacité à maintenir un inventaire précis des actifs IT  </t>
  </si>
  <si>
    <t xml:space="preserve">Documenter les procédures de gestion des certificats dans le manuel de sécurité informatique.  </t>
  </si>
  <si>
    <t>S’assurer qu’il existe des engagements et ou une visibilité 
suffisante pour la pérennité du progiciel</t>
  </si>
  <si>
    <t>Vérifier des rapports de pérennité de l’application.</t>
  </si>
  <si>
    <t>Existe t-il des rapports de pérennité de l’application ?</t>
  </si>
  <si>
    <t xml:space="preserve">Logs de saisie de données sensibles  </t>
  </si>
  <si>
    <t xml:space="preserve">Exposition aux attaques par injection SQL en raison de contrôles d'entrée insuffisants.  </t>
  </si>
  <si>
    <t xml:space="preserve">Risque de non-respect des engagements contractuels  </t>
  </si>
  <si>
    <t xml:space="preserve">Sensibiliser les équipes techniques aux bonnes pratiques de gestion des identités numériques.  </t>
  </si>
  <si>
    <t>Confirmer des tests de performance sur la pérennité.</t>
  </si>
  <si>
    <t>Des tests de performance sur la pérennité sont ils effectuer ?</t>
  </si>
  <si>
    <t xml:space="preserve">Certificats de chiffrement des données  </t>
  </si>
  <si>
    <t xml:space="preserve">Non-conformité aux exigences de journalisation des accès aux systèmes de gestion des identités.  </t>
  </si>
  <si>
    <t xml:space="preserve">Manque de processus formalisés pour les audits internes  </t>
  </si>
  <si>
    <t xml:space="preserve">Implémenter un système centralisé de surveillance des certificats avec alertes en temps réel.  </t>
  </si>
  <si>
    <t>Analyser des retours d’expérience des utilisateurs sur la pérennité.</t>
  </si>
  <si>
    <t>Existe t-il des retours d’expérience des utilisateurs sur la pérennité ?</t>
  </si>
  <si>
    <t xml:space="preserve">Procédures de validation hiérarchique  </t>
  </si>
  <si>
    <t xml:space="preserve">Défaillance dans la gestion des vulnérabilités des frameworks JavaScript utilisés.  </t>
  </si>
  <si>
    <t xml:space="preserve">Défaillances dans la gestion des demandes utilisateurs  </t>
  </si>
  <si>
    <t xml:space="preserve">Réaliser des tests de pénétration réguliers pour identifier les vulnérabilités liées aux certificats expirés.  </t>
  </si>
  <si>
    <t>Identifier des plans de maintien de la pérennité.</t>
  </si>
  <si>
    <t>Existe t-il des plans de maitien de la pérennité ?</t>
  </si>
  <si>
    <t xml:space="preserve">Alertes de détection d'accès non autorisés  </t>
  </si>
  <si>
    <t xml:space="preserve">Manque de procédures de réponse aux incidents de compromission des clés de chiffrement.  </t>
  </si>
  <si>
    <t xml:space="preserve">Incapacité à garantir la disponibilité des services critiques  </t>
  </si>
  <si>
    <t xml:space="preserve">Adopter des outils de gestion des identités et accès (IAM) pour harmoniser les droits sur les services web.  </t>
  </si>
  <si>
    <t>Contrôler des preuves de formation des équipes sur la pérennité.</t>
  </si>
  <si>
    <t>Existe t-il des preuves de formation des équipes sur la pérennité ?</t>
  </si>
  <si>
    <t xml:space="preserve">Journal des modifications de données sensibles  </t>
  </si>
  <si>
    <t xml:space="preserve">Absence de tests de résistance aux attaques sur les systèmes de gestion des logs.  </t>
  </si>
  <si>
    <t xml:space="preserve">Risque de perte de compétences clés au sein des équipes  </t>
  </si>
  <si>
    <t xml:space="preserve">Créer un référentiel unique pour inventorier tous les certificats en vigueur et leurs métadonnées.  </t>
  </si>
  <si>
    <t xml:space="preserve">DOMAIN </t>
  </si>
  <si>
    <t>POINT DE CONTRÔLE</t>
  </si>
  <si>
    <t>OBJECTIF DE CONTRÔLE</t>
  </si>
  <si>
    <t xml:space="preserve">CRITERE D'EVALUATION </t>
  </si>
  <si>
    <t xml:space="preserve">QUESTION D'EVALUATION </t>
  </si>
  <si>
    <t xml:space="preserve">REPONSE </t>
  </si>
  <si>
    <t xml:space="preserve">DOCUMENTS REQUIS </t>
  </si>
  <si>
    <t xml:space="preserve">RISQUE </t>
  </si>
  <si>
    <t>CRITICITE</t>
  </si>
  <si>
    <t>CONSEQUENCES</t>
  </si>
  <si>
    <t>RECOMANDATIONS</t>
  </si>
  <si>
    <t>Audit de la Fonction Informatique</t>
  </si>
  <si>
    <t>Rôle et positionnement de l'informatique dans l'organisation</t>
  </si>
  <si>
    <t>Vérifier qu’ont été créés des Comités « informatique » (stratégique, pilotage,..) regroupant les différentes directions de l’Organisation en charge de recenser les besoins et les opportunités, gérer les priorités et suivre les projets</t>
  </si>
  <si>
    <t>Comité formé et représentativité</t>
  </si>
  <si>
    <t>Le comité est-il bien formé et représentatif ?</t>
  </si>
  <si>
    <t>Oui / Non</t>
  </si>
  <si>
    <t>Contrat de maintenance, avenant de transition, SLA (Service Level Agreement)</t>
  </si>
  <si>
    <t>Manque de documentation claire, confusion sur les responsabilités</t>
  </si>
  <si>
    <t>Risques de malentendus, non-respect des engagements, coûts supplémentaires</t>
  </si>
  <si>
    <t>Formaliser les documents contractuels pour la transition et s'assurer de leur compréhension par toutes les parties</t>
  </si>
  <si>
    <t>Suivi de l'avancement des projets</t>
  </si>
  <si>
    <t>L’avancement des projets est-il suivi de manière efficace ?</t>
  </si>
  <si>
    <t>Avenant contractuel, plan de transition, clauses de garantie et de maintenance</t>
  </si>
  <si>
    <t>Ambiguïté sur les critères de bascule, conflits entre parties</t>
  </si>
  <si>
    <t>Retards dans la transition, conflits contractuels, confusion sur les responsabilités</t>
  </si>
  <si>
    <t>Clarifier les conditions de bascule dans les documents contractuels et valider avec toutes les parties prenantes</t>
  </si>
  <si>
    <t>Clarté du mandat et des objectifs du comité</t>
  </si>
  <si>
    <t>Le mandat et les objectifs du comité sont-ils clairs ?</t>
  </si>
  <si>
    <t>Compte-rendu de réunion, plan de communication interne</t>
  </si>
  <si>
    <t>Mauvaise communication des conditions, confusion sur les responsabilités</t>
  </si>
  <si>
    <t>Mauvais alignement entre les parties, non-respect des engagements contractuels</t>
  </si>
  <si>
    <t>Organiser des réunions de clarification avec toutes les parties et fournir des documents détaillés</t>
  </si>
  <si>
    <t>Mesure de l'impact et de la performance des projets</t>
  </si>
  <si>
    <t>L'impact et la performance des projets sont-ils mesurés correctement ?</t>
  </si>
  <si>
    <t>Rapport de suivi de transition, tableau de bord de suivi de performance</t>
  </si>
  <si>
    <t>Absence de suivi, mauvaise gestion de la transition</t>
  </si>
  <si>
    <t>Difficulté à suivre l’avancement de la transition, risques d'oublis ou d'écarts</t>
  </si>
  <si>
    <t>Mettre en place un suivi détaillé de la transition et des indicateurs de performance pour assurer la conformité</t>
  </si>
  <si>
    <t>Processus de prise de décision et de gestion des priorités</t>
  </si>
  <si>
    <t>Le processus de prise de décision et de gestion des priorités est-il bien défini ?</t>
  </si>
  <si>
    <t>Document stratégique formalisé</t>
  </si>
  <si>
    <t>Documents non validés par toutes les parties, mauvaises interprétations des termes</t>
  </si>
  <si>
    <t>Retards dans la mise en place de la maintenance, problèmes de conformité</t>
  </si>
  <si>
    <t>S’assurer que les documents de bascule sont validés formellement par toutes les parties avant la transition</t>
  </si>
  <si>
    <t>Vérifier l’existence d’une charte informatique ou de tout autre document définissant le rôle et le périmètre de responsabilité de la DSI</t>
  </si>
  <si>
    <t>Existence d'un document formalisé</t>
  </si>
  <si>
    <t>Existe-t-il un document formalisé ?</t>
  </si>
  <si>
    <t>NON</t>
  </si>
  <si>
    <t>Absence de cadre structurant</t>
  </si>
  <si>
    <t>Désorganisation, perte de temps</t>
  </si>
  <si>
    <t>Élaborer un document structurant</t>
  </si>
  <si>
    <t>Processus de révision et de mise à jour</t>
  </si>
  <si>
    <t>Le processus de révision et de mise à jour est-il bien défini ?</t>
  </si>
  <si>
    <t>Procédure de mise à jour</t>
  </si>
  <si>
    <t>Obsolescence de l'information</t>
  </si>
  <si>
    <t>Utilisation de données périmées</t>
  </si>
  <si>
    <t>Instaurer un processus de révision périodique</t>
  </si>
  <si>
    <t xml:space="preserve"> Périmètre des responsabilités</t>
  </si>
  <si>
    <t>Le périmètre des responsabilités est-il clairement établi ?</t>
  </si>
  <si>
    <t>Organigramme, fiches de poste</t>
  </si>
  <si>
    <t>Flou dans les responsabilités</t>
  </si>
  <si>
    <t>Mauvaise exécution des tâches</t>
  </si>
  <si>
    <t>Clarifier les responsabilités dans un cadre officiel</t>
  </si>
  <si>
    <t>Communication et accessibilité</t>
  </si>
  <si>
    <t>La communication et l'accessibilité sont-elles adéquates ?</t>
  </si>
  <si>
    <t>Plan de communication, supports d'information</t>
  </si>
  <si>
    <t>Manque d'accès à l'information</t>
  </si>
  <si>
    <t>Confusion dans l'accès aux infos clés</t>
  </si>
  <si>
    <t>Améliorer la diffusion des informations</t>
  </si>
  <si>
    <t>Alignement avec la stratégie de l'organisation</t>
  </si>
  <si>
    <t>L'alignement avec la stratégie de l'organisation est-il assuré ?</t>
  </si>
  <si>
    <t>Plan stratégique de l'organisation</t>
  </si>
  <si>
    <t>Incohérence des actions avec les objectifs</t>
  </si>
  <si>
    <t>Décalage entre stratégie et exécution</t>
  </si>
  <si>
    <t>Aligner formellement les objectifs SI et globaux</t>
  </si>
  <si>
    <t>Évaluer le degré d’implication et de maîtrise des organes de gestion dans les systèmes d’information de l’Organisation</t>
  </si>
  <si>
    <t>Fréquence et formalisation des revues des SI par la gouvernance.</t>
  </si>
  <si>
    <t>Fréquence et formalisation des revues des SI par la gouvernance sont-elles adéquates ?</t>
  </si>
  <si>
    <t>Rapports de revues, compte-rendus de réunions</t>
  </si>
  <si>
    <t>Perte de visibilité sur les enjeux SI</t>
  </si>
  <si>
    <t>Très élevée</t>
  </si>
  <si>
    <t>Projets non alignés ou inefficaces</t>
  </si>
  <si>
    <t>Planifier des revues régulières</t>
  </si>
  <si>
    <t>Niveau de compréhension des enjeux SI par les décideurs.</t>
  </si>
  <si>
    <t>Les décideurs comprennent-ils bien les enjeux SI ?</t>
  </si>
  <si>
    <t>Comptes rendus de réunions, formations</t>
  </si>
  <si>
    <t>Décisions mal informées</t>
  </si>
  <si>
    <t>Erreurs de pilotage</t>
  </si>
  <si>
    <t>Former les décideurs sur les enjeux SI</t>
  </si>
  <si>
    <t xml:space="preserve"> Implication dans les décisions stratégiques (budget, orientation technologique).</t>
  </si>
  <si>
    <t>Les décideurs sont-ils impliqués dans les décisions stratégiques ?</t>
  </si>
  <si>
    <t>Procès-verbaux de décisions, budgets validés</t>
  </si>
  <si>
    <t>Stratégie SI non priorisée</t>
  </si>
  <si>
    <t>Investissements non optimisés</t>
  </si>
  <si>
    <t>Impliquer la direction dans les décisions SI</t>
  </si>
  <si>
    <t xml:space="preserve"> Existence d’un reporting régulier sur les performances et risques des SI.</t>
  </si>
  <si>
    <t>Existe-t-il un reporting régulier sur les SI ?</t>
  </si>
  <si>
    <t>Rapports de performance SI</t>
  </si>
  <si>
    <t>Manque d’anticipation des risques</t>
  </si>
  <si>
    <t>Non-détection des anomalies</t>
  </si>
  <si>
    <t>Mettre en place un reporting régulier</t>
  </si>
  <si>
    <t>Participation aux comités de pilotage des projets majeurs.</t>
  </si>
  <si>
    <t>Les décideurs participent-ils aux comités de pilotage des projets majeurs ?</t>
  </si>
  <si>
    <t>Présences aux comités de pilotage</t>
  </si>
  <si>
    <t>Décisions non concertées</t>
  </si>
  <si>
    <t>Retards et conflits</t>
  </si>
  <si>
    <t>Formaliser la participation au pilotage</t>
  </si>
  <si>
    <t>Vérifier en pratique que le leadership des grands projets est assuré par les organes de gestion</t>
  </si>
  <si>
    <t>Désignation d’un sponsor exécutif issu de la direction.</t>
  </si>
  <si>
    <t>Le sponsor exécutif est-il désigné parmi la direction ?</t>
  </si>
  <si>
    <t>Nomination officielle du sponsor</t>
  </si>
  <si>
    <t>Manque de leadership sur les projets</t>
  </si>
  <si>
    <t>Faible engagement des équipes</t>
  </si>
  <si>
    <t>Désigner un sponsor clairement identifié</t>
  </si>
  <si>
    <t>Participation aux revues clés (jalons, risques, budgets).</t>
  </si>
  <si>
    <t>La direction participe-t-elle aux revues clés (jalons, risques, budgets) ?</t>
  </si>
  <si>
    <t>Comptes rendus de réunions de revue</t>
  </si>
  <si>
    <t>Non maîtrise des risques ou délais</t>
  </si>
  <si>
    <t>Retards, surcoûts, risques non suivis</t>
  </si>
  <si>
    <t>Planifier les revues à chaque étape clé</t>
  </si>
  <si>
    <t xml:space="preserve"> Réactivité dans la prise de décision en cas de dérive.</t>
  </si>
  <si>
    <t>La réactivité de la direction est-elle suffisante en cas de dérive ?</t>
  </si>
  <si>
    <t>Décisions prises et datées en cas de dérive</t>
  </si>
  <si>
    <t>Réactions tardives face aux dérives</t>
  </si>
  <si>
    <t>Aggravation des écarts</t>
  </si>
  <si>
    <t>Définir un protocole de réaction rapide</t>
  </si>
  <si>
    <t xml:space="preserve"> Preuve d’alignement avec la stratégie globale.</t>
  </si>
  <si>
    <t>L'alignement avec la stratégie globale est-il prouvé ?</t>
  </si>
  <si>
    <t>Documents stratégiques comparatifs</t>
  </si>
  <si>
    <t>Incohérence stratégique</t>
  </si>
  <si>
    <t>Projets sans vision d'ensemble</t>
  </si>
  <si>
    <t>Mettre en place un suivi stratégique intégré</t>
  </si>
  <si>
    <t>Les parties prenantes sont-elles satisfaites de l’implication de la direction ?</t>
  </si>
  <si>
    <t>Vérifier que les métiers assurent leur rôle de MOA.</t>
  </si>
  <si>
    <t>Définition claire des rôles MOA dans les chartes projet.</t>
  </si>
  <si>
    <t>Les rôles de la MOA sont-ils clairement définis dans les chartes projet ?</t>
  </si>
  <si>
    <t>Oui</t>
  </si>
  <si>
    <t>Charte projet</t>
  </si>
  <si>
    <t>Vérification des rôles MOA</t>
  </si>
  <si>
    <t>Risque de confusion sur les responsabilités.</t>
  </si>
  <si>
    <t>Clarifier les rôles MOA dès le lancement du projet</t>
  </si>
  <si>
    <t>Implication dans la rédaction des besoins et prioritisation.</t>
  </si>
  <si>
    <t>La MOA est-elle impliquée dans la rédaction des besoins et leur priorisation ?</t>
  </si>
  <si>
    <t>Non</t>
  </si>
  <si>
    <t>Cahier des charges fonctionnel</t>
  </si>
  <si>
    <t>Manque de clarté des rôles</t>
  </si>
  <si>
    <t>Mauvaise priorisation des fonctionnalités.</t>
  </si>
  <si>
    <t>Associer les MOA à la rédaction et à la hiérarchisation des besoins</t>
  </si>
  <si>
    <t>Participation aux tests utilisateurs et recettes.</t>
  </si>
  <si>
    <t>La MOA participe-t-elle aux tests utilisateurs et recettes ?</t>
  </si>
  <si>
    <t>PV de recette</t>
  </si>
  <si>
    <t>Mauvaise priorisation des besoins</t>
  </si>
  <si>
    <t>Découverte tardive de bugs ou non-conformités.</t>
  </si>
  <si>
    <t>Impliquer les MOA dans les tests et les recettes utilisateurs</t>
  </si>
  <si>
    <t xml:space="preserve"> Désignation d’un référent métier pour les projets critiques.</t>
  </si>
  <si>
    <t>Un référent métier est-il désigné pour les projets critiques ?</t>
  </si>
  <si>
    <t>Plan de tests utilisateurs</t>
  </si>
  <si>
    <t>Tests utilisateurs insuffisants</t>
  </si>
  <si>
    <t>Absence de coordination dans les projets critiques.</t>
  </si>
  <si>
    <t>Nommer un référent métier pour chaque projet critique</t>
  </si>
  <si>
    <t xml:space="preserve"> Adéquation entre livrables et attentes métiers (mesures post-projet).</t>
  </si>
  <si>
    <t>Les livrables sont-ils alignés avec les attentes métiers ?</t>
  </si>
  <si>
    <t>Désignation du référent métier</t>
  </si>
  <si>
    <t>Absence de référent métier</t>
  </si>
  <si>
    <t>Insatisfaction si les livrables ne correspondent pas aux attentes.</t>
  </si>
  <si>
    <t>Mesurer l’écart entre livrables et besoins métiers après livraison</t>
  </si>
  <si>
    <t>Planification stratégique</t>
  </si>
  <si>
    <t>Vérifier la couverture du périmètre fonctionnel</t>
  </si>
  <si>
    <r>
      <t>Exhaustivité</t>
    </r>
    <r>
      <rPr>
        <sz val="11"/>
        <color theme="1"/>
        <rFont val="Calibri"/>
        <family val="2"/>
        <scheme val="minor"/>
      </rPr>
      <t xml:space="preserve"> Vérifier que toutes les fonctions nécessaires à l’organisation sont couvertes.</t>
    </r>
  </si>
  <si>
    <t>Toutes les fonctions nécessaires à l’organisation sont-elles couvertes ?</t>
  </si>
  <si>
    <t>Cartographie des fonctions</t>
  </si>
  <si>
    <t>Non-alignement des livrables avec les attentes</t>
  </si>
  <si>
    <t>Fonctions essentielles omises.</t>
  </si>
  <si>
    <t>Lister toutes les fonctions indispensables à l’organisation</t>
  </si>
  <si>
    <r>
      <t>Validation</t>
    </r>
    <r>
      <rPr>
        <sz val="11"/>
        <color theme="1"/>
        <rFont val="Calibri"/>
        <family val="2"/>
        <scheme val="minor"/>
      </rPr>
      <t xml:space="preserve"> : Le périmètre a-t-il été validé par les parties prenantes concernées ?</t>
    </r>
  </si>
  <si>
    <t>Le périmètre a-t-il été validé par les parties prenantes concernées ?</t>
  </si>
  <si>
    <t>Validation du périmètre fonctionnel</t>
  </si>
  <si>
    <t>Vérification de la couverture du périmètre fonctionnel</t>
  </si>
  <si>
    <t>Solution qui ne répond pas aux attentes des parties prenantes.</t>
  </si>
  <si>
    <t>Valider le périmètre avec toutes les parties prenantes concernées</t>
  </si>
  <si>
    <r>
      <t>Mise à jour</t>
    </r>
    <r>
      <rPr>
        <sz val="11"/>
        <color theme="1"/>
        <rFont val="Calibri"/>
        <family val="2"/>
        <scheme val="minor"/>
      </rPr>
      <t xml:space="preserve"> Vérifier que le périmètre fonctionnel est actualisé en fonction des évolutions de l’entreprise.</t>
    </r>
  </si>
  <si>
    <t>Le périmètre fonctionnel est-il mis à jour en fonction des évolutions de l’entreprise ?</t>
  </si>
  <si>
    <t>Plan d’évolution du périmètre</t>
  </si>
  <si>
    <t>Fonctions essentielles non couvertes</t>
  </si>
  <si>
    <t xml:space="preserve">Moyenne </t>
  </si>
  <si>
    <t>Solution obsolète et non adaptée aux besoins actuels.</t>
  </si>
  <si>
    <t>Actualiser le périmètre fonctionnel à chaque évolution majeure</t>
  </si>
  <si>
    <r>
      <t>Alignement stratégique</t>
    </r>
    <r>
      <rPr>
        <sz val="11"/>
        <color theme="1"/>
        <rFont val="Calibri"/>
        <family val="2"/>
        <scheme val="minor"/>
      </rPr>
      <t xml:space="preserve"> Le périmètre fonctionnel correspond-il aux objectifs stratégiques de l’organisation ?</t>
    </r>
  </si>
  <si>
    <t>Le périmètre fonctionnel correspond-il aux objectifs stratégiques de l’organisation ?</t>
  </si>
  <si>
    <t>Extrait du schéma directeur</t>
  </si>
  <si>
    <t>Périmètre mal validé</t>
  </si>
  <si>
    <t>Fonctionnalités non alignées avec les objectifs stratégiques.</t>
  </si>
  <si>
    <t>Aligner le périmètre fonctionnel avec les objectifs stratégiques</t>
  </si>
  <si>
    <r>
      <t>Documentation</t>
    </r>
    <r>
      <rPr>
        <sz val="11"/>
        <color theme="1"/>
        <rFont val="Calibri"/>
        <family val="2"/>
        <scheme val="minor"/>
      </rPr>
      <t xml:space="preserve"> Confirmer l’existence d’un document décrivant clairement les fonctions couvertes.</t>
    </r>
  </si>
  <si>
    <t>Un document décrivant clairement les fonctions couvertes existe-t-il ?</t>
  </si>
  <si>
    <t>Dossier d’architecture fonctionnelle</t>
  </si>
  <si>
    <t>Périmètre non mis à jour</t>
  </si>
  <si>
    <t>Manque de clarté sur les attentes et fonctionnalités.</t>
  </si>
  <si>
    <t>Documenter précisément les fonctions prises en charge par le système</t>
  </si>
  <si>
    <t>Vérifier l’existence d’une analyse à jour des procédures de pilotage et de mise à jour du plan informatique</t>
  </si>
  <si>
    <t>Disponibilité : Vérifier que l’analyse est bien documentée et accessible aux parties prenantes.</t>
  </si>
  <si>
    <t>L’analyse est-elle bien documentée et accessible aux parties prenantes ?</t>
  </si>
  <si>
    <t>Manuel de procédures</t>
  </si>
  <si>
    <t>Non-alignement avec la stratégie</t>
  </si>
  <si>
    <t>Risque d’inaccessibilité de l’information pour les acteurs concernés.</t>
  </si>
  <si>
    <t>Perte d’information en cas d’indisponibilité de l’analyse</t>
  </si>
  <si>
    <t>Traçabilité : Examiner si les modifications apportées aux procédures sont enregistrées et justifiées.</t>
  </si>
  <si>
    <t>Les modifications des procédures sont-elles enregistrées et justifiées ?</t>
  </si>
  <si>
    <t>Journal des modifications</t>
  </si>
  <si>
    <t>Documentation insuffisante</t>
  </si>
  <si>
    <t>Absence d’historique en cas de contrôle ou d’audit.</t>
  </si>
  <si>
    <t>Altération de l’historique des décisions</t>
  </si>
  <si>
    <t>Actualisation : Contrôler si les procédures sont mises à jour régulièrement en fonction des évolutions technologiques.</t>
  </si>
  <si>
    <t>Les procédures sont-elles régulièrement mises à jour en fonction des évolutions technologiques ?</t>
  </si>
  <si>
    <t>Registre de validation</t>
  </si>
  <si>
    <t>Procédures obsolètes</t>
  </si>
  <si>
    <t>Obsolescence des procédures menant à des erreurs.</t>
  </si>
  <si>
    <t>Utilisation de procédures obsolètes</t>
  </si>
  <si>
    <t>Validation : S’assurer que les procédures ont été approuvées par la direction et les responsables concernés</t>
  </si>
  <si>
    <t>Les procédures ont-elles été approuvées par la direction et les responsables concernés ?</t>
  </si>
  <si>
    <t>Document de conformité</t>
  </si>
  <si>
    <t>Mise à jour insuffisante</t>
  </si>
  <si>
    <t>Procédures non reconnues par les responsables.</t>
  </si>
  <si>
    <t>Manque de fiabilité des processus</t>
  </si>
  <si>
    <t>Conformité : Vérifier que les procédures respectent les réglementations et les bonnes pratiques du secteur.</t>
  </si>
  <si>
    <t>Les procédures respectent-elles les réglementations et les bonnes pratiques du secteur ?</t>
  </si>
  <si>
    <t>Planning de mise à jour</t>
  </si>
  <si>
    <t>Non-conformité</t>
  </si>
  <si>
    <t>Sanctions ou pénalités en cas de non-conformité.</t>
  </si>
  <si>
    <t>Non-respect des obligations légales</t>
  </si>
  <si>
    <t>Vérifier l’existence des documents à jour d’urbanisme de l’Organisation</t>
  </si>
  <si>
    <t>Exhaustivité : Vérifier que tous les aspects de l’urbanisme informatique sont couverts par les documents.</t>
  </si>
  <si>
    <t>Tous les aspects de l’urbanisme informatique sont-ils couverts par les documents ?</t>
  </si>
  <si>
    <t>Schéma directeur du SI</t>
  </si>
  <si>
    <t>Retard d’actualisation</t>
  </si>
  <si>
    <t>Parties critiques de l’urbanisme non traitées.</t>
  </si>
  <si>
    <t>Décisions prises sur des bases incomplètes</t>
  </si>
  <si>
    <t>Conformité : S’assurer que les documents respectent les normes et réglementations en vigueur.</t>
  </si>
  <si>
    <t>Les documents respectent-ils les normes et réglementations en vigueur ?</t>
  </si>
  <si>
    <t>Plan d’urbanisation</t>
  </si>
  <si>
    <t>Manque de gouvernance</t>
  </si>
  <si>
    <t>Risques juridiques liés à la non-conformité.</t>
  </si>
  <si>
    <t>Non-conformité réglementaire</t>
  </si>
  <si>
    <t>Actualisation : S’assurer que les documents sont régulièrement mis à jour pour refléter l’évolution du système d’information.</t>
  </si>
  <si>
    <t>Les documents sont-ils régulièrement mis à jour pour refléter l’évolution du système d’information ?</t>
  </si>
  <si>
    <t>Cartographie applicative</t>
  </si>
  <si>
    <t>Absence d’approbation</t>
  </si>
  <si>
    <t>Décalage entre les documents et la réalité du système.</t>
  </si>
  <si>
    <t>Décalage entre documentation et réalité du SI</t>
  </si>
  <si>
    <t>Validation : Vérifier que les documents ont été approuvés par les instances compétentes.</t>
  </si>
  <si>
    <t>Les documents ont-ils été approuvés par les instances compétentes ?</t>
  </si>
  <si>
    <t>Registre des normes</t>
  </si>
  <si>
    <t>Non-validation par la direction</t>
  </si>
  <si>
    <t>Manque de légitimité des documents non validés.</t>
  </si>
  <si>
    <t>Rejet des documents par les instances</t>
  </si>
  <si>
    <t>Accessibilité : Vérifier que les documents sont disponibles et consultables par les parties prenantes concernées.</t>
  </si>
  <si>
    <t>Les documents sont-ils disponibles et consultables par les parties prenantes concernées ?</t>
  </si>
  <si>
    <t>PV de validation</t>
  </si>
  <si>
    <t>Difficulté d’adhésion</t>
  </si>
  <si>
    <t>Difficulté pour les utilisateurs à trouver les informations utiles.</t>
  </si>
  <si>
    <t>Difficulté d’accès à l’information essentielle</t>
  </si>
  <si>
    <t>Vérifier l’existence d’une analyse à jour des procédures de pilotage et de mise à jour du plan d’occupation des sols (POS)</t>
  </si>
  <si>
    <t>Exhaustivité : Vérifier que l’analyse prend en compte tous les éléments du plan d’occupation des sols.</t>
  </si>
  <si>
    <t>L’analyse prend-elle en compte tous les éléments du plan d’occupation des sols ?</t>
  </si>
  <si>
    <t>Étude POS numérique</t>
  </si>
  <si>
    <t>Problème de gouvernance</t>
  </si>
  <si>
    <t>Omissions dans la planification du système d’information.</t>
  </si>
  <si>
    <t>Omissions dans le diagnostic d’urbanisme</t>
  </si>
  <si>
    <t>Conformité : S’assurer que l’analyse respecte les réglementations en vigueur.</t>
  </si>
  <si>
    <t>L’analyse respecte-t-elle les réglementations en vigueur ?</t>
  </si>
  <si>
    <t>Rapport de conformité</t>
  </si>
  <si>
    <t>Risque juridique</t>
  </si>
  <si>
    <t>Non-respect des lois ou des normes d’urbanisme.</t>
  </si>
  <si>
    <t>Sanctions liées au non-respect des normes</t>
  </si>
  <si>
    <t>Récence : Contrôler que l’analyse est récente et qu’elle intègre les évolutions du contexte.</t>
  </si>
  <si>
    <t>L’analyse est-elle récente et intègre-t-elle les évolutions du contexte ?</t>
  </si>
  <si>
    <t>Analyse d’impact</t>
  </si>
  <si>
    <t>Non-conformité aux normes</t>
  </si>
  <si>
    <t>Décisions prises sur la base d’analyses obsolètes.</t>
  </si>
  <si>
    <t>Décalage avec le contexte opérationnel</t>
  </si>
  <si>
    <t>Documentation : Vérifier que l’analyse est bien documentée et disponible pour consultation.</t>
  </si>
  <si>
    <t>L’analyse est-elle bien documentée et disponible pour consultation ?</t>
  </si>
  <si>
    <t>Dossier de cohérence</t>
  </si>
  <si>
    <t>Non-respect des réglementations</t>
  </si>
  <si>
    <t>Perte de savoir ou difficulté d’accès aux analyses.</t>
  </si>
  <si>
    <t>Manque de support pour les prises de décision</t>
  </si>
  <si>
    <t>Cohérence : Vérifier que l’analyse est alignée avec la stratégie globale de l’organisation.</t>
  </si>
  <si>
    <t>L’analyse est-elle alignée avec la stratégie globale de l’organisation ?</t>
  </si>
  <si>
    <t>Rapport de stratégie globale</t>
  </si>
  <si>
    <t>Absence de bonnes pratiques</t>
  </si>
  <si>
    <t>Décalage entre architecture et stratégie de l’organisation.</t>
  </si>
  <si>
    <t>Inadéquation avec la stratégie de l’organisation</t>
  </si>
  <si>
    <t>Vérifier la cohérence et l’homogénéité des technologies</t>
  </si>
  <si>
    <t>Standardisation : Vérifier que des standards technologiques sont définis et appliqués.</t>
  </si>
  <si>
    <t>Des standards technologiques sont-ils définis et appliqués ?</t>
  </si>
  <si>
    <t>Catalogue technologique</t>
  </si>
  <si>
    <t>Incohérence technologique entre les systèmes.</t>
  </si>
  <si>
    <t>Incompatibilités entre technologies</t>
  </si>
  <si>
    <t>Sécurité : S’assurer que les choix technologiques garantissent un niveau de cybersécurité adéquat.</t>
  </si>
  <si>
    <t>Les choix technologiques garantissent-ils un niveau de cybersécurité adéquat ?</t>
  </si>
  <si>
    <t>Analyse cybersécurité</t>
  </si>
  <si>
    <t>Non-harmonisation</t>
  </si>
  <si>
    <t>Failles de sécurité exploitables.</t>
  </si>
  <si>
    <t>Vulnérabilités accrues du SI</t>
  </si>
  <si>
    <t>Interopérabilité : S’assurer que les technologies mises en place peuvent fonctionner ensemble sans incompatibilités.</t>
  </si>
  <si>
    <t>Les technologies mises en place peuvent-elles fonctionner ensemble sans incompatibilités ?</t>
  </si>
  <si>
    <t>Document d’architecture technique</t>
  </si>
  <si>
    <t>Documents incomplets</t>
  </si>
  <si>
    <t>Incompatibilités techniques entre composants.</t>
  </si>
  <si>
    <t>Blocages lors de l’intégration des systèmes</t>
  </si>
  <si>
    <t>Optimisation des coûts : Vérifier que les technologies utilisées sont économiquement viables et optimisées</t>
  </si>
  <si>
    <t>Les technologies utilisées sont-elles économiquement viables et optimisées ?</t>
  </si>
  <si>
    <t>Étude de coût</t>
  </si>
  <si>
    <t>Omission d’informations</t>
  </si>
  <si>
    <t>Surcoûts liés à des choix technologiques inadaptés.</t>
  </si>
  <si>
    <t>Surcoûts d’exploitation non maîtrisés</t>
  </si>
  <si>
    <t>Évolutivité : Vérifier que les technologies permettent des évolutions futures sans refonte majeure.</t>
  </si>
  <si>
    <t>Les technologies permettent-elles des évolutions futures sans refonte majeure ?</t>
  </si>
  <si>
    <t>Roadmap d’évolutivité</t>
  </si>
  <si>
    <t>Incohérence</t>
  </si>
  <si>
    <t>Blocages dans l’évolution du système.</t>
  </si>
  <si>
    <t>Risque de refonte prématurée des systèmes</t>
  </si>
  <si>
    <t>Vérifier l’existence et l’unicité des référentiels (clients, fournisseurs, articles…) et des saisies.</t>
  </si>
  <si>
    <t>Unicité : S’assurer que chaque entité possède un identifiant unique dans le système.</t>
  </si>
  <si>
    <t>Chaque entité possède-t-elle un identifiant unique dans le système ?</t>
  </si>
  <si>
    <t>Registre des identifiants uniques</t>
  </si>
  <si>
    <t>Documents non couverts</t>
  </si>
  <si>
    <t>Doublons ou collisions dans les identifiants.</t>
  </si>
  <si>
    <t>Dédoublonnements ou confusions dans les référentiels</t>
  </si>
  <si>
    <t>Cohérence : S’assurer que les données sont harmonisées et uniformisées entre les différents systèmes.</t>
  </si>
  <si>
    <t>Les données sont-elles harmonisées et uniformisées entre les différents systèmes ?</t>
  </si>
  <si>
    <t>Cahier des charges des données</t>
  </si>
  <si>
    <t>Non-adhérence aux besoins</t>
  </si>
  <si>
    <t>Données incohérentes entre les systèmes.</t>
  </si>
  <si>
    <t>Décalages entre les systèmes interconnectés</t>
  </si>
  <si>
    <t>Mise à jour : Vérifier que les référentiels sont régulièrement actualisés pour éviter les incohérences.</t>
  </si>
  <si>
    <t>Les référentiels sont-ils régulièrement actualisés pour éviter les incohérences ?</t>
  </si>
  <si>
    <t>Plan de mise à jour des référentiels</t>
  </si>
  <si>
    <t>Documents inaccessibles</t>
  </si>
  <si>
    <t>Utilisation de données obsolètes.</t>
  </si>
  <si>
    <t>Données erronées non détectées à temps</t>
  </si>
  <si>
    <t>Sécurité et intégrité : Vérifier que les référentiels sont protégés contre les erreurs, fraudes et accès non autorisés.</t>
  </si>
  <si>
    <t>Les référentiels sont-ils protégés contre les erreurs, fraudes et accès non autorisés ?</t>
  </si>
  <si>
    <t>Rapport de sécurité des référentiels</t>
  </si>
  <si>
    <t>Manque de diffusion</t>
  </si>
  <si>
    <t>Données sensibles exposées ou altérées.</t>
  </si>
  <si>
    <t>Risques accrus de pertes ou de fuites de données</t>
  </si>
  <si>
    <t xml:space="preserve">oui </t>
  </si>
  <si>
    <t>Procédure de protection des référentiels</t>
  </si>
  <si>
    <t>Difficulté d’accès</t>
  </si>
  <si>
    <t>Non-maîtrise des activités si les processus ne sont pas identifiés.</t>
  </si>
  <si>
    <t>Manque de visibilité sur les processus clés</t>
  </si>
  <si>
    <t>Budgets et coûts informatiques</t>
  </si>
  <si>
    <t>Évaluer l’organisation et les processus existants</t>
  </si>
  <si>
    <t>Identification et documentation des processus</t>
  </si>
  <si>
    <t>Les processus sont-ils bien identifiés et documentés ?</t>
  </si>
  <si>
    <t>Cartographie des processus</t>
  </si>
  <si>
    <t>Documents mal partagés</t>
  </si>
  <si>
    <t>Absence d’amélioration et stagnation des performances.</t>
  </si>
  <si>
    <t>Amélioration stagnante des processus</t>
  </si>
  <si>
    <t>Mécanismes d’amélioration continue</t>
  </si>
  <si>
    <t>Des mécanismes d’amélioration continue sont-ils en place ?</t>
  </si>
  <si>
    <t>Registre des améliorations continues</t>
  </si>
  <si>
    <t>Manque de centralisation</t>
  </si>
  <si>
    <t>Résultats insatisfaisants malgré les efforts engagés.</t>
  </si>
  <si>
    <t>Risque de non-performance des processus</t>
  </si>
  <si>
    <t>Efficacité des processus</t>
  </si>
  <si>
    <t>Les processus sont-ils efficaces ?</t>
  </si>
  <si>
    <t>Guide de gouvernance des processus</t>
  </si>
  <si>
    <t>Analyse obsolète</t>
  </si>
  <si>
    <t>Confusion dans l’exécution des tâches.</t>
  </si>
  <si>
    <t>Confusion sur les responsabilités assignées</t>
  </si>
  <si>
    <t>Clarté des responsabilités</t>
  </si>
  <si>
    <t>Les responsabilités sont-elles claires ?</t>
  </si>
  <si>
    <t>Manuel de clarification des responsabilités</t>
  </si>
  <si>
    <t>Sanctions ou risques juridiques pour non-conformité.</t>
  </si>
  <si>
    <t>Risque de non-conformité juridique</t>
  </si>
  <si>
    <t>Conformité aux réglementations</t>
  </si>
  <si>
    <t>Les processus sont-ils conformes aux réglementations ?</t>
  </si>
  <si>
    <t>Document de conformité réglementaire</t>
  </si>
  <si>
    <t>Non-intégration des évolutions</t>
  </si>
  <si>
    <t>Décisions basées sur des informations partielles.</t>
  </si>
  <si>
    <t>Mauvaise prise de décision en l'absence de données</t>
  </si>
  <si>
    <t>Vérifier l’existence des ratios et des éléments de benchmark (interne et/ou externe, ratio coûts/CA, …)</t>
  </si>
  <si>
    <t>Disponibilité des ratios clés</t>
  </si>
  <si>
    <t>Les ratios clés sont-ils disponibles ?</t>
  </si>
  <si>
    <t>Tableau de bord des ratios</t>
  </si>
  <si>
    <t>Mise à jour incomplète</t>
  </si>
  <si>
    <t>Erreur dans les analyses en raison de données peu fiables.</t>
  </si>
  <si>
    <t>Utilisation de données inexactes</t>
  </si>
  <si>
    <t>Fiabilité des sources de données</t>
  </si>
  <si>
    <t>Les sources de données sont-elles fiables ?</t>
  </si>
  <si>
    <t>Registre des sources de données</t>
  </si>
  <si>
    <t>Données non actualisées</t>
  </si>
  <si>
    <t>Mauvais positionnement face aux benchmarks internes et externes.</t>
  </si>
  <si>
    <t>Décisions erronées par manque de comparaison fiable</t>
  </si>
  <si>
    <t>Comparabilité avec des références internes et externes</t>
  </si>
  <si>
    <t>Les ratios sont-ils comparables avec des références internes et externes ?</t>
  </si>
  <si>
    <t>Rapport de comparabilité</t>
  </si>
  <si>
    <t>Vulnérabilité des systèmes</t>
  </si>
  <si>
    <t>Décisions stratégiques déconnectées des réalités.</t>
  </si>
  <si>
    <t>Incohérence entre les ratios et la réalité opérationnelle</t>
  </si>
  <si>
    <t>Utilisation des ratios pour la prise de décision</t>
  </si>
  <si>
    <t>Les ratios sont-ils utilisés pour la prise de décision ?</t>
  </si>
  <si>
    <t>Document sur l’utilisation des ratios</t>
  </si>
  <si>
    <t>Risque de cyberattaque</t>
  </si>
  <si>
    <t>Orientation erronée due à des indicateurs obsolètes.</t>
  </si>
  <si>
    <t>Inadéquation des indicateurs aux besoins stratégiques</t>
  </si>
  <si>
    <t>Actualisation des indicateurs</t>
  </si>
  <si>
    <t>Les indicateurs sont-ils régulièrement actualisés ?</t>
  </si>
  <si>
    <t>Procédure d'actualisation des indicateurs</t>
  </si>
  <si>
    <t>Dépenses non maîtrisées sans identification claire.</t>
  </si>
  <si>
    <t>Mauvaise gestion des coûts IT</t>
  </si>
  <si>
    <t>Analyse de la répartition des coûts IT</t>
  </si>
  <si>
    <t>Identification des postes de coûts IT</t>
  </si>
  <si>
    <t>Les postes de coûts IT sont-ils identifiés ?</t>
  </si>
  <si>
    <t>Rapport de répartition des coûts IT</t>
  </si>
  <si>
    <t>Manque de sécurité</t>
  </si>
  <si>
    <t>Vision floue des priorités sans ventilation des coûts.</t>
  </si>
  <si>
    <t>Mauvaise allocation des ressources financières</t>
  </si>
  <si>
    <t>-Répartition des coûts par catégorie</t>
  </si>
  <si>
    <t>Les coûts sont-ils répartis par catégorie ?</t>
  </si>
  <si>
    <t>Plan d'alignement des coûts IT</t>
  </si>
  <si>
    <t>Failles de sécurité</t>
  </si>
  <si>
    <t>Investissements inefficaces et non alignés.</t>
  </si>
  <si>
    <t>Investissements non alignés avec la stratégie</t>
  </si>
  <si>
    <t>-Alignement des coûts avec la stratégie IT</t>
  </si>
  <si>
    <t>Les coûts sont-ils alignés avec la stratégie IT ?</t>
  </si>
  <si>
    <t>Comparatif des coûts IT sectoriels</t>
  </si>
  <si>
    <t>Incompatibilité</t>
  </si>
  <si>
    <t>Perte de compétitivité face aux standards du secteur.</t>
  </si>
  <si>
    <t>Comparaison inexacte avec des standards du secteur</t>
  </si>
  <si>
    <t>-Comparaison avec des standards du secteur</t>
  </si>
  <si>
    <t>Les coûts sont-ils comparés avec des standards du secteur ?</t>
  </si>
  <si>
    <t>Document de traçabilité des coûts</t>
  </si>
  <si>
    <t>Manque de communication</t>
  </si>
  <si>
    <t>Suspicion et difficultés d’audit sans transparence.</t>
  </si>
  <si>
    <t>Manque de visibilité sur la gestion des coûts</t>
  </si>
  <si>
    <t>-Transparence et traçabilité des coûts</t>
  </si>
  <si>
    <t>Les coûts sont-ils transparents et traçables ?</t>
  </si>
  <si>
    <t>Tableau des coûts informatiques actualisés</t>
  </si>
  <si>
    <t>Problèmes techniques</t>
  </si>
  <si>
    <t>Perte de repères si les procédures sont absentes.</t>
  </si>
  <si>
    <t>Non-conformité des procédures avec les normes</t>
  </si>
  <si>
    <t>Existence d’une documentation formalisée</t>
  </si>
  <si>
    <t>Une documentation formalisée existe-t-elle ?</t>
  </si>
  <si>
    <t>Registre des procédures formalisées</t>
  </si>
  <si>
    <t>Technologies cloisonnées</t>
  </si>
  <si>
    <t>Utilisation de méthodes obsolètes sans mise à jour.</t>
  </si>
  <si>
    <t>Absence de validation des documents</t>
  </si>
  <si>
    <t>-Fréquence de mise à jour des procédures</t>
  </si>
  <si>
    <t>Les procédures sont-elles mises à jour régulièrement ?</t>
  </si>
  <si>
    <t>Plan de mise à jour des procédures</t>
  </si>
  <si>
    <t>Non-respect des normes avec risques de non-conformité.</t>
  </si>
  <si>
    <t>Absence de traçabilité des modifications</t>
  </si>
  <si>
    <t>-Conformité avec les normes et bonnes pratiques</t>
  </si>
  <si>
    <t>Les procédures respectent-elles les normes et bonnes pratiques ?</t>
  </si>
  <si>
    <t>Normes et bonnes pratiques</t>
  </si>
  <si>
    <t>Coûts excessifs</t>
  </si>
  <si>
    <t>Refus d’adhésion sans validation des parties prenantes.</t>
  </si>
  <si>
    <t>Mauvaise évaluation des retours sur investissement</t>
  </si>
  <si>
    <t>-Validation par les parties prenantes</t>
  </si>
  <si>
    <t>Les procédures sont-elles validées par les parties prenantes ?</t>
  </si>
  <si>
    <t>Registre de validation des procédures</t>
  </si>
  <si>
    <t>Non-viabilité économique</t>
  </si>
  <si>
    <t>Modifications non traçables rendant l’audit impossible.</t>
  </si>
  <si>
    <t>Coûts mal évalués avec un ROI incomplet</t>
  </si>
  <si>
    <t>-Traçabilité des modifications apportées</t>
  </si>
  <si>
    <t>Les modifications apportées aux procédures sont-elles tracées ?</t>
  </si>
  <si>
    <t>Journal des modifications des procédures</t>
  </si>
  <si>
    <t>Investissements mal répartis</t>
  </si>
  <si>
    <t>Mauvaise évaluation de la rentabilité sans ROI.</t>
  </si>
  <si>
    <t>Non-alignement des investissements avec les objectifs stratégiques</t>
  </si>
  <si>
    <t>Évaluation des investissements et de leur rentabilité (ROI/TCO)</t>
  </si>
  <si>
    <t>Calcul du retour sur investissement(ROI)</t>
  </si>
  <si>
    <t>Le retour sur investissement (ROI) est-il calculé ?</t>
  </si>
  <si>
    <t>Rapport d’analyse du TCO</t>
  </si>
  <si>
    <t>Dépenses non optimisées</t>
  </si>
  <si>
    <t>Sous-estimation des dépenses sans analyse TCO.</t>
  </si>
  <si>
    <t>Mauvaise rentabilité à la fin des projets</t>
  </si>
  <si>
    <t>-Analyse du coût total de possession(TCO)</t>
  </si>
  <si>
    <t>Le coût total de possession (TCO) est-il analysé ?</t>
  </si>
  <si>
    <t>Comparatif des investissements IT</t>
  </si>
  <si>
    <t>Risque financier</t>
  </si>
  <si>
    <t>Gaspillage de ressources sans lien stratégique clair.</t>
  </si>
  <si>
    <t>Déviation budgétaire non identifiée à temps</t>
  </si>
  <si>
    <t>-Alignement des investissements avec les objectifs stratégiques</t>
  </si>
  <si>
    <t>Les investissements sont-ils alignés avec les objectifs stratégiques ?</t>
  </si>
  <si>
    <t>Étude de rentabilité post-mise en œuvre</t>
  </si>
  <si>
    <t>Technologies obsolètes</t>
  </si>
  <si>
    <t>Surprise budgétaire faute de comparaisons.</t>
  </si>
  <si>
    <t>Difficultés dans les ajustements budgétaires</t>
  </si>
  <si>
    <t>-Comparaison avec des projets similaires</t>
  </si>
  <si>
    <t>Les projets sont-ils comparés avec des projets similaires ?</t>
  </si>
  <si>
    <t>Tableau des performances ROI</t>
  </si>
  <si>
    <t>Manque de flexibilité</t>
  </si>
  <si>
    <t>Projets non pérennes sans suivi post-implémentation.</t>
  </si>
  <si>
    <t>Mauvaise gestion des prévisions financières</t>
  </si>
  <si>
    <t>-Suivi de la rentabilité après mise en œuvre</t>
  </si>
  <si>
    <t>La rentabilité est-elle suivie après la mise en œuvre ?</t>
  </si>
  <si>
    <t>Plan de suivi des investissements</t>
  </si>
  <si>
    <t>Refonte nécessaire</t>
  </si>
  <si>
    <t>Dépenses incontrôlées en l’absence de budget précis.</t>
  </si>
  <si>
    <t>Absence d’objectifs clairs et validés</t>
  </si>
  <si>
    <t>Suivi et contrôle budgétaire</t>
  </si>
  <si>
    <t>Existence d’un budget détaillé</t>
  </si>
  <si>
    <t>Un budget détaillé existe-t-il ?</t>
  </si>
  <si>
    <t>Tableau de comparaison des prévisions et réalisations</t>
  </si>
  <si>
    <t>Non-adaptation</t>
  </si>
  <si>
    <t>Décalages budgétaires non anticipés.</t>
  </si>
  <si>
    <t>Dissonance avec les objectifs de l’organisation</t>
  </si>
  <si>
    <t>-Comparaison entre prévisions et réalisations</t>
  </si>
  <si>
    <t>Les prévisions sont-elles comparées avec les réalisations ?</t>
  </si>
  <si>
    <t>Rapport d'analyse des écarts budgétaires</t>
  </si>
  <si>
    <t>Coût élevé des mises à jour</t>
  </si>
  <si>
    <t>Actions inefficaces si les écarts ne sont pas analysés.</t>
  </si>
  <si>
    <t>Objectifs mal déclinés en actions concrètes</t>
  </si>
  <si>
    <t>-Identification des écarts et des causes</t>
  </si>
  <si>
    <t>Les écarts sont-ils identifiés et leurs causes analysées ?</t>
  </si>
  <si>
    <t>Plan d’ajustement budgétaire</t>
  </si>
  <si>
    <t>Écarts non identifiés</t>
  </si>
  <si>
    <t>Manque de rigueur dans le pilotage financier.</t>
  </si>
  <si>
    <t>Suivi défaillant des objectifs fixés</t>
  </si>
  <si>
    <t>-Ajustements et actions correctives</t>
  </si>
  <si>
    <t>Des ajustements et actions correctives sont-ils pris ?</t>
  </si>
  <si>
    <t>Document de validation budgétaire</t>
  </si>
  <si>
    <t>Causes non analysées</t>
  </si>
  <si>
    <t>Non-atteinte des objectifs si les buts sont flous.</t>
  </si>
  <si>
    <t>Absence de validation stratégique des objectifs</t>
  </si>
  <si>
    <t>-Validation et reporting régulier</t>
  </si>
  <si>
    <t>Le reporting et la validation sont-ils réguliers ?</t>
  </si>
  <si>
    <t>Tableau de reporting financier</t>
  </si>
  <si>
    <t>Absence d’actions correctives</t>
  </si>
  <si>
    <t>Décalage entre objectifs et stratégie globale.</t>
  </si>
  <si>
    <t>Absence de gouvernance claire du comité</t>
  </si>
  <si>
    <t>Mesure et suivi de la performance informatique</t>
  </si>
  <si>
    <t>Vérifier que des objectifs de court, moyen et long termes existent et sont assignés à la DSI (approche BSC ?) et que ces objectifs sont déclinés au sein de l’entité</t>
  </si>
  <si>
    <t>Existence d’une documentation des objectifs</t>
  </si>
  <si>
    <t>Les objectifs sont-ils bien documentés ?</t>
  </si>
  <si>
    <t>Document de stratégie globale</t>
  </si>
  <si>
    <t>Mauvais pilotage</t>
  </si>
  <si>
    <t>Manque de représentativité des parties prenantes</t>
  </si>
  <si>
    <t>-Cohérence avec la stratégie globale</t>
  </si>
  <si>
    <t>Les objectifs sont-ils cohérents avec la stratégie globale ?</t>
  </si>
  <si>
    <t>Registre des objectifs opérationnels</t>
  </si>
  <si>
    <t>Risque de dérive</t>
  </si>
  <si>
    <t>Mauvaise gestion des réunions et des actions</t>
  </si>
  <si>
    <t>-Déclinaison opérationnelle des objectifs</t>
  </si>
  <si>
    <t>Les objectifs sont-ils déclinés de manière opérationnelle ?</t>
  </si>
  <si>
    <t>Plan de mise à jour des objectifs</t>
  </si>
  <si>
    <t>Objectifs flous</t>
  </si>
  <si>
    <t>Absence de suivi des recommandations</t>
  </si>
  <si>
    <t>-Mise à jour et suivi régulier</t>
  </si>
  <si>
    <t>Les objectifs sont-ils mis à jour et suivis régulièrement ?</t>
  </si>
  <si>
    <t>Rapport de validation des objectifs</t>
  </si>
  <si>
    <t>Manque de cohérence stratégique</t>
  </si>
  <si>
    <t>Absence d’impact des décisions du comité</t>
  </si>
  <si>
    <t>-Validation par la direction</t>
  </si>
  <si>
    <t>Les objectifs sont-ils validés par la direction ?</t>
  </si>
  <si>
    <t>Suivi régulier des objectifs stratégiques</t>
  </si>
  <si>
    <t>Objectifs non suivis</t>
  </si>
  <si>
    <t>Données financières et opérationnelles manquantes</t>
  </si>
  <si>
    <t>Vérifier l’existence d’un comité informatique regroupant les différentes directions de l’organisation</t>
  </si>
  <si>
    <t>Clarté de la mission du comité</t>
  </si>
  <si>
    <t>La mission du comité est-elle claire ?</t>
  </si>
  <si>
    <t>Charte de gouvernance du comité</t>
  </si>
  <si>
    <t>Absence de mise à jour</t>
  </si>
  <si>
    <t>Clarté de la mission du comité manquante</t>
  </si>
  <si>
    <t>-Représentation équilibrée des directions</t>
  </si>
  <si>
    <t>La représentation des directions est-elle équilibrée ?</t>
  </si>
  <si>
    <t>Registre des réunions du comité</t>
  </si>
  <si>
    <t>Représentation équilibrée des directions insuffisante</t>
  </si>
  <si>
    <t>-Fréquence et traçabilité des réunions</t>
  </si>
  <si>
    <t>Les réunions sont-elles fréquentes et traçables ?</t>
  </si>
  <si>
    <t>Procédure de suivi des recommandations</t>
  </si>
  <si>
    <t>Mission floue</t>
  </si>
  <si>
    <t>Fréquence et traçabilité des réunions inefficaces</t>
  </si>
  <si>
    <t>-Prise en compte des recommandations</t>
  </si>
  <si>
    <t>Les recommandations sont-elles prises en compte ?</t>
  </si>
  <si>
    <t>Rapport d'impact du comité</t>
  </si>
  <si>
    <t>Sous-représentation</t>
  </si>
  <si>
    <t>Prise en compte des recommandations absente</t>
  </si>
  <si>
    <t>-Impact sur la gouvernance IT</t>
  </si>
  <si>
    <t>Le comité a-t-il un impact sur la gouvernance IT ?</t>
  </si>
  <si>
    <t>Document de répartition des responsabilités dans le comité</t>
  </si>
  <si>
    <t>Réunions inefficaces</t>
  </si>
  <si>
    <t>Impact sur la gouvernance IT faible</t>
  </si>
  <si>
    <t>Évaluer la pertinence des indicateurs de qualité et de performance ainsi que les moyens et outils de mesure</t>
  </si>
  <si>
    <t>Charte de mission du comité</t>
  </si>
  <si>
    <t>Recommandations ignorées</t>
  </si>
  <si>
    <t>Existence d’un tableau de bord formalisé absente</t>
  </si>
  <si>
    <t>Registre de représentation des directions</t>
  </si>
  <si>
    <t>Faible impact stratégique</t>
  </si>
  <si>
    <t>Couverture des aspects financiers et opérationnels limitée</t>
  </si>
  <si>
    <t>Journal de traçabilité des réunions</t>
  </si>
  <si>
    <t>Réunions non documentées</t>
  </si>
  <si>
    <t>Fiabilité des données suivies insuffisante</t>
  </si>
  <si>
    <t>Document de suivi des recommandations</t>
  </si>
  <si>
    <t>Recommandations non appliquées</t>
  </si>
  <si>
    <t>Mise à jour et diffusion régulières inexistantes</t>
  </si>
  <si>
    <t>Rapport d'impact sur la gouvernance IT</t>
  </si>
  <si>
    <t>Faible impact sur la gouvernance</t>
  </si>
  <si>
    <t>Identification et documentation des processus floues</t>
  </si>
  <si>
    <t>Vérifier que la DSI tient un tableau de bord (idéalement de type BSC) permettant un suivi consolidé de la performance (opérationnelle et financière) et de la qualité des prestations informatiques</t>
  </si>
  <si>
    <t>Existence d’un tableau de bord formalisé</t>
  </si>
  <si>
    <t>Un tableau de bord formalisé existe-t-il ?</t>
  </si>
  <si>
    <t>Tableau de bord formalisé</t>
  </si>
  <si>
    <t>Données incomplètes</t>
  </si>
  <si>
    <t>Formalisation du bilan post-projet insuffisante</t>
  </si>
  <si>
    <t>-Couverture des aspects financiers et opérationnels</t>
  </si>
  <si>
    <t>Le tableau de bord couvre-t-il les aspects financiers et opérationnels ?</t>
  </si>
  <si>
    <t>Registre de suivi des données financières et opérationnelles</t>
  </si>
  <si>
    <t>Indicateurs non fiables</t>
  </si>
  <si>
    <t>Comparaison avec les prévisions initiales inexistante</t>
  </si>
  <si>
    <t>-Fiabilité des données suivies</t>
  </si>
  <si>
    <t>Les données suivies sont-elles fiables ?</t>
  </si>
  <si>
    <t>Rapport de mise à jour des tableaux de bord</t>
  </si>
  <si>
    <t>Identification des écarts et causes absente</t>
  </si>
  <si>
    <t>-Mise à jour et diffusion régulières</t>
  </si>
  <si>
    <t>Le tableau de bord est-il mis à jour et diffusé régulièrement ?</t>
  </si>
  <si>
    <t>Manuel d’utilisation du tableau pour le pilotage</t>
  </si>
  <si>
    <t>Pilotage inefficace</t>
  </si>
  <si>
    <t>Mise en place d’actions correctives lente</t>
  </si>
  <si>
    <t>Le tableau de bord est-il utilisé efficacement pour le pilotage ?</t>
  </si>
  <si>
    <t>Bilan post-projet formalisé</t>
  </si>
  <si>
    <t>Vision partielle</t>
  </si>
  <si>
    <t>Capitalisation sur les retours d’expérience négligée</t>
  </si>
  <si>
    <t>Vérifier qu’il est systématiquement effectué un bilan après chaque projet et notamment un bilan économique (bilan rapproché des prévisions de l’étude préalable).</t>
  </si>
  <si>
    <t>Formalisation du bilan post-projet</t>
  </si>
  <si>
    <t>Le bilan post-projet est-il formalisé ?</t>
  </si>
  <si>
    <t>Tableau de comparaison avec les prévisions initiales</t>
  </si>
  <si>
    <t>Accessibilité de l’organigramme limitée</t>
  </si>
  <si>
    <t>-Comparaison avec les prévisions initiales</t>
  </si>
  <si>
    <t>Le bilan compare-t-il les résultats avec les prévisions initiales ?</t>
  </si>
  <si>
    <t>Document d’identification des écarts et causes</t>
  </si>
  <si>
    <t>Prévisions non respectées</t>
  </si>
  <si>
    <t>Représentation de la structure actuelle de la DSI floue</t>
  </si>
  <si>
    <t>-Identification des écarts et causes</t>
  </si>
  <si>
    <t>Les écarts et leurs causes sont-ils identifiés ?</t>
  </si>
  <si>
    <t>Plan d’action corrective post-projet</t>
  </si>
  <si>
    <t>Absence de correctifs</t>
  </si>
  <si>
    <t>Mise à jour régulière de l’organigramme absente</t>
  </si>
  <si>
    <t>-Mise en place d’actions correctives</t>
  </si>
  <si>
    <t>Des actions correctives sont-elles mises en place ?</t>
  </si>
  <si>
    <t>Document de capitalisation sur les retours d’expérience</t>
  </si>
  <si>
    <t>Manque de retour d’expérience</t>
  </si>
  <si>
    <t>Couverture des fonctions et postes clés manquante</t>
  </si>
  <si>
    <t>-Capitalisation sur les retours d’expérience</t>
  </si>
  <si>
    <t>Les retours d’expérience sont-ils capitalisés ?</t>
  </si>
  <si>
    <t>Organigramme de la DSI</t>
  </si>
  <si>
    <t>Reproductibilité des erreurs</t>
  </si>
  <si>
    <t>Communication des modifications aux parties prenantes insuffisante</t>
  </si>
  <si>
    <t>Organisation et structure de la DSI</t>
  </si>
  <si>
    <t>Vérifier l’existence d’un organigramme à jour de la DSI</t>
  </si>
  <si>
    <t>Accessibilité de l’organigramme</t>
  </si>
  <si>
    <t>L’organigramme est-il facilement accessible aux parties prenantes concernées ?</t>
  </si>
  <si>
    <t>Registre de mise à jour de l’organigramme</t>
  </si>
  <si>
    <t>Organigramme non diffusé</t>
  </si>
  <si>
    <t>Clarté des descriptions de fonctions absente</t>
  </si>
  <si>
    <t>Représentation de la structure actuelle de la DSI</t>
  </si>
  <si>
    <t>L’organigramme reflète-t-il fidèlement la structure actuelle de la DSI ?</t>
  </si>
  <si>
    <t>Document de communication des modifications de l’organigramme</t>
  </si>
  <si>
    <t>Structure obsolète</t>
  </si>
  <si>
    <t>Documentation et partage des rôles et responsabilités faibles</t>
  </si>
  <si>
    <t>Mise à jour régulière de l’organigramme</t>
  </si>
  <si>
    <t>L’organigramme est-il mis à jour régulièrement ?</t>
  </si>
  <si>
    <t>Descriptions de fonctions et responsabilités</t>
  </si>
  <si>
    <t>Postes clés manquants</t>
  </si>
  <si>
    <t>Actualisation régulière des descriptions de fonctions absente</t>
  </si>
  <si>
    <t>Couverture des fonctions et postes clés</t>
  </si>
  <si>
    <t>Les fonctions et postes clés sont-ils bien représentés dans l’organigramme ?</t>
  </si>
  <si>
    <t>Manuel de partage des rôles et responsabilités</t>
  </si>
  <si>
    <t>Modifications non communiquées</t>
  </si>
  <si>
    <t>Clarté des responsabilités pour les personnes concernées insuffisante</t>
  </si>
  <si>
    <t>Communication des modifications aux parties prenantes</t>
  </si>
  <si>
    <t>Les modifications de l’organigramme sont-elles communiquées aux parties prenantes ?</t>
  </si>
  <si>
    <t>Registre de mise à jour des descriptions de fonctions</t>
  </si>
  <si>
    <t>Descriptions incomplètes</t>
  </si>
  <si>
    <t>Répartition des responsabilités sans chevauchements ni lacunes inefficace</t>
  </si>
  <si>
    <t>Vérifier l’existence d’une définition de fonction et d’un partage clair des rôles et des responsabilités pour chaque poste figurant sur l’organigramme</t>
  </si>
  <si>
    <t>Clarté des descriptions de fonctions</t>
  </si>
  <si>
    <t>Les descriptions de fonctions sont-elles claires et compréhensibles ?</t>
  </si>
  <si>
    <t>Document de répartition des responsabilités</t>
  </si>
  <si>
    <t>Responsabilités floues</t>
  </si>
  <si>
    <t>Prise en compte de la veille technologique insuffisante</t>
  </si>
  <si>
    <t>Documentation et partage des rôles et responsabilités</t>
  </si>
  <si>
    <t>Les rôles et responsabilités sont-ils documentés et partagés avec les personnes concernées ?</t>
  </si>
  <si>
    <t>Plan de veille technologique</t>
  </si>
  <si>
    <t>Rôles non partagés</t>
  </si>
  <si>
    <t>Mauvaise exécution opérationnelle.</t>
  </si>
  <si>
    <t>Gestion de la sécurité informatique à risque</t>
  </si>
  <si>
    <t>Actualisation régulière des descriptions de fonctions</t>
  </si>
  <si>
    <t>Les descriptions de fonctions sont-elles mises à jour régulièrement ?</t>
  </si>
  <si>
    <t>Document de gestion de la sécurité informatique</t>
  </si>
  <si>
    <t>Descriptions non mises à jour</t>
  </si>
  <si>
    <t>Efforts désynchronisés avec l’évolution de l’organisation.</t>
  </si>
  <si>
    <t>Fonction qualité et méthodes mal définie</t>
  </si>
  <si>
    <t>Clarté des responsabilités pour les personnes concernées</t>
  </si>
  <si>
    <t>Les responsabilités sont-elles bien comprises par les personnes concernées ?</t>
  </si>
  <si>
    <t>Registre de fonction qualité &amp; méthodes</t>
  </si>
  <si>
    <t>Chevauchement des responsabilités</t>
  </si>
  <si>
    <t>Absence de vision commune sans validation de la direction.</t>
  </si>
  <si>
    <t>Gestion des ressources humaines mal adaptée</t>
  </si>
  <si>
    <t>Répartition des responsabilités sans chevauchements ni lacunes</t>
  </si>
  <si>
    <t>La répartition des responsabilités évite-t-elle les chevauchements et les lacunes ?</t>
  </si>
  <si>
    <t>Registre de gestion des ressources humaines</t>
  </si>
  <si>
    <t>Lacunes fonctionnelles</t>
  </si>
  <si>
    <t>Baisse de la responsabilité</t>
  </si>
  <si>
    <t>Support utilisateurs et administration des serveurs insuffisants</t>
  </si>
  <si>
    <t>Vérifier que l’ensemble des composantes d’une fonction informatique est convenablement pris en compte, notamment la veille technologique, la sécurité informatique, la fonction qualité &amp; méthodes, la gestion des ressources humaines, le contrôle de gestion, le support utilisateurs (de proximité et à distance), l’administration des serveurs</t>
  </si>
  <si>
    <t>Prise en compte de la veille technologique</t>
  </si>
  <si>
    <t>La fonction veille technologique est-elle bien prise en compte dans l’organisation ?</t>
  </si>
  <si>
    <t>Tableau de répartition des effectifs</t>
  </si>
  <si>
    <t>Veille technologique ignorée</t>
  </si>
  <si>
    <t>Absence d’innovation</t>
  </si>
  <si>
    <t>Effectifs suffisants pour les besoins actuels absents</t>
  </si>
  <si>
    <t>Gestion de la sécurité informatique</t>
  </si>
  <si>
    <t>La gestion de la sécurité informatique est-elle bien définie et structurée ?</t>
  </si>
  <si>
    <t>Document d’adaptation des effectifs aux projets</t>
  </si>
  <si>
    <t>Sécurité mal gérée</t>
  </si>
  <si>
    <t>Augmentation des risques</t>
  </si>
  <si>
    <t>Répartition des effectifs selon les priorités non optimale</t>
  </si>
  <si>
    <t>Fonction qualité &amp; méthodes bien définie</t>
  </si>
  <si>
    <t>La fonction qualité &amp; méthodes est-elle clairement identifiée et opérationnelle ?</t>
  </si>
  <si>
    <t>Suivi de réactivité des effectifs</t>
  </si>
  <si>
    <t>Absence de fonction qualité</t>
  </si>
  <si>
    <t>Non-conformité des livrables</t>
  </si>
  <si>
    <t>Adaptation des effectifs aux projets spécifiques insuffisante</t>
  </si>
  <si>
    <t>Gestion des ressources humaines adaptée</t>
  </si>
  <si>
    <t>La gestion des ressources humaines de la DSI est-elle adaptée aux besoins ?</t>
  </si>
  <si>
    <t>Tableau de suivi de l’adéquation des effectifs</t>
  </si>
  <si>
    <t>Ressources humaines inadaptées</t>
  </si>
  <si>
    <t>Surcharge des équipes</t>
  </si>
  <si>
    <t>Réactivité des effectifs face aux enjeux stratégiques faible</t>
  </si>
  <si>
    <t>Support utilisateurs (proximité et à distance) et administration des serveurs couverts</t>
  </si>
  <si>
    <t>Le support utilisateurs et l’administration des serveurs sont-ils correctement pris en charge ?</t>
  </si>
  <si>
    <t>Registre des qualifications et tâches assignées</t>
  </si>
  <si>
    <t>Support utilisateur incomplet</t>
  </si>
  <si>
    <t>Insatisfaction des utilisateurs</t>
  </si>
  <si>
    <t>Suivi régulier de l’adéquation des effectifs insuffisant</t>
  </si>
  <si>
    <t>Évaluer l’adéquation des effectifs aux besoins et aux enjeux</t>
  </si>
  <si>
    <t>Effectifs suffisants pour les besoins actuels</t>
  </si>
  <si>
    <t>Les effectifs actuels sont-ils suffisants pour répondre aux besoins ?</t>
  </si>
  <si>
    <t>Plan de formation continue</t>
  </si>
  <si>
    <t>Effectifs insuffisants</t>
  </si>
  <si>
    <t>Diminution de la productivité</t>
  </si>
  <si>
    <t>Correspondance entre qualifications et tâches assignées faible</t>
  </si>
  <si>
    <t>Répartition des effectifs selon les priorités</t>
  </si>
  <si>
    <t>La répartition des effectifs est-elle cohérente avec les priorités de la DSI ?</t>
  </si>
  <si>
    <t>Document d’identification des lacunes de compétences</t>
  </si>
  <si>
    <t>Répartition déséquilibrée</t>
  </si>
  <si>
    <t>Retards dans les projets</t>
  </si>
  <si>
    <t>Formation continue et développement des compétences insuffisants</t>
  </si>
  <si>
    <t>Adaptation des effectifs aux projets spécifiques</t>
  </si>
  <si>
    <t>Les effectifs sont-ils adaptés aux projets spécifiques en cours ?</t>
  </si>
  <si>
    <t>Plan de formation pour combler les lacunes</t>
  </si>
  <si>
    <t>Effectifs non adaptés aux projets</t>
  </si>
  <si>
    <t>Inadéquation des ressources</t>
  </si>
  <si>
    <t>Identification des lacunes de compétences absente</t>
  </si>
  <si>
    <t>Réactivité des effectifs face aux enjeux stratégiques</t>
  </si>
  <si>
    <t>Les équipes sont-elles capables de réagir efficacement face aux enjeux stratégiques ?</t>
  </si>
  <si>
    <t>Registre de réévaluation des qualifications nécessaires</t>
  </si>
  <si>
    <t>Manque de réactivité</t>
  </si>
  <si>
    <t>Mauvaise exécution stratégique</t>
  </si>
  <si>
    <t>Plans de formation pour combler ces lacunes insuffisants</t>
  </si>
  <si>
    <t>Suivi régulier de l’adéquation des effectifs</t>
  </si>
  <si>
    <t>L’adéquation des effectifs est-elle évaluée régulièrement ?</t>
  </si>
  <si>
    <t>Registre d’implication des utilisateurs dans l’expression des besoins</t>
  </si>
  <si>
    <t>Pas de suivi de l’adéquation</t>
  </si>
  <si>
    <t>Déséquilibre des effectifs</t>
  </si>
  <si>
    <t>Réévaluation périodique des qualifications nécessaires absente</t>
  </si>
  <si>
    <t>Évaluer l’adéquation des qualifications du personnel avec les fonctions qu’ils occupent</t>
  </si>
  <si>
    <t>Correspondance entre qualifications et tâches assignées</t>
  </si>
  <si>
    <t>Les qualifications du personnel correspondent-elles aux tâches qui leur sont confiées ?</t>
  </si>
  <si>
    <t>Document de validation des spécifications fonctionnelles</t>
  </si>
  <si>
    <t>Tâches mal attribuées</t>
  </si>
  <si>
    <t>Erreurs récurrentes</t>
  </si>
  <si>
    <t>Implication des utilisateurs dans l'expression des besoins insuffisante</t>
  </si>
  <si>
    <t>Formation continue et développement des compétences</t>
  </si>
  <si>
    <t>Des dispositifs de formation continue sont-ils mis en place pour développer les compétences ?</t>
  </si>
  <si>
    <t>Journal de participation des utilisateurs à la recette</t>
  </si>
  <si>
    <t>Compétences obsolètes</t>
  </si>
  <si>
    <t>Perte de compétences</t>
  </si>
  <si>
    <t>Validation des spécifications fonctionnelles par les utilisateurs absente</t>
  </si>
  <si>
    <t>Identification des lacunes de compétences</t>
  </si>
  <si>
    <t>Les lacunes de compétences sont-elles identifiées de manière proactive ?</t>
  </si>
  <si>
    <t>Rapport d'intégration des retours des utilisateurs</t>
  </si>
  <si>
    <t>Lacunes non identifiées</t>
  </si>
  <si>
    <t>Risque d’incompétence</t>
  </si>
  <si>
    <t>Participation des utilisateurs à la recette des applications inexistante</t>
  </si>
  <si>
    <t>Plans de formation pour combler ces lacunes</t>
  </si>
  <si>
    <t>Des plans de formation sont-ils élaborés pour combler ces lacunes ?</t>
  </si>
  <si>
    <t>Plan de recette dans un environnement représentatif</t>
  </si>
  <si>
    <t>Formations inadaptées</t>
  </si>
  <si>
    <t>Retards de formation</t>
  </si>
  <si>
    <t>Intégration des retours des utilisateurs dans le développement faible</t>
  </si>
  <si>
    <t>Réévaluation périodique des qualifications nécessaires</t>
  </si>
  <si>
    <t>Les qualifications nécessaires sont-elles réévaluées périodiquement ?</t>
  </si>
  <si>
    <t>Registre de séparation physique des fonctions études et exploitation</t>
  </si>
  <si>
    <t>Pas de réévaluation des qualifications</t>
  </si>
  <si>
    <t>Obsolescence des profils</t>
  </si>
  <si>
    <t>Réalisation de la recette dans un environnement représentatif de la production absente</t>
  </si>
  <si>
    <t>Vérifier que l’expression des besoins, les spécifications fonctionnelles et la recette des applications sont effectuées par les utilisateurs</t>
  </si>
  <si>
    <t>Implication des utilisateurs dans l'expression des besoins</t>
  </si>
  <si>
    <t>Les utilisateurs sont-ils impliqués dans l’expression des besoins ?</t>
  </si>
  <si>
    <t>Document de différenciation des responsabilités entre études et exploitation</t>
  </si>
  <si>
    <t>Utilisateurs peu impliqués</t>
  </si>
  <si>
    <t>Mauvaise couverture des besoins</t>
  </si>
  <si>
    <t>Séparation physique des fonctions études et exploitation non respectée</t>
  </si>
  <si>
    <t>Validation des spécifications fonctionnelles par les utilisateurs</t>
  </si>
  <si>
    <t>Les spécifications fonctionnelles sont-elles validées par les utilisateurs ?</t>
  </si>
  <si>
    <t>Mesures de prévention des conflits d’intérêts</t>
  </si>
  <si>
    <t>Spécifications non validées</t>
  </si>
  <si>
    <t>Livrables inadaptés</t>
  </si>
  <si>
    <t>Distinction claire entre les environnements de développement et de production inexistante</t>
  </si>
  <si>
    <t>Participation des utilisateurs à la recette des applications</t>
  </si>
  <si>
    <t>Les utilisateurs participent-ils aux phases de recette des applications ?</t>
  </si>
  <si>
    <t>Registre de conformité de séparation des environnements externalisés</t>
  </si>
  <si>
    <t>Tests utilisateurs absents</t>
  </si>
  <si>
    <t>Défauts fonctionnels</t>
  </si>
  <si>
    <t>Différenciation des responsabilités entre études et exploitation insuffisante</t>
  </si>
  <si>
    <t>Intégration des retours des utilisateurs dans le développement</t>
  </si>
  <si>
    <t>Les retours des utilisateurs sont-ils intégrés dans le processus de développement ?</t>
  </si>
  <si>
    <t>Procédure formalisée de mise en production</t>
  </si>
  <si>
    <t>Retours non intégrés</t>
  </si>
  <si>
    <t>Rejets utilisateurs</t>
  </si>
  <si>
    <t>Mise en place de mesures pour éviter les conflits d’intérêts absente</t>
  </si>
  <si>
    <t>Réalisation de la recette dans un environnement représentatif de la production</t>
  </si>
  <si>
    <t>La recette est-elle réalisée dans un environnement représentatif de la production ?</t>
  </si>
  <si>
    <t>Registre de validation des critères de mise en production</t>
  </si>
  <si>
    <t>Recette non représentative</t>
  </si>
  <si>
    <t>Tests inefficaces</t>
  </si>
  <si>
    <t>Respect de la séparation, même pour les environnements externalisés insuffisant</t>
  </si>
  <si>
    <t>Vérifier que les tâches, les locaux et les environnements relatifs aux fonctions études et exploitation, qu’ils soient assurés ou fournis en interne, ou externalisés, sont séparés</t>
  </si>
  <si>
    <t>Séparation physique des fonctions études et exploitation</t>
  </si>
  <si>
    <t>Les fonctions études et exploitation sont-elles physiquement séparées ?</t>
  </si>
  <si>
    <t>Document de suivi de la mise en production</t>
  </si>
  <si>
    <t>Confusion entre études et exploitation</t>
  </si>
  <si>
    <t>Confusion des responsabilités</t>
  </si>
  <si>
    <t>Existence d’une procédure formalisée de mise en production absente</t>
  </si>
  <si>
    <t>Distinction claire entre les environnements de développement et de production</t>
  </si>
  <si>
    <t>Les environnements de développement et de production sont-ils clairement distincts ?</t>
  </si>
  <si>
    <t>Plan de test et validation avant chaque mise en production</t>
  </si>
  <si>
    <t>Environnements non distincts</t>
  </si>
  <si>
    <t>Instabilité des environnements</t>
  </si>
  <si>
    <t>Définition claire des étapes de mise en production insuffisante</t>
  </si>
  <si>
    <t>Différenciation des responsabilités entre études et exploitation</t>
  </si>
  <si>
    <t>Les responsabilités entre les fonctions études et exploitation sont-elles bien différenciées ?</t>
  </si>
  <si>
    <t>Séparation des tâches entre études et exploitation des bases de données</t>
  </si>
  <si>
    <t>Responsabilités mal définies</t>
  </si>
  <si>
    <t>Dysfonctionnements critiques</t>
  </si>
  <si>
    <t>Validation des critères avant la mise en production absente</t>
  </si>
  <si>
    <t>Mise en place de mesures pour éviter les conflits d’intérêts</t>
  </si>
  <si>
    <t>Des mesures sont-elles mises en place pour éviter les conflits d’intérêts entre les fonctions ?</t>
  </si>
  <si>
    <t>Document de responsabilités des administrateurs de bases de données</t>
  </si>
  <si>
    <t>Conflits d’intérêts possibles</t>
  </si>
  <si>
    <t>Risque de conflits internes</t>
  </si>
  <si>
    <t>Suivi documenté de la mise en production inexistant</t>
  </si>
  <si>
    <t>Respect de la séparation, même pour les environnements externalisés</t>
  </si>
  <si>
    <t>La séparation des environnements est-elle respectée, même lorsqu’ils sont externalisés ?</t>
  </si>
  <si>
    <t>Plan de contrôle des accès et des autorisations</t>
  </si>
  <si>
    <t>Non-respect de la séparation externalisée</t>
  </si>
  <si>
    <t>Risque d’intrusion</t>
  </si>
  <si>
    <t>Réalisation de tests et validations avant chaque mise en production absente</t>
  </si>
  <si>
    <t>Vérifier l’existence d’une procédure de mise en production</t>
  </si>
  <si>
    <t>Existence d’une procédure formalisée de mise en production</t>
  </si>
  <si>
    <t>Une procédure formalisée de mise en production existe-t-elle ?</t>
  </si>
  <si>
    <t>Registre de mise en place des contrôles pour éviter les conflits d’intérêts</t>
  </si>
  <si>
    <t>Procédure de mise en production absente</t>
  </si>
  <si>
    <t>Blocages en production</t>
  </si>
  <si>
    <t>Définition claire des étapes de mise en production</t>
  </si>
  <si>
    <t>Les étapes de la mise en production sont-elles clairement définies ?</t>
  </si>
  <si>
    <t>Plan de contrôle de conformité lors des absences ou départs</t>
  </si>
  <si>
    <t>Étapes floues</t>
  </si>
  <si>
    <t>Livraisons hasardeuses</t>
  </si>
  <si>
    <t>Validation des critères avant la mise en production</t>
  </si>
  <si>
    <t>Des critères de validation sont-ils systématiquement vérifiés avant chaque mise en production ?</t>
  </si>
  <si>
    <t>Document d’analyse du taux de turn-over</t>
  </si>
  <si>
    <t>Critères non validés</t>
  </si>
  <si>
    <t>Erreurs de configuration</t>
  </si>
  <si>
    <t>Suivi documenté de la mise en production</t>
  </si>
  <si>
    <t>La mise en production est-elle suivie et documentée de manière rigoureuse ?</t>
  </si>
  <si>
    <t>Plan d’action pour limiter le turn-over excessif</t>
  </si>
  <si>
    <t>Suivi non documenté</t>
  </si>
  <si>
    <t>Mise en production non conforme</t>
  </si>
  <si>
    <t>Réalisation de tests et validations avant chaque mise en production</t>
  </si>
  <si>
    <t>Des tests et validations sont-ils réalisés avant chaque mise en production ?</t>
  </si>
  <si>
    <t>Plan de rétention du personnel dans la DSI</t>
  </si>
  <si>
    <t>Tests insuffisants</t>
  </si>
  <si>
    <t>Défauts non détectés</t>
  </si>
  <si>
    <t>Lorsque les organisations le permettent, vérifier que les différentes tâches d'administration des bases de données -DBA- sont séparées entre les études et l’exploitation</t>
  </si>
  <si>
    <t>Séparation claire des tâches entre études et exploitation des bases de données</t>
  </si>
  <si>
    <t>Les tâches entre études et exploitation des bases de données sont-elles clairement séparées ?</t>
  </si>
  <si>
    <t>Document de gestion des carrières des informaticiens</t>
  </si>
  <si>
    <t>Tâches non séparées en base de données</t>
  </si>
  <si>
    <t>Données corrompues</t>
  </si>
  <si>
    <t>Responsabilités définies pour les administrateurs de bases de données (DBA)</t>
  </si>
  <si>
    <t>Les responsabilités des administrateurs de bases de données sont-elles bien définies ?</t>
  </si>
  <si>
    <t>Plan de mobilité interne dans la DSI</t>
  </si>
  <si>
    <t>DBA sans responsabilités claires</t>
  </si>
  <si>
    <t>Ambiguïté des rôles</t>
  </si>
  <si>
    <t>Distinction des accès et des autorisations pour les équipes d'études et d'exploitation</t>
  </si>
  <si>
    <t>Les accès et autorisations sont-ils distincts entre les équipes d'études et celles d'exploitation ?</t>
  </si>
  <si>
    <t>Suivi des carrières et compétences dans la DSI</t>
  </si>
  <si>
    <t>Accès non différenciés</t>
  </si>
  <si>
    <t>Fuite d’informations</t>
  </si>
  <si>
    <t>Mise en place de contrôles pour éviter les conflits d’intérêts entre les deux fonctions</t>
  </si>
  <si>
    <t>Des contrôles sont-ils mis en place pour éviter les conflits d’intérêts entre les deux fonctions ?</t>
  </si>
  <si>
    <t>Registre de suivi de l’évolution des carrières</t>
  </si>
  <si>
    <t>Absence de contrôle</t>
  </si>
  <si>
    <t>Non-respect des règles</t>
  </si>
  <si>
    <t>Respect de la séparation lors de la gestion des bases de données sensibles</t>
  </si>
  <si>
    <t>La séparation est-elle respectée pour la gestion des bases de données sensibles ?</t>
  </si>
  <si>
    <t>Plan de rémunération et comparaison sectorielle</t>
  </si>
  <si>
    <t>Bases sensibles mal sécurisées</t>
  </si>
  <si>
    <t>Perte de contrôle</t>
  </si>
  <si>
    <t>Vérifier que la séparation des tâches est maintenue et assurée lors de la rotation des équipes, des vacances et du départ d'un personnel</t>
  </si>
  <si>
    <t>Mise en place de processus pour maintenir la séparation des tâches lors des absences</t>
  </si>
  <si>
    <t>Des processus assurent-ils le maintien de la séparation des tâches en cas d’absences ?</t>
  </si>
  <si>
    <t>Document de satisfaction des employés sur la rémunération</t>
  </si>
  <si>
    <t>Tâches non redistribuées</t>
  </si>
  <si>
    <t>Accès non autorisés</t>
  </si>
  <si>
    <t>Assurance que les tâches sont correctement redistribuées lors de la rotation des équipes</t>
  </si>
  <si>
    <t>Les tâches sont-elles correctement redistribuées lors de la rotation des équipes ?</t>
  </si>
  <si>
    <t>Plan d’analyse de l’impact de la rémunération sur la rétention</t>
  </si>
  <si>
    <t>Rotation non encadrée</t>
  </si>
  <si>
    <t>Rupture de continuité</t>
  </si>
  <si>
    <t>Documentation des procédures pour assurer la continuité de la séparation des tâches</t>
  </si>
  <si>
    <t>Les procédures sont-elles documentées pour garantir la continuité de la séparation des tâches ?</t>
  </si>
  <si>
    <t>Registre des postes clés dans l’organisation</t>
  </si>
  <si>
    <t>Procédures absentes</t>
  </si>
  <si>
    <t>Tâches non couvertes</t>
  </si>
  <si>
    <t>Contrôle des accès lors des absences ou départs de personnel</t>
  </si>
  <si>
    <t>Les accès sont-ils contrôlés pendant les absences ou les départs du personnel ?</t>
  </si>
  <si>
    <t>Plan de gestion des risques liés à la dépendance</t>
  </si>
  <si>
    <t>Accès mal contrôlés</t>
  </si>
  <si>
    <t>Risque organisationnel</t>
  </si>
  <si>
    <t>Surveillance de la conformité à la séparation des tâches lors des remplacements temporaires</t>
  </si>
  <si>
    <t>La conformité à la séparation des tâches est-elle surveillée lors des remplacements temporaires ?</t>
  </si>
  <si>
    <t>Document de planification de la succession</t>
  </si>
  <si>
    <t>Non-conformité lors des remplacements</t>
  </si>
  <si>
    <t>Violations d’accès</t>
  </si>
  <si>
    <t>Évaluer le caractère « raisonnable » du turn-over de la DSI (5 à 15% / an)</t>
  </si>
  <si>
    <t>Comparaison du taux de turn-over avec les standards du secteur</t>
  </si>
  <si>
    <t>Le taux de turn-over est-il comparé aux standards du secteur ?</t>
  </si>
  <si>
    <t>Registre des mesures de diversification des compétences</t>
  </si>
  <si>
    <t>Turn-over supérieur à la moyenne</t>
  </si>
  <si>
    <t>Défaillances temporaires</t>
  </si>
  <si>
    <t>Identification des causes principales du turn-over</t>
  </si>
  <si>
    <t>Les causes principales du turn-over sont-elles identifiées ?</t>
  </si>
  <si>
    <t>Stratégie de formation pour les rôles clés</t>
  </si>
  <si>
    <t>Causes non identifiées</t>
  </si>
  <si>
    <t>Désengagement du personnel</t>
  </si>
  <si>
    <t>Suivi de l'impact du turn-over sur les projets et la performance de la DSI</t>
  </si>
  <si>
    <t>L’impact du turn-over sur la performance et les projets de la DSI est-il suivi ?</t>
  </si>
  <si>
    <t>Vérification des clauses de confidentialité dans les contrats de travail</t>
  </si>
  <si>
    <t>Projets affectés par les départs</t>
  </si>
  <si>
    <t>Désorganisation projet</t>
  </si>
  <si>
    <t>Mise en place de mesures pour limiter le turn-over excessif</t>
  </si>
  <si>
    <t>Des mesures sont-elles mises en place pour limiter un turn-over excessif ?</t>
  </si>
  <si>
    <t>Contrôle des clauses de non-concurrence dans les contrats</t>
  </si>
  <si>
    <t>Absence de mesures de rétention</t>
  </si>
  <si>
    <t>Baisse de performance</t>
  </si>
  <si>
    <t>Évaluation des actions de rétention du personnel dans la DSI</t>
  </si>
  <si>
    <t>Les actions de rétention du personnel dans la DSI sont-elles évaluées ?</t>
  </si>
  <si>
    <t>Registre de conformité des clauses aux législations en vigueur</t>
  </si>
  <si>
    <t>Actions de rétention inefficaces</t>
  </si>
  <si>
    <t>Fuite de talents</t>
  </si>
  <si>
    <t>Évaluer la capacité de l’Organisation à gérer les carrières des informaticiens</t>
  </si>
  <si>
    <t>Existence d'un plan de gestion des carrières des informaticiens</t>
  </si>
  <si>
    <t>Un plan de gestion des carrières pour les informaticiens est-il défini ?</t>
  </si>
  <si>
    <t>Évaluation de l’équité des clauses de confidentialité et de non-concurrence</t>
  </si>
  <si>
    <t>Pas de plan de carrière défini</t>
  </si>
  <si>
    <t>Turn-over élevé</t>
  </si>
  <si>
    <t>Possibilité d’évolution professionnelle au sein de la DSI</t>
  </si>
  <si>
    <t>Des possibilités d’évolution professionnelle existent-elles au sein de la DSI ?</t>
  </si>
  <si>
    <t>Procédure pour garantir le respect des clauses dans les contrats</t>
  </si>
  <si>
    <t>Évolution interne limitée</t>
  </si>
  <si>
    <t>Manque de perspectives</t>
  </si>
  <si>
    <t>Mise en place de formations et de développement des compétences</t>
  </si>
  <si>
    <t>Des formations et actions de développement des compétences sont-elles mises en œuvre ?</t>
  </si>
  <si>
    <t>Document de gestion des ruptures sans préavis</t>
  </si>
  <si>
    <t>Formations insuffisantes</t>
  </si>
  <si>
    <t>Stagnation des compétences</t>
  </si>
  <si>
    <t>Suivi régulier de l'évolution des carrières et des compétences</t>
  </si>
  <si>
    <t>L’évolution des carrières et des compétences est-elle suivie régulièrement ?</t>
  </si>
  <si>
    <t>Plan d’analyse des conséquences de la rupture sans préavis</t>
  </si>
  <si>
    <t>Suivi des carrières inexistant</t>
  </si>
  <si>
    <t>Décrochage de carrière</t>
  </si>
  <si>
    <t>Soutien à la mobilité interne et à la progression des carrières dans la DSI</t>
  </si>
  <si>
    <t>La mobilité interne et la progression des carrières sont-elles soutenues dans la DSI ?</t>
  </si>
  <si>
    <t>Registre de compensation en cas de rupture sans préavis</t>
  </si>
  <si>
    <t>Mobilité interne non encouragée</t>
  </si>
  <si>
    <t>Mobilité freinée</t>
  </si>
  <si>
    <t>Vérifier l’adéquation du niveau de rémunération du personnel informatique et évaluer le « moral » des équipes</t>
  </si>
  <si>
    <t>Comparer le niveau de rémunération avec les standards du secteur</t>
  </si>
  <si>
    <t>Le niveau de rémunération est-il comparable aux standards du secteur ?</t>
  </si>
  <si>
    <t>Évaluation de l’impact des clauses sur la relation employeur-employé</t>
  </si>
  <si>
    <t>Rémunération inférieure au marché</t>
  </si>
  <si>
    <t>Perte d’attractivité</t>
  </si>
  <si>
    <t>Comparaison du niveau de rémunération avec les standards du secteur</t>
  </si>
  <si>
    <t>Analyser la compétitivité des salaires par rapport aux compétences requises</t>
  </si>
  <si>
    <t>Les salaires sont-ils compétitifs par rapport aux compétences requises ?</t>
  </si>
  <si>
    <t>Registre de conformité des dispositions aux législations du travail</t>
  </si>
  <si>
    <t>Salaires non alignés aux compétences</t>
  </si>
  <si>
    <t>Incohérence salariale</t>
  </si>
  <si>
    <t>Analyse de la compétitivité des salaires par rapport aux compétences requises</t>
  </si>
  <si>
    <t>Évaluer la satisfaction générale des employés vis-à-vis de leur rémunération</t>
  </si>
  <si>
    <t>Les employés sont-ils satisfaits de leur rémunération ?</t>
  </si>
  <si>
    <t>Plan de formation individuel pour chaque informaticien</t>
  </si>
  <si>
    <t>Insatisfaction salariale</t>
  </si>
  <si>
    <t>Frustration des équipes</t>
  </si>
  <si>
    <t>Évaluation de la satisfaction générale des employés vis-à-vis de leur rémunération</t>
  </si>
  <si>
    <t>Mesurer le niveau de motivation et de bien-être des équipes</t>
  </si>
  <si>
    <t>Le niveau de motivation et de bien-être des équipes est-il satisfaisant ?</t>
  </si>
  <si>
    <t>Document de suivi des objectifs de carrière des employés</t>
  </si>
  <si>
    <t>Motivation des équipes faible</t>
  </si>
  <si>
    <t>Démotivation globale</t>
  </si>
  <si>
    <t>Mesure du niveau de motivation et de bien-être des équipes</t>
  </si>
  <si>
    <t>Analyser l'impact de la rémunération sur la rétention du personnel</t>
  </si>
  <si>
    <t>La rémunération a-t-elle un impact positif sur la rétention du personnel ?</t>
  </si>
  <si>
    <t>Registre des besoins spécifiques des informaticiens</t>
  </si>
  <si>
    <t>Rémunération impactant la fidélisation</t>
  </si>
  <si>
    <t>Départs stratégiques</t>
  </si>
  <si>
    <t>Analyse de l'impact de la rémunération sur la rétention du personnel</t>
  </si>
  <si>
    <t>Évaluer la dépendance de l’Organisation vis-à-vis d’une ou plusieurs personnes</t>
  </si>
  <si>
    <t>Identifier les postes clés dont l'organisation dépend fortement</t>
  </si>
  <si>
    <t>Des postes clés dépendent-ils fortement d’une seule personne ?</t>
  </si>
  <si>
    <t>Catalogue de formations proposées en fonction des compétences</t>
  </si>
  <si>
    <t>Postes clés mal identifiés</t>
  </si>
  <si>
    <t>Dépendance excessive</t>
  </si>
  <si>
    <t>Identification des postes clés dont l'organisation dépend fortement</t>
  </si>
  <si>
    <t>Évaluer les risques liés à la dépendance d'un individu spécifique</t>
  </si>
  <si>
    <t>Les risques liés à la dépendance à un individu sont-ils évalués ?</t>
  </si>
  <si>
    <t>Plan de mise à jour régulière du plan de formation</t>
  </si>
  <si>
    <t>Forte dépendance à certains profils</t>
  </si>
  <si>
    <t>Risque opérationnel</t>
  </si>
  <si>
    <t>Évaluation des risques liés à la dépendance d'un individu spécifique</t>
  </si>
  <si>
    <t>Analyser les plans de succession pour réduire la dépendance</t>
  </si>
  <si>
    <t>Des plans de succession sont-ils en place pour limiter cette dépendance ?</t>
  </si>
  <si>
    <t>Évaluation de la pertinence des formations proposées</t>
  </si>
  <si>
    <t>Absence de plan de succession</t>
  </si>
  <si>
    <t>Absence de relais</t>
  </si>
  <si>
    <t>Analyse des plans de succession pour réduire la dépendance</t>
  </si>
  <si>
    <t>Vérifier les mesures prises pour diversifier les connaissances et compétences au sein de l'équipe</t>
  </si>
  <si>
    <t>Des mesures sont-elles prises pour diversifier les compétences dans l’équipe ?</t>
  </si>
  <si>
    <t>Document de pérennité des actions de formation</t>
  </si>
  <si>
    <t>Compétences non diversifiées</t>
  </si>
  <si>
    <t>Connaissances centralisées</t>
  </si>
  <si>
    <t>Vérification des mesures prises pour diversifier les connaissances et compétences au sein de l'équipe</t>
  </si>
  <si>
    <t>Examiner les stratégies de formation pour préparer d’autres collaborateurs à des rôles clés</t>
  </si>
  <si>
    <t>Des stratégies de formation permettent-elles à d’autres collaborateurs de couvrir des rôles critiques ?</t>
  </si>
  <si>
    <t>Suivi régulier des évolutions technologiques dans le plan de formation</t>
  </si>
  <si>
    <t>Formations non ciblées sur les remplaçants</t>
  </si>
  <si>
    <t>Formation insuffisante</t>
  </si>
  <si>
    <t>Examen des stratégies de formation pour préparer d’autres collaborateurs à des rôles clés</t>
  </si>
  <si>
    <t>Vérifier que les contrats des informaticiens contiennent des clauses spécifiques de confidentialité et de non-concurrence</t>
  </si>
  <si>
    <t>Vérifier la présence de clauses de confidentialité dans les contrats de travail</t>
  </si>
  <si>
    <t>Des clauses de confidentialité sont-elles présentes dans les contrats de travail ?</t>
  </si>
  <si>
    <t>Plan de budget de formation suffisant et bien réparti</t>
  </si>
  <si>
    <t>Clauses de confidentialité absentes</t>
  </si>
  <si>
    <t>Divulgation d’informations</t>
  </si>
  <si>
    <t>Vérification de la présence de clauses de confidentialité dans les contrats de travail</t>
  </si>
  <si>
    <t>Contrôler la présence de clauses de non-concurrence et leur portée</t>
  </si>
  <si>
    <t>Des clauses de non-concurrence sont-elles incluses et adaptées ?</t>
  </si>
  <si>
    <t>Non-concurrence excessive ou floue</t>
  </si>
  <si>
    <t>Concurrence déloyale</t>
  </si>
  <si>
    <t>Contrôle de la présence de clauses de non-concurrence et leur portée</t>
  </si>
  <si>
    <t>S’assurer que ces clauses sont conformes aux législations en vigueur</t>
  </si>
  <si>
    <t>Ces clauses sont-elles conformes aux lois en vigueur ?</t>
  </si>
  <si>
    <t>Clauses non conformes aux lois</t>
  </si>
  <si>
    <t>Illégalité contractuelle</t>
  </si>
  <si>
    <t>Analyser l’équité et la transparence de ces clauses vis-à-vis des employés</t>
  </si>
  <si>
    <t>Leur équité et leur transparence sont-elles assurées vis-à-vis des employés ?</t>
  </si>
  <si>
    <t>Clauses perçues comme injustes</t>
  </si>
  <si>
    <t>Injustice perçue</t>
  </si>
  <si>
    <t>Analyse de l’équité et de la transparence de ces clauses vis-à-vis des employés</t>
  </si>
  <si>
    <t>Vérifier l’existence de procédures pour garantir le respect de ces clauses</t>
  </si>
  <si>
    <t>Des procédures existent-elles pour garantir le respect de ces clauses ?</t>
  </si>
  <si>
    <t>Aucune procédure de suivi des clauses</t>
  </si>
  <si>
    <t>Manque de contrôle</t>
  </si>
  <si>
    <t>Vérification de l’existence de procédures pour garantir le respect de ces clauses</t>
  </si>
  <si>
    <t>Vérifier si les informaticiens sont- dispensés de préavis en cas de rupture brutale du contrat de travail</t>
  </si>
  <si>
    <t>Vérifier les termes du contrat concernant la rupture sans préavis</t>
  </si>
  <si>
    <t>Les contrats prévoient-ils la possibilité de rupture sans préavis ?</t>
  </si>
  <si>
    <t>Rupture sans préavis autorisée sans encadrement</t>
  </si>
  <si>
    <t>Procès potentiels</t>
  </si>
  <si>
    <t>Vérification des termes du contrat concernant la rupture sans préavis</t>
  </si>
  <si>
    <t>Analyser les conséquences de cette disposition pour l’organisation et les employés</t>
  </si>
  <si>
    <t>Les conséquences de cette rupture sont-elles bien évaluées pour l’organisation et les employés ?</t>
  </si>
  <si>
    <t>Impact négatif sur l’organisation</t>
  </si>
  <si>
    <t>Tensions employeur-employé</t>
  </si>
  <si>
    <t>Analyse des conséquences de cette disposition pour l’organisation et les employés</t>
  </si>
  <si>
    <t>Vérifier si des compensations sont prévues en cas de rupture sans préavis</t>
  </si>
  <si>
    <t>Des compensations sont-elles prévues en cas de rupture sans préavis ?</t>
  </si>
  <si>
    <t>Pas de compensation prévue</t>
  </si>
  <si>
    <t>Sanctions légales</t>
  </si>
  <si>
    <t>Vérification si des compensations sont prévues en cas de rupture sans préavis</t>
  </si>
  <si>
    <t>Évaluer l’impact de ces clauses sur la relation employeur-employé</t>
  </si>
  <si>
    <t>Ces clauses impactent-elles la relation employeur-employé ?</t>
  </si>
  <si>
    <t>Climat social dégradé</t>
  </si>
  <si>
    <t>Inégalité de traitement</t>
  </si>
  <si>
    <t>Évaluation de l’impact de ces clauses sur la relation employeur-employé</t>
  </si>
  <si>
    <t>Vérifier si les dispositions respectent la législation du travail en vigueur</t>
  </si>
  <si>
    <t>Les dispositions contractuelles respectent-elles la législation du travail ?</t>
  </si>
  <si>
    <t>Non-conformité avec le droit du travail</t>
  </si>
  <si>
    <t>Plan inadapté</t>
  </si>
  <si>
    <t>Vérification si les dispositions respectent la législation du travail en vigueur</t>
  </si>
  <si>
    <t>Vérifier l’existence d’un plan de formation nominatif pour l’ensemble des informaticiens</t>
  </si>
  <si>
    <t>Vérifier l’existence d’un plan de formation individuel pour chaque informaticien</t>
  </si>
  <si>
    <t>Un plan de formation individuel existe-t-il pour chaque informaticien ?</t>
  </si>
  <si>
    <t>Pas de plan individuel de formation</t>
  </si>
  <si>
    <t>Écart aux attentes</t>
  </si>
  <si>
    <t>Vérification de l’existence d’un plan de formation individuel pour chaque informaticien</t>
  </si>
  <si>
    <t>S’assurer que le plan de formation est aligné avec les objectifs de carrière des employés</t>
  </si>
  <si>
    <t>Ce plan est-il aligné avec les objectifs de carrière des employés ?</t>
  </si>
  <si>
    <t>Objectifs de carrière non intégrés</t>
  </si>
  <si>
    <t>Oubli de besoins</t>
  </si>
  <si>
    <t>Vérifier la prise en compte des besoins spécifiques de chaque informaticien</t>
  </si>
  <si>
    <t>Les besoins spécifiques de chaque informaticien sont-ils pris en compte ?</t>
  </si>
  <si>
    <t>Besoins spécifiques ignorés</t>
  </si>
  <si>
    <t>Formations incomplètes</t>
  </si>
  <si>
    <t>Vérification de la prise en compte des besoins spécifiques de chaque informaticien</t>
  </si>
  <si>
    <t>Analyser la diversité des formations proposées en fonction des compétences</t>
  </si>
  <si>
    <t>La diversité des formations proposées est-elle adaptée aux compétences à développer ?</t>
  </si>
  <si>
    <t>Formations peu diversifiées</t>
  </si>
  <si>
    <t>Mises à jour absentes</t>
  </si>
  <si>
    <t>Analyse de la diversité des formations proposées en fonction des compétences</t>
  </si>
  <si>
    <t>Vérifier que le plan de formation est mis à jour régulièrement</t>
  </si>
  <si>
    <t>Le plan de formation est-il mis à jour régulièrement ?</t>
  </si>
  <si>
    <t>Plan non actualisé</t>
  </si>
  <si>
    <t>Décalage avec la réalité</t>
  </si>
  <si>
    <t>Vérification que le plan de formation est mis à jour régulièrement</t>
  </si>
  <si>
    <t>Vérifier que l’effort de formation est adapté, suffisant et qu’il s’inscrit dans la durée.</t>
  </si>
  <si>
    <t>Évaluer si les formations proposées sont adaptées aux besoins actuels et futurs</t>
  </si>
  <si>
    <t>Les formations sont-elles adaptées aux besoins actuels et futurs ?</t>
  </si>
  <si>
    <t>Formations inadaptées aux besoins</t>
  </si>
  <si>
    <t>Évaluation si les formations proposées sont adaptées aux besoins actuels et futurs</t>
  </si>
  <si>
    <t>Vérifier que les formations sont suffisantes pour garantir le développement des compétences</t>
  </si>
  <si>
    <t>Les actions de formation sont-elles suffisantes pour le développement des compétences ?</t>
  </si>
  <si>
    <t>Développement des compétences limité</t>
  </si>
  <si>
    <t>Discontinuité pédagogique</t>
  </si>
  <si>
    <t>Vérification que les formations sont suffisantes pour garantir le développement des compétences</t>
  </si>
  <si>
    <t>Analyser la pérennité des actions de formation et leur continuité dans le temps</t>
  </si>
  <si>
    <t>La pérennité des actions de formation est-elle assurée dans le temps ?</t>
  </si>
  <si>
    <t>Actions de formation discontinues</t>
  </si>
  <si>
    <t>Formations dépassées</t>
  </si>
  <si>
    <t>Analyse de la pérennité des actions de formation et leur continuité dans le temps</t>
  </si>
  <si>
    <t>S’assurer que l’effort de formation est régulièrement réévalué en fonction des évolutions technologiques</t>
  </si>
  <si>
    <t>L’effort de formation est-il réévalué selon les évolutions technologiques ?</t>
  </si>
  <si>
    <t>Pas de réévaluation selon les évolutions</t>
  </si>
  <si>
    <t>Budget insuffisant</t>
  </si>
  <si>
    <t>Vérifier que le budget alloué à la formation est suffisant et bien réparti</t>
  </si>
  <si>
    <t>Le budget alloué à la formation est-il suffisant et bien réparti ?</t>
  </si>
  <si>
    <t>Budget formation insuffisant et mal réparti</t>
  </si>
  <si>
    <t>Vérification que le budget alloué à la formation est suffisant et bien réparti</t>
  </si>
  <si>
    <t>DOMAINES</t>
  </si>
  <si>
    <t>POINTS DE CONTRÔLE</t>
  </si>
  <si>
    <t>OBJECTIFS DE CONTRROLE</t>
  </si>
  <si>
    <t>CRITERES D'EVALUATION</t>
  </si>
  <si>
    <t>QUESTIONS D'EVALUTION</t>
  </si>
  <si>
    <t>REPONSES</t>
  </si>
  <si>
    <t>Documents Requis </t>
  </si>
  <si>
    <t>RISQUES</t>
  </si>
  <si>
    <t>CRITICITES</t>
  </si>
  <si>
    <t>RECOMMANDATIONS</t>
  </si>
  <si>
    <t>Audit et Contrôle des Projets Informatiques</t>
  </si>
  <si>
    <t xml:space="preserve">Objectifs et enjeux du projet </t>
  </si>
  <si>
    <t>S'assurer qu’une étude de la valeur et des études d'opportunitéet d'impacts ont été réalisé</t>
  </si>
  <si>
    <t>C</t>
  </si>
  <si>
    <t>Une étude d’opportunité a-t-elle été réalisée et validée ?</t>
  </si>
  <si>
    <t>Étude d’opportunité, Note de cadrage</t>
  </si>
  <si>
    <t>Décisions prises sans vision globale</t>
  </si>
  <si>
    <t>Mauvais positionnement du projet</t>
  </si>
  <si>
    <t>Réaliser une étude d’opportunité en phase de cadrage</t>
  </si>
  <si>
    <t>Réalisation d’une étude de la valeur</t>
  </si>
  <si>
    <t>L’étude de la valeur a-t-elle permis d’identifier des axes d’amélioration ?</t>
  </si>
  <si>
    <t>Rapport d’étude de la valeur, Analyse fonctionnelle</t>
  </si>
  <si>
    <t>Gains potentiels non identifiés</t>
  </si>
  <si>
    <t>Sous-performance du projet</t>
  </si>
  <si>
    <t>Intégrer systématiquement une étude de la valeur dans la préparation</t>
  </si>
  <si>
    <t xml:space="preserve">Analyse d’impact multidimensionnelle </t>
  </si>
  <si>
    <t>Les impacts (financiers, humains, techniques) ont-ils été évalués ?</t>
  </si>
  <si>
    <t>Étude d’impact, Matrice d’impact</t>
  </si>
  <si>
    <t>Sous-estimation des contraintes</t>
  </si>
  <si>
    <t>Conflits, dérives de budget ou de planning</t>
  </si>
  <si>
    <t>Réaliser une analyse d’impact complète</t>
  </si>
  <si>
    <t>Validation formelle des études</t>
  </si>
  <si>
    <t>Les études ont-elles été validées par les parties prenantes ?</t>
  </si>
  <si>
    <t>Oui,</t>
  </si>
  <si>
    <t>Plan stratégique; Feuille de route projet</t>
  </si>
  <si>
    <t xml:space="preserve"> Absence de soutien des décideurs</t>
  </si>
  <si>
    <t>Rejet du projet en phase de mise en œuvre</t>
  </si>
  <si>
    <t xml:space="preserve">Organiser une validation formelle avec les instances clés
</t>
  </si>
  <si>
    <t>Alignement avec la stratégie de l’organisation</t>
  </si>
  <si>
    <t>L’étude montre-t-elle un alignement avec la stratégie globale ?</t>
  </si>
  <si>
    <t>oui</t>
  </si>
  <si>
    <t>Procès-verbal de validation, Liste des parties prenantes</t>
  </si>
  <si>
    <t>Projet en décalage avec les priorités</t>
  </si>
  <si>
    <t xml:space="preserve">Faible engagement des acteurs
</t>
  </si>
  <si>
    <t>Vérifier la cohérence stratégique en amont</t>
  </si>
  <si>
    <t xml:space="preserve">S’assurer qu’un bilan critique des processus existants a étéeffectué </t>
  </si>
  <si>
    <t>Existence d'un bilan des processus existants</t>
  </si>
  <si>
    <t>Un bilan critique des processus existants a-t-il été réalisé ?</t>
  </si>
  <si>
    <t>Bilan des processus, Rapport d’audit des processus</t>
  </si>
  <si>
    <t>Manque de vision globale des processus</t>
  </si>
  <si>
    <t>Absence de vision claire sur les processus à améliorer</t>
  </si>
  <si>
    <t>Effectuer un bilan des processus existants dès le début du projet.</t>
  </si>
  <si>
    <t>Analyse des points de défaillance des processus</t>
  </si>
  <si>
    <t>Les points faibles et les défaillances des processus existants ont-ils été identifiés ?</t>
  </si>
  <si>
    <t>Analyse des points de défaillance, Cartographie des processus</t>
  </si>
  <si>
    <t>Identification incomplète des points faibles</t>
  </si>
  <si>
    <t xml:space="preserve"> Inefficacité persistante des processus</t>
  </si>
  <si>
    <t xml:space="preserve">Réaliser une analyse complète des points de défaillance </t>
  </si>
  <si>
    <t>Identification des processus clés</t>
  </si>
  <si>
    <t>Les processus clés pour l’entreprise ont-ils été clairement identifiés et analysés ?</t>
  </si>
  <si>
    <t>Liste des processus clés, Plan de processus</t>
  </si>
  <si>
    <t>Omission de processus critiques pour l’organisation</t>
  </si>
  <si>
    <t xml:space="preserve"> Processus inefficaces non priorisés</t>
  </si>
  <si>
    <t>Identifier clairement les processus clés et assurer un suivi rigoureux</t>
  </si>
  <si>
    <t>Recommandations d'amélioration</t>
  </si>
  <si>
    <t>Des recommandations d’amélioration ont-elles été formulées pour chaque processus critique ?</t>
  </si>
  <si>
    <t>Rapport de recommandations, Plan d’action d’amélioration</t>
  </si>
  <si>
    <t>Recommandations non adaptées ou irréalistes</t>
  </si>
  <si>
    <t>Retard dans l'amélioration des processus clés</t>
  </si>
  <si>
    <t xml:space="preserve"> Élaborer des recommandations réalistes </t>
  </si>
  <si>
    <t>Implication des parties prenantes</t>
  </si>
  <si>
    <t>Les parties prenantes ont-elles été impliquées dans l’évaluation des processus ?</t>
  </si>
  <si>
    <t xml:space="preserve"> Compte-rendu des réunions de parties prenantes</t>
  </si>
  <si>
    <t xml:space="preserve">Résistance au changement ou manque de soutien des parties prenantes
</t>
  </si>
  <si>
    <t xml:space="preserve">Manque d’adhésion </t>
  </si>
  <si>
    <t xml:space="preserve">Impliquer activement les parties prenantes </t>
  </si>
  <si>
    <t>S’assurer que le choix de recourir à un nouveau système estobtenu après optimisation des processus concernés et vérification que cette optimisation ne suffit pas à apporter par elle-même les gains de performance attendus</t>
  </si>
  <si>
    <t>Définition des objectifs du projet</t>
  </si>
  <si>
    <t>Les objectifs du projet ont-ils été clairement définis et communiqués à toutes les parties prenantes ?</t>
  </si>
  <si>
    <t>Fiche projet, Note de cadrage</t>
  </si>
  <si>
    <t>Objectifs flous entraînant des malentendus et des dérives</t>
  </si>
  <si>
    <t xml:space="preserve"> Dérives de planning et livrables incohérents</t>
  </si>
  <si>
    <t xml:space="preserve"> Formaliser les objectifs dès la phase de cadrage</t>
  </si>
  <si>
    <t xml:space="preserve"> Partage des objectifs avec les parties prenantes</t>
  </si>
  <si>
    <t>Les objectifs du projet ont-ils été partagés de manière transparente avec toutes les parties prenantes ?</t>
  </si>
  <si>
    <t>Compte rendu de réunion de lancement, Présentation de cadrage</t>
  </si>
  <si>
    <t>Manque d’adhésion des parties prenantes</t>
  </si>
  <si>
    <t>Faible mobilisation et incompréhensions</t>
  </si>
  <si>
    <t>Organiser des ateliers et communications claires avec toutes les partie</t>
  </si>
  <si>
    <t>Validation des objectifs par les parties prenantes</t>
  </si>
  <si>
    <t>Les parties prenantes ont-elles validé les objectifs du projet ?</t>
  </si>
  <si>
    <t>Procès-verbal de comité de pilotage, Liste de validation des exigences</t>
  </si>
  <si>
    <t>Blocages ultérieurs en cas de désaccord</t>
  </si>
  <si>
    <t>Conflits en phase de réalisation</t>
  </si>
  <si>
    <t xml:space="preserve"> Impliquer les parties prenantes dans les comités de décision</t>
  </si>
  <si>
    <t>Définition du périmètre du projet</t>
  </si>
  <si>
    <t>Le périmètre du projet a-t-il été clairement défini et est-il compris par toutes les parties prenantes ?</t>
  </si>
  <si>
    <t>Document de périmètre, Cahier des charges</t>
  </si>
  <si>
    <t>Extension non maîtrisée du périmètre (effet tunnel)</t>
  </si>
  <si>
    <t>Livrables non conformes aux attentes</t>
  </si>
  <si>
    <t xml:space="preserve"> Délimiter le périmètre avec des critères d’inclusion/exclusion</t>
  </si>
  <si>
    <t>Stabilisation des objectifs et du périmètre</t>
  </si>
  <si>
    <t>Les objectifs et le périmètre du projet sont-ils stables et ne subissent-ils pas de changements fréquents ?</t>
  </si>
  <si>
    <t>Plan de gestion du périmètre, Tableau de suivi des évolutions</t>
  </si>
  <si>
    <t xml:space="preserve"> Instabilité des objectifs freinant l’avancement du projet</t>
  </si>
  <si>
    <t xml:space="preserve"> Re-travail, retards, dépassement de budget
</t>
  </si>
  <si>
    <t>Mettre en place un dispositif de gestion des évolutions</t>
  </si>
  <si>
    <t>S’assure que les objectifs et périmètres du projet sont définis,partagés et stabilisés</t>
  </si>
  <si>
    <t>Liste des acteurs identifiés</t>
  </si>
  <si>
    <t xml:space="preserve"> Les principaux acteurs du projet ont-ils été identifiés ?</t>
  </si>
  <si>
    <t>Registre des parties prenantes, Organigramme projet</t>
  </si>
  <si>
    <t>Oubli d’un acteur critique</t>
  </si>
  <si>
    <t>Conflits ou blocages</t>
  </si>
  <si>
    <t>Identifier tous les acteurs dès le démarrage</t>
  </si>
  <si>
    <t>Classification des acteurs (internes / externes / influence / décision)</t>
  </si>
  <si>
    <t>Les acteurs ont-ils été catégorisés selon leur rôle ?</t>
  </si>
  <si>
    <t>PV de validation, Note de cadrage</t>
  </si>
  <si>
    <t xml:space="preserve"> Mauvaise communication avec des parties prenantes clés</t>
  </si>
  <si>
    <t xml:space="preserve"> Moyenne</t>
  </si>
  <si>
    <t>Retards dans la validation</t>
  </si>
  <si>
    <t xml:space="preserve"> Clarifier les rôles et responsabilités</t>
  </si>
  <si>
    <t xml:space="preserve"> Validation de la liste des acteurs par la gouvernance du projet</t>
  </si>
  <si>
    <t>La liste des acteurs a-t-elle été validée ?</t>
  </si>
  <si>
    <t>Cartographie des parties prenantes, Matrice d’influence</t>
  </si>
  <si>
    <t xml:space="preserve"> Décisions prises sans consultation adéquate</t>
  </si>
  <si>
    <t xml:space="preserve"> Élevée</t>
  </si>
  <si>
    <t xml:space="preserve"> Décisions non soutenues</t>
  </si>
  <si>
    <t xml:space="preserve"> Valider formellement la liste avec la gouvernance</t>
  </si>
  <si>
    <t>Cartographie des parties prenantes réalisée</t>
  </si>
  <si>
    <t xml:space="preserve"> Une cartographie des parties prenantes est-elle disponible ?</t>
  </si>
  <si>
    <t>Plan de communication, Journal des modifications</t>
  </si>
  <si>
    <t xml:space="preserve"> Résistance au changement non anticipée</t>
  </si>
  <si>
    <t xml:space="preserve"> Manque d’adhésion</t>
  </si>
  <si>
    <t>Mettre à jour la cartographie régulièrement</t>
  </si>
  <si>
    <t>Mise à jour régulière de la liste des acteurs</t>
  </si>
  <si>
    <t>La liste des acteurs est-elle mise à jour en fonction de l’évolution du projet ?</t>
  </si>
  <si>
    <t xml:space="preserve"> Gouvernance affaiblie</t>
  </si>
  <si>
    <t xml:space="preserve"> Perte de pilotage</t>
  </si>
  <si>
    <t>Communiquer régulièrement avec les acteurs identifiés</t>
  </si>
  <si>
    <t>S’assurer que les principales orientations du système cible ontété explicitées ;</t>
  </si>
  <si>
    <t xml:space="preserve"> Exigences utilisateurs documentées et validées  </t>
  </si>
  <si>
    <t xml:space="preserve">Les besoins des utilisateurs sont-ils formellement recensés et validés ?  </t>
  </si>
  <si>
    <t xml:space="preserve">Cahier des charges fonctionnel  </t>
  </si>
  <si>
    <t xml:space="preserve">Inadéquation de la solution aux attentes réelles  </t>
  </si>
  <si>
    <t xml:space="preserve"> Non-adhésion des utilisateurs finaux  </t>
  </si>
  <si>
    <t xml:space="preserve">Impliquer les utilisateurs clés dès la phase de conception  </t>
  </si>
  <si>
    <t xml:space="preserve">Populations ciblées clairement identifiées  </t>
  </si>
  <si>
    <t xml:space="preserve">- Les populations ciblées sont-elles identifiées avec précision ?  </t>
  </si>
  <si>
    <t xml:space="preserve"> Études de besoins utilisateurs</t>
  </si>
  <si>
    <t xml:space="preserve"> Mauvaise adoption par Les utilisateurs</t>
  </si>
  <si>
    <t xml:space="preserve">Déploiement d'une solution inadaptée  </t>
  </si>
  <si>
    <t xml:space="preserve"> Formaliser Les exigences dans un document validé</t>
  </si>
  <si>
    <t xml:space="preserve"> options fonctionnelles définies et justifiées</t>
  </si>
  <si>
    <t xml:space="preserve">- Les différentes options fonctionnelles ont-elles été analysées ?  </t>
  </si>
  <si>
    <t>Grille de comparaison des options</t>
  </si>
  <si>
    <t>Fonctionnalités inutiles ou manquantes</t>
  </si>
  <si>
    <t xml:space="preserve"> Perte de temps et de ressources</t>
  </si>
  <si>
    <t>Réaliser des ateliers de recueil des besoins</t>
  </si>
  <si>
    <t>Traçabilité des besoins jusqu’aux spécifications</t>
  </si>
  <si>
    <t xml:space="preserve">- Existe-t-il un lien clair entre exigences et spécifications ?  </t>
  </si>
  <si>
    <t>Comptes rendus des ateliers utilisateurs</t>
  </si>
  <si>
    <t>Surcharge des coûts de développement</t>
  </si>
  <si>
    <t>Reprise coûteuse du développement</t>
  </si>
  <si>
    <t xml:space="preserve"> Prévoir des tests utilisateurs en amont</t>
  </si>
  <si>
    <t>- Implication des utilisateurs dans la phase de recueil</t>
  </si>
  <si>
    <t>- Les utilisateurs ont-ils été consultés lors de la définition des besoins ?</t>
  </si>
  <si>
    <t>Spécifications fonctionnelles validées</t>
  </si>
  <si>
    <t>Retards dans le projet</t>
  </si>
  <si>
    <t>Baisse de performance ou d’efficacité du système</t>
  </si>
  <si>
    <t>Mettre à jour régulièrement le cahier des charges en fonction des retours</t>
  </si>
  <si>
    <t xml:space="preserve">S’assurer que les principaux acteurs sont identifiés </t>
  </si>
  <si>
    <t xml:space="preserve"> Existence d’un plan directeur informatique validé  </t>
  </si>
  <si>
    <t xml:space="preserve"> Le plan directeur informatique est-il formalisé et accessible ?  </t>
  </si>
  <si>
    <t xml:space="preserve">Plan directeur informatique, schéma directeur SI  </t>
  </si>
  <si>
    <t xml:space="preserve"> Mauvais alignement stratégique  </t>
  </si>
  <si>
    <t xml:space="preserve">Élevée  </t>
  </si>
  <si>
    <t xml:space="preserve">Perte d’alignement stratégique  </t>
  </si>
  <si>
    <t xml:space="preserve">Aligner le projet sur le plan directeur  </t>
  </si>
  <si>
    <t xml:space="preserve">– Alignement du projet avec les axes stratégiques du plan  </t>
  </si>
  <si>
    <t xml:space="preserve">– Le projet répond-il à un ou plusieurs objectifs stratégiques du plan ?  </t>
  </si>
  <si>
    <t xml:space="preserve">– Note de cadrage, fiche projet validée  </t>
  </si>
  <si>
    <t xml:space="preserve">– Surcoûts dus à des réajustements tardifs  </t>
  </si>
  <si>
    <t xml:space="preserve">Dépenses inutiles  </t>
  </si>
  <si>
    <t xml:space="preserve">Faire valider les choix par la DSI  </t>
  </si>
  <si>
    <t xml:space="preserve">– Prise en compte des priorités définies par le plan  </t>
  </si>
  <si>
    <t xml:space="preserve">– Les priorités du plan ont-elles été prises en compte dans le projet ?  </t>
  </si>
  <si>
    <t xml:space="preserve">– Cahier des charges fonctionnel, spécifications générales  </t>
  </si>
  <si>
    <t xml:space="preserve">– Rejet du projet par la DSI ou les métiers  </t>
  </si>
  <si>
    <t xml:space="preserve">Moyenne à élevée  </t>
  </si>
  <si>
    <t xml:space="preserve">Échec du projet  </t>
  </si>
  <si>
    <t xml:space="preserve">Mettre en place une gouvernance claire  </t>
  </si>
  <si>
    <t xml:space="preserve">– Intégration des technologies et architectures cibles  </t>
  </si>
  <si>
    <t xml:space="preserve">– Le projet utilise-t-il les technologies recommandées dans le plan ?  </t>
  </si>
  <si>
    <t xml:space="preserve">– Comptes rendus de réunions DSI/métiers, PV de comité de pilotage  </t>
  </si>
  <si>
    <t xml:space="preserve">– Duplications de solutions déjà existantes  </t>
  </si>
  <si>
    <t>Élevée  </t>
  </si>
  <si>
    <t xml:space="preserve">Retards dans la mise en œuvre  </t>
  </si>
  <si>
    <t xml:space="preserve">Impliquer les métiers dès la phase de cadrage  </t>
  </si>
  <si>
    <t>– Mise à jour du plan directeur en fonction du projet</t>
  </si>
  <si>
    <t>– Le plan directeur a-t-il été mis à jour suite au lancement du projet ?</t>
  </si>
  <si>
    <t>– Étude de faisabilité, grille d’analyse de la cohérence stratégique</t>
  </si>
  <si>
    <t>– Perte de cohérence du système d’information global</t>
  </si>
  <si>
    <t>Insatisfaction des utilisateurs</t>
  </si>
  <si>
    <t>Réaliser des revues régulières de conformité au plan directeur</t>
  </si>
  <si>
    <t xml:space="preserve">S’assurer que les coûts sont évalués </t>
  </si>
  <si>
    <t xml:space="preserve">Alignement avec l’architecture technique existante  </t>
  </si>
  <si>
    <t xml:space="preserve">Le projet respecte-t-il l’architecture technique actuelle de l’organisation ?  </t>
  </si>
  <si>
    <t xml:space="preserve"> Plan directeur informatique  </t>
  </si>
  <si>
    <t xml:space="preserve"> Inadéquation de la solution aux besoins réels  </t>
  </si>
  <si>
    <t xml:space="preserve">Incohérence entre les systèmes en place  </t>
  </si>
  <si>
    <t xml:space="preserve"> Réaliser une cartographie du SI existant et cible  </t>
  </si>
  <si>
    <t xml:space="preserve">– Compatibilité avec les applications en place  </t>
  </si>
  <si>
    <t xml:space="preserve">– La solution est-elle compatible avec les logiciels déjà utilisés ?  </t>
  </si>
  <si>
    <t xml:space="preserve">– Dossier d’architecture technique  </t>
  </si>
  <si>
    <t xml:space="preserve">– Blocage de l’intégration dans l’environnement existant  </t>
  </si>
  <si>
    <t xml:space="preserve">– Surcoûts liés à des adaptations non prévues  </t>
  </si>
  <si>
    <t xml:space="preserve">– Intégrer une analyse d’impacts en amont du projet  </t>
  </si>
  <si>
    <t xml:space="preserve">– Prise en compte des projets SI futurs  </t>
  </si>
  <si>
    <t xml:space="preserve">– Le projet prend-il en compte les évolutions prévues du SI ?  </t>
  </si>
  <si>
    <t xml:space="preserve">– Schéma directeur du SI  </t>
  </si>
  <si>
    <t xml:space="preserve">– Perte de temps et de ressources  </t>
  </si>
  <si>
    <t xml:space="preserve">– Allongement des délais de mise en œuvre  </t>
  </si>
  <si>
    <t xml:space="preserve">– Impliquer les architectes SI dans la validation des choix  </t>
  </si>
  <si>
    <t xml:space="preserve">– Respect des standards technologiques internes  </t>
  </si>
  <si>
    <t xml:space="preserve">– Les technologies choisies sont-elles conformes aux standards internes ?  </t>
  </si>
  <si>
    <t xml:space="preserve">– Étude d'impact SI  </t>
  </si>
  <si>
    <t xml:space="preserve">– Complexité de maintenance accrue  </t>
  </si>
  <si>
    <t>– Difficultés d’intégration technique et fonctionnelle</t>
  </si>
  <si>
    <t xml:space="preserve">– Mettre à jour régulièrement le schéma directeur  </t>
  </si>
  <si>
    <t>– Capacité d’intégration avec les systèmes tiers</t>
  </si>
  <si>
    <t>– La solution peut-elle s’intégrer facilement aux systèmes partenaires ?</t>
  </si>
  <si>
    <t xml:space="preserve">– Cartographie applicative  </t>
  </si>
  <si>
    <t>– Rejet du projet par les utilisateurs finaux</t>
  </si>
  <si>
    <t xml:space="preserve">Retards importants dans le projet  </t>
  </si>
  <si>
    <t xml:space="preserve">Élaborer un planning directeur clair et partagé  </t>
  </si>
  <si>
    <t>S’assurer que les liens et impacts avec des projets connexes etles infrastructures (Datacenter, réseaux, etc.) sont pris en compte.</t>
  </si>
  <si>
    <t xml:space="preserve">Existence d’un planning global validé  </t>
  </si>
  <si>
    <t xml:space="preserve">Un planning directeur global a-t-il été formalisé et validé ?  </t>
  </si>
  <si>
    <t xml:space="preserve"> Planning directeur validé  </t>
  </si>
  <si>
    <t xml:space="preserve">Retards importants dans l’exécution du projet  </t>
  </si>
  <si>
    <t xml:space="preserve">Haute  </t>
  </si>
  <si>
    <t xml:space="preserve">Coordination difficile entre les équipes  </t>
  </si>
  <si>
    <t xml:space="preserve">Mettre à jour régulièrement le planning en fonction de l’avancement  </t>
  </si>
  <si>
    <t xml:space="preserve">– Cohérence entre les plannings des différentes parties prenantes  </t>
  </si>
  <si>
    <t xml:space="preserve">– Les sous-plannings métiers et techniques sont-ils alignés ?  </t>
  </si>
  <si>
    <t xml:space="preserve">– Planning détaillé par lot ou phase  </t>
  </si>
  <si>
    <t xml:space="preserve">– Manque de coordination entre les équipes  </t>
  </si>
  <si>
    <t xml:space="preserve">Surcoûts imprévus  </t>
  </si>
  <si>
    <t xml:space="preserve">Nommer un responsable du suivi de planning  </t>
  </si>
  <si>
    <t xml:space="preserve">– Suivi régulier de l’avancement  </t>
  </si>
  <si>
    <t xml:space="preserve">– Un tableau de bord de suivi est-il utilisé régulièrement ?  </t>
  </si>
  <si>
    <t xml:space="preserve">– Tableau de bord de suivi projet  </t>
  </si>
  <si>
    <t xml:space="preserve">– Conflits de ressources ou de priorités  </t>
  </si>
  <si>
    <t xml:space="preserve">Critique  </t>
  </si>
  <si>
    <t xml:space="preserve">Baisse de la qualité des livrables  </t>
  </si>
  <si>
    <t xml:space="preserve">Coordonner les jalons entre les différentes équipes  </t>
  </si>
  <si>
    <t xml:space="preserve">– Intégration des jalons critiques  </t>
  </si>
  <si>
    <t xml:space="preserve">– Les dates clés (jalons, livrables) sont-elles identifiées ?  </t>
  </si>
  <si>
    <t xml:space="preserve">– Compte-rendu de réunion de pilotage  </t>
  </si>
  <si>
    <t xml:space="preserve">– Dépassement des délais critiques  </t>
  </si>
  <si>
    <t>Non-respect des délais contractuels</t>
  </si>
  <si>
    <t>Utiliser un outil de gestion de projet collaboratif</t>
  </si>
  <si>
    <t>– Mise à jour du planning en cas de dérive</t>
  </si>
  <si>
    <t>– Le planning est-il actualisé en cas de retard ou modification ?</t>
  </si>
  <si>
    <t>– Procédure de mise à jour du planning</t>
  </si>
  <si>
    <t>– Incapacité à anticiper les dérives planning</t>
  </si>
  <si>
    <t>Haute</t>
  </si>
  <si>
    <t xml:space="preserve">Retards dans le lancement du projet  </t>
  </si>
  <si>
    <t xml:space="preserve"> Élaborer un plan de projet clair et validé dès le démarrage  </t>
  </si>
  <si>
    <t>Étude d'opportunité et expression des besoins</t>
  </si>
  <si>
    <t xml:space="preserve">s’assurer que l'expression détaillée des besoins est formaliséedans un cahier des charges fait par la MOA </t>
  </si>
  <si>
    <t xml:space="preserve">Plan de projet initial validé par toutes les parties prenantes  </t>
  </si>
  <si>
    <t xml:space="preserve">Le plan de projet a-t-il été validé par toutes les parties prenantes ?  </t>
  </si>
  <si>
    <t xml:space="preserve">Plan de projet initial  </t>
  </si>
  <si>
    <t xml:space="preserve">Dérives de planning et de coûts  </t>
  </si>
  <si>
    <t xml:space="preserve">– Dépassements budgétaires  </t>
  </si>
  <si>
    <t xml:space="preserve">– Impliquer toutes les parties prenantes dans la planification  </t>
  </si>
  <si>
    <t xml:space="preserve">– Définition claire des objectifs, livrables et jalons  </t>
  </si>
  <si>
    <t xml:space="preserve">– Les objectifs, livrables et jalons sont-ils clairement définis ?  </t>
  </si>
  <si>
    <t xml:space="preserve">– Charte de projet  </t>
  </si>
  <si>
    <t xml:space="preserve">– Mauvaise allocation des ressources  </t>
  </si>
  <si>
    <t xml:space="preserve">– Élevée  </t>
  </si>
  <si>
    <t xml:space="preserve">– Perte de confiance des parties prenantes  </t>
  </si>
  <si>
    <t xml:space="preserve">– Définir des jalons précis et mesurables  </t>
  </si>
  <si>
    <t xml:space="preserve">– Identification des ressources nécessaires (humaines, matérielles, financières)  </t>
  </si>
  <si>
    <t xml:space="preserve">– Les ressources nécessaires sont-elles identifiées et disponibles ?  </t>
  </si>
  <si>
    <t xml:space="preserve">– Matrice des responsabilités (RACI)  </t>
  </si>
  <si>
    <t xml:space="preserve">– Objectifs mal définis ou mal compris  </t>
  </si>
  <si>
    <t xml:space="preserve">– Critique  </t>
  </si>
  <si>
    <t xml:space="preserve">– Mauvaise répartition des ressources  </t>
  </si>
  <si>
    <t xml:space="preserve">– Mettre en place un outil de suivi du plan de projet  </t>
  </si>
  <si>
    <t xml:space="preserve">– Échéancier réaliste avec estimation des durées  </t>
  </si>
  <si>
    <t xml:space="preserve">– Le calendrier proposé est-il réaliste et basé sur des estimations fiables ?  </t>
  </si>
  <si>
    <t xml:space="preserve">– Planning détaillé (Gantt ou PERT)  </t>
  </si>
  <si>
    <t xml:space="preserve">– Communication inefficace entre les parties prenantes  </t>
  </si>
  <si>
    <t xml:space="preserve">– Importante  </t>
  </si>
  <si>
    <t>– Échec partiel ou total du projet</t>
  </si>
  <si>
    <t>– Prévoir des mécanismes d’ajustement en cas d’écart</t>
  </si>
  <si>
    <t>– Intégration des risques et des plans de contingence</t>
  </si>
  <si>
    <t>– Le plan prend-il en compte les risques potentiels et les solutions alternatives ?</t>
  </si>
  <si>
    <t>– Registre des risques</t>
  </si>
  <si>
    <t>– Impossibilité d’évaluer l’avancement réel du projet</t>
  </si>
  <si>
    <t>– Très élevée</t>
  </si>
  <si>
    <t xml:space="preserve"> Retards dans la livraison du projet, impactant ainsi la productivité de l'organisation.</t>
  </si>
  <si>
    <t>Mettre en place une gestion de projet rigoureuse avec un suivi régulier des étapes et des jalons.</t>
  </si>
  <si>
    <t xml:space="preserve">S’assurer que le cahier des charges préconise une solutionfonctionnellement et techniquement pertinente au regard des besoins exprimés </t>
  </si>
  <si>
    <t xml:space="preserve">Planification des ressources  </t>
  </si>
  <si>
    <t>Le plan de projet identifie-t-il toutes les ressources nécessaires (humaines, matérielles, financières) ?</t>
  </si>
  <si>
    <t>Plan de gestion du projet</t>
  </si>
  <si>
    <t xml:space="preserve"> Retard dans la réalisation des objectifs</t>
  </si>
  <si>
    <t>- Dépassement des coûts, ce qui peut entraîner des problèmes de financement ou affecter d'autres projets.</t>
  </si>
  <si>
    <t>- Assurer une bonne communication entre toutes les parties prenantes pour garantir l'alignement sur les objectifs et les attentes.</t>
  </si>
  <si>
    <t>Définition des délais</t>
  </si>
  <si>
    <t>- Le calendrier est-il clairement défini avec des dates de début et de fin précises ?</t>
  </si>
  <si>
    <t xml:space="preserve"> Diagramme de Gantt</t>
  </si>
  <si>
    <t xml:space="preserve"> Manque de coordination entre les équipes</t>
  </si>
  <si>
    <t>- Perte de la confiance des parties prenantes et des clients, diminuant la crédibilité de l'organisation.</t>
  </si>
  <si>
    <t xml:space="preserve"> Réaliser une planification détaillée avec des marges de manœuvre pour pallier les imprévus.</t>
  </si>
  <si>
    <t xml:space="preserve"> Identification des risques</t>
  </si>
  <si>
    <t>- Les risques potentiels ont-ils été identifiés et des plans de mitigation sont-ils en place ?</t>
  </si>
  <si>
    <t>Registre des risques</t>
  </si>
  <si>
    <t>Sous-estimation des ressources nécessaires</t>
  </si>
  <si>
    <t>- Augmentation des risques opérationnels, entraînant des interruptions de service ou des défauts dans les processus.</t>
  </si>
  <si>
    <t>- Prévoir des audits réguliers pour s'assurer que les plans sont respectés et apporter des ajustements si nécessaire.</t>
  </si>
  <si>
    <t>Alignement avec les objectifs stratégiques</t>
  </si>
  <si>
    <t>- Le plan de projet est-il aligné avec les objectifs stratégiques de l’organisation ?</t>
  </si>
  <si>
    <t xml:space="preserve"> plan de gestion des risques</t>
  </si>
  <si>
    <t>Non-respect des échéances du projet</t>
  </si>
  <si>
    <t>- Réduction de la satisfaction des utilisateurs finaux, qui pourrait nuire à l’adoption du système et à l’efficacité de l’entreprise.</t>
  </si>
  <si>
    <t>- Former le personnel et les utilisateurs finaux pour une transition en douceur et une meilleure adoption du système.</t>
  </si>
  <si>
    <t xml:space="preserve"> Suivi et mise à jour des plans</t>
  </si>
  <si>
    <t>- Existe-t-il un mécanisme de suivi et de mise à jour régulière du plan de projet ?</t>
  </si>
  <si>
    <t xml:space="preserve"> plan de communication interne et externe</t>
  </si>
  <si>
    <t>- Inadéquation entre le plan et la réalité terrain</t>
  </si>
  <si>
    <t xml:space="preserve"> Retard dans la mise en œuvre du projet</t>
  </si>
  <si>
    <t xml:space="preserve"> Mettre en place un processus de révision périodique des plans pour garantir leur mise à jour régulière.</t>
  </si>
  <si>
    <t xml:space="preserve">S’assurer que les exigences utilisateurs, les populations ciblées,les options et principes de gestion retenus sont précisés et priorisés </t>
  </si>
  <si>
    <t>Vérifier que les plans ont été mis à jour en fonction des évolutions du projet.</t>
  </si>
  <si>
    <t>Les plans ont-ils été mis à jour en tenant compte des évolutions récentes du projet ?</t>
  </si>
  <si>
    <t xml:space="preserve"> Rapport de révision des plans</t>
  </si>
  <si>
    <t>Risque de non-conformité</t>
  </si>
  <si>
    <t>élevée</t>
  </si>
  <si>
    <t xml:space="preserve"> Augmentation des coûts de développement</t>
  </si>
  <si>
    <t>Assurer une communication claire entre les parties prenantes pour valider les changements et ajustements nécessaires dans les plans.</t>
  </si>
  <si>
    <t>Confirmer que la révision des plans a impliqué toutes les parties prenantes pertinentes.</t>
  </si>
  <si>
    <t>- Toutes les parties prenantes concernées ont-elles été impliquées dans la révision des plans ?</t>
  </si>
  <si>
    <t xml:space="preserve"> Liste des parties prenantes et minutes des réunions de validation</t>
  </si>
  <si>
    <t xml:space="preserve"> Risque de désalignement stratégique</t>
  </si>
  <si>
    <t>Perte de confiance des parties prenantes</t>
  </si>
  <si>
    <t xml:space="preserve"> Intégrer un Suivi des indicateurs de performance pour évaluer la conformité des plans avec les objectifs du projet.</t>
  </si>
  <si>
    <t>S’assurer que les plans révisés sont communiqués à tous les membres du projet.</t>
  </si>
  <si>
    <t>- Les plans révisés ont-ils été diffusés à tous les membres du projet ?</t>
  </si>
  <si>
    <t xml:space="preserve"> plan de communication détaillant la diffusion des plans révisés</t>
  </si>
  <si>
    <t>Risque de perturbation opérationnelle</t>
  </si>
  <si>
    <t>Détérioration de la qualité des livrables</t>
  </si>
  <si>
    <t>- Prévoir une phase de validation des plans avant la mise en œuvre, avec des revues détaillées à chaque étape critique.</t>
  </si>
  <si>
    <t>Vérifier que des mécanismes de contrôle et de validation ont été appliqués lors de la révision des plans.</t>
  </si>
  <si>
    <t>- Des mécanismes de contrôle et de validation ont-ils été appliqués pour vérifier la pertinence des révisions des plans ?</t>
  </si>
  <si>
    <t>Historique des versions des plans et des révisions effectuées</t>
  </si>
  <si>
    <t xml:space="preserve"> Risque de retard dans la mise en œuvre des projets</t>
  </si>
  <si>
    <t>- Non-conformité aux exigences légales et réglementaires</t>
  </si>
  <si>
    <t>- Impliquer les experts métiers et techniques dans la révision des plans pour s'assurer qu'ils répondent aux besoins réels.</t>
  </si>
  <si>
    <t>- Confirmer que les plans révisés sont en adéquation avec les objectifs de l’organisation et les priorités actuelles.</t>
  </si>
  <si>
    <t>- Les plans révisés sont-ils alignés avec les objectifs stratégiques de l’organisation et les priorités actuelles ?</t>
  </si>
  <si>
    <t>Actes de réunion ou échanges confirmant la diffusion des plans révisés</t>
  </si>
  <si>
    <t>- Risque de non-adaptation aux nouvelles technologies</t>
  </si>
  <si>
    <t xml:space="preserve"> Retards dans la livraison du projet</t>
  </si>
  <si>
    <t xml:space="preserve"> Mettre en place des mécanismes de suivi rigoureux pour évaluer l'avancement et l'utilisation des ressources.</t>
  </si>
  <si>
    <t>S’assurer que le projet est cohérent avec le plan directeurinformatique</t>
  </si>
  <si>
    <t>Planification détaillée des ressources humaines, techniques et financières nécessaires au projet.</t>
  </si>
  <si>
    <t>Comment le plan prévoit-il la gestion des compétences et de la main-d'œuvre nécessaire pour le projet ?</t>
  </si>
  <si>
    <t xml:space="preserve">Plan de gestion des ressources humaines et matérielles  </t>
  </si>
  <si>
    <t>Sous-estimation des besoins en ressources, entraînant des retards dans le projet.</t>
  </si>
  <si>
    <t>moyen</t>
  </si>
  <si>
    <t>Dépassement du budget</t>
  </si>
  <si>
    <t>- Assurer une formation continue et un développement des compétences des équipes pour améliorer l'efficacité.</t>
  </si>
  <si>
    <t>DIdentification des contraintes de ressources et gestion proactive des risques liés à la disponibilité des ressources.</t>
  </si>
  <si>
    <t>- Est-ce que le plan détaille l'allocation des équipements et infrastructures nécessaires à l'achèvement du projet ?</t>
  </si>
  <si>
    <t xml:space="preserve">Inventaire des ressources disponibles et nécessaires pour le projet  </t>
  </si>
  <si>
    <t>- Sur-utilisation des ressources, ce qui peut entraîner une fatigue excessive et une baisse de performance des équipes.</t>
  </si>
  <si>
    <t xml:space="preserve"> Diminution de la qualité du projet</t>
  </si>
  <si>
    <t xml:space="preserve"> Utiliser des outils de gestion de projet adaptés pour mieux planifier et suivre la gestion des ressources.</t>
  </si>
  <si>
    <t>- Suivi et évaluation réguliers de l'utilisation des ressources pour garantir leur adéquation avec les objectifs du projet.</t>
  </si>
  <si>
    <t>- Quelles méthodes seront utilisées pour suivre l'utilisation des ressources et mesurer leur efficacité ?</t>
  </si>
  <si>
    <t xml:space="preserve"> Plan d'affectation des ressources  </t>
  </si>
  <si>
    <t>- Dépendance excessive à un nombre limité de ressources clés, augmentant les risques en cas d'indisponibilité.</t>
  </si>
  <si>
    <t xml:space="preserve"> Démotivation des équipes</t>
  </si>
  <si>
    <t xml:space="preserve"> Prévoir une réévaluation périodique des ressources nécessaires pour ajuster en fonction des besoins réels.</t>
  </si>
  <si>
    <t xml:space="preserve"> planification des besoins en formation et développement des compétences pour les équipes.</t>
  </si>
  <si>
    <t>- Le budget du projet est-il bien aligné avec les besoins en ressources, et prévoit-il des marges pour faire face aux imprévus ?</t>
  </si>
  <si>
    <t xml:space="preserve">Plan de charge des ressources humaines et matérielles  </t>
  </si>
  <si>
    <t>- Non-alignement entre les ressources humaines et les compétences nécessaires, ce qui peut compromettre la qualité du travail.</t>
  </si>
  <si>
    <t>- Échec du projet</t>
  </si>
  <si>
    <t>- Encourager la collaboration inter-départementale pour optimiser l'utilisation des ressources disponibles.</t>
  </si>
  <si>
    <t>- Mise en place de mécanismes de réajustement des ressources en fonction de l'évolution des besoins et des priorités du projet.</t>
  </si>
  <si>
    <t>- Quelles stratégies sont mises en place pour éviter ou atténuer les risques liés à la pénurie ou la mauvaise gestion des ressources ?</t>
  </si>
  <si>
    <t xml:space="preserve">Rapport de suivi de l'utilisation des ressources  </t>
  </si>
  <si>
    <t>- Risques liés à l'inefficacité des processus de gestion des ressources, pouvant conduire à une mauvaise allocation des ressources.</t>
  </si>
  <si>
    <t>dépassement du budget</t>
  </si>
  <si>
    <t xml:space="preserve"> Mettre en place des contrôles réguliers pour évaluer les risques tout au long du projet.  </t>
  </si>
  <si>
    <t>S’assurer que le projet est cohérent avec le SI actuel ou futur</t>
  </si>
  <si>
    <t>Identifier les risques spécifiques à la nature du projet (technologiques, financiers, humains, etc.).</t>
  </si>
  <si>
    <t>Les risques spécifiques à la nature du projet ont-ils été identifiés et documentés ?</t>
  </si>
  <si>
    <t xml:space="preserve"> Liste des risques identifiés</t>
  </si>
  <si>
    <t>Risque de retard dans la mise en œuvre du projet</t>
  </si>
  <si>
    <t xml:space="preserve"> Perturbation des opérations  </t>
  </si>
  <si>
    <t xml:space="preserve"> Former Le personnel Sur la gestion des risques liés aux systèmes et aux données.</t>
  </si>
  <si>
    <t>- Vérifier si des outils d'analyse de risques (comme des matrices de risques ou des évaluations qualitatives) sont utilisés.</t>
  </si>
  <si>
    <t>- Quels outils d'analyse des risques sont utilisés pour évaluer les risques du projet ?</t>
  </si>
  <si>
    <t>plan de gestion des risques</t>
  </si>
  <si>
    <t>Risque de Sous-estimation des ressources nécessaires</t>
  </si>
  <si>
    <t>Perte de données sensibles</t>
  </si>
  <si>
    <t>Implémenter des outils de surveillance et de détection des menaces en temps réel.</t>
  </si>
  <si>
    <t>- S'assurer que l'évaluation des risques inclut l'impact potentiel de chaque risque sur les objectifs du projet.</t>
  </si>
  <si>
    <t>- L'impact potentiel de chaque risque sur les objectifs du projet a-t-il été évalué ?</t>
  </si>
  <si>
    <t xml:space="preserve"> Matrice de risques</t>
  </si>
  <si>
    <t xml:space="preserve"> Risque de Non-conformité aux exigences réglementaires</t>
  </si>
  <si>
    <t>Sanctions juridiques ou réglementaires</t>
  </si>
  <si>
    <t>Créer un plan de réponse aux incidents pour minimiser les conséquences des risques identifiés.</t>
  </si>
  <si>
    <t>valider que des stratégies de mitigation des risques sont définies et intégrées au plan du projet.</t>
  </si>
  <si>
    <t>- Des stratégies de mitigation des risques ont-elles été définies et sont-elles intégrées dans le plan de projet ?</t>
  </si>
  <si>
    <t>- Rapport d’analyse d'impact</t>
  </si>
  <si>
    <t>Risque d’erreur humaine ou de négligence dans les actions critiques</t>
  </si>
  <si>
    <t xml:space="preserve">- Atteinte à la réputation de l'entreprise  </t>
  </si>
  <si>
    <t>- Assurer une communication régulière entre les différentes équipes pour anticiper et gérer les risques efficacement.</t>
  </si>
  <si>
    <t>- Vérifier si un suivi des risques est prévu tout au long du projet, avec des points de réévaluation réguliers.</t>
  </si>
  <si>
    <t>- Un suivi des risques est-il prévu tout au long du projet, avec des réévaluations régulières des risques ?</t>
  </si>
  <si>
    <t xml:space="preserve"> plan de mitigation des risques</t>
  </si>
  <si>
    <t>- Risque d'interruption de l'activité en cas de défaillance technique</t>
  </si>
  <si>
    <t>Effectuer des évaluations régulières de la sécurité et des performances de la technologie utilisée.</t>
  </si>
  <si>
    <t xml:space="preserve">S’assurer que la direction est bien impliquée dans le projet </t>
  </si>
  <si>
    <t xml:space="preserve">Identification des risques technologiques spécifiques  </t>
  </si>
  <si>
    <t>Quels sont les risques technologiques identifiés pour cette technologie ?</t>
  </si>
  <si>
    <t xml:space="preserve">Rapport d’évaluation des risques  </t>
  </si>
  <si>
    <t>Risque de défaillance technologique</t>
  </si>
  <si>
    <t>Interruption de service ou dégradation de la performance du système</t>
  </si>
  <si>
    <t>Mettre en place des protocoles de mise à jour et de patching réguliers pour réduire les vulnérabilités.</t>
  </si>
  <si>
    <t>Analyse de la compatibilité des technologies</t>
  </si>
  <si>
    <t>- Comment cette technologie est-elle compatible avec les autres systèmes existants ?</t>
  </si>
  <si>
    <t xml:space="preserve"> Fiche technique de la technologie utilisée</t>
  </si>
  <si>
    <t>Risque de vulnérabilité due à des lacunes dans la configuration</t>
  </si>
  <si>
    <t xml:space="preserve"> Exposition à des cyberattaques et compromission de données sensibles</t>
  </si>
  <si>
    <t>- Assurer une formation continue pour les équipes afin d'identifier rapidement les risques technologiques.</t>
  </si>
  <si>
    <t>évaluation de la robustesse de la technologie</t>
  </si>
  <si>
    <t>- Quelles sont les mesures prises pour garantir la robustesse de cette technologie face aux menaces ?</t>
  </si>
  <si>
    <t>Analyse d’impact Sur la sécurité</t>
  </si>
  <si>
    <t>Risque d’obsolescence de la technologie</t>
  </si>
  <si>
    <t>Pertes financières dues à une mauvaise gestion de la technologie</t>
  </si>
  <si>
    <t xml:space="preserve"> Mettre en œuvre une stratégie de sauvegarde des données critiques et des systèmes pour réduire les risques de perte.</t>
  </si>
  <si>
    <t xml:space="preserve"> conformité aux normes de sécurité</t>
  </si>
  <si>
    <t>- La technologie utilisée respecte-t-elle les normes de sécurité en vigueur ?</t>
  </si>
  <si>
    <t xml:space="preserve"> plan de gestion des risques technologiques</t>
  </si>
  <si>
    <t>Risque de Non-conformité aux normes de sécurité</t>
  </si>
  <si>
    <t xml:space="preserve"> Non-conformité avec les exigences réglementaires et légales</t>
  </si>
  <si>
    <t>- Adopter des solutions de sécurité adaptées et des mécanismes de contrôle d'accès pour protéger les systèmes critiques.</t>
  </si>
  <si>
    <t>- Impact de l'évolution technologique</t>
  </si>
  <si>
    <t>- Quelles sont les conséquences de l’évolution de cette technologie sur le projet ?</t>
  </si>
  <si>
    <t>Rapport d’audit des vulnérabilités</t>
  </si>
  <si>
    <t>- Risque d’attaque ciblée exploitant les failles de sécurité</t>
  </si>
  <si>
    <t>très élevée</t>
  </si>
  <si>
    <t>- Perte de confiance des utilisateurs et partenaires commerciaux</t>
  </si>
  <si>
    <t>Mettre en place un suivi régulier des risques et de leur gestion</t>
  </si>
  <si>
    <t>S’assurer que les acteurs de l'équipe projet et leursresponsabilités sont bien identifiés</t>
  </si>
  <si>
    <t>Identification des risques liés aux projets en cours</t>
  </si>
  <si>
    <t>Les risques liés aux projets en cours ont-ils été identifiés de manière exhaustive ?</t>
  </si>
  <si>
    <t>Plan de gestion des risques pour les projets en cours</t>
  </si>
  <si>
    <t xml:space="preserve"> Risque de non-identification de tous les risques</t>
  </si>
  <si>
    <t>Retard dans la livraison du projet</t>
  </si>
  <si>
    <t>- Développer des plans d'atténuation des risques pour chaque étape du projet</t>
  </si>
  <si>
    <t xml:space="preserve"> mise en place d’un processus de gestion des risques actualisé</t>
  </si>
  <si>
    <t>- Existe-t-il un processus de gestion des risques mis à jour régulièrement pour les projets en cours ?</t>
  </si>
  <si>
    <t xml:space="preserve"> Rapports d’audit ou d’évaluation des risques récents</t>
  </si>
  <si>
    <t xml:space="preserve"> Risque de Sous-estimation des risques</t>
  </si>
  <si>
    <t>Augmentation des coûts du projet</t>
  </si>
  <si>
    <t>Intégrer des outils de gestion des risques adaptés pour les projets en cours</t>
  </si>
  <si>
    <t>- Evaluation continue de l'impact des risques sur les objectifs du projet</t>
  </si>
  <si>
    <t>- Comment l'impact des risques sur les objectifs du projet est-il évalué ?</t>
  </si>
  <si>
    <t>Registre des risques ou tableau de Suivi des risques</t>
  </si>
  <si>
    <t>Risque de mauvaise gestion de la communication des risques</t>
  </si>
  <si>
    <t>Dégradation de la qualité du projet</t>
  </si>
  <si>
    <t>- Impliquer les parties prenantes dans l’identification et l’évaluation des risques</t>
  </si>
  <si>
    <t xml:space="preserve"> Documentation des risques et de leur gestion</t>
  </si>
  <si>
    <t>- Les risques identifiés sont-ils correctement documentés et suivis ?</t>
  </si>
  <si>
    <t xml:space="preserve"> Compte-rendu des réunions de gestion de projet et des risques</t>
  </si>
  <si>
    <t>Risque de mise à jour insuffisante du Registre des risques</t>
  </si>
  <si>
    <t>- Atteinte à la réputation de l'entreprise</t>
  </si>
  <si>
    <t>- Prévoir des ressources dédiées à la gestion des risques tout au long du projet</t>
  </si>
  <si>
    <t>- Mise en place de mécanismes de contrôle et d'atténuation des risques</t>
  </si>
  <si>
    <t>- Quels mécanismes de contrôle et d'atténuation des risques sont mis en place pour les projets en cours ?</t>
  </si>
  <si>
    <t>- Documentation sur les processus de gestion des risques appliqués au projet</t>
  </si>
  <si>
    <t>- Risque de non-adhérence aux politiques de gestion des risques</t>
  </si>
  <si>
    <t>- Non-conformité aux normes et réglementations</t>
  </si>
  <si>
    <t>Mettre en place une gestion proactive des risques tout au long du projet</t>
  </si>
  <si>
    <t>S’assurer que les compétences du personnel sont enadéquation avec les tâches</t>
  </si>
  <si>
    <t>Existence d'une méthode structurée d'évaluation des risques</t>
  </si>
  <si>
    <t>- Quelle méthode est utilisée pour évaluer les risques dans le cadre des projets en cours ?</t>
  </si>
  <si>
    <t>Plan de gestion des risques</t>
  </si>
  <si>
    <t>Retard dans le calendrier du projet</t>
  </si>
  <si>
    <t>Diminution de la compétitivité de l'entreprise</t>
  </si>
  <si>
    <t>- Effectuer des audits réguliers et des mises à jour sur l'évaluation des risques</t>
  </si>
  <si>
    <t>Identification des risques spécifiques liés aux projets</t>
  </si>
  <si>
    <t>- Est-ce que cette méthode est documentée et suivie régulièrement ?</t>
  </si>
  <si>
    <t>- Rapports d'analyse des risques</t>
  </si>
  <si>
    <t xml:space="preserve"> Dépassement des coûts</t>
  </si>
  <si>
    <t>Pertes financières importantes</t>
  </si>
  <si>
    <t xml:space="preserve"> Définir un plan de contingence pour chaque Risque identifié</t>
  </si>
  <si>
    <t>- Suivi de l'évolution des risques tout au long du projet</t>
  </si>
  <si>
    <t>- Les risques spécifiques de chaque projet sont-ils bien identifiés et évalués dès le début du projet ?</t>
  </si>
  <si>
    <t xml:space="preserve"> Registre des risques</t>
  </si>
  <si>
    <t>mauvaise qualité de la livraison</t>
  </si>
  <si>
    <t>- Impact négatif sur la réputation de l'entreprise</t>
  </si>
  <si>
    <t>- Former les équipes sur la gestion des risques et l'importance de leur gestion efficace</t>
  </si>
  <si>
    <t>- Implication des parties prenantes dans l'évaluation des risques</t>
  </si>
  <si>
    <t>- Existe-t-il des outils ou des mécanismes pour identifier les risques dans les différentes phases du projet ?</t>
  </si>
  <si>
    <t>tableau de bord des risques</t>
  </si>
  <si>
    <t>Pertes de données critiques</t>
  </si>
  <si>
    <t xml:space="preserve"> Blocage des opérations liées au projet</t>
  </si>
  <si>
    <t>- Assurer un suivi rigoureux des actions correctives et des ajustements dans le cadre des projets en cours</t>
  </si>
  <si>
    <t>- Mise à jour régulière des plans de gestion des risques en fonction de l'évolution des projets</t>
  </si>
  <si>
    <t>Les activités sont-elles planifiées de manière cohérente et synchronisée ?</t>
  </si>
  <si>
    <t>- Plan d'action de mitigation des risques</t>
  </si>
  <si>
    <t>- Non-conformité avec les normes de sécurité</t>
  </si>
  <si>
    <t>- Non-respect des engagements contractuels avec les clients ou partenaires</t>
  </si>
  <si>
    <t xml:space="preserve">S’assurer qu’une étude d'opportunité est validée </t>
  </si>
  <si>
    <t>Existence d’un document d’étude d’opportunité formel</t>
  </si>
  <si>
    <t>L’étude d’opportunité est-elle formalisée et disponible ?</t>
  </si>
  <si>
    <t>Étude d’opportunité validée</t>
  </si>
  <si>
    <t>Projet lancé sans justification stratégique</t>
  </si>
  <si>
    <t>Perte de temps et de ressources sur un projet non prioritaire</t>
  </si>
  <si>
    <t>Formaliser une étude d’opportunité validée par les décideurs</t>
  </si>
  <si>
    <t>Clarté de l’expression des besoins</t>
  </si>
  <si>
    <t>Les besoins métiers sont-ils clairement identifiés et documentés ?</t>
  </si>
  <si>
    <t>Cahier des charges, expression des besoins</t>
  </si>
  <si>
    <t>Solution inadaptée aux attentes des utilisateurs</t>
  </si>
  <si>
    <t>Rejet de la solution par les utilisateurs finaux</t>
  </si>
  <si>
    <t>Conduire une analyse approfondie des besoins utilisateurs</t>
  </si>
  <si>
    <t>Analyse comparative des options possibles</t>
  </si>
  <si>
    <t>Les alternatives ont-elles été étudiées et comparées ?</t>
  </si>
  <si>
    <t>Étude comparative, analyse de scénarios</t>
  </si>
  <si>
    <t>Choix d’une option non optimale</t>
  </si>
  <si>
    <t>Moyenne à élevée</t>
  </si>
  <si>
    <t>Inefficacité, coûts accrus, faible retour sur investissement</t>
  </si>
  <si>
    <t>Analyser plusieurs scénarios avec critères objectifs</t>
  </si>
  <si>
    <t>Évaluation des impacts</t>
  </si>
  <si>
    <t>Les impacts (organisationnels, techniques, financiers) ont-ils été évalués ?</t>
  </si>
  <si>
    <t>Sous-estimation des ressources et résistances au changement</t>
  </si>
  <si>
    <t>Difficultés d’implémentation et opposition au projet</t>
  </si>
  <si>
    <t>Réaliser une analyse d’impact exhaustive</t>
  </si>
  <si>
    <t>Le document a-t-il été validé par toutes les parties concernées ?</t>
  </si>
  <si>
    <t>PV de réunion, signatures, e-mails de validation</t>
  </si>
  <si>
    <t>Manque de consensus et de soutien</t>
  </si>
  <si>
    <t>Blocages ou conflits internes lors du déploiement</t>
  </si>
  <si>
    <t>Organiser une validation collective documentée</t>
  </si>
  <si>
    <t>S’assurer que ce document comprend les objectifs du projet</t>
  </si>
  <si>
    <t>Clarté des objectifs stratégiques</t>
  </si>
  <si>
    <t>Les objectifs du projet sont-ils clairement définis ?</t>
  </si>
  <si>
    <t>Note de cadrage, étude d’opportunité</t>
  </si>
  <si>
    <t>Flou sur la finalité du projet</t>
  </si>
  <si>
    <t>Risque de dérive, mauvaise compréhension du but recherché</t>
  </si>
  <si>
    <t>Définir clairement les objectifs dès la phase d’idéation</t>
  </si>
  <si>
    <t>Les objectifs sont-ils alignés avec la stratégie globale de l’organisation ?</t>
  </si>
  <si>
    <t>Plan stratégique, politique d’entreprise</t>
  </si>
  <si>
    <t>Projet non prioritaire ou hors contexte stratégique</t>
  </si>
  <si>
    <t>Non-adhésion de la direction, arrêt en cours de route</t>
  </si>
  <si>
    <t>Vérifier la cohérence avec la vision et les priorités de l’entreprise</t>
  </si>
  <si>
    <t>Mesurabilité des objectifs</t>
  </si>
  <si>
    <t>Les objectifs sont-ils mesurables (indicateurs, délais, résultats attendus) ?</t>
  </si>
  <si>
    <t>Tableau des objectifs, indicateurs clés</t>
  </si>
  <si>
    <t>Difficulté à piloter ou évaluer le succès du projet</t>
  </si>
  <si>
    <t>Absence de critères de réussite, flou dans l’évaluation</t>
  </si>
  <si>
    <t>Définir des objectifs SMART (Spécifiques, Mesurables, Atteignables, Réalistes, Temporels)</t>
  </si>
  <si>
    <t>Pertinence pour les parties prenantes</t>
  </si>
  <si>
    <t>Les objectifs répondent-ils aux attentes des parties prenantes clés ?</t>
  </si>
  <si>
    <t>Compte rendu d’ateliers ou entretiens</t>
  </si>
  <si>
    <t>Manque de soutien ou de motivation des équipes</t>
  </si>
  <si>
    <t>Résistances internes, perte d’engagement</t>
  </si>
  <si>
    <t>Impliquer les parties prenantes dès la définition des objectifs</t>
  </si>
  <si>
    <t>Cohérence entre les objectifs et les livrables attendus</t>
  </si>
  <si>
    <t>Les livrables prévus permettent-ils d’atteindre les objectifs fixés ?</t>
  </si>
  <si>
    <t>Matrice objectifs/livrables</t>
  </si>
  <si>
    <t>Objectifs irréalistes ou livrables non pertinents</t>
  </si>
  <si>
    <t>Décalage entre promesse et réalité du projet</t>
  </si>
  <si>
    <t>S’assurer que chaque objectif est couvert par des livrables concrets</t>
  </si>
  <si>
    <t>S’assurer que ce document comprend l'analyse des déficiencesdes systèmes existants ;</t>
  </si>
  <si>
    <t>Existence d’un diagnostic des systèmes existants</t>
  </si>
  <si>
    <t>Une analyse des systèmes en place a-t-elle été réalisée ?</t>
  </si>
  <si>
    <t>Étude d’existant, rapport d’audit</t>
  </si>
  <si>
    <t>Ignorance des faiblesses actuelles</t>
  </si>
  <si>
    <t>Répétition des erreurs passées, perte d’efficacité</t>
  </si>
  <si>
    <t>Réaliser un diagnostic complet des systèmes et processus en place</t>
  </si>
  <si>
    <t>Identification claire des déficiences</t>
  </si>
  <si>
    <t>Les lacunes, limites ou dysfonctionnements ont-ils été identifiés ?</t>
  </si>
  <si>
    <t>Rapport d’analyse, retours utilisateurs</t>
  </si>
  <si>
    <t>Sous-estimation des problèmes réels</t>
  </si>
  <si>
    <t>Le nouveau système pourrait ne pas répondre aux vrais besoins</t>
  </si>
  <si>
    <t>Documenter les déficiences à partir de sources diverses (techniques, utilisateurs)</t>
  </si>
  <si>
    <t>Implication des utilisateurs dans le diagnostic</t>
  </si>
  <si>
    <t>Les utilisateurs ont-ils participé à l’identification des déficiences ?</t>
  </si>
  <si>
    <t>Compte rendu d’ateliers ou interviews</t>
  </si>
  <si>
    <t>Diagnostic incomplet ou biaisé</t>
  </si>
  <si>
    <t>Solutions mal adaptées, rejet ou détournement du système à venir</t>
  </si>
  <si>
    <t>Associer les utilisateurs clés à l’analyse des failles</t>
  </si>
  <si>
    <t>Prise en compte des impacts de ces déficiences</t>
  </si>
  <si>
    <t>Les conséquences des dysfonctionnements actuels sont-elles analysées ?</t>
  </si>
  <si>
    <t>Étude d’impact, analyse des incidents</t>
  </si>
  <si>
    <t>Non-priorisation des améliorations critiques</t>
  </si>
  <si>
    <t>Manque de valeur ajoutée du nouveau projet</t>
  </si>
  <si>
    <t>Évaluer les impacts opérationnels, financiers, humains des déficiences actuelles</t>
  </si>
  <si>
    <t>Justification claire du projet par rapport aux déficiences</t>
  </si>
  <si>
    <t>Le projet proposé répond-il bien aux problèmes identifiés ?</t>
  </si>
  <si>
    <t>Matrice problèmes/solutions</t>
  </si>
  <si>
    <t>Mauvaise orientation du projet</t>
  </si>
  <si>
    <t>Échec partiel ou total de la solution mise en œuvre</t>
  </si>
  <si>
    <t>S’assurer que chaque déficit a une réponse prévue dans les objectifs du projet</t>
  </si>
  <si>
    <t>S’assurer que ce document comprend les enjeux et la faisabilitédu projet</t>
  </si>
  <si>
    <t>Étude d’opportunité, note de cadrage</t>
  </si>
  <si>
    <t>Sous-estimation des implications du projet</t>
  </si>
  <si>
    <t>Engagement insuffisant, priorisation inadéquate</t>
  </si>
  <si>
    <t>Décrire explicitement les enjeux liés au projet dans le document initial</t>
  </si>
  <si>
    <t>Évaluation de la faisabilité technique</t>
  </si>
  <si>
    <t>Le projet est-il techniquement réalisable avec les moyens disponibles ?</t>
  </si>
  <si>
    <t>Étude de faisabilité, audit technique</t>
  </si>
  <si>
    <t>Solutions techniquement irréalisables</t>
  </si>
  <si>
    <t>Blocage pendant la mise en œuvre</t>
  </si>
  <si>
    <t>Réaliser une étude technique approfondie avant validation</t>
  </si>
  <si>
    <t>Évaluation de la faisabilité financière</t>
  </si>
  <si>
    <t>Les ressources financières sont-elles disponibles et suffisantes ?</t>
  </si>
  <si>
    <t>Budget prévisionnel, étude de coût</t>
  </si>
  <si>
    <t>Manque de financement ou dépassement budgétaire</t>
  </si>
  <si>
    <t>Retards, réduction de périmètre ou abandon du projet</t>
  </si>
  <si>
    <t>Intégrer une analyse financière réaliste avec marges de sécurité</t>
  </si>
  <si>
    <t>Évaluation de la faisabilité organisationnelle</t>
  </si>
  <si>
    <t>L’organisation peut-elle absorber le projet (compétences, temps, gestion du changement) ?</t>
  </si>
  <si>
    <t>Plan de charge, analyse de capacité interne</t>
  </si>
  <si>
    <t>Manque de ressources humaines ou de soutien</t>
  </si>
  <si>
    <t>Résistances, surcharge des équipes, démobilisation</t>
  </si>
  <si>
    <t>Prévoir un accompagnement au changement et une gestion des ressources adaptée</t>
  </si>
  <si>
    <t>Prise en compte des risques liés à la faisabilité</t>
  </si>
  <si>
    <t>Les risques liés à la faisabilité ont-ils été identifiés et évalués ?</t>
  </si>
  <si>
    <t>Analyse de risques</t>
  </si>
  <si>
    <t>Ignorer les obstacles majeurs à la mise en œuvre</t>
  </si>
  <si>
    <t>Mise en échec partielle ou totale du projet</t>
  </si>
  <si>
    <t>Identifier, documenter et anticiper les principaux risques dès l’étude d’opportunité</t>
  </si>
  <si>
    <t>S’assurer que ce document comprend les bénéfices attendus etla rentabilité économique du projet</t>
  </si>
  <si>
    <t>Définition claire des bénéfices attendus</t>
  </si>
  <si>
    <t>Les bénéfices du projet sont-ils clairement identifiés et quantifiés ?</t>
  </si>
  <si>
    <t>Note de cadrage, business case</t>
  </si>
  <si>
    <t>Absence de vision sur les gains apportés</t>
  </si>
  <si>
    <t>Difficulté à convaincre les décideurs, perte d’adhésion</t>
  </si>
  <si>
    <t>Lister les bénéfices mesurables : gains de temps, productivité, qualité, etc.</t>
  </si>
  <si>
    <t>Alignement des bénéfices avec les objectifs de l’organisation</t>
  </si>
  <si>
    <t>Les bénéfices sont-ils en cohérence avec la stratégie et les priorités de l’organisation ?</t>
  </si>
  <si>
    <t>Plan stratégique, objectifs stratégiques</t>
  </si>
  <si>
    <t>Gains sans valeur réelle pour l’entreprise</t>
  </si>
  <si>
    <t>Résultats peu valorisables, manque de reconnaissance du projet</t>
  </si>
  <si>
    <t>Faire valider les bénéfices par les sponsors stratégiques</t>
  </si>
  <si>
    <t>Analyse de la rentabilité économique</t>
  </si>
  <si>
    <t>Une estimation du retour sur investissement (ROI) a-t-elle été faite ?</t>
  </si>
  <si>
    <t>Analyse de rentabilité, tableau de ROI</t>
  </si>
  <si>
    <t>Projet non rentable ou investissements mal justifiés</t>
  </si>
  <si>
    <t>Perte financière, arbitrage défavorable en cas de concurrence de projets</t>
  </si>
  <si>
    <t>Calculer un ROI prévisionnel réaliste basé sur des hypothèses claires</t>
  </si>
  <si>
    <t>Délai de retour sur investissement (payback)</t>
  </si>
  <si>
    <t>Le délai de retour sur investissement est-il acceptable pour l’organisation ?</t>
  </si>
  <si>
    <t>Analyse financière, projection de résultats</t>
  </si>
  <si>
    <t>Récupération tardive des fonds investis</t>
  </si>
  <si>
    <t>Difficulté à obtenir le financement initial</t>
  </si>
  <si>
    <t>Déterminer un délai de retour raisonnable selon le secteur et les standards internes</t>
  </si>
  <si>
    <t>Suivi et évaluation des bénéfices après mise en œuvre</t>
  </si>
  <si>
    <t>Un mécanisme est-il prévu pour évaluer les bénéfices réels post-projet ?</t>
  </si>
  <si>
    <t>Plan de suivi post-projet, KPIs</t>
  </si>
  <si>
    <t>Impossibilité de démontrer la valeur générée</t>
  </si>
  <si>
    <t>Remise en question des méthodes projet, perte de crédibilité</t>
  </si>
  <si>
    <t>Mettre en place un plan de mesure des bénéfices à court et moyen terme</t>
  </si>
  <si>
    <t>Planification</t>
  </si>
  <si>
    <t xml:space="preserve">S’assurer qu’il existe un planning directeur commun à tout leprojet </t>
  </si>
  <si>
    <t>Existence d’un planning directeur</t>
  </si>
  <si>
    <t>Un planning global du projet a-t-il été élaboré ?</t>
  </si>
  <si>
    <t>Planning directeur, diagramme de Gantt</t>
  </si>
  <si>
    <t>Absence de vision d’ensemble sur les délais</t>
  </si>
  <si>
    <t>Désynchronisation des équipes, retards cumulés</t>
  </si>
  <si>
    <t>Élaborer un planning directeur partagé et validé par toutes les parties</t>
  </si>
  <si>
    <t>Cohérence entre les différents jalons et livrables</t>
  </si>
  <si>
    <t>Le planning couvre-t-il l’ensemble des phases et des livrables du projet ?</t>
  </si>
  <si>
    <t>Plan de projet détaillé</t>
  </si>
  <si>
    <t>Oublis ou chevauchements entre les tâches</t>
  </si>
  <si>
    <t>Mauvaise coordination, surcharge ou inactivité de certaines équipes</t>
  </si>
  <si>
    <t>Vérifier l’exhaustivité et la cohérence des tâches dans le planning</t>
  </si>
  <si>
    <t>Partage et accessibilité du planning</t>
  </si>
  <si>
    <t>Le planning est-il connu et accessible à tous les acteurs du projet ?</t>
  </si>
  <si>
    <t>Plateforme de gestion de projet, fichiers partagés</t>
  </si>
  <si>
    <t>Communication fragmentée, mauvaise anticipation des échéances</t>
  </si>
  <si>
    <t>Retards imprévus, confusion sur les responsabilités</t>
  </si>
  <si>
    <t>Diffuser le planning via un outil collaboratif accessible en temps réel</t>
  </si>
  <si>
    <t>Mise à jour régulière du planning</t>
  </si>
  <si>
    <t>Existe-t-il un mécanisme de mise à jour du planning en fonction de l’avancement réel ?</t>
  </si>
  <si>
    <t>Journal de bord, revues de projet</t>
  </si>
  <si>
    <t>Planning obsolète, décalage entre prévisions et réalité</t>
  </si>
  <si>
    <t>Décisions prises sur des bases inexactes, perte de contrôle</t>
  </si>
  <si>
    <t>Mettre à jour le planning à chaque comité de suivi et l’ajuster en continu</t>
  </si>
  <si>
    <t>Pilotage basé sur le planning directeur</t>
  </si>
  <si>
    <t>Les instances de pilotage utilisent-elles ce planning pour suivre l’avancement ?</t>
  </si>
  <si>
    <t>Comptes rendus de réunions, tableaux de bord</t>
  </si>
  <si>
    <t>Décisions prises sans alignement sur les objectifs temporels</t>
  </si>
  <si>
    <t>Retards critiques non détectés à temps</t>
  </si>
  <si>
    <t>Intégrer le planning directeur dans les outils de pilotage du projet</t>
  </si>
  <si>
    <t>S’assurer qu’il existe un plan de projet initial</t>
  </si>
  <si>
    <t>Existence du plan de projet initial</t>
  </si>
  <si>
    <t>Un plan de projet initial a-t-il été rédigé et validé ?</t>
  </si>
  <si>
    <t>Plan de projet initial</t>
  </si>
  <si>
    <t>Démarrage du projet sans cadre structurant</t>
  </si>
  <si>
    <t>Dérives en termes de coûts, délais ou périmètre</t>
  </si>
  <si>
    <t>Produire un plan de projet dès la phase de lancement avec l'accord des parties prenantes</t>
  </si>
  <si>
    <t>Contenu du plan conforme aux standards</t>
  </si>
  <si>
    <t>Le plan couvre-t-il les dimensions clés : périmètre, planning, budget, ressources ?</t>
  </si>
  <si>
    <t>Modèle de plan de projet, documents internes</t>
  </si>
  <si>
    <t>Vision partielle ou imprécise du projet</t>
  </si>
  <si>
    <t>Mauvais pilotage, mauvaise coordination des équipes</t>
  </si>
  <si>
    <t>Structurer le plan selon un modèle éprouvé et complet</t>
  </si>
  <si>
    <t>Validation par les parties prenantes</t>
  </si>
  <si>
    <t>Le plan a-t-il été partagé et validé par les parties concernées ?</t>
  </si>
  <si>
    <t>PV de validation, mails, signatures</t>
  </si>
  <si>
    <t>Manque d’engagement et de coordination</t>
  </si>
  <si>
    <t>Risque de désaccords, changements non maîtrisés</t>
  </si>
  <si>
    <t>Organiser une réunion de validation officielle du plan de projet</t>
  </si>
  <si>
    <t>Disponibilité et accessibilité du plan</t>
  </si>
  <si>
    <t>Le document est-il accessible aux acteurs concernés par le projet ?</t>
  </si>
  <si>
    <t>Référentiel documentaire, outil collaboratif</t>
  </si>
  <si>
    <t>Outils non synchronisés, équipes mal informées</t>
  </si>
  <si>
    <t>Décalage dans les attentes ou la compréhension du projet</t>
  </si>
  <si>
    <t>Centraliser le plan dans un outil commun, mis à jour régulièrement</t>
  </si>
  <si>
    <t>Mécanisme de révision du plan</t>
  </si>
  <si>
    <t>Un processus de mise à jour du plan est-il prévu en cas d’évolution ?</t>
  </si>
  <si>
    <t>Procédure de gestion des changements</t>
  </si>
  <si>
    <t>Le plan devient obsolète face aux réalités du terrain</t>
  </si>
  <si>
    <t>Perte de pertinence du pilotage, difficultés d’adaptation</t>
  </si>
  <si>
    <t>Intégrer un processus de gestion de version et de suivi d’évolution</t>
  </si>
  <si>
    <t>S’assurer que ce plan de projet a été révisé</t>
  </si>
  <si>
    <t>Historique de révision disponible</t>
  </si>
  <si>
    <t>Le plan de projet comporte-t-il un historique des révisions ?</t>
  </si>
  <si>
    <t>Plan de projet avec versions datées</t>
  </si>
  <si>
    <t>Difficulté à suivre les évolutions du projet</t>
  </si>
  <si>
    <t>Perte de traçabilité, erreurs de pilotage</t>
  </si>
  <si>
    <t>Tenir un journal de modifications avec dates, versions, auteurs</t>
  </si>
  <si>
    <t>Fréquence de mise à jour du plan</t>
  </si>
  <si>
    <t>Le plan est-il révisé à intervalles réguliers ou à chaque étape clé ?</t>
  </si>
  <si>
    <t>Planning de révision, rapports d’avancement</t>
  </si>
  <si>
    <t>Plan obsolète utilisé comme référence</t>
  </si>
  <si>
    <t>Prises de décision fondées sur des données dépassées</t>
  </si>
  <si>
    <t>Définir un calendrier ou des événements déclencheurs de révision</t>
  </si>
  <si>
    <t>Suivi formel des mises à jour</t>
  </si>
  <si>
    <t>Les révisions sont-elles validées par les instances de pilotage ?</t>
  </si>
  <si>
    <t>PV de comités, mails de validation</t>
  </si>
  <si>
    <t>Changements non validés ou non communiqués</t>
  </si>
  <si>
    <t>Incohérence dans l’exécution, perte de contrôle</t>
  </si>
  <si>
    <t>Intégrer la révision dans le processus de gouvernance du projet</t>
  </si>
  <si>
    <t>Communication des révisions</t>
  </si>
  <si>
    <t>Les parties prenantes sont-elles informées des modifications ?</t>
  </si>
  <si>
    <t>Newsletter, notes de version, plateforme projet</t>
  </si>
  <si>
    <t>Manque d’adhésion ou de coordination entre acteurs</t>
  </si>
  <si>
    <t>Confusion dans les tâches et les délais</t>
  </si>
  <si>
    <t>Informer systématiquement toutes les parties prenantes des évolutions du plan</t>
  </si>
  <si>
    <t>Conformité aux procédures de gestion de projet</t>
  </si>
  <si>
    <t>Les révisions respectent-elles les procédures établies de gestion du changement ?</t>
  </si>
  <si>
    <t>Manuel de gestion de projet, procédures internes</t>
  </si>
  <si>
    <t>Révisions non encadrées ou incohérentes</t>
  </si>
  <si>
    <t>Perte de rigueur dans le pilotage, audit difficile</t>
  </si>
  <si>
    <t>Suivre strictement les procédures de gestion des changements et modifications</t>
  </si>
  <si>
    <t>S’assurer qu’il existe des plans détaillés</t>
  </si>
  <si>
    <t>Objectifs Clairs et Mesurables</t>
  </si>
  <si>
    <t>Les objectifs du projet sont-ils définis de manière claire et mesurable ?</t>
  </si>
  <si>
    <t>Plan de projet avec objectifs définis</t>
  </si>
  <si>
    <t>Objectifs flous ou non mesurables</t>
  </si>
  <si>
    <t>Manque de direction, difficultés à évaluer le succès</t>
  </si>
  <si>
    <t>Utiliser des critères SMART pour définir les objectifs</t>
  </si>
  <si>
    <t>Détail du Plan de Travail</t>
  </si>
  <si>
    <t>Le plan inclut-il toutes les étapes et sous-étapes du projet ?</t>
  </si>
  <si>
    <t>Plan de travail détaillé, calendrier</t>
  </si>
  <si>
    <t>Tâches non définies, retards dans l’exécution</t>
  </si>
  <si>
    <t>Désorganisation, perte de temps et ressources</t>
  </si>
  <si>
    <t>Diviser le projet en phases et sous-tâches claires</t>
  </si>
  <si>
    <t>Allocation des Ressources</t>
  </si>
  <si>
    <t>Les ressources nécessaires sont-elles bien identifiées et allouées ?</t>
  </si>
  <si>
    <t>Plan de ressources, budget</t>
  </si>
  <si>
    <t>Manque de ressources ou mauvaise allocation</t>
  </si>
  <si>
    <t>Retards, incapacité à exécuter certaines tâches</t>
  </si>
  <si>
    <t>Effectuer un audit des ressources nécessaires avant chaque phase</t>
  </si>
  <si>
    <t>Estimation du Budget</t>
  </si>
  <si>
    <t>Le budget du projet est-il détaillé et bien estimé ?</t>
  </si>
  <si>
    <t>Budget détaillé, ventilation des coûts</t>
  </si>
  <si>
    <t>Dépassement de budget, manque de prévision</t>
  </si>
  <si>
    <t>Dépassement financier, arrêt du projet</t>
  </si>
  <si>
    <t>Prendre en compte une marge d'erreur pour les imprévus</t>
  </si>
  <si>
    <t>Identification des Ressources Nécessaires</t>
  </si>
  <si>
    <t>Les ressources nécessaires sont-elles clairement identifiées ?</t>
  </si>
  <si>
    <t>Plan de ressources, inventaire des besoins</t>
  </si>
  <si>
    <t>Manque de ressources identifiées ou mal estimées</t>
  </si>
  <si>
    <t>Réaliser un inventaire détaillé des ressources nécessaires à chaque phase</t>
  </si>
  <si>
    <t>S’assurer que les plans intègrent une gestion optimale desressources</t>
  </si>
  <si>
    <t>Allocation Efficiente des Ressources</t>
  </si>
  <si>
    <t>Les ressources sont-elles allouées de manière optimale pour chaque tâche ?</t>
  </si>
  <si>
    <t>Plan de travail détaillé, allocation des ressources</t>
  </si>
  <si>
    <t>Mauvaise utilisation des ressources, gaspillage</t>
  </si>
  <si>
    <t>Pertes de temps et d'argent, tâches non complètes</t>
  </si>
  <si>
    <t>Optimiser la répartition des ressources et ajuster au besoin</t>
  </si>
  <si>
    <t>Suivi des Ressources</t>
  </si>
  <si>
    <t>Existe-t-il un suivi en temps réel de l’utilisation des ressources ?</t>
  </si>
  <si>
    <t>Outils de suivi des ressources, tableaux de bord</t>
  </si>
  <si>
    <t>Non-suivi des ressources, erreurs dans leur gestion</t>
  </si>
  <si>
    <t>Retards, surcharge de certaines ressources</t>
  </si>
  <si>
    <t>Utiliser un outil de gestion de ressources et des rapports de suivi réguliers</t>
  </si>
  <si>
    <t>Adaptabilité des Ressources</t>
  </si>
  <si>
    <t>Les ressources peuvent-elles être ajustées rapidement si nécessaire ?</t>
  </si>
  <si>
    <t>Plan de gestion des ressources, procédures de réajustement</t>
  </si>
  <si>
    <t>Manque de flexibilité dans l'ajustement des ressources</t>
  </si>
  <si>
    <t>Inefficacité, risques de surcharge ou pénurie de ressources</t>
  </si>
  <si>
    <t>Prévoir des procédures d’adaptation pour ajuster rapidement les ressources</t>
  </si>
  <si>
    <t>Compétences des Ressources Humaines</t>
  </si>
  <si>
    <t>Les compétences des ressources humaines sont-elles bien adaptées aux tâches ?</t>
  </si>
  <si>
    <t>Profil des ressources humaines, analyse des compétences</t>
  </si>
  <si>
    <t>Manque de compétences pour certaines tâches critiques</t>
  </si>
  <si>
    <t>Retards, mauvaise qualité du travail, réajustement des équipes</t>
  </si>
  <si>
    <t>Assurer des formations et des ajustements des compétences avant l’affectation des tâches</t>
  </si>
  <si>
    <t>Identification des Risques</t>
  </si>
  <si>
    <t>Les risques liés à la nature du projet ont-ils été identifiés ?</t>
  </si>
  <si>
    <t>Plan de gestion des risques, analyse SWOT</t>
  </si>
  <si>
    <t>Risques non identifiés ou sous-estimés</t>
  </si>
  <si>
    <t>Impacts imprévus, retard ou échec du projet</t>
  </si>
  <si>
    <t>Réaliser une analyse complète des risques liés à chaque phase du projet</t>
  </si>
  <si>
    <t>S’assurer qu’il existe une évaluation des risques liés à la naturedu projet</t>
  </si>
  <si>
    <t>Analyse des Risques Spécifiques</t>
  </si>
  <si>
    <t>Les risques spécifiques à la nature du projet ont-ils été analysés en détail ?</t>
  </si>
  <si>
    <t>Étude des risques, rapports d'analyse</t>
  </si>
  <si>
    <t>Manque d'analyse spécifique aux caractéristiques du projet</t>
  </si>
  <si>
    <t>Échec du projet, dépassement de budget</t>
  </si>
  <si>
    <t>Identifier et analyser les risques particuliers en fonction de la nature du projet</t>
  </si>
  <si>
    <t>Évaluation de l'Impact des Risques</t>
  </si>
  <si>
    <t>L'impact des risques identifiés a-t-il été évalué en fonction de leur gravité ?</t>
  </si>
  <si>
    <t>Matrices d'évaluation des risques</t>
  </si>
  <si>
    <t>Risques non hiérarchisés, impact mal évalué</t>
  </si>
  <si>
    <t>Prises de décision inadaptées, mauvaise gestion des priorités</t>
  </si>
  <si>
    <t>Prioriser les risques en fonction de leur impact et probabilité</t>
  </si>
  <si>
    <t>Plan de Mitigation des Risques</t>
  </si>
  <si>
    <t>Existe-t-il des stratégies de mitigation pour les risques identifiés ?</t>
  </si>
  <si>
    <t>Plan de mitigation des risques, stratégies de contingence</t>
  </si>
  <si>
    <t>Absence de plans de mitigation, retards importants</t>
  </si>
  <si>
    <t>Pertes financières, échec dans l'exécution du projet</t>
  </si>
  <si>
    <t>Développer des plans de mitigation et contingence pour chaque risque majeur</t>
  </si>
  <si>
    <t>Suivi des Risques</t>
  </si>
  <si>
    <t>Les risques sont-ils régulièrement suivis et réévalués ?</t>
  </si>
  <si>
    <t>Rapports de suivi des risques, tableaux de bord</t>
  </si>
  <si>
    <t>Risques non suivis, évolution non prise en compte</t>
  </si>
  <si>
    <t>Incapacité à réagir aux risques nouveaux ou évolutifs</t>
  </si>
  <si>
    <t>Mettre en place un processus de suivi continu et de réévaluation des risques</t>
  </si>
  <si>
    <t>Compatibilité Technologique</t>
  </si>
  <si>
    <t>La technologie utilisée est-elle compatible avec les systèmes existants ?</t>
  </si>
  <si>
    <t>Analyse de compatibilité, schéma d’architecture</t>
  </si>
  <si>
    <t>Incompatibilités, conflits techniques</t>
  </si>
  <si>
    <t>Retards, surcoûts, échec d'intégration</t>
  </si>
  <si>
    <t>Réaliser une étude de compatibilité technique en amont</t>
  </si>
  <si>
    <t xml:space="preserve">S’assurer qu’il existe une évaluation des risques liés à latechnologie utilisée </t>
  </si>
  <si>
    <t>Maturité de la Technologie</t>
  </si>
  <si>
    <t>La technologie est-elle éprouvée et stable ?</t>
  </si>
  <si>
    <t>Fiche technique, retours d’expérience</t>
  </si>
  <si>
    <t>Dépendance à une technologie immature ou instable</t>
  </si>
  <si>
    <t>Bugs, interruptions de service, mauvaise performance</t>
  </si>
  <si>
    <t>Choisir des technologies matures ou prévoir des phases de test approfondi</t>
  </si>
  <si>
    <t>Sécurité de la Technologie</t>
  </si>
  <si>
    <t>Les risques de cybersécurité ont-ils été identifiés et évalués ?</t>
  </si>
  <si>
    <t>Analyse de sécurité, plan de gestion des risques</t>
  </si>
  <si>
    <t>Failles de sécurité, données exposées</t>
  </si>
  <si>
    <t>Perte de données, atteinte à la réputation</t>
  </si>
  <si>
    <t>Intégrer un audit de sécurité et des protocoles de protection</t>
  </si>
  <si>
    <t>Maintenance et Support</t>
  </si>
  <si>
    <t>Existe-t-il un support technique fiable et une maintenance prévue ?</t>
  </si>
  <si>
    <t>Contrat de support, plan de maintenance</t>
  </si>
  <si>
    <t>Absence de maintenance, dépendance à un fournisseur</t>
  </si>
  <si>
    <t>Blocages en cas de panne, obsolescence</t>
  </si>
  <si>
    <t>Privilégier des technologies avec un support pérenne</t>
  </si>
  <si>
    <t>Évolutivité et pérennité</t>
  </si>
  <si>
    <t>La technologie peut-elle évoluer avec les besoins futurs du projet ?</t>
  </si>
  <si>
    <t>Plan d’évolution, documentation technique</t>
  </si>
  <si>
    <t>Technologie vite dépassée, non évolutive</t>
  </si>
  <si>
    <t>Nécessité de tout refondre à moyen terme</t>
  </si>
  <si>
    <t>Choisir des technologies évolutives et ouvertes</t>
  </si>
  <si>
    <t xml:space="preserve">S’assurer qu’il existe une évaluation des risques liés aux projetsen cours </t>
  </si>
  <si>
    <t>Inventaire des projets actifs</t>
  </si>
  <si>
    <t>Un recensement complet des projets en cours est-il disponible ?</t>
  </si>
  <si>
    <t>Portefeuille de projets, registre des projets</t>
  </si>
  <si>
    <t>Oubli de projets critiques, gestion partielle</t>
  </si>
  <si>
    <t>Risques non identifiés, gestion incohérente</t>
  </si>
  <si>
    <t>Tenir un registre à jour de tous les projets en cours</t>
  </si>
  <si>
    <t>Analyse des interdépendances</t>
  </si>
  <si>
    <t>Les interactions entre projets sont-elles analysées ?</t>
  </si>
  <si>
    <t>Analyse d’impact croisé, diagrammes de dépendance</t>
  </si>
  <si>
    <t>Conflits de ressources ou d’échéances entre projets</t>
  </si>
  <si>
    <t>Retards, surcharge ou doublons</t>
  </si>
  <si>
    <t>Identifier et planifier les dépendances et ressources partagées</t>
  </si>
  <si>
    <t>Suivi des risques transverses</t>
  </si>
  <si>
    <t>Existe-t-il un suivi des risques communs à plusieurs projets ?</t>
  </si>
  <si>
    <t>Registre des risques transverses, rapports consolidés</t>
  </si>
  <si>
    <t>Risques ignorés ou mal répartis</t>
  </si>
  <si>
    <t>Manque de coordination dans la réponse au risque</t>
  </si>
  <si>
    <t>Centraliser le suivi des risques transverses entre projets</t>
  </si>
  <si>
    <t>Impact des projets en difficulté</t>
  </si>
  <si>
    <t>Les projets en difficulté sont-ils identifiés et leurs impacts évalués ?</t>
  </si>
  <si>
    <t>Tableau de bord projet, reporting</t>
  </si>
  <si>
    <t>Effet domino sur d’autres projets</t>
  </si>
  <si>
    <t>Désorganisation globale du portefeuille</t>
  </si>
  <si>
    <t>Mettre en place un système d’alerte et de gestion de crise</t>
  </si>
  <si>
    <t>Révisions périodiques des risques</t>
  </si>
  <si>
    <t>Les risques sont-ils réévalués régulièrement à l’échelle du portefeuille ?</t>
  </si>
  <si>
    <t>Revue de portefeuille, PV de comités</t>
  </si>
  <si>
    <t>Évolution des risques non détectée</t>
  </si>
  <si>
    <t>Décisions basées sur des informations dépassées</t>
  </si>
  <si>
    <t>Programmer des revues périodiques des risques au niveau global</t>
  </si>
  <si>
    <t xml:space="preserve">S’assurer qu’il existe une évaluation des risques liés aux délais </t>
  </si>
  <si>
    <t>Analyse des délais critiques</t>
  </si>
  <si>
    <t>Les étapes critiques ont-elles été identifiées et analysées ?</t>
  </si>
  <si>
    <t>Diagramme de Gantt, chemin critique</t>
  </si>
  <si>
    <t>Non-identification des jalons critiques</t>
  </si>
  <si>
    <t>Retards majeurs non anticipés</t>
  </si>
  <si>
    <t>Identifier clairement les jalons et le chemin critique dans le planning</t>
  </si>
  <si>
    <t>Estimation réaliste des durées</t>
  </si>
  <si>
    <t>Les durées des tâches sont-elles basées sur des données réalistes ?</t>
  </si>
  <si>
    <t>Planning détaillé, historiques de projets</t>
  </si>
  <si>
    <t>Sous-estimation des délais</t>
  </si>
  <si>
    <t>Glissement de calendrier, surcharge des équipes</t>
  </si>
  <si>
    <t>Utiliser des références passées ou des experts métier pour estimer les durées</t>
  </si>
  <si>
    <t>Gestion des marges et imprévus</t>
  </si>
  <si>
    <t>Des marges de sécurité sont-elles prévues dans le planning ?</t>
  </si>
  <si>
    <t>Planning avec marges, plan de contingence</t>
  </si>
  <si>
    <t>Aucune flexibilité face aux imprévus</t>
  </si>
  <si>
    <t>Blocages, effet domino</t>
  </si>
  <si>
    <t>Intégrer des buffers dans le planning global et aux étapes critiques</t>
  </si>
  <si>
    <t>Suivi de l'avancement</t>
  </si>
  <si>
    <t>Existe-t-il un mécanisme de suivi régulier de l’avancement ?</t>
  </si>
  <si>
    <t>Rapports d’avancement, tableaux de bord</t>
  </si>
  <si>
    <t>Retards non détectés à temps</t>
  </si>
  <si>
    <t>Décisions tardives, désorganisation</t>
  </si>
  <si>
    <t>Mettre en place un suivi hebdomadaire et des points de contrôle</t>
  </si>
  <si>
    <t>Analyse des causes de retard</t>
  </si>
  <si>
    <t>Les causes potentielles de retard ont-elles été identifiées ?</t>
  </si>
  <si>
    <t>Analyse de risque, retour d'expérience</t>
  </si>
  <si>
    <t>Risques liés aux fournisseurs, dépendances externes</t>
  </si>
  <si>
    <t>Prolongement des délais</t>
  </si>
  <si>
    <t>Identifier les facteurs internes/externes de risque de retard et prévoir des actions</t>
  </si>
  <si>
    <t>S’assurer qu’il existe une évaluation des risques liés à lasynchronisation des activités</t>
  </si>
  <si>
    <t>Coordination entre les tâches</t>
  </si>
  <si>
    <t>Les dépendances entre les tâches ont-elles été clairement identifiées ?</t>
  </si>
  <si>
    <t>Diagramme de Gantt, planning des tâches</t>
  </si>
  <si>
    <t>Démarrage prématuré ou retardé des activités</t>
  </si>
  <si>
    <t>Désynchronisation, retards en chaîne</t>
  </si>
  <si>
    <t>Cartographier toutes les dépendances et mettre en place un séquencement rigoureux</t>
  </si>
  <si>
    <t>Synchronisation entre équipes/projets</t>
  </si>
  <si>
    <t>Les équipes ou projets interdépendants sont-ils synchronisés dans le planning ?</t>
  </si>
  <si>
    <t>Planning global, réunions de coordination</t>
  </si>
  <si>
    <t>Conflits de ressources ou blocages mutuels</t>
  </si>
  <si>
    <t>Perte d’efficacité, retards croisés</t>
  </si>
  <si>
    <t>Mettre en place des points de synchronisation réguliers</t>
  </si>
  <si>
    <t>Suivi de l’exécution synchronisée</t>
  </si>
  <si>
    <t>Y a-t-il un mécanisme pour suivre l’alignement des activités en temps réel ?</t>
  </si>
  <si>
    <t>Tableaux de bord, outils collaboratifs</t>
  </si>
  <si>
    <t>Problèmes non détectés à temps</t>
  </si>
  <si>
    <t>Dérives non maîtrisées, accumulation de retards</t>
  </si>
  <si>
    <t>Utiliser des outils de gestion en temps réel et des alertes automatiques</t>
  </si>
  <si>
    <t>Planification des points de passage communs</t>
  </si>
  <si>
    <t>Des jalons communs sont-ils définis pour assurer la synchronisation ?</t>
  </si>
  <si>
    <t>Planning avec jalons, feuille de route projet</t>
  </si>
  <si>
    <t>Manque de coordination dans les livrables partagés</t>
  </si>
  <si>
    <t>Incohérences entre les résultats attendus</t>
  </si>
  <si>
    <t>Définir des jalons clés partagés entre les équipes / projets</t>
  </si>
  <si>
    <t>Gestion des écarts de synchronisation</t>
  </si>
  <si>
    <t>Un plan de correction est-il prévu en cas de désynchronisation ?</t>
  </si>
  <si>
    <t>Scénarios de contingence, procédures de rattrapage</t>
  </si>
  <si>
    <t>Difficulté à réagir aux écarts de coordination</t>
  </si>
  <si>
    <t>S’assurer que les acteurs se sont engagés à respecter leplanning général du projet</t>
  </si>
  <si>
    <t>Validation formelle du planning</t>
  </si>
  <si>
    <t>Les parties prenantes ont-elles validé le planning général ?</t>
  </si>
  <si>
    <t>Planning signé, PV de validation</t>
  </si>
  <si>
    <t>Désengagement, contestation des délais</t>
  </si>
  <si>
    <t>Retards, refus de responsabilité</t>
  </si>
  <si>
    <t>Obtenir une validation écrite de tous les acteurs clés</t>
  </si>
  <si>
    <t>Clarté des responsabilités et délais</t>
  </si>
  <si>
    <t>Les responsabilités et délais sont-ils clairement définis ?</t>
  </si>
  <si>
    <t>RACI, planning détaillé</t>
  </si>
  <si>
    <t>Ambiguïté dans les tâches assignées</t>
  </si>
  <si>
    <t>Blocages, non-respect des échéances</t>
  </si>
  <si>
    <t>Détailler les rôles et responsabilités dans le planning</t>
  </si>
  <si>
    <t>Engagement contractuel ou moral</t>
  </si>
  <si>
    <t>Existe-t-il un engagement contractuel ou moral au respect des délais ?</t>
  </si>
  <si>
    <t>Contrats, chartes de projet</t>
  </si>
  <si>
    <t>Faible motivation à respecter les échéances</t>
  </si>
  <si>
    <t>Diminution de l’efficacité collective</t>
  </si>
  <si>
    <t>Intégrer des clauses d’engagement dans les documents de cadrage</t>
  </si>
  <si>
    <t>Communication et sensibilisation</t>
  </si>
  <si>
    <t>Les acteurs sont-ils bien informés des enjeux liés au respect du planning ?</t>
  </si>
  <si>
    <t>Comptes-rendus de réunions, supports de sensibilisation</t>
  </si>
  <si>
    <t>Sous-estimation des délais ou mauvaise priorisation</t>
  </si>
  <si>
    <t>Manque d'implication, retard involontaire</t>
  </si>
  <si>
    <t>Renforcer la communication sur les impacts d’un non-respect du planning</t>
  </si>
  <si>
    <t>Suivi de l’engagement dans le temps</t>
  </si>
  <si>
    <t>Y a-t-il un suivi régulier du respect des engagements ?</t>
  </si>
  <si>
    <t>Rapports d’avancement, alertes planning</t>
  </si>
  <si>
    <t>Laxisme, baisse progressive de l’implication</t>
  </si>
  <si>
    <t>Accumulation de retards</t>
  </si>
  <si>
    <t>Mettre en place des revues périodiques et des alertes en cas de dérive</t>
  </si>
  <si>
    <t>Instances de pilotage</t>
  </si>
  <si>
    <t>S’assurer que la structure de pilotage est formalisée et connuede tous les acteurs</t>
  </si>
  <si>
    <t>Existence d’une structure de gouvernance</t>
  </si>
  <si>
    <t>Une structure de pilotage a-t-elle été formellement définie ?</t>
  </si>
  <si>
    <t>Organigramme, charte de gouvernance</t>
  </si>
  <si>
    <t>Flou organisationnel, absence de responsabilités claires</t>
  </si>
  <si>
    <t>Mauvaise coordination, décisions conflictuelles</t>
  </si>
  <si>
    <t>Définir officiellement les organes de pilotage et leurs rôles</t>
  </si>
  <si>
    <t>Rôles et responsabilités précisés</t>
  </si>
  <si>
    <t>Les rôles des instances de pilotage sont-ils clairement définis ?</t>
  </si>
  <si>
    <t>RACI, fiches de rôle</t>
  </si>
  <si>
    <t>Chevauchements, tâches non assumées</t>
  </si>
  <si>
    <t>Incohérence dans la prise de décision</t>
  </si>
  <si>
    <t>Documenter les responsabilités dans une matrice claire</t>
  </si>
  <si>
    <t>Communication de la structure aux parties</t>
  </si>
  <si>
    <t>La structure de pilotage est-elle communiquée à tous les acteurs du projet ?</t>
  </si>
  <si>
    <t>Note de service, réunion de lancement</t>
  </si>
  <si>
    <t>Méconnaissance des circuits de décision</t>
  </si>
  <si>
    <t>Perte de temps, sollicitations non pertinentes</t>
  </si>
  <si>
    <t>Présenter la structure dans les réunions et documents de démarrage</t>
  </si>
  <si>
    <t>Accès aux documents de gouvernance</t>
  </si>
  <si>
    <t>Les documents de pilotage sont-ils accessibles à tous les acteurs concernés ?</t>
  </si>
  <si>
    <t>Répertoire partagé, plateforme projet</t>
  </si>
  <si>
    <t>Manque de transparence, confusion</t>
  </si>
  <si>
    <t>Tensions entre équipes, erreurs de gestion</t>
  </si>
  <si>
    <t>Centraliser les documents sur une plateforme accessible et actualisée</t>
  </si>
  <si>
    <t>Suivi de l’adhésion à la structure</t>
  </si>
  <si>
    <t>Y a-t-il un suivi ou des retours sur la compréhension de la structure ?</t>
  </si>
  <si>
    <t>Compte-rendus de réunions, enquêtes internes</t>
  </si>
  <si>
    <t>Faible appropriation de la structure</t>
  </si>
  <si>
    <t>Décrochage de certains acteurs, non-respect des circuits</t>
  </si>
  <si>
    <t>Réaliser des rappels réguliers et proposer des sessions de clarification si nécessaire</t>
  </si>
  <si>
    <t>S’assurer que les différentes instances de pilotage connaissentleurs niveaux de délégation</t>
  </si>
  <si>
    <t>Définition formelle des niveaux de délégation</t>
  </si>
  <si>
    <t>Les niveaux de délégation sont-ils clairement définis pour chaque instance ?</t>
  </si>
  <si>
    <t>Charte de gouvernance, fiches de rôle</t>
  </si>
  <si>
    <t>Confusion des rôles, décisions hors périmètre</t>
  </si>
  <si>
    <t>Décisions invalides, conflits internes</t>
  </si>
  <si>
    <t>Définir précisément les pouvoirs délégués à chaque instance de pilotage</t>
  </si>
  <si>
    <t>Communication des règles de délégation</t>
  </si>
  <si>
    <t>Ces niveaux sont-ils communiqués à tous les membres des instances ?</t>
  </si>
  <si>
    <t>Notes de service, réunions de cadrage</t>
  </si>
  <si>
    <t>Mauvaise interprétation ou méconnaissance des responsabilités</t>
  </si>
  <si>
    <t>Blocages décisionnels ou excès d’autorité</t>
  </si>
  <si>
    <t>Présenter et expliquer les règles à l’ensemble des membres concernés</t>
  </si>
  <si>
    <t>Documentation des décisions autorisées</t>
  </si>
  <si>
    <t>Les types de décisions que chaque instance peut prendre sont-ils documentés ?</t>
  </si>
  <si>
    <t>Tableau de délégation, manuel de gouvernance</t>
  </si>
  <si>
    <t>Surcharge ou paralysie de certaines instances</t>
  </si>
  <si>
    <t>Allongement des délais de validation</t>
  </si>
  <si>
    <t>Lister les actes décisionnels autorisés par instance</t>
  </si>
  <si>
    <t>Respect des niveaux de délégation</t>
  </si>
  <si>
    <t>Les décisions prises respectent-elles les niveaux établis ?</t>
  </si>
  <si>
    <t>PV de réunion, audit interne</t>
  </si>
  <si>
    <t>Dérives ou contournement des règles de gouvernance</t>
  </si>
  <si>
    <t>Désorganisation, tensions entre acteurs</t>
  </si>
  <si>
    <t>Mettre en place un contrôle régulier des décisions prises</t>
  </si>
  <si>
    <t>Révision périodique des délégations</t>
  </si>
  <si>
    <t>Les niveaux de délégation sont-ils revus régulièrement ?</t>
  </si>
  <si>
    <t>Procès-verbaux de comité, grille de délégation</t>
  </si>
  <si>
    <t>Inadéquation entre délégation et réalité du projet</t>
  </si>
  <si>
    <t>Décisions trop lentes ou trop concentrées</t>
  </si>
  <si>
    <t>Prévoir une réévaluation périodique selon les évolutions du projet</t>
  </si>
  <si>
    <t>S’assurer que les objectifs des délégations sont atteints</t>
  </si>
  <si>
    <t>Définition claire des objectifs délégués</t>
  </si>
  <si>
    <t>Les objectifs associés à chaque délégation sont-ils clairement définis ?</t>
  </si>
  <si>
    <t>Fiches de délégation, plan d’action</t>
  </si>
  <si>
    <t>Objectifs mal compris ou mal suivis</t>
  </si>
  <si>
    <t>Échec des missions, mauvaise évaluation des performances</t>
  </si>
  <si>
    <t>Formuler des objectifs SMART et les formaliser dans les documents de délégation</t>
  </si>
  <si>
    <t>Suivi des indicateurs de performance</t>
  </si>
  <si>
    <t>Existe-t-il des indicateurs permettant de mesurer l’atteinte des objectifs ?</t>
  </si>
  <si>
    <t>Tableau de bord, KPIs, rapports périodiques</t>
  </si>
  <si>
    <t>Absence de suivi structuré</t>
  </si>
  <si>
    <t>Impossible de savoir si les objectifs sont atteints</t>
  </si>
  <si>
    <t>Associer des KPIs clairs à chaque mission déléguée</t>
  </si>
  <si>
    <t>Évaluation régulière des résultats</t>
  </si>
  <si>
    <t>Les résultats des délégations sont-ils évalués régulièrement ?</t>
  </si>
  <si>
    <t>Rapports d’audit, comptes-rendus d’évaluation</t>
  </si>
  <si>
    <t>Manque de réajustement</t>
  </si>
  <si>
    <t>Dérive prolongée, sous-performance</t>
  </si>
  <si>
    <t>Mettre en place des revues périodiques de performance</t>
  </si>
  <si>
    <t>Feedback et ajustement des objectifs</t>
  </si>
  <si>
    <t>Un retour d’expérience est-il organisé pour adapter les délégations ?</t>
  </si>
  <si>
    <t>Compte-rendus de réunions, synthèses d’analyse</t>
  </si>
  <si>
    <t>Résistance au changement, objectifs figés</t>
  </si>
  <si>
    <t>Inadéquation entre objectifs et réalité du terrain</t>
  </si>
  <si>
    <t>Intégrer des mécanismes d’adaptation continue</t>
  </si>
  <si>
    <t>Reconnaissance des performances atteintes</t>
  </si>
  <si>
    <t>Les acteurs reçoivent-ils un retour ou une reconnaissance lorsqu’ils atteignent les objectifs ?</t>
  </si>
  <si>
    <t>Rapports RH, systèmes de reconnaissance</t>
  </si>
  <si>
    <t>Démotivation, baisse d’engagement</t>
  </si>
  <si>
    <t>Perte de confiance dans le système de délégation</t>
  </si>
  <si>
    <t>Valoriser les réussites pour renforcer l’adhésion et la responsabilisation</t>
  </si>
  <si>
    <t>S’assurer qu’il existe un comité de pilotage</t>
  </si>
  <si>
    <t>Existence formelle du comité de pilotage</t>
  </si>
  <si>
    <t>Un comité de pilotage a-t-il été mis en place et officialisé ?</t>
  </si>
  <si>
    <t>PV de constitution, charte de gouvernance</t>
  </si>
  <si>
    <t>Flou dans la direction stratégique</t>
  </si>
  <si>
    <t>Absence de décisions claires, désorientation du projet</t>
  </si>
  <si>
    <t>Constituer officiellement le comité dès le lancement du projet</t>
  </si>
  <si>
    <t>Composition adéquate du comité</t>
  </si>
  <si>
    <t>Le comité regroupe-t-il les parties prenantes clés du projet ?</t>
  </si>
  <si>
    <t>Liste des membres, organigramme projet</t>
  </si>
  <si>
    <t>Représentation partielle ou déséquilibrée</t>
  </si>
  <si>
    <t>Mauvaise représentativité, décisions biaisées</t>
  </si>
  <si>
    <t>Intégrer des profils complémentaires et décisionnaires</t>
  </si>
  <si>
    <t>Rôles et missions clairement définis</t>
  </si>
  <si>
    <t>Les rôles du comité sont-ils explicitement définis ?</t>
  </si>
  <si>
    <t>Charte de fonctionnement, RACI</t>
  </si>
  <si>
    <t>Confusion dans les responsabilités</t>
  </si>
  <si>
    <t>Décisions contradictoires ou non assumées</t>
  </si>
  <si>
    <t>Définir les attributions stratégiques, décisionnelles et de suivi</t>
  </si>
  <si>
    <t>Fréquence des réunions planifiée</t>
  </si>
  <si>
    <t>Un calendrier régulier des réunions du comité est-il établi ?</t>
  </si>
  <si>
    <t>Planning des réunions, convocations</t>
  </si>
  <si>
    <t>Perte de suivi, réactivité insuffisante</t>
  </si>
  <si>
    <t>Décalage entre pilotage et réalité du terrain</t>
  </si>
  <si>
    <t>Programmer des réunions périodiques avec ordre du jour clair</t>
  </si>
  <si>
    <t>Traçabilité des décisions prises</t>
  </si>
  <si>
    <t>Les décisions du comité sont-elles formalisées et diffusées ?</t>
  </si>
  <si>
    <t>PV de réunion, comptes-rendus, tableaux de suivi</t>
  </si>
  <si>
    <t>Manque de visibilité sur les orientations prises</t>
  </si>
  <si>
    <t>Perte de contrôle, incompréhension entre acteurs</t>
  </si>
  <si>
    <t>Rédiger systématiquement des PV et les partager aux équipes concernées</t>
  </si>
  <si>
    <t>S’assurer qu’il existe un comité de projet</t>
  </si>
  <si>
    <t>Mise en place formelle du comité</t>
  </si>
  <si>
    <t>Un comité de projet a-t-il été officiellement constitué ?</t>
  </si>
  <si>
    <t>PV de constitution, note de service</t>
  </si>
  <si>
    <t>Absence de coordination opérationnelle</t>
  </si>
  <si>
    <t>Retards, perte de cohérence dans les actions</t>
  </si>
  <si>
    <t>Constituer un comité avec des représentants des équipes clés</t>
  </si>
  <si>
    <t>Représentation des différentes fonctions</t>
  </si>
  <si>
    <t>Le comité inclut-il les fonctions concernées par la mise en œuvre ?</t>
  </si>
  <si>
    <t>Organigramme projet, liste des membres</t>
  </si>
  <si>
    <t>Déséquilibre dans la gestion du projet</t>
  </si>
  <si>
    <t>Mauvaise prise en compte des besoins métier</t>
  </si>
  <si>
    <t>Veiller à une représentation pluridisciplinaire dans le comité</t>
  </si>
  <si>
    <t>Définition des rôles et responsabilités</t>
  </si>
  <si>
    <t>Les missions et responsabilités des membres sont-elles bien définies ?</t>
  </si>
  <si>
    <t>Fiches de mission, charte de fonctionnement</t>
  </si>
  <si>
    <t>Chevauchement ou vide de responsabilités</t>
  </si>
  <si>
    <t>Inefficacité, tensions internes</t>
  </si>
  <si>
    <t>Clarifier les rôles dans un document partagé et validé</t>
  </si>
  <si>
    <t>Tenue régulière des réunions</t>
  </si>
  <si>
    <t>Le comité de projet se réunit-il de façon régulière ?</t>
  </si>
  <si>
    <t>Planning des réunions, convocations, PV</t>
  </si>
  <si>
    <t>Manque de suivi de l'avancement</t>
  </si>
  <si>
    <t>Pilotage réactif au lieu de proactif</t>
  </si>
  <si>
    <t>Planifier des réunions périodiques avec des comptes-rendus systématiques</t>
  </si>
  <si>
    <t>Diffusion des décisions opérationnelles</t>
  </si>
  <si>
    <t>Les décisions du comité sont-elles formalisées et partagées aux équipes ?</t>
  </si>
  <si>
    <t>Comptes-rendus, plateformes collaboratives</t>
  </si>
  <si>
    <t>Décisions mal comprises ou non appliquées</t>
  </si>
  <si>
    <t>Assurer la diffusion claire et rapide des décisions prises par le comité de projet</t>
  </si>
  <si>
    <t xml:space="preserve">S’assurer qu’il existe un comité des utilisateurs ou, a minima,une participation des utilisateurs </t>
  </si>
  <si>
    <t>Existence d’un comité des utilisateurs</t>
  </si>
  <si>
    <t>Un comité des utilisateurs a-t-il été constitué pour suivre le projet ?</t>
  </si>
  <si>
    <t>PV de constitution, liste des membres</t>
  </si>
  <si>
    <t>Absence de retour des utilisateurs</t>
  </si>
  <si>
    <t>Manque d’adéquation entre produit final et besoins</t>
  </si>
  <si>
    <t>Créer un comité d’utilisateurs dès le début du projet</t>
  </si>
  <si>
    <t>Représentation diversifiée des utilisateurs</t>
  </si>
  <si>
    <t>Les utilisateurs clés sont-ils représentés au sein du comité ?</t>
  </si>
  <si>
    <t>Liste des participants, organigramme</t>
  </si>
  <si>
    <t>Mauvaise couverture des besoins des différents groupes</t>
  </si>
  <si>
    <t>Sous-estimation des besoins de certains utilisateurs</t>
  </si>
  <si>
    <t>Inclure des représentants des différents groupes d’utilisateurs dans le comité</t>
  </si>
  <si>
    <t>Implication régulière des utilisateurs</t>
  </si>
  <si>
    <t>Les utilisateurs participent-ils régulièrement aux réunions de suivi ?</t>
  </si>
  <si>
    <t>Comptes-rendus, calendrier des réunions</t>
  </si>
  <si>
    <t>Isolement des utilisateurs dans le processus de décision</t>
  </si>
  <si>
    <t>Solutions non adaptées aux attentes des utilisateurs</t>
  </si>
  <si>
    <t>Planifier des sessions de retour régulières avec les utilisateurs</t>
  </si>
  <si>
    <t>Collecte de feedback des utilisateurs</t>
  </si>
  <si>
    <t>Un processus formalisé existe-t-il pour recueillir les retours des utilisateurs ?</t>
  </si>
  <si>
    <t>Enquêtes, interviews, rapports de satisfaction</t>
  </si>
  <si>
    <t>Manque de feedback, besoins non pris en compte</t>
  </si>
  <si>
    <t>Décisions mal orientées, mauvaise acceptation du produit</t>
  </si>
  <si>
    <t>Mettre en place des outils de collecte de feedback (enquêtes, interviews, etc.)</t>
  </si>
  <si>
    <t>Communication des résultats aux utilisateurs</t>
  </si>
  <si>
    <t>Les résultats des comités et des décisions sont-ils partagés avec les utilisateurs ?</t>
  </si>
  <si>
    <t>Mémos, newsletters, rapports de suivi</t>
  </si>
  <si>
    <t>Isolement des utilisateurs par rapport aux décisions</t>
  </si>
  <si>
    <t>Non-adoption, faible implication des utilisateurs</t>
  </si>
  <si>
    <t>Assurer une communication transparente et régulière sur les avancées et décisions du projet</t>
  </si>
  <si>
    <t xml:space="preserve">S’assurer que les participants aux différents comités sontreprésentatifs et ont le bon niveau de décision </t>
  </si>
  <si>
    <t>Représentativité des participants</t>
  </si>
  <si>
    <t>Les participants sont-ils représentatifs des différents départements ou groupes concernés ?</t>
  </si>
  <si>
    <t>Manque de diversité dans les points de vue</t>
  </si>
  <si>
    <t>Décisions biaisées, incompréhension des besoins de certains groupes</t>
  </si>
  <si>
    <t>Assurer une représentation équilibrée de toutes les parties prenantes</t>
  </si>
  <si>
    <t>Niveau de décision adapté</t>
  </si>
  <si>
    <t>Les participants ont-ils le niveau de décision nécessaire pour prendre des mesures concrètes ?</t>
  </si>
  <si>
    <t>Organigramme, fiches de rôle</t>
  </si>
  <si>
    <t>Décisions retardées ou non appliquées</t>
  </si>
  <si>
    <t>Lenteur dans la mise en œuvre, perte de temps</t>
  </si>
  <si>
    <t>Identifier clairement les niveaux de décision et les responsabilités de chaque membre</t>
  </si>
  <si>
    <t>Compétence des participants</t>
  </si>
  <si>
    <t>Les membres des comités possèdent-ils les compétences nécessaires pour prendre des décisions éclairées ?</t>
  </si>
  <si>
    <t>CV des membres, évaluations de compétence</t>
  </si>
  <si>
    <t>Manque de compétences techniques ou stratégiques</t>
  </si>
  <si>
    <t>Décisions inappropriées ou mal informées</t>
  </si>
  <si>
    <t>Sélectionner des participants ayant les compétences adéquates pour chaque domaine</t>
  </si>
  <si>
    <t>Autorité des participants</t>
  </si>
  <si>
    <t>Les membres des comités ont-ils l'autorité pour faire appliquer leurs décisions ?</t>
  </si>
  <si>
    <t>Procès-verbaux, chartes de gouvernance</t>
  </si>
  <si>
    <t>Absence de pouvoir décisionnel réel</t>
  </si>
  <si>
    <t>Absence d'exécution, conflits d'autorité</t>
  </si>
  <si>
    <t>Donner de l'autorité décisionnelle aux participants clé du projet</t>
  </si>
  <si>
    <t>Revue périodique de la composition du comité</t>
  </si>
  <si>
    <t>La composition du comité est-elle revue régulièrement pour garantir sa pertinence ?</t>
  </si>
  <si>
    <t>Compte-rendu des revues, rapport d’audit interne</t>
  </si>
  <si>
    <t>Composition obsolète, déséquilibre des responsabilités</t>
  </si>
  <si>
    <t>Décisions non adaptées aux évolutions du projet</t>
  </si>
  <si>
    <t>Revoir la composition du comité à chaque phase clé du projet</t>
  </si>
  <si>
    <t xml:space="preserve">S’assurer que les participants ne sont pas trop nombreux, auCameroun un texte du Premier Ministre encadre le nombre de participants aux comités, commissions et groupe de travail </t>
  </si>
  <si>
    <t>Respect des limites de nombre de participants</t>
  </si>
  <si>
    <t>Le nombre de participants respecte-t-il les limites fixées par le décret ?</t>
  </si>
  <si>
    <t>PV de réunion, liste des participants</t>
  </si>
  <si>
    <t>Surpopulation des comités, perte d’efficacité</t>
  </si>
  <si>
    <t>Décisions ralenties, manque de clarté dans les responsabilités</t>
  </si>
  <si>
    <t>Veiller à respecter strictement les limites de nombre de membres dans chaque comité</t>
  </si>
  <si>
    <t>Définition claire du rôle de chaque participant</t>
  </si>
  <si>
    <t>Le rôle de chaque participant est-il bien défini et limité dans le cadre du comité ?</t>
  </si>
  <si>
    <t>Organigramme, charte de fonctionnement</t>
  </si>
  <si>
    <t>Flou dans les responsabilités, redondance des actions</t>
  </si>
  <si>
    <t>Conflits internes, décisions non exécutées correctement</t>
  </si>
  <si>
    <t>Formaliser les rôles et missions de chaque membre dans un document partagé</t>
  </si>
  <si>
    <t>Adaptation du comité aux objectifs du projet</t>
  </si>
  <si>
    <t>Le comité comprend-il uniquement les personnes essentielles à l’atteinte des objectifs ?</t>
  </si>
  <si>
    <t>Liste des membres, justifications des choix</t>
  </si>
  <si>
    <t>Présence de membres non pertinents</t>
  </si>
  <si>
    <t>Discussions inutiles, perte de focus sur les objectifs</t>
  </si>
  <si>
    <t>Limiter la participation aux acteurs clés en lien direct avec les objectifs du projet</t>
  </si>
  <si>
    <t>Respect de la gouvernance en termes de taille</t>
  </si>
  <si>
    <t>Le comité respecte-t-il la gouvernance en termes de taille selon le texte du Premier Ministre ?</t>
  </si>
  <si>
    <t>Décret N°2018/9387/CAB/PM, rapports de conformité</t>
  </si>
  <si>
    <t>Non-conformité avec la réglementation</t>
  </si>
  <si>
    <t>Risque de sanctions ou d'invalidité des décisions prises</t>
  </si>
  <si>
    <t>Assurer que le nombre de membres reste dans les limites imposées par la législation</t>
  </si>
  <si>
    <t>Suivi de la composition des comités</t>
  </si>
  <si>
    <t>La composition du comité est-elle revue régulièrement pour s’assurer qu'elle reste conforme ?</t>
  </si>
  <si>
    <t>Compte-rendu des réunions, rapports d’audit</t>
  </si>
  <si>
    <t>Non-actualisation de la composition</t>
  </si>
  <si>
    <t>Inefficacité du comité, mauvaises décisions stratégiques</t>
  </si>
  <si>
    <t>Revoir périodiquement la composition du comité selon l’évolution du projet</t>
  </si>
  <si>
    <t>S’assurer que les gestionnaires de la production sont intégrésdans les structures de pilotage</t>
  </si>
  <si>
    <t>Présence des gestionnaires dans le comité</t>
  </si>
  <si>
    <t>Les gestionnaires de la production sont-ils intégrés dans le comité de pilotage ?</t>
  </si>
  <si>
    <t>Liste des membres, organigramme du comité</t>
  </si>
  <si>
    <t>Isolement des gestionnaires, déconnexion des réalités de production</t>
  </si>
  <si>
    <t>Mauvaise prise en compte des contraintes de production</t>
  </si>
  <si>
    <t>Assurer la présence des gestionnaires dans les comités stratégiques</t>
  </si>
  <si>
    <t>Rôle des gestionnaires clairement défini</t>
  </si>
  <si>
    <t>Leur rôle et leurs responsabilités sont-ils clairement définis dans la structure de pilotage ?</t>
  </si>
  <si>
    <t>Manque de clarté dans les responsabilités des gestionnaires</t>
  </si>
  <si>
    <t>Décisions inadaptées aux réalités de la production</t>
  </si>
  <si>
    <t>Définir clairement les missions et responsabilités des gestionnaires de production</t>
  </si>
  <si>
    <t>Participation active des gestionnaires</t>
  </si>
  <si>
    <t>Les gestionnaires participent-ils activement aux décisions stratégiques ?</t>
  </si>
  <si>
    <t>Comptes-rendus de réunions, rapports d’activité</t>
  </si>
  <si>
    <t>Absence de contribution des gestionnaires de production</t>
  </si>
  <si>
    <t>Solutions non adaptées à la production, écart entre stratégie et opérationnel</t>
  </si>
  <si>
    <t>Encourager la participation active des gestionnaires aux réunions de pilotage</t>
  </si>
  <si>
    <t>Communication avec les équipes de production</t>
  </si>
  <si>
    <t>Les gestionnaires de la production transmettent-ils les décisions stratégiques aux équipes opérationnelles ?</t>
  </si>
  <si>
    <t>Compte-rendu des réunions, rapports de communication</t>
  </si>
  <si>
    <t>Mauvaise diffusion des informations stratégiques</t>
  </si>
  <si>
    <t>Désalignement entre les équipes opérationnelles et stratégiques</t>
  </si>
  <si>
    <t>Mettre en place des canaux de communication efficaces entre le comité et les équipes de production</t>
  </si>
  <si>
    <t>Suivi des actions des gestionnaires</t>
  </si>
  <si>
    <t>Existe-t-il un suivi des actions des gestionnaires de production dans le cadre du pilotage ?</t>
  </si>
  <si>
    <t>Rapports de suivi, tableaux de bord de performance</t>
  </si>
  <si>
    <t>Manque de visibilité sur l'impact des actions</t>
  </si>
  <si>
    <t>Inefficacité dans la mise en œuvre des décisions prises</t>
  </si>
  <si>
    <t>Mettre en place des outils de suivi de la performance des gestionnaires de production</t>
  </si>
  <si>
    <t>S’assurer que la fréquence des comités est appropriée</t>
  </si>
  <si>
    <t>Fréquence adaptée aux besoins du projet</t>
  </si>
  <si>
    <t>La fréquence des réunions du comité est-elle adaptée à l’avancement du projet ?</t>
  </si>
  <si>
    <t>Calendrier des réunions, planning de projet</t>
  </si>
  <si>
    <t>Réunions trop espacées ou trop fréquentes</t>
  </si>
  <si>
    <t>Retards ou surcharge, décisions non actualisées</t>
  </si>
  <si>
    <t>Définir une fréquence qui correspond aux phases du projet et aux besoins de suivi</t>
  </si>
  <si>
    <t>Réactivité aux enjeux du projet</t>
  </si>
  <si>
    <t>Les comités se réunissent-ils suffisamment souvent pour réagir aux enjeux du projet ?</t>
  </si>
  <si>
    <t>Comptes-rendus des réunions, rapports d’avancement</t>
  </si>
  <si>
    <t>Absence de réactivité en cas de crise ou de besoin urgent</t>
  </si>
  <si>
    <t>Manque de réactivité, escalade des problèmes non résolus</t>
  </si>
  <si>
    <t>Adapter la fréquence selon l'évolution du projet (plus fréquente en période critique)</t>
  </si>
  <si>
    <t>Respect du calendrier de réunions</t>
  </si>
  <si>
    <t>Le calendrier de réunions est-il respecté de manière régulière ?</t>
  </si>
  <si>
    <t>Planning des réunions, calendrier validé</t>
  </si>
  <si>
    <t>Non-respect du calendrier</t>
  </si>
  <si>
    <t>Retards accumulés, perte de cohérence</t>
  </si>
  <si>
    <t>S'assurer que les réunions sont planifiées à l'avance et respectées</t>
  </si>
  <si>
    <t>Participation active à chaque réunion</t>
  </si>
  <si>
    <t>La fréquence des réunions permet-elle à tous les membres d’être présents et impliqués ?</t>
  </si>
  <si>
    <t>Liste des participants, PV des réunions</t>
  </si>
  <si>
    <t>Absence fréquente de membres clés</t>
  </si>
  <si>
    <t>Manque d'implication, absence de vision collective</t>
  </si>
  <si>
    <t>Ajuster la fréquence pour permettre à tous les membres de participer activement</t>
  </si>
  <si>
    <t>Suivi de l’efficacité des réunions</t>
  </si>
  <si>
    <t>La fréquence des réunions permet-elle de suivre de manière efficace l’avancement des actions ?</t>
  </si>
  <si>
    <t>Tableaux de bord, rapports de suivi, évaluations de réunions</t>
  </si>
  <si>
    <t>Suivi insuffisant ou trop lourd</t>
  </si>
  <si>
    <t>Suivi inefficace, actions non abouties</t>
  </si>
  <si>
    <t>Faire un bilan après chaque réunion pour évaluer la pertinence de la fréquence et ajuster</t>
  </si>
  <si>
    <t xml:space="preserve">S’assurer qu’il existe une réunion périodique de revue du projetpour suivre son avancement </t>
  </si>
  <si>
    <t>Existence de réunions périodiques de revue</t>
  </si>
  <si>
    <t>Existe-t-il des réunions périodiques pour suivre l’avancement du projet ?</t>
  </si>
  <si>
    <t>Planning des réunions, rapports de suivi</t>
  </si>
  <si>
    <t>Absence de suivi structuré du projet</t>
  </si>
  <si>
    <t>Retards accumulés, risques non identifiés</t>
  </si>
  <si>
    <t>Mettre en place des réunions régulières de revue de projet, définies dès le début</t>
  </si>
  <si>
    <t>Fréquence appropriée des réunions de revue</t>
  </si>
  <si>
    <t>La fréquence des réunions de revue est-elle adaptée à la nature du projet ?</t>
  </si>
  <si>
    <t>Fréquence insuffisante ou trop fréquente</t>
  </si>
  <si>
    <t>Manque de visibilité sur l’avancement ou surcharge de travail</t>
  </si>
  <si>
    <t>Ajuster la fréquence des réunions en fonction des étapes du projet</t>
  </si>
  <si>
    <t>Suivi des actions décidées en réunion</t>
  </si>
  <si>
    <t>Les actions décidées lors des réunions sont-elles suivies et réalisées ?</t>
  </si>
  <si>
    <t>Tableaux de suivi des actions, comptes-rendus</t>
  </si>
  <si>
    <t>Manque de suivi des décisions prises</t>
  </si>
  <si>
    <t>Non-implémentation des décisions, retard dans l’exécution</t>
  </si>
  <si>
    <t>Mettre en place un système de suivi pour chaque action décidée lors des réunions</t>
  </si>
  <si>
    <t>Toutes les parties prenantes pertinentes sont-elles impliquées dans les réunions ?</t>
  </si>
  <si>
    <t>Isolement de certaines parties prenantes</t>
  </si>
  <si>
    <t>Absence de perspective complète, décisions non alignées</t>
  </si>
  <si>
    <t>Assurer la présence de toutes les parties prenantes clés aux réunions de revue</t>
  </si>
  <si>
    <t>Analyse des résultats et ajustements nécessaires</t>
  </si>
  <si>
    <t>Lors des réunions de revue, les résultats sont-ils analysés et des ajustements sont-ils apportés ?</t>
  </si>
  <si>
    <t>Rapports d’avancement, indicateurs de performance</t>
  </si>
  <si>
    <t>Analyse superficielle des résultats, absence d’ajustements</t>
  </si>
  <si>
    <t>Plan de projet déséquilibré, dérive des objectifs</t>
  </si>
  <si>
    <t>Assurer une analyse approfondie des résultats et des ajustements en fonction des retours</t>
  </si>
  <si>
    <t>S’assurer que la traçabilité des évolutions de périmètre, coût etdélai est assurée</t>
  </si>
  <si>
    <t>Enregistrement des modifications de périmètre</t>
  </si>
  <si>
    <t>Les évolutions du périmètre du projet sont-elles documentées de manière claire ?</t>
  </si>
  <si>
    <t>Historique des versions du périmètre, rapports de changement</t>
  </si>
  <si>
    <t>Manque de clarté sur l’évolution du périmètre</t>
  </si>
  <si>
    <t>Malentendus sur les objectifs du projet, dérive des livrables</t>
  </si>
  <si>
    <t>Mettre en place un processus de validation et d’enregistrement des changements de périmètre</t>
  </si>
  <si>
    <t>Suivi des coûts et des écarts</t>
  </si>
  <si>
    <t>Les évolutions du coût du projet sont-elles suivies et documentées en temps réel ?</t>
  </si>
  <si>
    <t>Tableaux de suivi des coûts, rapports financiers</t>
  </si>
  <si>
    <t>Surcoûts non identifiés, mauvaise gestion budgétaire</t>
  </si>
  <si>
    <t>Dépassement du budget, difficulté à justifier les écarts</t>
  </si>
  <si>
    <t>Implémenter un système de suivi des coûts, avec des rapports réguliers et détaillés</t>
  </si>
  <si>
    <t>Suivi des délais et des ajustements</t>
  </si>
  <si>
    <t>Les modifications des délais sont-elles tracées et réajustées en fonction de l’avancement ?</t>
  </si>
  <si>
    <t>Planning mis à jour, rapports de suivi des délais</t>
  </si>
  <si>
    <t>Retards non signalés, manque d’anticipation des dérives</t>
  </si>
  <si>
    <t>Retards accumulés, perte de contrôle sur le calendrier</t>
  </si>
  <si>
    <t>Définir des mécanismes de mise à jour et de validation des délais régulièrement</t>
  </si>
  <si>
    <t>Communication des évolutions</t>
  </si>
  <si>
    <t>Les parties prenantes sont-elles informées de manière systématique des évolutions de périmètre, coût et délai ?</t>
  </si>
  <si>
    <t>Comptes-rendus, newsletters, plateforme projet</t>
  </si>
  <si>
    <t>Manque de communication, désalignement des équipes</t>
  </si>
  <si>
    <t>Confusion entre les équipes, prises de décisions incohérentes</t>
  </si>
  <si>
    <t>Mettre en place des canaux de communication clairs pour partager les évolutions</t>
  </si>
  <si>
    <t>Audit des évolutions</t>
  </si>
  <si>
    <t>Un audit périodique est-il effectué pour vérifier la traçabilité des évolutions de périmètre, coût et délai ?</t>
  </si>
  <si>
    <t>Rapport d’audit, documents de validation</t>
  </si>
  <si>
    <t>Absence de vérification formelle, erreurs non détectées</t>
  </si>
  <si>
    <t>Risques non identifiés, mauvaise gestion des écarts</t>
  </si>
  <si>
    <t>Organiser des audits réguliers pour assurer la conformité et la traçabilité des évolutions</t>
  </si>
  <si>
    <t>Méthodes et outils</t>
  </si>
  <si>
    <t>S’assurer qu’il existe une méthode de conduite de projet etcelle-ci est appliquée</t>
  </si>
  <si>
    <t>Existence d'une méthode formalisée</t>
  </si>
  <si>
    <t>Une méthode de conduite de projet est-elle formalisée et documentée ?</t>
  </si>
  <si>
    <t>Manque de direction claire, confusion dans l'exécution</t>
  </si>
  <si>
    <t>Dérive du projet, non-conformité dans l'exécution</t>
  </si>
  <si>
    <t>Formaliser la méthode de gestion de projet et la rendre accessible à tous les acteurs</t>
  </si>
  <si>
    <t>Application de la méthode de conduite de projet</t>
  </si>
  <si>
    <t>La méthode définie est-elle appliquée de manière systématique dans le projet ?</t>
  </si>
  <si>
    <t>Comptes-rendus de réunions, rapports d'avancement</t>
  </si>
  <si>
    <t>Application partielle ou incohérente de la méthode</t>
  </si>
  <si>
    <t>Risques de mauvaise gestion, manque de coordination</t>
  </si>
  <si>
    <t>S'assurer que tous les membres appliquent rigoureusement la méthode définie</t>
  </si>
  <si>
    <t>Formation des équipes à la méthode</t>
  </si>
  <si>
    <t>Les équipes sont-elles formées et préparées à la méthode de conduite de projet ?</t>
  </si>
  <si>
    <t>Rapports de formation, attestation de formation</t>
  </si>
  <si>
    <t>Manque de compétence dans la gestion de projet</t>
  </si>
  <si>
    <t>Inefficacité dans l'exécution, mauvaise gestion des risques</t>
  </si>
  <si>
    <t>Organiser des sessions de formation régulières pour les équipes sur la méthode</t>
  </si>
  <si>
    <t>Suivi de l'application de la méthode</t>
  </si>
  <si>
    <t>Un suivi est-il effectué pour vérifier l’application de la méthode dans le projet ?</t>
  </si>
  <si>
    <t>Tableau de suivi, audits internes</t>
  </si>
  <si>
    <t>Absence de contrôle, dérives dans la méthode appliquée</t>
  </si>
  <si>
    <t>Risques non identifiés, actions incohérentes</t>
  </si>
  <si>
    <t>Mettre en place un suivi régulier pour vérifier l'application de la méthode</t>
  </si>
  <si>
    <t>Révision et amélioration continue de la méthode</t>
  </si>
  <si>
    <t>La méthode de conduite de projet est-elle régulièrement revue et améliorée ?</t>
  </si>
  <si>
    <t>Rapports de révision, retours d'expérience</t>
  </si>
  <si>
    <t>Méthode obsolète ou non adaptée au contexte du projet</t>
  </si>
  <si>
    <t>Inefficacité prolongée, manque d'adaptabilité</t>
  </si>
  <si>
    <t>Effectuer des revues périodiques de la méthode et intégrer les retours d'expérience</t>
  </si>
  <si>
    <t>S’assurer que la méthode repose sur un découpage des projetsen tâches</t>
  </si>
  <si>
    <t>Découpage du projet en tâches clairement définies</t>
  </si>
  <si>
    <t>Le projet est-il découpé en tâches clairement définies et compréhensibles ?</t>
  </si>
  <si>
    <t>Work Breakdown Structure (WBS), planning de projet</t>
  </si>
  <si>
    <t>Manque de clarté dans les tâches, confusion</t>
  </si>
  <si>
    <t>Retards dans l'exécution, tâches mal attribuées</t>
  </si>
  <si>
    <t>Utiliser un découpage détaillé et structuré du projet pour chaque phase</t>
  </si>
  <si>
    <t>Répartition des tâches entre les équipes</t>
  </si>
  <si>
    <t>Les tâches sont-elles bien réparties et assignées aux bonnes équipes ?</t>
  </si>
  <si>
    <t>Liste des tâches assignées, organigramme des équipes</t>
  </si>
  <si>
    <t>Mauvaise attribution des tâches, surcharge ou sous-charge</t>
  </si>
  <si>
    <t>Inefficacité dans l'exécution, non-respect des délais</t>
  </si>
  <si>
    <t>Veiller à une répartition équilibrée des tâches en fonction des compétences des équipes</t>
  </si>
  <si>
    <t>Suivi du progrès des tâches</t>
  </si>
  <si>
    <t>Le progrès de chaque tâche est-il suivi de manière régulière ?</t>
  </si>
  <si>
    <t>Tableaux de bord de suivi, rapports d'avancement</t>
  </si>
  <si>
    <t>Absence de suivi des tâches, retards non identifiés</t>
  </si>
  <si>
    <t>Retards non anticipés, perte de vue des priorités</t>
  </si>
  <si>
    <t>Mettre en place un suivi régulier et détaillé du progrès de chaque tâche</t>
  </si>
  <si>
    <t>Identification des dépendances entre les tâches</t>
  </si>
  <si>
    <t>Les dépendances entre les tâches sont-elles identifiées et gérées ?</t>
  </si>
  <si>
    <t>Diagramme de Gantt, plan de gestion des dépendances</t>
  </si>
  <si>
    <t>Retards causés par des tâches bloquées ou mal gérées</t>
  </si>
  <si>
    <t>Dérive des délais, impact sur les ressources</t>
  </si>
  <si>
    <t>Utiliser des outils de gestion de dépendances et prévoir des marges de manœuvre</t>
  </si>
  <si>
    <t>Flexibilité dans le découpage des tâches</t>
  </si>
  <si>
    <t>Le découpage des tâches permet-il des ajustements en fonction des imprévus ?</t>
  </si>
  <si>
    <t>Rapports de gestion des risques, historique des modifications</t>
  </si>
  <si>
    <t>Découpage rigide, difficulté à ajuster</t>
  </si>
  <si>
    <t>Difficulté à réagir face aux imprévus, dérapage du projet</t>
  </si>
  <si>
    <t>Prévoir des ajustements possibles dans le découpage des tâches selon l’évolution du projet</t>
  </si>
  <si>
    <t>S’assurer que la méthode repose sur une attribution formelledes responsabilités par tâche</t>
  </si>
  <si>
    <t>Attribution claire des responsabilités</t>
  </si>
  <si>
    <t>Les responsabilités sont-elles clairement attribuées pour chaque tâche ?</t>
  </si>
  <si>
    <t>Matrice RACI, tableau des responsabilités</t>
  </si>
  <si>
    <t>Confusion sur qui est responsable de quoi</t>
  </si>
  <si>
    <t>Mauvaise exécution des tâches, retards</t>
  </si>
  <si>
    <t>Utiliser un modèle RACI ou similaire pour assigner clairement les responsabilités</t>
  </si>
  <si>
    <t>Suivi formel des responsabilités attribuées</t>
  </si>
  <si>
    <t>Les responsabilités sont-elles suivies et mises à jour régulièrement ?</t>
  </si>
  <si>
    <t>Rapports de suivi des responsabilités, compte-rendu des réunions</t>
  </si>
  <si>
    <t>Tâches non suivies, responsabilités oubliées</t>
  </si>
  <si>
    <t>Mauvaise exécution des tâches, non-respect des délais</t>
  </si>
  <si>
    <t>Mettre en place un système de suivi et de mise à jour des responsabilités</t>
  </si>
  <si>
    <t>Clarté sur les attentes pour chaque responsabilité</t>
  </si>
  <si>
    <t>Les attentes et objectifs associés à chaque responsabilité sont-ils clairement définis ?</t>
  </si>
  <si>
    <t>Description des responsabilités, objectifs de performance</t>
  </si>
  <si>
    <t>Manque de précision dans les attentes, désalignement</t>
  </si>
  <si>
    <t>Non-alignement des efforts, déception dans les résultats</t>
  </si>
  <si>
    <t>Définir des objectifs clairs et mesurables pour chaque tâche et responsable</t>
  </si>
  <si>
    <t>Communication des responsabilités aux parties prenantes</t>
  </si>
  <si>
    <t>Les responsabilités sont-elles communiquées à toutes les parties prenantes ?</t>
  </si>
  <si>
    <t>Email de communication, tableau des responsabilités</t>
  </si>
  <si>
    <t>Manque de communication, confusion sur les rôles</t>
  </si>
  <si>
    <t>Malentendus, conflits entre les équipes</t>
  </si>
  <si>
    <t>Assurer une communication formelle des responsabilités à toutes les parties prenantes</t>
  </si>
  <si>
    <t>Évaluation de l'accomplissement des responsabilités</t>
  </si>
  <si>
    <t>L’accomplissement des responsabilités est-il régulièrement évalué ?</t>
  </si>
  <si>
    <t>Rapports de performance, revues d’équipe</t>
  </si>
  <si>
    <t>S’assurer que la méthode repose sur une identification précisedes points de contrôle et des livrables</t>
  </si>
  <si>
    <t>Identification claire des points de contrôle</t>
  </si>
  <si>
    <t>Les points de contrôle du projet sont-ils clairement identifiés ?</t>
  </si>
  <si>
    <t>Plan de projet, calendrier des contrôles, tableau de suivi</t>
  </si>
  <si>
    <t>Manque de contrôle à des étapes clés</t>
  </si>
  <si>
    <t>Dérive du projet, absence de réajustement en temps voulu</t>
  </si>
  <si>
    <t>Identifier les points de contrôle à chaque phase du projet et les documenter clairement</t>
  </si>
  <si>
    <t>Définition des livrables par étape</t>
  </si>
  <si>
    <t>Les livrables attendus sont-ils bien définis pour chaque étape du projet ?</t>
  </si>
  <si>
    <t>Liste des livrables, planning de livraison</t>
  </si>
  <si>
    <t>Ambiguïté sur les livrables, objectifs non atteints</t>
  </si>
  <si>
    <t>Livrables incomplets ou mal définis, retard dans les livraisons</t>
  </si>
  <si>
    <t>Définir clairement les livrables pour chaque phase avec des critères de validation précis</t>
  </si>
  <si>
    <t>Suivi des livrables et des points de contrôle</t>
  </si>
  <si>
    <t>Les livrables et points de contrôle sont-ils suivis régulièrement ?</t>
  </si>
  <si>
    <t>Tableau de suivi des livrables, rapport d’avancement</t>
  </si>
  <si>
    <t>Absence de suivi, retards non détectés</t>
  </si>
  <si>
    <t>Retards, mauvaise gestion des ressources</t>
  </si>
  <si>
    <t>Mettre en place un suivi rigoureux pour chaque point de contrôle et chaque livrable</t>
  </si>
  <si>
    <t>Validation des livrables à chaque étape</t>
  </si>
  <si>
    <t>Les livrables sont-ils validés à chaque étape du projet par les parties prenantes ?</t>
  </si>
  <si>
    <t>Procès-verbaux de validation, rapports de revue</t>
  </si>
  <si>
    <t>Livrables non validés, retour d’informations insuffisant</t>
  </si>
  <si>
    <t>Rework sur les livrables, confusion sur les attentes</t>
  </si>
  <si>
    <t>Organiser des réunions de validation pour chaque livrable avant de passer à l’étape suivante</t>
  </si>
  <si>
    <t>Évaluation des écarts par rapport aux points de contrôle</t>
  </si>
  <si>
    <t>Les écarts par rapport aux points de contrôle sont-ils régulièrement évalués ?</t>
  </si>
  <si>
    <t>Rapports d'audit, rapport d'écart</t>
  </si>
  <si>
    <t>Manque d’identification des écarts, absence de réajustement</t>
  </si>
  <si>
    <t>Dérive des objectifs, mauvaise allocation des ressources</t>
  </si>
  <si>
    <t>Mettre en place des revues périodiques pour évaluer les écarts et réajuster les actions en conséquence</t>
  </si>
  <si>
    <t>S’assurer que la méthode repose sur un reporting des temps àtravers une feuille de temps ;</t>
  </si>
  <si>
    <t>Existence d'une feuille de temps formalisée</t>
  </si>
  <si>
    <t>Une feuille de temps est-elle utilisée pour le suivi des heures travaillées ?</t>
  </si>
  <si>
    <t>Modèle de feuille de temps, rapports de suivi des heures</t>
  </si>
  <si>
    <t>Absence de suivi des temps, perte de contrôle des ressources</t>
  </si>
  <si>
    <t>Non-respect des délais, mauvaise gestion des ressources</t>
  </si>
  <si>
    <t>Mettre en place une feuille de temps standardisée et la rendre obligatoire pour tous les membres</t>
  </si>
  <si>
    <t>Mise à jour régulière de la feuille de temps</t>
  </si>
  <si>
    <t>La feuille de temps est-elle mise à jour régulièrement ?</t>
  </si>
  <si>
    <t>Feuille de temps actualisée, rapports hebdomadaires</t>
  </si>
  <si>
    <t>Temps non enregistré, mauvaise gestion des heures</t>
  </si>
  <si>
    <t>Difficulté à suivre l'avancement, erreurs dans les rapports</t>
  </si>
  <si>
    <t>S'assurer que la mise à jour soit faite quotidiennement ou hebdomadairement</t>
  </si>
  <si>
    <t>Suivi et contrôle des heures saisies</t>
  </si>
  <si>
    <t>Le suivi des heures saisies est-il vérifié et validé ?</t>
  </si>
  <si>
    <t>Rapport de contrôle des heures, processus de validation</t>
  </si>
  <si>
    <t>Heures incorrectement saisies, validation manquante</t>
  </si>
  <si>
    <t>Retards, mauvaise gestion des coûts</t>
  </si>
  <si>
    <t>Implémenter un processus de validation et de contrôle des feuilles de temps</t>
  </si>
  <si>
    <t>Précision et granularité du reporting des temps</t>
  </si>
  <si>
    <t>La feuille de temps permet-elle de détailler les heures par tâche, projet ou activité ?</t>
  </si>
  <si>
    <t>Feuille de temps détaillée, tableau de répartition des tâches</t>
  </si>
  <si>
    <t>Manque de détail dans les heures, confusion dans le suivi</t>
  </si>
  <si>
    <t>Mauvaise attribution des ressources, dérive des coûts</t>
  </si>
  <si>
    <t>Assurer un niveau de détail suffisant pour chaque tâche ou activité</t>
  </si>
  <si>
    <t>Utilisation des données pour l'analyse de performance</t>
  </si>
  <si>
    <t>Les données de la feuille de temps sont-elles utilisées pour analyser la performance ?</t>
  </si>
  <si>
    <t>Rapport d'analyse des heures, tableau de performance</t>
  </si>
  <si>
    <t>Absence d'analyse des données, manque de réactivité</t>
  </si>
  <si>
    <t>Mauvaise planification, sous- ou sur-gestion des ressources</t>
  </si>
  <si>
    <t>Analyser régulièrement les données de la feuille de temps pour ajuster les prévisions et la planification</t>
  </si>
  <si>
    <t xml:space="preserve">S’assurer que la méthode repose sur un outil de planification </t>
  </si>
  <si>
    <t>S’assurer que la méthode repose sur des outils</t>
  </si>
  <si>
    <t>Identification des outils nécessaires</t>
  </si>
  <si>
    <t>Les outils nécessaires à la gestion du projet ont-ils été identifiés ?</t>
  </si>
  <si>
    <t>Liste des outils, outils logiciels utilisés</t>
  </si>
  <si>
    <t>Absence d'outils adaptés, mauvaise gestion du projet</t>
  </si>
  <si>
    <t>Retards dans la réalisation, perte d’efficacité</t>
  </si>
  <si>
    <t>Identifier et sélectionner les outils adaptés au projet et à l'équipe</t>
  </si>
  <si>
    <t>Formation sur les outils utilisés</t>
  </si>
  <si>
    <t>Les équipes ont-elles été formées à l’utilisation des outils ?</t>
  </si>
  <si>
    <t>Rapports de formation, plan de formation</t>
  </si>
  <si>
    <t>Non-maîtrise des outils, inefficacité dans leur utilisation</t>
  </si>
  <si>
    <t>Mauvaise utilisation des outils, erreurs dans le travail</t>
  </si>
  <si>
    <t>Mettre en place des sessions de formation pour les outils dès le début du projet</t>
  </si>
  <si>
    <t>Mise à jour et maintenance des outils</t>
  </si>
  <si>
    <t>Les outils sont-ils régulièrement mis à jour et maintenus ?</t>
  </si>
  <si>
    <t>Plan de maintenance, historique des mises à jour</t>
  </si>
  <si>
    <t>Outils obsolètes, pannes fréquentes</t>
  </si>
  <si>
    <t>Inefficacité, problèmes techniques récurrents</t>
  </si>
  <si>
    <t>Assurer une maintenance régulière et des mises à jour pour les outils utilisés</t>
  </si>
  <si>
    <t>Adaptabilité des outils aux besoins du projet</t>
  </si>
  <si>
    <t>Les outils utilisés sont-ils adaptés aux besoins spécifiques du projet ?</t>
  </si>
  <si>
    <t>Description des besoins du projet, rapport d'évaluation des outils</t>
  </si>
  <si>
    <t>Mauvaise adéquation, perte de productivité</t>
  </si>
  <si>
    <t>Problèmes de gestion, retards dans l'exécution du projet</t>
  </si>
  <si>
    <t>Évaluer régulièrement l’adéquation des outils avec les besoins et ajuster si nécessaire</t>
  </si>
  <si>
    <t>Suivi de l'efficacité des outils</t>
  </si>
  <si>
    <t>L'efficacité des outils est-elle régulièrement mesurée ?</t>
  </si>
  <si>
    <t>Rapport de performance des outils, feedback des utilisateurs</t>
  </si>
  <si>
    <t>Absence d'évaluation, outils sous-performants</t>
  </si>
  <si>
    <t>Non-optimisation des outils, impact sur la gestion du projet</t>
  </si>
  <si>
    <t>Collecter des retours d’expérience réguliers pour évaluer et ajuster l'utilisation des outils</t>
  </si>
  <si>
    <t>S’assurer que les outils de suivi des délais et des coûts sontadaptés</t>
  </si>
  <si>
    <t>Identification des outils de suivi des délais et coûts</t>
  </si>
  <si>
    <t>Les outils de suivi des délais et des coûts ont-ils été correctement identifiés ?</t>
  </si>
  <si>
    <t>Liste des outils de suivi, rapports de sélection des outils</t>
  </si>
  <si>
    <t>Mauvais choix d'outils, inefficacité dans le suivi</t>
  </si>
  <si>
    <t>Dépassement de budget et retard dans le projet</t>
  </si>
  <si>
    <t>Identifier les outils de suivi qui correspondent aux besoins spécifiques du projet</t>
  </si>
  <si>
    <t>Les outils de suivi sont-ils adaptés aux spécificités du projet ?</t>
  </si>
  <si>
    <t>Rapport d'analyse des besoins, description des outils utilisés</t>
  </si>
  <si>
    <t>Outils non adaptés aux spécifications du projet</t>
  </si>
  <si>
    <t>Erreurs dans le suivi, mauvaise gestion des coûts et des délais</t>
  </si>
  <si>
    <t>Évaluer les outils en fonction des spécificités du projet avant leur adoption</t>
  </si>
  <si>
    <t>Suivi en temps réel des coûts et délais</t>
  </si>
  <si>
    <t>Les outils permettent-ils un suivi en temps réel des coûts et des délais ?</t>
  </si>
  <si>
    <t>Capture d’écran des outils, rapports de suivi en temps réel</t>
  </si>
  <si>
    <t>Retards dans la mise à jour, informations obsolètes</t>
  </si>
  <si>
    <t>Décisions basées sur des données inexactes</t>
  </si>
  <si>
    <t>Choisir des outils qui offrent un suivi en temps réel et automatiser les mises à jour</t>
  </si>
  <si>
    <t>Précision des outils de suivi</t>
  </si>
  <si>
    <t>Les outils utilisés offrent-ils une précision suffisante pour suivre les délais et coûts ?</t>
  </si>
  <si>
    <t>Rapport de performance des outils, analyse des données</t>
  </si>
  <si>
    <t>Inexactitude dans le suivi, erreurs dans les prévisions</t>
  </si>
  <si>
    <t>Mauvaise gestion financière et des délais</t>
  </si>
  <si>
    <t>S'assurer que les outils mesurent les données de manière précise et fiable</t>
  </si>
  <si>
    <t>Évaluation de l'efficacité des outils de suivi</t>
  </si>
  <si>
    <t>L'efficacité des outils de suivi est-elle régulièrement évaluée ?</t>
  </si>
  <si>
    <t>Rapport d’évaluation des outils, retours d'expérience</t>
  </si>
  <si>
    <t>Outils inefficaces non réajustés, perte de contrôle</t>
  </si>
  <si>
    <t>Inefficacité dans le suivi, impact sur la performance du projet</t>
  </si>
  <si>
    <t>Réaliser des évaluations périodiques et ajuster les outils en fonction des retours d’expérience</t>
  </si>
  <si>
    <t>S’assurer que le plan général du projet est suffisamment précis</t>
  </si>
  <si>
    <t>Détail des objectifs du projet</t>
  </si>
  <si>
    <t>Les objectifs du projet sont-ils clairement définis et détaillés ?</t>
  </si>
  <si>
    <t>Plan de projet, liste des objectifs détaillés</t>
  </si>
  <si>
    <t>Objectifs flous, manque de clarté</t>
  </si>
  <si>
    <t>Retards, dérive des attentes, confusion dans l'exécution</t>
  </si>
  <si>
    <t>Définir des objectifs SMART, précis et mesurables</t>
  </si>
  <si>
    <t>Description des activités et des tâches</t>
  </si>
  <si>
    <t>Le plan inclut-il une description détaillée des activités et des tâches à accomplir ?</t>
  </si>
  <si>
    <t>Plan de projet, WBS (Work Breakdown Structure)</t>
  </si>
  <si>
    <t>Manque de clarté sur les responsabilités, confusion</t>
  </si>
  <si>
    <t>Mauvaise exécution, retards dans les tâches spécifiques</t>
  </si>
  <si>
    <t>Détaillez chaque activité et tâche, en les associant à des ressources et des délais</t>
  </si>
  <si>
    <t>Planification des ressources</t>
  </si>
  <si>
    <t>Les ressources nécessaires sont-elles clairement planifiées et attribuées ?</t>
  </si>
  <si>
    <t>Plan de ressources, liste des ressources allouées</t>
  </si>
  <si>
    <t>Mauvaise attribution des ressources, non-utilisation optimale</t>
  </si>
  <si>
    <t>Sous-utilisation ou surcharge des ressources</t>
  </si>
  <si>
    <t>Planifier les ressources par tâche et ajuster selon la disponibilité</t>
  </si>
  <si>
    <t>Identification des risques et des obstacles</t>
  </si>
  <si>
    <t>Le plan identifie-t-il les risques et obstacles potentiels ?</t>
  </si>
  <si>
    <t>Analyse des risques, plan de gestion des risques</t>
  </si>
  <si>
    <t>Risques non identifiés, impact non anticipé</t>
  </si>
  <si>
    <t>Problèmes imprévus, dépassement de budget ou délais</t>
  </si>
  <si>
    <t>Intégrer une analyse des risques dans la planification et prévoir des plans de contingence</t>
  </si>
  <si>
    <t>Échéancier détaillé et réaliste</t>
  </si>
  <si>
    <t>L’échéancier du projet est-il détaillé et réaliste ?</t>
  </si>
  <si>
    <t>Diagramme de Gantt, calendrier détaillé</t>
  </si>
  <si>
    <t>Retards ou mauvaise gestion du temps</t>
  </si>
  <si>
    <t>Non-respect des délais, dérive des coûts</t>
  </si>
  <si>
    <t>Créer un échéancier réaliste avec des marges de manœuvre et le suivre régulièrement</t>
  </si>
  <si>
    <t xml:space="preserve">S’assurer que les tâches identifiées constituent des unitésgérables </t>
  </si>
  <si>
    <t>Clarté des tâches définies</t>
  </si>
  <si>
    <t>Les tâches sont-elles définies de manière claire et précise ?</t>
  </si>
  <si>
    <t>Liste des tâches, plan de projet</t>
  </si>
  <si>
    <t>Tâches floues, ambiguïté dans les responsabilités</t>
  </si>
  <si>
    <t>Manque de direction, confusion dans l'exécution des tâches</t>
  </si>
  <si>
    <t>Définir chaque tâche avec des objectifs spécifiques et mesurables</t>
  </si>
  <si>
    <t>Découpage des tâches en sous-tâches gérables</t>
  </si>
  <si>
    <t>Les tâches sont-elles découpées en sous-tâches suffisamment petites et gérables ?</t>
  </si>
  <si>
    <t>WBS (Work Breakdown Structure), plan de découpage des tâches</t>
  </si>
  <si>
    <t>Sous-tâches trop larges, surcharge de travail</t>
  </si>
  <si>
    <t>Difficulté à suivre l’avancement, risques de dépassement</t>
  </si>
  <si>
    <t>Décomposer les tâches complexes en sous-tâches plus petites et mesurables</t>
  </si>
  <si>
    <t>Assignation des responsabilités pour chaque tâche</t>
  </si>
  <si>
    <t>Chaque tâche a-t-elle une personne responsable clairement définie ?</t>
  </si>
  <si>
    <t>Plan de ressources, liste des responsabilités</t>
  </si>
  <si>
    <t>Manque de responsabilité, tâches non réalisées</t>
  </si>
  <si>
    <t>Tâches non effectuées ou mal exécutées</t>
  </si>
  <si>
    <t>Assigner clairement des responsables à chaque tâche avec des objectifs clairs</t>
  </si>
  <si>
    <t>Estimation du temps pour chaque tâche</t>
  </si>
  <si>
    <t>Le temps nécessaire pour chaque tâche a-t-il été estimé de manière réaliste ?</t>
  </si>
  <si>
    <t>Estimations des temps, calendrier des tâches</t>
  </si>
  <si>
    <t>Estimations erronées, mauvaises prévisions des délais</t>
  </si>
  <si>
    <t>Retards dans l'exécution des tâches, mauvaise gestion du temps</t>
  </si>
  <si>
    <t>Réaliser des estimations réalistes basées sur des expériences passées et des données concrètes</t>
  </si>
  <si>
    <t>Suivi de l'avancement des tâches</t>
  </si>
  <si>
    <t>Un mécanisme de suivi de l’avancement de chaque tâche a-t-il été mis en place ?</t>
  </si>
  <si>
    <t>Rapport de suivi, outils de gestion de projet</t>
  </si>
  <si>
    <t>Manque de suivi, tâches laissées en suspens</t>
  </si>
  <si>
    <t>Déviation du plan, tâches non terminées dans les délais</t>
  </si>
  <si>
    <t>Utiliser des outils de suivi de projet (comme les diagrammes de Gantt) pour suivre l’avancement</t>
  </si>
  <si>
    <t>S’assurer que les tâches identifiées constituent des unitésgérables</t>
  </si>
  <si>
    <t>Définir chaque tâche de manière précise et spécifique, avec des critères mesurables</t>
  </si>
  <si>
    <t>Work Breakdown Structure (WBS), plan de découpage des tâches</t>
  </si>
  <si>
    <t>Sous-tâches trop larges ou trop petites, surcharge de travail</t>
  </si>
  <si>
    <t>Difficulté à suivre l’avancement, surcharge des ressources</t>
  </si>
  <si>
    <t>Découper les tâches complexes en sous-tâches gérables avec des objectifs clairs</t>
  </si>
  <si>
    <t>Plan de ressources, tableau des responsabilités</t>
  </si>
  <si>
    <t>Absence de responsable désigné, manque de clarté sur qui fait quoi</t>
  </si>
  <si>
    <t>Retards, tâches non effectuées ou mal exécutées</t>
  </si>
  <si>
    <t>Attribuer explicitement des responsables pour chaque tâche, avec des échéances précises</t>
  </si>
  <si>
    <t>Estimations irréalistes, mauvaise gestion du temps</t>
  </si>
  <si>
    <t>Dépassement de délais, erreurs dans la gestion des ressources</t>
  </si>
  <si>
    <t>Réaliser des estimations de temps réalistes basées sur des expériences passées</t>
  </si>
  <si>
    <t>Absence de suivi des tâches, manque de visibilité sur l’avancement</t>
  </si>
  <si>
    <t>Déviation du plan, non-achèvement des tâches dans les délais</t>
  </si>
  <si>
    <t>Mettre en place un système de suivi régulier (par exemple, diagramme de Gantt) pour évaluer l’avancement</t>
  </si>
  <si>
    <t>Qualité</t>
  </si>
  <si>
    <t>S’assurer qu’il existe un dispositif d'assurance qualitédocumenté</t>
  </si>
  <si>
    <t>Existence d'un plan d'assurance qualité</t>
  </si>
  <si>
    <t>Un plan d'assurance qualité a-t-il été élaboré et documenté ?</t>
  </si>
  <si>
    <t>Plan d’assurance qualité, procédures qualité</t>
  </si>
  <si>
    <t>Absence de plan formalisé, risques non maîtrisés</t>
  </si>
  <si>
    <t>Baisse de la qualité des livrables, non-conformité</t>
  </si>
  <si>
    <t>Rédiger et formaliser un plan d’assurance qualité, avec des objectifs clairs et mesurables</t>
  </si>
  <si>
    <t>Définition des critères de qualité</t>
  </si>
  <si>
    <t>Les critères de qualité ont-ils été clairement définis et documentés ?</t>
  </si>
  <si>
    <t>Liste des critères de qualité, normes qualité</t>
  </si>
  <si>
    <t>Critères flous ou absents, mauvaise évaluation des livrables</t>
  </si>
  <si>
    <t>Livrables non conformes, insatisfaction des parties prenantes</t>
  </si>
  <si>
    <t>Définir précisément des critères de qualité mesurables pour chaque livrable</t>
  </si>
  <si>
    <t>Procédures de contrôle qualité</t>
  </si>
  <si>
    <t>Les procédures de contrôle qualité sont-elles définies et documentées ?</t>
  </si>
  <si>
    <t>Procédures de contrôle qualité, fiches de vérification</t>
  </si>
  <si>
    <t>Manque de rigueur dans le contrôle qualité</t>
  </si>
  <si>
    <t>Produits ou services non conformes, révisions coûteuses</t>
  </si>
  <si>
    <t>Mettre en place des procédures rigoureuses et détaillées pour chaque étape du projet</t>
  </si>
  <si>
    <t>Ressources allouées à l'assurance qualité</t>
  </si>
  <si>
    <t>Des ressources sont-elles allouées spécifiquement à l’assurance qualité ?</t>
  </si>
  <si>
    <t>Plan de ressources, description des responsables qualité</t>
  </si>
  <si>
    <t>Absence de ressources dédiées, contrôle insuffisant</t>
  </si>
  <si>
    <t>Retards dans la validation des livrables, échec des tests</t>
  </si>
  <si>
    <t>Allouer des ressources humaines et techniques spécifiquement pour l’assurance qualité</t>
  </si>
  <si>
    <t>Suivi et audits de qualité réguliers</t>
  </si>
  <si>
    <t>Des audits ou suivis de la qualité sont-ils réalisés régulièrement ?</t>
  </si>
  <si>
    <t>Rapports d’audit qualité, rapports de suivi</t>
  </si>
  <si>
    <t>Audits non réalisés, absence de contrôle de la qualité</t>
  </si>
  <si>
    <t>Non-détection de défauts, risques accrus de non-conformité</t>
  </si>
  <si>
    <t>Mettre en place un calendrier d’audits et de suivis réguliers de la qualité</t>
  </si>
  <si>
    <t>S’assurer qu’il existe un manuel d'assurance qualité de l'entité ;</t>
  </si>
  <si>
    <t>Existence d'un manuel d'assurance qualité</t>
  </si>
  <si>
    <t>Existe-t-il un manuel d’assurance qualité formalisé et documenté au sein de l’entité ?</t>
  </si>
  <si>
    <t>Manuel d'assurance qualité, procédures internes</t>
  </si>
  <si>
    <t>Absence de manuel, risque de non-conformité</t>
  </si>
  <si>
    <t>Non-respect des standards de qualité, mauvaise réputation</t>
  </si>
  <si>
    <t>Rédiger et mettre en place un manuel d’assurance qualité spécifique à l’entité</t>
  </si>
  <si>
    <t>Accessibilité du manuel d'assurance qualité</t>
  </si>
  <si>
    <t>Le manuel d’assurance qualité est-il accessible à toutes les parties prenantes ?</t>
  </si>
  <si>
    <t>Accès au manuel, procédure d’accès</t>
  </si>
  <si>
    <t>Manque d’accès aux informations, confusion des équipes</t>
  </si>
  <si>
    <t>Retards dans l’application des normes de qualité</t>
  </si>
  <si>
    <t>Assurer un accès facile et clair au manuel pour tous les employés et parties prenantes</t>
  </si>
  <si>
    <t>Couverture des normes et processus</t>
  </si>
  <si>
    <t>Le manuel couvre-t-il l’ensemble des normes et processus qualité de l’entité ?</t>
  </si>
  <si>
    <t>Manuel d'assurance qualité, liste des normes et processus</t>
  </si>
  <si>
    <t>Normes incomplètes ou obsolètes</t>
  </si>
  <si>
    <t>Non-conformité aux normes, erreurs dans les livrables</t>
  </si>
  <si>
    <t>Mettre à jour régulièrement le manuel pour qu’il reflète les dernières normes en vigueur</t>
  </si>
  <si>
    <t>Clarté des procédures décrites dans le manuel</t>
  </si>
  <si>
    <t>Les procédures d'assurance qualité sont-elles décrites de manière claire et détaillée ?</t>
  </si>
  <si>
    <t>Manuel d'assurance qualité, guides de procédure</t>
  </si>
  <si>
    <t>Ambiguïté dans les processus, non-application correcte</t>
  </si>
  <si>
    <t>Défauts dans les produits/services, mauvaise exécution</t>
  </si>
  <si>
    <t>Rédiger des procédures claires, simples et détaillées pour chaque processus clé</t>
  </si>
  <si>
    <t>Suivi et mise à jour du manuel</t>
  </si>
  <si>
    <t>Le manuel d’assurance qualité est-il régulièrement mis à jour pour refléter les évolutions ?</t>
  </si>
  <si>
    <t>Rapports de mise à jour, calendrier de révision</t>
  </si>
  <si>
    <t>Manuel obsolète, non-adaptation aux évolutions</t>
  </si>
  <si>
    <t>Application de processus obsolètes, non-conformité aux nouveaux standards</t>
  </si>
  <si>
    <t>Mettre en place un processus de mise à jour régulière du manuel d’assurance qualité</t>
  </si>
  <si>
    <t>S’assurer qu’il existe un plan d'assurance qualité du projet</t>
  </si>
  <si>
    <t>Existence du plan d'assurance qualité du projet</t>
  </si>
  <si>
    <t>Existe-t-il un plan d'assurance qualité formalisé pour ce projet ?</t>
  </si>
  <si>
    <t>Plan d’assurance qualité du projet</t>
  </si>
  <si>
    <t>Absence de plan formalisé, risques mal maîtrisés</t>
  </si>
  <si>
    <t>Non-conformité aux exigences qualité, mauvaise exécution</t>
  </si>
  <si>
    <t>Rédiger et formaliser un plan d’assurance qualité spécifique au projet</t>
  </si>
  <si>
    <t>Identification des critères de qualité dans le plan</t>
  </si>
  <si>
    <t>Le plan identifie-t-il les critères de qualité spécifiques au projet ?</t>
  </si>
  <si>
    <t>Plan d'assurance qualité, liste des critères de qualité</t>
  </si>
  <si>
    <t>Critères de qualité non définis ou mal identifiés</t>
  </si>
  <si>
    <t>Non-respect des critères de qualité, erreurs dans les livrables</t>
  </si>
  <si>
    <t>Définir des critères précis et mesurables adaptés au projet</t>
  </si>
  <si>
    <t>Méthodes et outils d'assurance qualité définis</t>
  </si>
  <si>
    <t>Le plan précise-t-il les méthodes et outils qui seront utilisés pour assurer la qualité ?</t>
  </si>
  <si>
    <t>Plan d’assurance qualité, outils et méthodes définis</t>
  </si>
  <si>
    <t>Manque de méthodes et d'outils adaptés, contrôles insuffisants</t>
  </si>
  <si>
    <t>Défauts dans les produits/services, risque de non-conformité</t>
  </si>
  <si>
    <t>Sélectionner des outils et méthodes éprouvés pour assurer la qualité tout au long du projet</t>
  </si>
  <si>
    <t>Suivi et contrôle qualité dans le plan</t>
  </si>
  <si>
    <t>Le plan prévoit-il un suivi et un contrôle qualité tout au long du projet ?</t>
  </si>
  <si>
    <t>Plan d’assurance qualité, rapport de contrôle qualité</t>
  </si>
  <si>
    <t>Absence de suivi, contrôle qualité négligé</t>
  </si>
  <si>
    <t>Non-détection des défauts, dérive du projet</t>
  </si>
  <si>
    <t>Mettre en place des mécanismes de suivi et des audits qualité réguliers</t>
  </si>
  <si>
    <t>Responsabilités et ressources allouées à l'assurance qualité</t>
  </si>
  <si>
    <t>Le plan définit-il clairement les responsabilités et les ressources pour l'assurance qualité ?</t>
  </si>
  <si>
    <t>Plan de projet, description des ressources et responsabilités</t>
  </si>
  <si>
    <t>Absence de responsables ou ressources insuffisantes</t>
  </si>
  <si>
    <t>Retards dans la validation des livrables, mauvaise gestion de la qualité</t>
  </si>
  <si>
    <t>Assigner clairement des ressources humaines et matérielles pour l’assurance qualité</t>
  </si>
  <si>
    <t>S’assurer que les objectifs de qualité du produit sontformalisés ;</t>
  </si>
  <si>
    <t>Formulation des objectifs de qualité du produit</t>
  </si>
  <si>
    <t>Les objectifs de qualité du produit sont-ils clairement formulés ?</t>
  </si>
  <si>
    <t>Liste des objectifs de qualité, plan qualité</t>
  </si>
  <si>
    <t>Objectifs flous ou non définis, confusion dans les attentes</t>
  </si>
  <si>
    <t>Non-conformité, produits non adaptés aux besoins</t>
  </si>
  <si>
    <t>Définir des objectifs de qualité clairs, précis et mesurables pour le produit</t>
  </si>
  <si>
    <t>Alignement avec les exigences du client</t>
  </si>
  <si>
    <t>Les objectifs de qualité sont-ils alignés avec les exigences du client ?</t>
  </si>
  <si>
    <t>Exigences client, cahier des charges, objectifs qualité</t>
  </si>
  <si>
    <t>Objectifs non alignés, déviation par rapport aux attentes</t>
  </si>
  <si>
    <t>Insatisfaction du client, non-conformité</t>
  </si>
  <si>
    <t>Assurer une correspondance claire entre les objectifs de qualité et les attentes du client</t>
  </si>
  <si>
    <t>Mesurabilité des objectifs de qualité</t>
  </si>
  <si>
    <t>Les objectifs de qualité sont-ils mesurables et vérifiables ?</t>
  </si>
  <si>
    <t>Indicateurs de performance, critères de mesure des objectifs</t>
  </si>
  <si>
    <t>Manque de critères de mesure, impossibilité de valider la qualité</t>
  </si>
  <si>
    <t>Difficulté à évaluer la qualité, incertitude dans le produit final</t>
  </si>
  <si>
    <t>Établir des indicateurs clairs pour mesurer et vérifier la qualité du produit</t>
  </si>
  <si>
    <t>Définition des critères d'acceptation</t>
  </si>
  <si>
    <t>Les critères d'acceptation pour chaque objectif de qualité sont-ils définis ?</t>
  </si>
  <si>
    <t>Critères d'acceptation, guide d’acceptation produit</t>
  </si>
  <si>
    <t>Absence de critères d'acceptation, produits non validés</t>
  </si>
  <si>
    <t>Produits rejetés, retards dans la livraison</t>
  </si>
  <si>
    <t>Définir précisément les critères d'acceptation pour chaque objectif de qualité</t>
  </si>
  <si>
    <t>Suivi de l'atteinte des objectifs de qualité</t>
  </si>
  <si>
    <t>Le plan de projet prévoit-il un suivi de l'atteinte des objectifs de qualité ?</t>
  </si>
  <si>
    <t>Plan de suivi qualité, rapports de contrôle</t>
  </si>
  <si>
    <t>Suivi insuffisant, non-détection des écarts de qualité</t>
  </si>
  <si>
    <t>Non-conformité détectée trop tard, impact sur la production</t>
  </si>
  <si>
    <t>Mettre en place des mécanismes de suivi réguliers pour vérifier l'atteinte des objectifs</t>
  </si>
  <si>
    <t>S’assurer que les objectifs de qualité de service attendu sontformalisés</t>
  </si>
  <si>
    <t>Formulation des objectifs de qualité de service</t>
  </si>
  <si>
    <t>Les objectifs de qualité de service sont-ils clairement formulés ?</t>
  </si>
  <si>
    <t>Liste des objectifs de qualité de service, plan qualité</t>
  </si>
  <si>
    <t>Objectifs flous ou mal définis, mauvaise gestion des attentes</t>
  </si>
  <si>
    <t>Non-conformité, insatisfaction des utilisateurs</t>
  </si>
  <si>
    <t>Définir des objectifs de qualité de service clairs, mesurables et compréhensibles</t>
  </si>
  <si>
    <t>Alignement avec les besoins des utilisateurs</t>
  </si>
  <si>
    <t>Les objectifs de qualité de service sont-ils alignés avec les besoins des utilisateurs ?</t>
  </si>
  <si>
    <t>Cahier des charges, retours des utilisateurs, études de marché</t>
  </si>
  <si>
    <t>Objectifs non alignés, divergence entre services offerts et attentes</t>
  </si>
  <si>
    <t>Insatisfaction des utilisateurs, faible adoption du service</t>
  </si>
  <si>
    <t>Recueillir et intégrer les besoins des utilisateurs pour formuler des objectifs adaptés</t>
  </si>
  <si>
    <t>Mesurabilité des objectifs de qualité de service</t>
  </si>
  <si>
    <t>Les objectifs de qualité de service sont-ils mesurables et vérifiables ?</t>
  </si>
  <si>
    <t>Manque d'indicateurs clairs, incapacité à vérifier la qualité</t>
  </si>
  <si>
    <t>Difficulté à évaluer la qualité du service, retard dans les actions correctives</t>
  </si>
  <si>
    <t>Utiliser des indicateurs spécifiques et mesurables pour évaluer la qualité du service</t>
  </si>
  <si>
    <t>Critères d'acceptation définis</t>
  </si>
  <si>
    <t>Des critères d'acceptation pour chaque objectif de qualité de service sont-ils définis ?</t>
  </si>
  <si>
    <t>Critères d'acceptation, guide de validation des services</t>
  </si>
  <si>
    <t>Absence de critères d'acceptation, difficulté à valider les services</t>
  </si>
  <si>
    <t>Refus des services, non-adoption par les utilisateurs</t>
  </si>
  <si>
    <t>Définir des critères d'acceptation clairs pour valider la qualité du service</t>
  </si>
  <si>
    <t>Suivi et évaluation continue des objectifs</t>
  </si>
  <si>
    <t>Un mécanisme de suivi et d'évaluation des objectifs de qualité de service est-il en place ?</t>
  </si>
  <si>
    <t>Plan de suivi, rapports d’évaluation des services</t>
  </si>
  <si>
    <t>Absence de suivi régulier, déviation des objectifs non détectée</t>
  </si>
  <si>
    <t>Dérives non détectées, mauvaise réactivité aux problèmes</t>
  </si>
  <si>
    <t>Mettre en place un suivi continu de la qualité du service, avec des évaluations régulières</t>
  </si>
  <si>
    <t>S’assurer que le groupe assurance qualité est indépendant deséquipes de développement du projet</t>
  </si>
  <si>
    <t>Indépendance du groupe assurance qualité</t>
  </si>
  <si>
    <t>Le groupe d'assurance qualité est-il séparé des équipes de développement ?</t>
  </si>
  <si>
    <t>Organigramme du projet, rapport d'organisation des équipes</t>
  </si>
  <si>
    <t>Risque de conflits d'intérêts, biais dans les évaluations</t>
  </si>
  <si>
    <t>Risque de détection de défauts biaisée, mauvaise qualité</t>
  </si>
  <si>
    <t>Assurer une séparation claire des équipes d’assurance qualité et de développement</t>
  </si>
  <si>
    <t>Autonomie du groupe assurance qualité</t>
  </si>
  <si>
    <t>Le groupe d'assurance qualité dispose-t-il de l'autonomie nécessaire pour ses évaluations ?</t>
  </si>
  <si>
    <t>Rapport de suivi qualité, validation des résultats qualité</t>
  </si>
  <si>
    <t>Dépendance excessive aux équipes de développement, manque de rigueur</t>
  </si>
  <si>
    <t>Non-détection de défauts, faiblesse du contrôle qualité</t>
  </si>
  <si>
    <t>Donner au groupe qualité des moyens et pouvoirs d’action indépendants</t>
  </si>
  <si>
    <t>Communication séparée entre assurance qualité et développement</t>
  </si>
  <si>
    <t>Les échanges entre le groupe assurance qualité et les équipes de développement sont-ils régulés ?</t>
  </si>
  <si>
    <t>Registre des communications, plan de gestion des échanges</t>
  </si>
  <si>
    <t>Informations biaisées ou incomplètes entre les équipes</t>
  </si>
  <si>
    <t>Confusion sur la qualité, retard dans la détection des problèmes</t>
  </si>
  <si>
    <t>Définir des protocoles de communication clairs et distincts entre les équipes</t>
  </si>
  <si>
    <t>Processus d'évaluation de la qualité impartial</t>
  </si>
  <si>
    <t>Les évaluations de la qualité sont-elles réalisées sans influence des équipes de développement ?</t>
  </si>
  <si>
    <t>Rapports d'audits, évaluations externes</t>
  </si>
  <si>
    <t>Manque d'impartialité, évaluations influencées par les équipes de développement</t>
  </si>
  <si>
    <t>Evaluation faussée, non-détection des défauts</t>
  </si>
  <si>
    <t>Assurer que les audits et évaluations qualité sont réalisés de manière objective et indépendante</t>
  </si>
  <si>
    <t>Mise en place de contrôles croisés</t>
  </si>
  <si>
    <t>Des contrôles croisés sont-ils effectués entre le groupe assurance qualité et les autres entités ?</t>
  </si>
  <si>
    <t>Rapports de contrôle croisé, revue de la qualité</t>
  </si>
  <si>
    <t>Absence de validation externe, risque de non-conformité</t>
  </si>
  <si>
    <t>Défauts non détectés, manque de rigueur dans l’assurance qualité</t>
  </si>
  <si>
    <t>Organiser des contrôles croisés entre différentes parties prenantes externes à l’équipe de développement</t>
  </si>
  <si>
    <t>S’assurer qu’une procédure de suivi des revues d'assurancequalité est formalisée</t>
  </si>
  <si>
    <t>Existence d'une procédure de suivi des revues d'assurance qualité</t>
  </si>
  <si>
    <t>Existe-t-il une procédure documentée pour suivre les revues d'assurance qualité ?</t>
  </si>
  <si>
    <t>Procédure de suivi qualité, rapport de revue</t>
  </si>
  <si>
    <t>Absence de procédure formelle, manque de structure</t>
  </si>
  <si>
    <t>Non-conformité dans la gestion de la qualité, erreurs répétées</t>
  </si>
  <si>
    <t>Formaliser et documenter une procédure de suivi des revues qualité</t>
  </si>
  <si>
    <t>Clarté des étapes de la procédure de suivi</t>
  </si>
  <si>
    <t>Les étapes de la procédure de suivi des revues d'assurance qualité sont-elles clairement définies ?</t>
  </si>
  <si>
    <t>Plan de suivi qualité, schéma des étapes de la procédure</t>
  </si>
  <si>
    <t>Étapes floues, absence de traçabilité des actions</t>
  </si>
  <si>
    <t>Suivi incomplet, non-détection des erreurs ou dérives</t>
  </si>
  <si>
    <t>Définir des étapes claires et détaillées pour le suivi des revues qualité</t>
  </si>
  <si>
    <t>Mécanismes de validation des résultats des revues qualité</t>
  </si>
  <si>
    <t>La procédure prévoit-elle des mécanismes pour valider les résultats des revues d'assurance qualité ?</t>
  </si>
  <si>
    <t>Rapport de validation, retour des équipes de qualité</t>
  </si>
  <si>
    <t>Validation non structurée, résultats biaisés</t>
  </si>
  <si>
    <t>Mauvaise interprétation des résultats, défaut de suivi des actions correctives</t>
  </si>
  <si>
    <t>Mettre en place un système de validation des résultats des revues qualité</t>
  </si>
  <si>
    <t>Suivi de la mise en œuvre des actions correctives</t>
  </si>
  <si>
    <t>La procédure inclut-elle un suivi des actions correctives issues des revues qualité ?</t>
  </si>
  <si>
    <t>Rapport sur les actions correctives, plan de mise en œuvre</t>
  </si>
  <si>
    <t>Absence de suivi, actions correctives non implémentées</t>
  </si>
  <si>
    <t>Défauts récurrents, retard dans la résolution des problèmes</t>
  </si>
  <si>
    <t>Assurer un suivi rigoureux de la mise en œuvre des actions correctives</t>
  </si>
  <si>
    <t>Responsabilités et ressources allouées pour le suivi des revues qualité</t>
  </si>
  <si>
    <t>Les responsabilités et ressources pour suivre les revues qualité sont-elles clairement définies ?</t>
  </si>
  <si>
    <t>Description des responsabilités, affectation des ressources</t>
  </si>
  <si>
    <t>Manque de ressources ou de responsabilités définies</t>
  </si>
  <si>
    <t>Non-suivi des revues qualité, responsabilité floue</t>
  </si>
  <si>
    <t>Définir clairement les responsabilités et allouer les ressources nécessaires au suivi des revues qualité</t>
  </si>
  <si>
    <t>S’assurer que les conclusions des revues d'assurance qualitésont prises en compte par l'équipe projet</t>
  </si>
  <si>
    <t>Prise en compte des conclusions par l’équipe projet</t>
  </si>
  <si>
    <t>Les conclusions des revues d'assurance qualité sont-elles intégrées dans le travail de l’équipe projet ?</t>
  </si>
  <si>
    <t>Compte-rendu des revues qualité, plan d’action suite aux revues</t>
  </si>
  <si>
    <t>Conclusions ignorées ou mal interprétées, manque d'engagement</t>
  </si>
  <si>
    <t>Non-amélioration du produit, retard dans le projet</t>
  </si>
  <si>
    <t>S’assurer que chaque conclusion des revues qualité est clairement assignée à des actions concrètes dans le projet</t>
  </si>
  <si>
    <t>Suivi des actions proposées dans les revues qualité</t>
  </si>
  <si>
    <t>Un mécanisme de suivi des actions proposées lors des revues qualité est-il mis en place ?</t>
  </si>
  <si>
    <t>Plan de suivi des actions, tableau de bord des actions correctives</t>
  </si>
  <si>
    <t>Absence de suivi, actions correctives non réalisées</t>
  </si>
  <si>
    <t>Répétition des erreurs, qualité non améliorée</t>
  </si>
  <si>
    <t>Mettre en place un suivi rigoureux des actions recommandées après chaque revue qualité</t>
  </si>
  <si>
    <t>Engagement de l’équipe projet pour appliquer les conclusions</t>
  </si>
  <si>
    <t>L’équipe projet est-elle engagée à appliquer les conclusions des revues qualité ?</t>
  </si>
  <si>
    <t>Comités de pilotage, mails de validation, rapports de mise en œuvre</t>
  </si>
  <si>
    <t>Manque d'engagement ou de motivation dans l’équipe projet</t>
  </si>
  <si>
    <t>Résistance au changement, mauvaises pratiques persistantes</t>
  </si>
  <si>
    <t>Assurer l’implication active de l’équipe dans l'application des recommandations de qualité</t>
  </si>
  <si>
    <t>Validation de la mise en œuvre des conclusions</t>
  </si>
  <si>
    <t>Les actions résultant des revues d'assurance qualité sont-elles validées après leur mise en œuvre ?</t>
  </si>
  <si>
    <t>Rapport de validation, retour de l’équipe sur l’implémentation</t>
  </si>
  <si>
    <t>Absence de validation, actions non conformes</t>
  </si>
  <si>
    <t>Incohérences dans les livrables, non-respect des normes de qualité</t>
  </si>
  <si>
    <t>Mettre en place des mécanismes de validation après mise en œuvre des actions de qualité</t>
  </si>
  <si>
    <t>Communication des conclusions aux parties prenantes</t>
  </si>
  <si>
    <t>Les conclusions des revues qualité sont-elles communiquées aux parties prenantes du projet ?</t>
  </si>
  <si>
    <t>Compte-rendu des réunions, rapports de suivi, plateforme collaborative</t>
  </si>
  <si>
    <t>Manque de transparence, mauvaise communication entre les parties</t>
  </si>
  <si>
    <t>Désalignement des parties prenantes, malentendus sur les priorités</t>
  </si>
  <si>
    <t>Assurer une communication transparente des conclusions et des actions à prendre par toutes les parties prenantes</t>
  </si>
  <si>
    <t>S’assurer qu’il existe un circuit d'approbation des livrables</t>
  </si>
  <si>
    <t>Existence d’un circuit d’approbation formalisé</t>
  </si>
  <si>
    <t>Un circuit d'approbation formalisé existe-t-il pour tous les livrables du projet ?</t>
  </si>
  <si>
    <t>Schéma de circuit d’approbation, plan de gestion des livrables</t>
  </si>
  <si>
    <t>Absence de procédure d’approbation, confusion sur les responsabilités</t>
  </si>
  <si>
    <t>Livrables non validés, risques d'erreurs ou de non-conformité</t>
  </si>
  <si>
    <t>Formaliser et documenter un circuit d'approbation clair et structuré</t>
  </si>
  <si>
    <t>Clarification des rôles dans l’approbation</t>
  </si>
  <si>
    <t>Les rôles et responsabilités dans le circuit d’approbation des livrables sont-ils clairement définis ?</t>
  </si>
  <si>
    <t>Organigramme, description des rôles d’approbation</t>
  </si>
  <si>
    <t>Rôles mal définis, ambiguïté dans les responsabilités</t>
  </si>
  <si>
    <t>Retards dans l’approbation, erreurs d’assignation</t>
  </si>
  <si>
    <t>Définir précisément les rôles et responsabilités des acteurs</t>
  </si>
  <si>
    <t>Délai d’approbation des livrables</t>
  </si>
  <si>
    <t>Les délais d’approbation des livrables sont-ils clairement établis ?</t>
  </si>
  <si>
    <t>Plan de délais d’approbation, calendrier de validation</t>
  </si>
  <si>
    <t>Retards d’approbation, impact sur le planning général</t>
  </si>
  <si>
    <t>Retards dans les phases suivantes, non-respect des délais</t>
  </si>
  <si>
    <t>Fixer des délais clairs pour chaque étape d’approbation</t>
  </si>
  <si>
    <t>Mécanismes de révision après l’approbation</t>
  </si>
  <si>
    <t>Existe-t-il un mécanisme de révision pour les livrables non conformes après l’approbation ?</t>
  </si>
  <si>
    <t>Procédure de révision, rapports de non-conformité</t>
  </si>
  <si>
    <t>Livrables non conformes validés sans révision</t>
  </si>
  <si>
    <t>Qualité des livrables compromise, risques de non-conformité</t>
  </si>
  <si>
    <t>Mettre en place un processus de révision pour les livrables non conformes</t>
  </si>
  <si>
    <t>Suivi de l’approbation et de la conformité</t>
  </si>
  <si>
    <t>Un mécanisme de suivi est-il en place pour vérifier que tous les livrables sont conformes après approbation ?</t>
  </si>
  <si>
    <t>Tableau de suivi des livrables, rapports de conformité</t>
  </si>
  <si>
    <t>Absence de suivi, livraison de livrables non conformes</t>
  </si>
  <si>
    <t>Livraison de produits non conformes, désalignement avec les attentes</t>
  </si>
  <si>
    <t>Mettre en place un suivi rigoureux de la conformité des livrables après approbation</t>
  </si>
  <si>
    <t xml:space="preserve">S’assurer que ce circuit d'approbation est pertinent </t>
  </si>
  <si>
    <t>S’assurer qu’il existe un audit de la qualité du projet par unepersonne extérieure</t>
  </si>
  <si>
    <t>Conception générale et analyse</t>
  </si>
  <si>
    <t>S’assurer qu’il existe une analyse des différents scénariospossibles en termes de solution retenue</t>
  </si>
  <si>
    <t>S’assurer que tous les scénarios ont été envisagés, même celuide ne rien faire</t>
  </si>
  <si>
    <t xml:space="preserve">S’assurer que les contraintes liées aux technologies (besoins enmatériels, en formation, en RH, contraintes juridiques, faisabilité opérationnelle, …) ont été prises en compte </t>
  </si>
  <si>
    <t xml:space="preserve">S’assurer qu’une analyse économique (bénéfices attendus,coûts de développement, de formation, de maintenance, …) a été intégrée au choix de la solution </t>
  </si>
  <si>
    <t>S’assurer qu’une analyse des risques a été mise en place pourchaque alternative ;</t>
  </si>
  <si>
    <t>S’assurer que le choix de la solution a été fait en touteobjectivité en se basant sur des critères d'évaluation pertinents</t>
  </si>
  <si>
    <t>S’assurer que les aspects de contrôle interne et de sécurité ontété pris en compte dans le cahier des charges</t>
  </si>
  <si>
    <t>S’assurer que les contrôles d'exploitation ont été identifiés</t>
  </si>
  <si>
    <t>S’assurer que la conception générale du futur système s'inscritdans les objectifs généraux de contrôle en vigueur, dans l'environnement</t>
  </si>
  <si>
    <t>S’assurer que les besoins spécifiques en matière de contrôlesont été pris en considération</t>
  </si>
  <si>
    <t>Conception détaillée</t>
  </si>
  <si>
    <t xml:space="preserve">S’assurer qu’il existe une méthode d'analyse et de conception </t>
  </si>
  <si>
    <t xml:space="preserve">S’assurer que cette méthode est correctement utilisée </t>
  </si>
  <si>
    <t xml:space="preserve">S’assurer que cette méthode est maîtrisée par l'équipe projet </t>
  </si>
  <si>
    <t xml:space="preserve">S’assurer que les spécifications détaillées sont exhaustives parrapport au cahier des charges </t>
  </si>
  <si>
    <t>S’assurer qu’il existe des contrôles adaptés à chaque pointcritique du système (préventifs et correctifs)</t>
  </si>
  <si>
    <t xml:space="preserve">S’assurer que le responsable de la sécurité est impliqué dans leprojet </t>
  </si>
  <si>
    <t xml:space="preserve">S’assurer qu’il existe des pistes d'audit permettant de suivre latotalité des transactions </t>
  </si>
  <si>
    <t xml:space="preserve">assurer que la conception détaillée a été revue </t>
  </si>
  <si>
    <t>Développement, réalisation ou paramétrage</t>
  </si>
  <si>
    <t xml:space="preserve">S’assurer qu’il existe une méthode de développement </t>
  </si>
  <si>
    <t>S’assurer que cette méthode est parfaitement maîtrisée par les développeurs</t>
  </si>
  <si>
    <t xml:space="preserve">S’assurer qu’il existe des normes de documentation </t>
  </si>
  <si>
    <t>S’assurer que ces normes sont appliquées par lesdéveloppeurs</t>
  </si>
  <si>
    <t xml:space="preserve">S’assurer que les développements sont bien documentés </t>
  </si>
  <si>
    <t>S’assurer que la documentation est revue par le responsable duservice des études ;</t>
  </si>
  <si>
    <t>S’assurer qu’il existe un programme général de tests formalisé ;</t>
  </si>
  <si>
    <t>Tests et recettes</t>
  </si>
  <si>
    <t xml:space="preserve">S’assurer que la MOE réalise des tests </t>
  </si>
  <si>
    <t>S’assurer que la MOE s'assure que chacun des composants del'application fonctionne tel qu'il a été décrit dans le dossier de spécifications</t>
  </si>
  <si>
    <t>S’assurer que la MOE réalise des tests sur l'ensemble descomposants de l'application sur le plan fonctionnel et technique</t>
  </si>
  <si>
    <t>S’assurer que la MOE réalise des tests sur les interfaces del'application dans le SI</t>
  </si>
  <si>
    <t>S’assurer que des tests utilisateurs sont réalisés ;</t>
  </si>
  <si>
    <t xml:space="preserve">S’assurer que les tests portent sur l'adéquation de l'applicationlivrée par la MOE avec les besoins exprimés par la MOA </t>
  </si>
  <si>
    <t xml:space="preserve">S’assurer qu’il existe des tests de pré-exploitation </t>
  </si>
  <si>
    <t xml:space="preserve">S’assurer que ces tests s'assurent de la bonne intégration del'application dans l'environnement de production </t>
  </si>
  <si>
    <t>S’assurer que l'application est recettée</t>
  </si>
  <si>
    <t xml:space="preserve">S’assurer que l'application s'intègre bien dans l'ensemble du SI </t>
  </si>
  <si>
    <t>Conduite du changement et mise en œuvre</t>
  </si>
  <si>
    <t>S’assurer qu’il existe une synthèse de l'évaluation des changements</t>
  </si>
  <si>
    <t>S’assurer que l'évaluation des changements a été validée ;</t>
  </si>
  <si>
    <t xml:space="preserve">S’assurer que les entretiens réalisés sont représentatifs </t>
  </si>
  <si>
    <t>S’assurer que les utilisateurs participent à l'évaluation des changements</t>
  </si>
  <si>
    <t>S’assurer qu’il existe un plan de communication complet</t>
  </si>
  <si>
    <t>S’assurer que les messages sont clairs et simple</t>
  </si>
  <si>
    <t>S’assurer que la communication évolue et progresse par rapport au développement du projet</t>
  </si>
  <si>
    <t>S’assurer que la communication est fortement soutenue par laMOA</t>
  </si>
  <si>
    <t xml:space="preserve">S’assurer qu’il existe un plan de formation </t>
  </si>
  <si>
    <t>Documentation</t>
  </si>
  <si>
    <t>S’assurer qu’il existe un manuel d'utilisation</t>
  </si>
  <si>
    <t>S’assurer que le manuel utilisateur est conforme aux normes envigueur</t>
  </si>
  <si>
    <t>S’assurer que le manuel d’utilisateur est disponible etcompréhensible par l'ensemble des utilisateurs</t>
  </si>
  <si>
    <t>S’assurer que le manuel utilisateur comprend les objets dusystème et la description des dessins d'écran et des commandes disponibles</t>
  </si>
  <si>
    <t xml:space="preserve">S’assurer que le manuel utilisateur comprend les responsablesconcernant le redressement des erreurs ou anomalies </t>
  </si>
  <si>
    <t>S’assurer que le manuel utilisateur comprend la description dessorties et leur mode de diffusion ;</t>
  </si>
  <si>
    <t>S’assurer que le manuel utilisateur comprend lesresponsabilités en matière de sauvegarde/archivage</t>
  </si>
  <si>
    <t>S’assurer que le manuel d’utilisateur fait l'objet d'une procédurede mise à jour</t>
  </si>
  <si>
    <t>S’assurer qu’il existe un manuel d'exploitation</t>
  </si>
  <si>
    <t>Structures mises en place à l'occasion du projet</t>
  </si>
  <si>
    <t>S’assurer que les rôles et les responsabilités respectifs de laMOA et de la MOE sont clairement définis</t>
  </si>
  <si>
    <t>S’assurer que les prérogatives du chef de projet sont clairementdéfinies</t>
  </si>
  <si>
    <t>S’assurer que le chef de projet dispose de l'autorité suffisantepour résoudre les éventuels conflits</t>
  </si>
  <si>
    <t>S’assurer que la MOA et la MOE disposent des compétences etdes ressources managériales, techniques et fonctionnelles suffisantes</t>
  </si>
  <si>
    <t>S’assurer que les principales décisions et orientations du projetsont prises par le niveau de management adéquat</t>
  </si>
  <si>
    <t xml:space="preserve">S’assurer que les principaux intervenants sur le projet sont100% dédiés au projet avec suppression, pendant la durée du projet, des anciens liens hiérarchiques </t>
  </si>
  <si>
    <t>S’assurer que la MOA ou la MOE ont bénéficié d'une assistanceextérieure au cours du projet</t>
  </si>
  <si>
    <t xml:space="preserve">S’assurer que la consultation et l'implication des utilisateurs aété suffisante au cours des différentes phases du projet </t>
  </si>
  <si>
    <t>S’assurer qu’il existe un contrat de prestation entre la MOA et laMOE</t>
  </si>
  <si>
    <t>S’assurer qu’il existe un engagement de résultat</t>
  </si>
  <si>
    <t>Gestion des évolutions</t>
  </si>
  <si>
    <t>S’assurer que les demandes d'évolution du périmètre sontfréquentes</t>
  </si>
  <si>
    <t>S’assurer que les demandes d'évolutions sont formalisées ;</t>
  </si>
  <si>
    <t>S’assurer qu’il existe une procédure de gestion des évolutionsdu périmètre</t>
  </si>
  <si>
    <t>S’assurer qu’une mesure d'impact est effectuée</t>
  </si>
  <si>
    <t>S’assurer qu’il existe une gestion des versions</t>
  </si>
  <si>
    <t xml:space="preserve">S’assurer que les décisions sont prises dans un délaisatisfaisant </t>
  </si>
  <si>
    <t>S’assurer que les décisions sont prises sur la base d'un niveaud'information pertinent ;</t>
  </si>
  <si>
    <t xml:space="preserve">S’assurer que le manuel d'exploitation fait l'objet d'uneprocédure de mise à jour </t>
  </si>
  <si>
    <t>S’assurer que l’organisation de soutien aux utilisateurs estinformée des évolutions et les a anticipées</t>
  </si>
  <si>
    <t>S’assurer qu’il existe un bilan de qualité de l’évolution</t>
  </si>
  <si>
    <t>Mise en production</t>
  </si>
  <si>
    <t xml:space="preserve">S’assurer que les responsabilités respectives des directions des projets et de la production sont clairement établies et les périmètres décrits respectent les principes de séparation des tâches </t>
  </si>
  <si>
    <t>S’assurer qu’il existe un document décrivant les responsabilitésrespectives des projets et de la production lors d’une mise en production</t>
  </si>
  <si>
    <t>S’assurer que les équipes projet et de production connaissentet respectent ce document</t>
  </si>
  <si>
    <t>S’assurer que les membres de l’organisation et les fournisseursrespectent leurs obligations lors de la mise en production</t>
  </si>
  <si>
    <t>S’assurer que la bascule de la garantie vers la maintenance estorganisée à travers des documents contractuels clairs</t>
  </si>
  <si>
    <t>DOMAINE</t>
  </si>
  <si>
    <t>OBJECTIFS DE CONTRÔLE</t>
  </si>
  <si>
    <t xml:space="preserve">RESPONSE </t>
  </si>
  <si>
    <t xml:space="preserve">CRITICITE </t>
  </si>
  <si>
    <t>Audit du Support Utilisateur et de la Gestion du Parc</t>
  </si>
  <si>
    <t>Fonction support : audit fiabilité et sécurité</t>
  </si>
  <si>
    <t>S’assurer qu’une structure de centre d’assistance (help-desk) est mise en place</t>
  </si>
  <si>
    <t>Existence d'une équipe dédiée au support</t>
  </si>
  <si>
    <t>Une équipe help-desk est-elle formellement identifiée dans l'organigramme ?</t>
  </si>
  <si>
    <t>Organigramme de l'équipe IT, fiche de poste</t>
  </si>
  <si>
    <t>Manque de personnel pour gérer les demandes</t>
  </si>
  <si>
    <t>faible</t>
  </si>
  <si>
    <t>Manque d’efficacité du support aux utilisateurs</t>
  </si>
  <si>
    <t>Mettre en place une équipe help-desk dédiée avec rôles clairement définis</t>
  </si>
  <si>
    <t>Disponibilité d'un canal de contact (téléphone/email)</t>
  </si>
  <si>
    <t>Un numéro de téléphone ou une adresse email dédiée est-il accessible aux utilisateurs ?</t>
  </si>
  <si>
    <t>Guide utilisateur, page d'accueil intranet</t>
  </si>
  <si>
    <t>Manque de spécialisation des agents</t>
  </si>
  <si>
    <t>moyenne</t>
  </si>
  <si>
    <t>Non-accessibilité rapide en cas de besoin</t>
  </si>
  <si>
    <t>Assurer l’accessibilité continue via plusieurs canaux de contact</t>
  </si>
  <si>
    <t>Horaires de fonctionnement documentés</t>
  </si>
  <si>
    <t>Les horaires d'ouverture du help-desk sont-ils affichés ou communiqués ?</t>
  </si>
  <si>
    <t>Aucun document fourni</t>
  </si>
  <si>
    <t>Équipe surchargée, ce qui ralentit la résolution des problèmes</t>
  </si>
  <si>
    <t>Indisponibilité du support hors horaires prévus</t>
  </si>
  <si>
    <t>Documenter et diffuser les horaires officiels de support</t>
  </si>
  <si>
    <t>Localisation physique ou virtuelle définie</t>
  </si>
  <si>
    <t>Le help-desk dispose-t-il d'un espace physique ou d'une plateforme en ligne ?</t>
  </si>
  <si>
    <t>Procédure interne, screenshot de la plateforme</t>
  </si>
  <si>
    <t>Problèmes de rétention de personnel, entraînant un turnover élevé</t>
  </si>
  <si>
    <t>Absence de visibilité sur le périmètre du help-desk</t>
  </si>
  <si>
    <t>Définir et communiquer la localisation du service (physique ou cloud)</t>
  </si>
  <si>
    <t>Budget alloué au fonctionnement du help-desk</t>
  </si>
  <si>
    <t>Existe-t-il un budget annuel dédié au help-desk ?</t>
  </si>
  <si>
    <t>Budget IT non communiqué</t>
  </si>
  <si>
    <t>Absence d'une équipe suffisante pour couvrir les périodes de forte demande ou les absences</t>
  </si>
  <si>
    <t>Désorganisation liée à des ressources insuffisantes</t>
  </si>
  <si>
    <t>Prévoir un budget stable et suffisant pour le bon fonctionnement</t>
  </si>
  <si>
    <t>S’assurer qu’une procédure de gestion des demandes d’assistance est diffusée et connue</t>
  </si>
  <si>
    <t>Procédure écrite accessible aux utilisateurs</t>
  </si>
  <si>
    <t>La procédure est-elle disponible sur l'intranet ou dans un guide utilisateur ?</t>
  </si>
  <si>
    <t>Procédure PDF sur l'intranet</t>
  </si>
  <si>
    <t>Absence de canal de contact pour certains utilisateurs</t>
  </si>
  <si>
    <t>Utilisateurs mal informés sur les démarches à suivre</t>
  </si>
  <si>
    <t>Rendre les procédures facilement accessibles à tous les utilisateurs</t>
  </si>
  <si>
    <t>Étapes de soumission et suivi des demandes incluses</t>
  </si>
  <si>
    <t>La procédure explique-t-elle comment soumettre et suivre une demande ?</t>
  </si>
  <si>
    <t>Capture d'écran du système de tickets</t>
  </si>
  <si>
    <t>Délais d'attente élevés, entraînant la frustration des utilisateurs</t>
  </si>
  <si>
    <t>Perte de temps dans le traitement des demandes</t>
  </si>
  <si>
    <t>Détailler clairement chaque étape de gestion de ticket dans la procédure</t>
  </si>
  <si>
    <t>Formation des utilisateurs réalisée</t>
  </si>
  <si>
    <t>Une session de formation sur la procédure a-t-elle été organisée cette année ?</t>
  </si>
  <si>
    <t>Aucun registre de formation</t>
  </si>
  <si>
    <t>Problèmes de confidentialité ou de sécurité dans les canaux de communication</t>
  </si>
  <si>
    <t>Erreurs fréquentes des utilisateurs</t>
  </si>
  <si>
    <t>Organiser des sessions régulières de formation des utilisateurs</t>
  </si>
  <si>
    <t>Mises à jour régulières de la procédure</t>
  </si>
  <si>
    <t>La procédure a-t-elle été mise à jour dans les 6 derniers mois ?</t>
  </si>
  <si>
    <t>Historique des versions du document</t>
  </si>
  <si>
    <t>Inaccessibilité des canaux pendant les heures de pointe</t>
  </si>
  <si>
    <t>Procédure inadaptée à l’évolution des besoins</t>
  </si>
  <si>
    <t>Mettre à jour les procédures en fonction des retours et évolutions</t>
  </si>
  <si>
    <t>Feedback des utilisateurs collecté</t>
  </si>
  <si>
    <t>Existe-t-il un mécanisme pour recueillir les retours sur la procédure ?</t>
  </si>
  <si>
    <t>Aucun sondage disponible</t>
  </si>
  <si>
    <t>Mauvaise gestion des messages entrants, certains tickets sont ignorés ou oubliés</t>
  </si>
  <si>
    <t>Non-prise en compte des besoins réels des utilisateurs</t>
  </si>
  <si>
    <t>Mettre en place un système de collecte et d’analyse des feedbacks</t>
  </si>
  <si>
    <t>S’assurer qu’une procédure d'escalade est mise en place</t>
  </si>
  <si>
    <t>Procédure écrite pour les incidents critiques</t>
  </si>
  <si>
    <t>Une procédure d'escalade est-elle formalisée pour les incidents majeurs ?</t>
  </si>
  <si>
    <t>Procédure "Gestion des incidents critiques"</t>
  </si>
  <si>
    <t>Non-respect des horaires de fonctionnement, entraînant des interruptions de service</t>
  </si>
  <si>
    <t>Allongement des temps de résolution en cas de crise</t>
  </si>
  <si>
    <t>Définir une procédure spécifique pour les incidents critiques</t>
  </si>
  <si>
    <t>Délais de réponse définis pour chaque niveau</t>
  </si>
  <si>
    <t>Des délais maximum sont-ils fixés pour chaque niveau d'escalade ?</t>
  </si>
  <si>
    <t>Tableau des délais dans la procédure</t>
  </si>
  <si>
    <t>Absence de communication claire sur les horaires de disponibilité</t>
  </si>
  <si>
    <t>Mauvaise priorisation des incidents</t>
  </si>
  <si>
    <t>Fixer des délais d’intervention selon la gravité des incidents</t>
  </si>
  <si>
    <t>Responsables identifiés pour chaque niveau</t>
  </si>
  <si>
    <t>Les responsables des escalades (niveau 1, 2, etc.) sont-ils nommés ?</t>
  </si>
  <si>
    <t>Liste des responsables IT</t>
  </si>
  <si>
    <t>Des utilisateurs ne peuvent pas soumettre des demandes pendant les horaires non couverts</t>
  </si>
  <si>
    <t>Flou dans la responsabilité des escalades</t>
  </si>
  <si>
    <t>Nommer des responsables par niveau de support et les former</t>
  </si>
  <si>
    <t>Test de la procédure réalisé</t>
  </si>
  <si>
    <t>La procédure a-t-elle été testée via un exercice simulé cette année ?</t>
  </si>
  <si>
    <t>Aucun rapport de test</t>
  </si>
  <si>
    <t>Support limité pendant les périodes critiques, notamment les week-ends ou en dehors des heures de bureau</t>
  </si>
  <si>
    <t>Inopérabilité du processus en situation réelle</t>
  </si>
  <si>
    <t>Effectuer des tests réguliers pour valider l’efficacité des procédures</t>
  </si>
  <si>
    <t>Communication de la procédure aux équipes</t>
  </si>
  <si>
    <t>Les équipes concernées ont-elles reçu une copie de la procédure ?</t>
  </si>
  <si>
    <t>Email de communication archivé</t>
  </si>
  <si>
    <t>Confusion parmi les utilisateurs sur les horaires effectifs du service</t>
  </si>
  <si>
    <t>Non-appropriation du processus par les équipes</t>
  </si>
  <si>
    <t>Informer et sensibiliser toutes les équipes aux procédures d’incidents</t>
  </si>
  <si>
    <t>S’assurer de la couverture géographique du HD</t>
  </si>
  <si>
    <t>Zones géographiques couvertes documentées</t>
  </si>
  <si>
    <t>La liste des sites ou pays couverts par le help-desk est-elle publiée ?</t>
  </si>
  <si>
    <t>Document "Périmètre géographique HD"</t>
  </si>
  <si>
    <t>Support difficile d'accès si la localisation n'est pas bien définie ou partagée</t>
  </si>
  <si>
    <t>Inégalité de traitement selon les zones</t>
  </si>
  <si>
    <t>Documenter les zones géographiques couvertes dans les SLA</t>
  </si>
  <si>
    <t>Adaptabilité aux fuseaux horaires</t>
  </si>
  <si>
    <t>Le help-desk propose-t-il des plages horaires adaptées aux différentes zones ?</t>
  </si>
  <si>
    <t>Aucun planning différencié</t>
  </si>
  <si>
    <t>Difficulté pour les utilisateurs distants d'accéder au support en raison d'une localisation physique mal définie</t>
  </si>
  <si>
    <t>Temps de réponse allongés selon la localisation</t>
  </si>
  <si>
    <t>Adapter le support selon les fuseaux horaires d’intervention</t>
  </si>
  <si>
    <t>Support multilingue disponible</t>
  </si>
  <si>
    <t>Des agents parlant plusieurs langues sont-ils disponibles ?</t>
  </si>
  <si>
    <t>Liste des compétences linguistiques des agents</t>
  </si>
  <si>
    <t>Absence de support adéquat pour les équipes mobiles ou à distance</t>
  </si>
  <si>
    <t>Barrière linguistique dans la prise en charge</t>
  </si>
  <si>
    <t>Proposer une assistance multilingue pour les utilisateurs internationaux</t>
  </si>
  <si>
    <t>Moyens de contact adaptés (ex : chat pour les sites internationaux)</t>
  </si>
  <si>
    <t>Les outils de contact varient-ils selon les zones (ex : chat pour l'étranger) ?</t>
  </si>
  <si>
    <t>Aucune documentation spécifique</t>
  </si>
  <si>
    <t>Problèmes de communication si les équipes de support sont mal localisées ou dispersées</t>
  </si>
  <si>
    <t>Inadaptation des canaux aux préférences utilisateurs</t>
  </si>
  <si>
    <t>Choisir des canaux de contact adaptés aux différents contextes</t>
  </si>
  <si>
    <t>Évaluation annuelle de la couverture</t>
  </si>
  <si>
    <t>Une revue de la couverture géographique a-t-elle eu lieu l'année dernière ?</t>
  </si>
  <si>
    <t>Rapport d'audit annuel</t>
  </si>
  <si>
    <t>Inadaptation aux besoins géographiques des utilisateurs</t>
  </si>
  <si>
    <t>Non-détection des lacunes de couverture</t>
  </si>
  <si>
    <t>Réaliser une évaluation annuelle de la couverture du support</t>
  </si>
  <si>
    <t>S’assurer de la couverture fonctionnelle du HD</t>
  </si>
  <si>
    <t>Liste des services/applications couverts</t>
  </si>
  <si>
    <t>Une liste des services pris en charge par le help-desk est-elle partagée ?</t>
  </si>
  <si>
    <t>Catalogue de services IT</t>
  </si>
  <si>
    <t>Insuffisance de budget pour maintenir des niveaux de service adéquats</t>
  </si>
  <si>
    <t>Pannes non prises en charge</t>
  </si>
  <si>
    <t>Lister précisément les services inclus dans la couverture</t>
  </si>
  <si>
    <t>Exclusions clairement communiquées</t>
  </si>
  <si>
    <t>Les services exclus du périmètre du help-desk sont-ils mentionnés ?</t>
  </si>
  <si>
    <t>Aucun document listant les exclusions</t>
  </si>
  <si>
    <t>Réduction de la qualité du service due à des ressources financières limitées</t>
  </si>
  <si>
    <t>Mécontentement dû aux attentes non réalistes</t>
  </si>
  <si>
    <t>Mentionner clairement les services exclus dans la documentation</t>
  </si>
  <si>
    <t>Processus pour étendre la couverture</t>
  </si>
  <si>
    <t>Existe-t-il une procédure pour ajouter un nouveau service au périmètre ?</t>
  </si>
  <si>
    <t>Procédure "Évolution du périmètre HD"</t>
  </si>
  <si>
    <t>Manque de fonds pour investir dans de nouveaux outils ou technologies nécessaires</t>
  </si>
  <si>
    <t>Incapacité à réagir à de nouveaux besoins</t>
  </si>
  <si>
    <t>Établir un processus pour élargir le périmètre du support si besoin</t>
  </si>
  <si>
    <t>Alignement avec les besoins métiers</t>
  </si>
  <si>
    <t>La couverture actuelle répond-elle aux demandes des utilisateurs ?</t>
  </si>
  <si>
    <t>Partiellement</t>
  </si>
  <si>
    <t>Sondage utilisateurs (résultats mitigés)</t>
  </si>
  <si>
    <t>Difficulté à embaucher ou à retenir des agents qualifiés en raison de restrictions budgétaires</t>
  </si>
  <si>
    <t>Décalage entre service rendu et besoins métiers</t>
  </si>
  <si>
    <t>S’assurer de l’adéquation entre les services couverts et les besoins métiers</t>
  </si>
  <si>
    <t>Revue annuelle de la couverture</t>
  </si>
  <si>
    <t>Une réunion annuelle sur la couverture fonctionnelle a-t-elle été tenue ?</t>
  </si>
  <si>
    <t>Compte-rendu de réunion</t>
  </si>
  <si>
    <t>Impossible de couvrir les coûts d’opérations supplémentaires ou d’extension du service</t>
  </si>
  <si>
    <t>Conservation de pratiques obsolètes</t>
  </si>
  <si>
    <t>Prévoir une revue annuelle de la couverture et des ajustements</t>
  </si>
  <si>
    <t>S’assurer qu’un outil est implémenté pour la prise d'appel et le suivi des tickets</t>
  </si>
  <si>
    <t>Existence d'un logiciel de ticketing (ex : Zendesk, ServiceNow)</t>
  </si>
  <si>
    <t>Un outil de gestion des tickets est-il utilisé par le help-desk ?</t>
  </si>
  <si>
    <t>Capture d'écran de l'outil, contrat de licence</t>
  </si>
  <si>
    <t>Manque de procédures documentées, ce qui crée de la confusion chez les utilisateurs</t>
  </si>
  <si>
    <t>Suivi des demandes non maîtrisé</t>
  </si>
  <si>
    <t>Utiliser un logiciel de ticketing reconnu et sécurisé</t>
  </si>
  <si>
    <t>Intégration avec les autres systèmes IT</t>
  </si>
  <si>
    <t>L'outil est-il connecté à d'autres systèmes (ex : Active Directory) ?</t>
  </si>
  <si>
    <t>Documentation technique d'intégration</t>
  </si>
  <si>
    <t>Difficulté pour les utilisateurs de comprendre les étapes de soumission des tickets</t>
  </si>
  <si>
    <t>Données fragmentées ou non synchronisées</t>
  </si>
  <si>
    <t>Connecter l’outil de ticketing aux autres systèmes (CMDB, monitoring)</t>
  </si>
  <si>
    <t>Historique des tickets conservé</t>
  </si>
  <si>
    <t>Les tickets sont-ils archivés pendant au moins 12 mois ?</t>
  </si>
  <si>
    <t>Politique de rétention des données</t>
  </si>
  <si>
    <t>Absence de mise à jour régulière des procédures, les rendant obsolètes</t>
  </si>
  <si>
    <t>Perte d’historique et traçabilité incomplète</t>
  </si>
  <si>
    <t>Sauvegarder automatiquement l’historique complet des tickets</t>
  </si>
  <si>
    <t>Fonctionnalités de reporting disponibles</t>
  </si>
  <si>
    <t>L'outil génère-t-il des rapports sur les temps de résolution ?</t>
  </si>
  <si>
    <t>Aucun rapport produit récemment</t>
  </si>
  <si>
    <t>Inaccessibilité des procédures pour certains utilisateurs</t>
  </si>
  <si>
    <t>Impossibilité de mesurer la performance</t>
  </si>
  <si>
    <t>Exploiter les rapports pour suivre et améliorer les performances</t>
  </si>
  <si>
    <t>Accès sécurisé (authentification requise)</t>
  </si>
  <si>
    <t>L'accès à l'outil est-il protégé par mot de passe ou SSO ?</t>
  </si>
  <si>
    <t>Procédure de sécurité de l'outil</t>
  </si>
  <si>
    <t>Utilisation de procédures mal définies, ce qui conduit à des erreurs dans la gestion des demandes</t>
  </si>
  <si>
    <t>Fuite de données sensibles</t>
  </si>
  <si>
    <t>Mettre en place une authentification forte pour l’accès au système</t>
  </si>
  <si>
    <t>S’assurer que des critères à renseigner pour la qualification des tickets existent</t>
  </si>
  <si>
    <t>Liste des champs obligatoires pour ouvrir un ticket</t>
  </si>
  <si>
    <t>Des champs comme "urgence" ou "catégorie" sont-ils obligatoires ?</t>
  </si>
  <si>
    <t>Template de ticket avec champs requis</t>
  </si>
  <si>
    <t>Manque de suivi sur les demandes soumises, entraînant des retards dans les réponses</t>
  </si>
  <si>
    <t>Tickets incomplets ou ambigus</t>
  </si>
  <si>
    <t>Imposer des champs obligatoires pour les demandes entrantes</t>
  </si>
  <si>
    <t>Guide de qualification des tickets disponible</t>
  </si>
  <si>
    <t>Existe-t-il un guide pour classer les tickets (ex : incident/demande) ?</t>
  </si>
  <si>
    <t>Aucun document trouvé</t>
  </si>
  <si>
    <t>Absence de visibilité sur l’état d'avancement des tickets soumis</t>
  </si>
  <si>
    <t>Mauvaise orientation des demandes</t>
  </si>
  <si>
    <t>Fournir un guide pratique pour qualifier correctement les tickets</t>
  </si>
  <si>
    <t>Formation des agents sur la qualification</t>
  </si>
  <si>
    <t>Les agents ont-ils été formés à remplir correctement les tickets ?</t>
  </si>
  <si>
    <t>Plan de formation help-desk</t>
  </si>
  <si>
    <t>Erreurs dans le traitement des demandes en raison d’un processus mal défini</t>
  </si>
  <si>
    <t>Agents mal préparés à classifier les tickets</t>
  </si>
  <si>
    <t>Former les agents à la catégorisation et au tri des tickets</t>
  </si>
  <si>
    <t>Cohérence des données saisies</t>
  </si>
  <si>
    <t>Un audit récent montre-t-il que 90% des tickets sont correctement qualifiés ?</t>
  </si>
  <si>
    <t>Rapport d'audit manquant</t>
  </si>
  <si>
    <t>Tickets non priorisés ou non suivis efficacement</t>
  </si>
  <si>
    <t>Incohérences dans le traitement des tickets</t>
  </si>
  <si>
    <t>Contrôler la qualité et la cohérence des données saisies</t>
  </si>
  <si>
    <t>Mises à jour régulières des critères</t>
  </si>
  <si>
    <t>Les critères ont-ils été mis à jour dans l'année ?</t>
  </si>
  <si>
    <t>Journal des modifications de l'outil</t>
  </si>
  <si>
    <t>Délais de réponse trop longs en raison d'une mauvaise gestion des priorités</t>
  </si>
  <si>
    <t>Critères non pertinents ou obsolètes</t>
  </si>
  <si>
    <t>Revoir et actualiser les critères de qualification régulièrement</t>
  </si>
  <si>
    <t>S’assurer qu’il existe une liste de questions à dérouler lors d'un appel</t>
  </si>
  <si>
    <t>Script standardisé pour les appels</t>
  </si>
  <si>
    <t>Un script ou FAQ est-il fourni aux agents pour guider les appels ?</t>
  </si>
  <si>
    <t>Document "Script d'appel help-desk"</t>
  </si>
  <si>
    <t>Formation insuffisante des utilisateurs, augmentant les erreurs et les demandes de support</t>
  </si>
  <si>
    <t>Mauvaise qualité d’interactions téléphoniques</t>
  </si>
  <si>
    <t>Créer un script d’appel clair et structuré pour les agents</t>
  </si>
  <si>
    <t>Questions couvrant les besoins courants</t>
  </si>
  <si>
    <t>Le script inclut-il des questions sur l'urgence et l'impact ?</t>
  </si>
  <si>
    <t>Exemple de script annoté</t>
  </si>
  <si>
    <t>Manque de formation continue, entraînant une perte de compétence chez les utilisateurs</t>
  </si>
  <si>
    <t>Demandes mal cernées dès le premier contact</t>
  </si>
  <si>
    <t>Intégrer des questions types couvrant les besoins récurrents</t>
  </si>
  <si>
    <t>Adaptation aux différents types d'appels</t>
  </si>
  <si>
    <t>Existe-t-il des variantes du script pour les incidents vs. demandes ?</t>
  </si>
  <si>
    <t>Aucune variante documentée</t>
  </si>
  <si>
    <t>Utilisateurs non familiarisés avec les outils disponibles, ce qui ralentit le support</t>
  </si>
  <si>
    <t>Non-prise en charge correcte des demandes spécifiques</t>
  </si>
  <si>
    <t>Personnaliser les scripts selon le type d’appel et d’utilisateur</t>
  </si>
  <si>
    <t>Formation des agents à l'utilisation du script</t>
  </si>
  <si>
    <t>Les agents ont-ils été évalués sur leur usage du script ?</t>
  </si>
  <si>
    <t>Évaluations des agents</t>
  </si>
  <si>
    <t>Absence de formation sur les nouveaux outils ou mises à jour</t>
  </si>
  <si>
    <t>Réponses inadaptées aux contextes d’appel</t>
  </si>
  <si>
    <t>Former les agents à utiliser le script de manière efficace</t>
  </si>
  <si>
    <t>Mises à jour du script basées sur les retours</t>
  </si>
  <si>
    <t>Le script a-t-il été mis à jour suite à des feedbacks utilisateurs ?</t>
  </si>
  <si>
    <t>Aucun registre de modifications</t>
  </si>
  <si>
    <t>Difficulté pour les utilisateurs de résoudre des problèmes de manière autonome</t>
  </si>
  <si>
    <t>Script inefficace ou incomplet</t>
  </si>
  <si>
    <t>Adapter les scripts à partir des retours des utilisateurs et agents</t>
  </si>
  <si>
    <t>S’assurer que les problèmes sont gérés</t>
  </si>
  <si>
    <t>Procédure de gestion des problèmes documentée</t>
  </si>
  <si>
    <t>Une procédure distingue-t-elle la gestion des incidents et des problèmes ?</t>
  </si>
  <si>
    <t>Procédure "Gestion des problèmes"</t>
  </si>
  <si>
    <t>Procédures obsolètes qui ne tiennent pas compte des nouvelles technologies</t>
  </si>
  <si>
    <t>Problèmes récurrents non documentés</t>
  </si>
  <si>
    <t>Élaborer une procédure complète pour le traitement des problèmes</t>
  </si>
  <si>
    <t>Outil de suivi des problèmes (ex : RCA)</t>
  </si>
  <si>
    <t>Un outil spécifique est-il utilisé pour tracer les problèmes récurrents ?</t>
  </si>
  <si>
    <t>Aucun outil identifié</t>
  </si>
  <si>
    <t>Incohérences dans les étapes à suivre, ce qui peut entraîner des erreurs</t>
  </si>
  <si>
    <t>Absence de vision globale des incidents</t>
  </si>
  <si>
    <t>Déployer un outil structuré pour le suivi des problèmes critiques</t>
  </si>
  <si>
    <t>Revue mensuelle des problèmes</t>
  </si>
  <si>
    <t>Une réunion dédiée aux problèmes récurrents a-t-elle lieu mensuellement ?</t>
  </si>
  <si>
    <t>Difficulté à s’adapter aux nouvelles exigences si les procédures ne sont pas mises à jour</t>
  </si>
  <si>
    <t>Accumulation de problèmes non résolus</t>
  </si>
  <si>
    <t>Organiser des réunions mensuelles pour revoir les problèmes</t>
  </si>
  <si>
    <t>Actions correctives planifiées</t>
  </si>
  <si>
    <t>Des actions sont-elles définies pour résoudre les problèmes identifiés ?</t>
  </si>
  <si>
    <t>Liste d'actions (50% non clôturées)</t>
  </si>
  <si>
    <t>Mauvaise gestion des demandes urgentes en raison de procédures dépassées</t>
  </si>
  <si>
    <t>Réactions lentes et inefficaces</t>
  </si>
  <si>
    <t>Planifier des actions correctives à chaque problème identifié</t>
  </si>
  <si>
    <t>Communication aux utilisateurs affectés</t>
  </si>
  <si>
    <t>Les utilisateurs impactés sont-ils informés des résolutions ?</t>
  </si>
  <si>
    <t>Aucun historique de communication</t>
  </si>
  <si>
    <t>Utilisation de procédures inadaptées aux changements dans les outils ou systèmes</t>
  </si>
  <si>
    <t>Utilisateurs non informés des impacts ou solutions</t>
  </si>
  <si>
    <t>Informer les utilisateurs concernés des résolutions ou impacts</t>
  </si>
  <si>
    <t>S’assurer que des comités suivent les incidents et leur résolution</t>
  </si>
  <si>
    <t>Existence d'un comité de revue d'incidents</t>
  </si>
  <si>
    <t>Un comité se réunit-il régulièrement pour analyser les incidents majeurs ?</t>
  </si>
  <si>
    <t>Calendrier des réunions</t>
  </si>
  <si>
    <t>Absence de collecte de feedback, ce qui empêche l’amélioration continue</t>
  </si>
  <si>
    <t>Manque de coordination entre acteurs</t>
  </si>
  <si>
    <t>Créer un comité formel de revue des incidents transversaux</t>
  </si>
  <si>
    <t>Participants clairement identifiés (IT, métiers, etc.)</t>
  </si>
  <si>
    <t>Les membres du comité incluent-ils des représentants métiers ?</t>
  </si>
  <si>
    <t>Liste des participants (uniquement IT)</t>
  </si>
  <si>
    <t>Incapacité à identifier les problèmes récurrents en raison de l'absence de retours utilisateurs</t>
  </si>
  <si>
    <t>Décisions prises sans les bonnes parties prenantes</t>
  </si>
  <si>
    <t>Désigner explicitement les membres (IT, métiers, sécurité, etc.)</t>
  </si>
  <si>
    <t>Ordre du jour et comptes-rendus formalisés</t>
  </si>
  <si>
    <t>Les réunions produisent-elles des comptes-rendus actionnables ?</t>
  </si>
  <si>
    <t>Exemple de compte-rendu</t>
  </si>
  <si>
    <t>Mauvaise gestion des feedbacks, ce qui empêche d’agir sur des problèmes réels</t>
  </si>
  <si>
    <t>Pertes d'information sur les réunions</t>
  </si>
  <si>
    <t>Préparer et diffuser les ordres du jour et comptes-rendus des revues</t>
  </si>
  <si>
    <t>Suivi des actions décidées</t>
  </si>
  <si>
    <t>Un système de suivi des actions (ex : tableau Kanban) est-il utilisé ?</t>
  </si>
  <si>
    <t>Lien vers l'outil de suivi</t>
  </si>
  <si>
    <t>Difficulté à mesurer la satisfaction des utilisateurs si aucun mécanisme de collecte n’est en place</t>
  </si>
  <si>
    <t>Plans d’action non suivis</t>
  </si>
  <si>
    <t>Assurer le suivi et la clôture des actions décidées en réunion</t>
  </si>
  <si>
    <t>Indicateurs de performance (ex : MTTR)</t>
  </si>
  <si>
    <t>Le comité utilise-t-il des indicateurs pour mesurer l'efficacité ?</t>
  </si>
  <si>
    <t>Dashboard des indicateurs</t>
  </si>
  <si>
    <t>Détérioration de l'expérience utilisateur en raison du manque de suivi des retours</t>
  </si>
  <si>
    <t>Aucune mesure d’efficacité du support</t>
  </si>
  <si>
    <t>Suivre des indicateurs comme le MTTR pour piloter l’efficacité du support</t>
  </si>
  <si>
    <t xml:space="preserve">S’assurer que si le HD est externalisé, il existe un contrat de service </t>
  </si>
  <si>
    <t>Existence d’un contrat signé</t>
  </si>
  <si>
    <t>Le contrat est-il signé par toutes les parties ?</t>
  </si>
  <si>
    <t>Contrat signé</t>
  </si>
  <si>
    <t>Absence de procédure spécifique pour les incidents critiques, augmentant le temps de réponse</t>
  </si>
  <si>
    <t>Non-couverture des incidents</t>
  </si>
  <si>
    <t>Clarté des clauses sur les niveaux de service</t>
  </si>
  <si>
    <t>Les niveaux de service sont-ils clairement définis dans le contrat ?</t>
  </si>
  <si>
    <t>Annexes contractuelles</t>
  </si>
  <si>
    <t>Problèmes dans la gestion des priorités des incidents graves en l'absence de procédure définie</t>
  </si>
  <si>
    <t>Difficulté d’adaptation aux nouveaux besoins</t>
  </si>
  <si>
    <t>4o</t>
  </si>
  <si>
    <t>Détails sur les responsabilités des parties</t>
  </si>
  <si>
    <t>Les responsabilités des parties sont-elles bien spécifiées ?</t>
  </si>
  <si>
    <t>Avenants ou modifications du contrat</t>
  </si>
  <si>
    <t>Non-respect des délais de résolution des incidents critiques</t>
  </si>
  <si>
    <t>Délai d'exécution non respecté</t>
  </si>
  <si>
    <t>Définir un mécanisme de renouvellement explicite et automatique</t>
  </si>
  <si>
    <t>Durée et renouvellement du contrat</t>
  </si>
  <si>
    <t>La durée du contrat et les conditions de renouvellement sont-elles définies ?</t>
  </si>
  <si>
    <t>Rapports d’évaluation de service</t>
  </si>
  <si>
    <t>Mauvaise communication des incidents critiques à l’équipe de support</t>
  </si>
  <si>
    <t>Coûts supplémentaires pour renouvellement non prévu</t>
  </si>
  <si>
    <t>Mettre à jour le contrat en fonction des évolutions des besoins</t>
  </si>
  <si>
    <t>Clause de révision et ajustements</t>
  </si>
  <si>
    <t>Des mécanismes de révision sont-ils prévus pour ajuster le contrat ?</t>
  </si>
  <si>
    <t xml:space="preserve">Non </t>
  </si>
  <si>
    <t>Documents relatifs aux conditions de renouvellement</t>
  </si>
  <si>
    <t>Incapacité à gérer efficacement des crises en raison d’une procédure non testée</t>
  </si>
  <si>
    <t>Conflits juridiques entre les parties</t>
  </si>
  <si>
    <t>Assurer un suivi régulier des conditions contractuelles</t>
  </si>
  <si>
    <t xml:space="preserve">S’assurer que les indicateurs pour suivre le contrat de service existent </t>
  </si>
  <si>
    <t>Existence d’indicateurs de performance définis</t>
  </si>
  <si>
    <t>Les indicateurs sont-ils bien définis et mesurables ?</t>
  </si>
  <si>
    <t>Tableau de bord des indicateurs</t>
  </si>
  <si>
    <t>Non-respect des délais de réponse, entraînant une mauvaise expérience utilisateur</t>
  </si>
  <si>
    <t>Mauvaise gestion des performances</t>
  </si>
  <si>
    <t>Mettre à jour les indicateurs régulièrement et s’assurer qu’ils couvrent tous les aspects du contrat</t>
  </si>
  <si>
    <t>Clarté dans la mesure des résultats</t>
  </si>
  <si>
    <t>Les résultats sont-ils régulièrement mis à jour ?</t>
  </si>
  <si>
    <t>Rapports de performance mensuels</t>
  </si>
  <si>
    <t>Délais excessivement longs pour certains types de demandes, ce qui augmente l’insatisfaction</t>
  </si>
  <si>
    <t>Non-identification des points de défaillance</t>
  </si>
  <si>
    <t>Définir des procédures pour la collecte et la mesure des données</t>
  </si>
  <si>
    <t>Fréquence de mise à jour des indicateurs</t>
  </si>
  <si>
    <t>Les indicateurs reflètent-ils les objectifs du contrat ?</t>
  </si>
  <si>
    <t>Plan de gestion des indicateurs</t>
  </si>
  <si>
    <t>Incapacité à gérer efficacement les demandes en fonction de leur criticité</t>
  </si>
  <si>
    <t>Mise en place de mesures incorrectes ou trop tardives</t>
  </si>
  <si>
    <t>Aligner les indicateurs avec les objectifs spécifiques</t>
  </si>
  <si>
    <t>Lien entre les indicateurs et les objectifs contractuels</t>
  </si>
  <si>
    <t>Existe-t-il une personne responsable de l'analyse des indicateurs ?</t>
  </si>
  <si>
    <t>Procédures de collecte des données</t>
  </si>
  <si>
    <t>Mauvaise priorisation des demandes entraînant une gestion déséquilibrée</t>
  </si>
  <si>
    <t>Problèmes de transparence et de communication</t>
  </si>
  <si>
    <t>Communiquer les indicateurs à toutes les parties prenantes</t>
  </si>
  <si>
    <t>Mise en place d’un suivi des indicateurs par un responsable</t>
  </si>
  <si>
    <t>Les indicateurs sont-ils accessibles aux parties prenantes ?</t>
  </si>
  <si>
    <t>Rapport d’audit sur l’efficacité des indicateurs</t>
  </si>
  <si>
    <t>Problèmes de suivi lorsque les délais de réponse ne sont pas clairement définis ou respectés</t>
  </si>
  <si>
    <t>Retards dans l'ajustement des objectifs de service</t>
  </si>
  <si>
    <t>Assurer une analyse continue et une réactivité rapide en cas de sous-performance</t>
  </si>
  <si>
    <t>S’assurer qu’il y a un planning systématique concernant les mises en production ;</t>
  </si>
  <si>
    <t>Existence d’un planning de mises en production</t>
  </si>
  <si>
    <t>Le planning de mises en production est-il clairement défini et suivi ?</t>
  </si>
  <si>
    <t>Planning des mises en production</t>
  </si>
  <si>
    <t>Absence de responsables clairement identifiés, ce qui ralentit le traitement des demandes</t>
  </si>
  <si>
    <t>Impact sur la qualité du service produit</t>
  </si>
  <si>
    <t>Assurer un suivi strict du planning et des tests avant chaque mise en production</t>
  </si>
  <si>
    <t>Respect des délais de mise en production</t>
  </si>
  <si>
    <t>Les délais sont-ils respectés ?</t>
  </si>
  <si>
    <t>Rapports de tests avant mise en production</t>
  </si>
  <si>
    <t>Confusion dans la gestion des incidents en l'absence de personnes responsables désignées</t>
  </si>
  <si>
    <t>Dégradation de la satisfaction des utilisateurs</t>
  </si>
  <si>
    <t>Informer régulièrement toutes les parties prenantes des dates et statuts</t>
  </si>
  <si>
    <t>Communication claire sur les dates de mise en production</t>
  </si>
  <si>
    <t>Les parties prenantes sont-elles informées des dates de mise en production ?</t>
  </si>
  <si>
    <t>Procédures de mise en production</t>
  </si>
  <si>
    <t>Mauvaise attribution des tâches, entraînant un traitement inefficace des demandes</t>
  </si>
  <si>
    <t>Retards supplémentaires et coûts associés</t>
  </si>
  <si>
    <t>Renforcer les tests avant chaque mise en production</t>
  </si>
  <si>
    <t>Documentation des mises en production</t>
  </si>
  <si>
    <t>Existe-t-il une documentation complète sur chaque mise en production ?</t>
  </si>
  <si>
    <t>Rapports d’audit sur les mises en production</t>
  </si>
  <si>
    <t>Ralentissement des processus en cas d'absence des responsables identifiés</t>
  </si>
  <si>
    <t>Incidents non détectés impactant la production</t>
  </si>
  <si>
    <t>Mettre en place un plan d’urgence pour gérer les retards</t>
  </si>
  <si>
    <t>Préparation des tests avant mise en production</t>
  </si>
  <si>
    <t>Les tests de mise en production sont-ils réalisés de manière systématique ?</t>
  </si>
  <si>
    <t>Fiche de validation des mises en production</t>
  </si>
  <si>
    <t>Manque de coordination entre les différents niveaux de support, ce qui crée des inefficacités</t>
  </si>
  <si>
    <t>Détérioration de la réputation et de la confiance des utilisateurs</t>
  </si>
  <si>
    <t>Améliorer la documentation pour éviter les erreurs de production</t>
  </si>
  <si>
    <t xml:space="preserve">. Fonction support : audit d'efficacité et de performance </t>
  </si>
  <si>
    <t>S’assurer qu’il existe une aide à la saisie pour la saisie des tickets</t>
  </si>
  <si>
    <t>Existence d'un guide ou d'un template pour la saisie des tickets</t>
  </si>
  <si>
    <t>Un guide ou un template est-il disponible pour aider les agents à saisir correctement les tickets ?</t>
  </si>
  <si>
    <t>Guide de saisie des tickets, template de ticket</t>
  </si>
  <si>
    <t>Absence de test de la procédure, ce qui peut entraîner des erreurs en situation réelle</t>
  </si>
  <si>
    <t>mauvaise saisie des tickets</t>
  </si>
  <si>
    <t>utiliser un modèle standard partagé avec tous les agents</t>
  </si>
  <si>
    <t>Intégration d'outils d'autocomplétion ou de suggestions</t>
  </si>
  <si>
    <t>L'outil de ticketing propose-t-il des suggestions ou une autocomplétion pour les champs courants ?</t>
  </si>
  <si>
    <t>Capture d'écran de l'outil de ticketing</t>
  </si>
  <si>
    <t>Incapacité à identifier des failles dans la procédure avant qu'elles ne surviennent</t>
  </si>
  <si>
    <t>erreurs répétées dans les demandes</t>
  </si>
  <si>
    <t>mettre en place un moteur d’autocomplétion intelligent</t>
  </si>
  <si>
    <t>Formation des agents à l'utilisation des outils d'aide</t>
  </si>
  <si>
    <t>Les agents ont-ils reçu une formation sur l'utilisation des outils d'aide à la saisie ?</t>
  </si>
  <si>
    <t>Plan de formation des agents</t>
  </si>
  <si>
    <t>Les tests ne couvrent pas tous les scénarios possibles, créant des risques non anticipés</t>
  </si>
  <si>
    <t>manque d’autonomie des agents</t>
  </si>
  <si>
    <t>organiser des sessions de formation régulières sur les outils</t>
  </si>
  <si>
    <t>Mises à jour régulières de l'aide à la saisie</t>
  </si>
  <si>
    <t>L'aide à la saisie a-t-elle été mise à jour dans les 6 derniers mois ?</t>
  </si>
  <si>
    <t>Historique des versions du guide</t>
  </si>
  <si>
    <t>Mauvaise gestion des tests, ce qui conduit à une procédure non efficace</t>
  </si>
  <si>
    <t>incohérences dans les formulaires</t>
  </si>
  <si>
    <t>prévoir un calendrier de mise à jour trimestriel</t>
  </si>
  <si>
    <t>Feedback des agents sur l'utilité de l'aide</t>
  </si>
  <si>
    <t>Existe-t-il un mécanisme pour recueillir les retours des agents sur l'aide à la saisie ?</t>
  </si>
  <si>
    <t>Difficulté à valider les procédures sans tests réguliers et actualisés</t>
  </si>
  <si>
    <t>perte d’amélioration continue</t>
  </si>
  <si>
    <t>instaurer une boîte à idées pour les retours agents</t>
  </si>
  <si>
    <t>S’assurer qu’il existe des revues qualité pour la saisie des tickets</t>
  </si>
  <si>
    <t>Procédure de revue qualité formalisée</t>
  </si>
  <si>
    <t>Une procédure de revue qualité des tickets est-elle documentée ?</t>
  </si>
  <si>
    <t>Procédure de revue qualité</t>
  </si>
  <si>
    <t>Mauvaise communication de la procédure entre les équipes de support</t>
  </si>
  <si>
    <t>non-détection des défauts récurrents</t>
  </si>
  <si>
    <t>formaliser un processus de revue qualité avec des étapes claires</t>
  </si>
  <si>
    <t>Fréquence des revues qualité respectée</t>
  </si>
  <si>
    <t>Des revues qualité sont-elles réalisées au moins une fois par mois ?</t>
  </si>
  <si>
    <t>Compte-rendu des revues qualité</t>
  </si>
  <si>
    <t>Absence de mise à jour de la procédure, ce qui crée des incohérences dans son application</t>
  </si>
  <si>
    <t>diminution de la qualité du service</t>
  </si>
  <si>
    <t>planifier les revues selon un rythme défini et suivi</t>
  </si>
  <si>
    <t>Correctifs appliqués suite aux revues</t>
  </si>
  <si>
    <t>Des actions correctives sont-elles mises en place suite aux revues qualité ?</t>
  </si>
  <si>
    <t>Liste des actions correctives</t>
  </si>
  <si>
    <t>Difficulté à suivre les nouvelles procédures si elles ne sont pas correctement communiquées</t>
  </si>
  <si>
    <t>inefficacité des actions correctives</t>
  </si>
  <si>
    <t>documenter et appliquer systématiquement les correctifs issus des revues</t>
  </si>
  <si>
    <t>Implication des responsables dans les revues</t>
  </si>
  <si>
    <t>Les responsables du help-desk participent-ils aux revues qualité ?</t>
  </si>
  <si>
    <t>Liste des participants aux revues</t>
  </si>
  <si>
    <t>Équipes non informées des changements importants dans les procédures</t>
  </si>
  <si>
    <t>faible engagement des responsables</t>
  </si>
  <si>
    <t>désigner un sponsor qualité parmi les responsables</t>
  </si>
  <si>
    <t>Indicateurs de qualité mesurés</t>
  </si>
  <si>
    <t>Des indicateurs de qualité (ex : taux d'erreur) sont-ils suivis ?</t>
  </si>
  <si>
    <t>Dashboard des indicateurs de qualité</t>
  </si>
  <si>
    <t>Problèmes de coordination entre les équipes en raison de la mauvaise diffusion de l’information</t>
  </si>
  <si>
    <t>absence de suivi de la qualité</t>
  </si>
  <si>
    <t>mettre en place un tableau de bord avec des KPIs qualité</t>
  </si>
  <si>
    <t>Vérifier l’existence d’une base de connaissance</t>
  </si>
  <si>
    <t>Base de connaissance accessible aux agents</t>
  </si>
  <si>
    <t>Une base de connaissance est-elle disponible pour les agents du help-desk ?</t>
  </si>
  <si>
    <t>Lien ou accès à la base de connaissance</t>
  </si>
  <si>
    <t>Couverture géographique insuffisante, ce qui empêche certains utilisateurs d’avoir accès au support</t>
  </si>
  <si>
    <t>réponses inexactes aux utilisateurs</t>
  </si>
  <si>
    <t>créer un accès centralisé sécurisé à la base de connaissances</t>
  </si>
  <si>
    <t>Contenu mis à jour régulièrement</t>
  </si>
  <si>
    <t>La base de connaissance a-t-elle été mise à jour dans les 3 derniers mois ?</t>
  </si>
  <si>
    <t>Historique des mises à jour</t>
  </si>
  <si>
    <t>Absence de communication sur les zones couvertes, ce qui crée des malentendus</t>
  </si>
  <si>
    <t>désinformation ou obsolescence</t>
  </si>
  <si>
    <t>nommer un référent pour la gestion du contenu de la base</t>
  </si>
  <si>
    <t>Utilisation effective par les agents</t>
  </si>
  <si>
    <t>Les agents consultent-ils régulièrement la base de connaissance ?</t>
  </si>
  <si>
    <t>Logs d'accès à la base</t>
  </si>
  <si>
    <t>Incohérence dans la couverture en fonction des fuseaux horaires</t>
  </si>
  <si>
    <t>perte de temps dans la résolution</t>
  </si>
  <si>
    <t>sensibiliser les agents à l’usage actif de la base</t>
  </si>
  <si>
    <t>Couverture des sujets courants</t>
  </si>
  <si>
    <t>La base couvre-t-elle au moins 80% des problèmes courants ?</t>
  </si>
  <si>
    <t>Audit de couverture de la base</t>
  </si>
  <si>
    <t>Difficulté à adapter le support à différents contextes géographiques</t>
  </si>
  <si>
    <t>multiplication des erreurs fréquentes</t>
  </si>
  <si>
    <t>analyser les demandes fréquentes pour enrichir la base</t>
  </si>
  <si>
    <t>Feedback des agents sur la base</t>
  </si>
  <si>
    <t>Existe-t-il un système pour recueillir les retours des agents sur la base ?</t>
  </si>
  <si>
    <t>Aucun mécanisme identifié</t>
  </si>
  <si>
    <t>Mauvaise gestion des demandes urgentes liées aux décalages horaires</t>
  </si>
  <si>
    <t>non-prise en compte des retours terrain</t>
  </si>
  <si>
    <t>encourager les remontées d’agents via des sondages courts</t>
  </si>
  <si>
    <t>S’assurer qu’une procédure de mise à jour de la base de connaissance existe</t>
  </si>
  <si>
    <t>Procédure de mise à jour documentée</t>
  </si>
  <si>
    <t>Une procédure pour mettre à jour la base de connaissance est-elle formalisée ?</t>
  </si>
  <si>
    <t>Difficulté à couvrir tous les fuseaux horaires, entraînant des délais prolongés</t>
  </si>
  <si>
    <t>risque de contenu erroné diffusé</t>
  </si>
  <si>
    <t>structurer un processus clair de mise à jour avec validation</t>
  </si>
  <si>
    <t>Responsables identifiés pour les mises à jour</t>
  </si>
  <si>
    <t>Des responsables sont-ils désignés pour valider les mises à jour ?</t>
  </si>
  <si>
    <t>Liste des responsables</t>
  </si>
  <si>
    <t>Absence de flexibilité, rendant le support inaccessible à certaines heures</t>
  </si>
  <si>
    <t>confusion sur les responsabilités</t>
  </si>
  <si>
    <t>désigner les éditeurs et validateurs de contenu</t>
  </si>
  <si>
    <t>Fréquence des mises à jour respectée</t>
  </si>
  <si>
    <t>Les mises à jour sont-elles effectuées selon la fréquence prévue ?</t>
  </si>
  <si>
    <t>Calendrier des mises à jour</t>
  </si>
  <si>
    <t>Problèmes de coordination en raison de l’incompatibilité entre les horaires des équipes de support et les besoins des utilisateurs</t>
  </si>
  <si>
    <t>désalignement sur les cycles de mise à jour</t>
  </si>
  <si>
    <t>suivre un planning de révision pour garantir l’actualité</t>
  </si>
  <si>
    <t>Validation des modifications avant publication</t>
  </si>
  <si>
    <t>Les modifications sont-elles validées avant d'être publiées ?</t>
  </si>
  <si>
    <t>Procédure de validation</t>
  </si>
  <si>
    <t>Non-prise en compte des fuseaux horaires dans la gestion des priorités des demandes</t>
  </si>
  <si>
    <t>publication d’informations non validées</t>
  </si>
  <si>
    <t>valider chaque mise à jour par un référent qualité</t>
  </si>
  <si>
    <t>Historique des modifications conservé</t>
  </si>
  <si>
    <t>Un historique des modifications est-il maintenu ?</t>
  </si>
  <si>
    <t>perte de traçabilité</t>
  </si>
  <si>
    <t>archiver les versions pour audit et retour arrière</t>
  </si>
  <si>
    <t>S’assurer que les appels sont enregistrés</t>
  </si>
  <si>
    <t>Outil d'enregistrement des appels en place</t>
  </si>
  <si>
    <t>Un système d'enregistrement des appels est-il utilisé par le help-desk ?</t>
  </si>
  <si>
    <t>Contrat ou documentation de l'outil</t>
  </si>
  <si>
    <t>Absence de support dans les langues nécessaires, limitant l’accessibilité pour certains utilisateurs</t>
  </si>
  <si>
    <t>absence de preuves pour les litiges</t>
  </si>
  <si>
    <t>installer un système fiable d’enregistrement des appels</t>
  </si>
  <si>
    <t>Politique de conservation des enregistrements</t>
  </si>
  <si>
    <t>Les enregistrements sont-ils conservés pendant au moins 3 mois ?</t>
  </si>
  <si>
    <t>Politique de rétention</t>
  </si>
  <si>
    <t>Mauvaise gestion des traductions, entraînant des erreurs dans la communication avec les utilisateurs</t>
  </si>
  <si>
    <t>non-conformité aux obligations légales</t>
  </si>
  <si>
    <t>définir une politique claire sur la durée et l’usage des enregistrements</t>
  </si>
  <si>
    <t>Accès sécurisé aux enregistrements</t>
  </si>
  <si>
    <t>L'accès aux enregistrements est-il restreint et protégé ?</t>
  </si>
  <si>
    <t>Procédure de sécurité</t>
  </si>
  <si>
    <t>Difficulté à gérer des demandes multilingues de manière efficace</t>
  </si>
  <si>
    <t>fuite d’informations sensibles</t>
  </si>
  <si>
    <t>restreindre l’accès via des droits spécifiques et journalisation</t>
  </si>
  <si>
    <t>Utilisation pour la formation ou le contrôle qualité</t>
  </si>
  <si>
    <t>Les enregistrements sont-ils utilisés pour la formation ou le contrôle qualité ?</t>
  </si>
  <si>
    <t>Exemples d'utilisation</t>
  </si>
  <si>
    <t>Surcharge de travail pour les agents qui doivent traiter des demandes dans des langues non maîtrisées</t>
  </si>
  <si>
    <t>inefficacité des formations</t>
  </si>
  <si>
    <t>utiliser les extraits à des fins pédagogiques internes</t>
  </si>
  <si>
    <t>Consentement des utilisateurs obtenu</t>
  </si>
  <si>
    <t>Les utilisateurs sont-ils informés et consentent-ils à l'enregistrement ?</t>
  </si>
  <si>
    <t>Aucun document de consentement</t>
  </si>
  <si>
    <t>Baisse de la satisfaction des utilisateurs en raison du manque de support dans leur langue préférée</t>
  </si>
  <si>
    <t>litiges avec les utilisateurs</t>
  </si>
  <si>
    <t>intégrer une clause de consentement dans les procédures d’appel</t>
  </si>
  <si>
    <t xml:space="preserve">S’assurer que des études de satisfaction sont réalisées auprès des utilisateurs </t>
  </si>
  <si>
    <t>Existence d'enquêtes régulières</t>
  </si>
  <si>
    <t>Les enquêtes sont-elles réalisées périodiquement ?</t>
  </si>
  <si>
    <t>Rapports d’enquêtes</t>
  </si>
  <si>
    <t>Moyens de contact inadéquats, limitant l’accessibilité pour les utilisateurs</t>
  </si>
  <si>
    <t>Baisse de la satisfaction des utilisateurs</t>
  </si>
  <si>
    <t>Améliorer la fréquence des enquêtes</t>
  </si>
  <si>
    <t>Méthodes de collecte diversifiées</t>
  </si>
  <si>
    <t>Les utilisateurs sont-ils bien représentés dans les enquêtes ?</t>
  </si>
  <si>
    <t>Synthèses des résultats</t>
  </si>
  <si>
    <t>Manque de réactivité dans les moyens de contact comme le chat en ligne</t>
  </si>
  <si>
    <t>Perte de confiance dans les services</t>
  </si>
  <si>
    <t>Assurer une bonne répartition des utilisateurs</t>
  </si>
  <si>
    <t>Fréquence des enquêtes</t>
  </si>
  <si>
    <t>Les méthodes utilisées sont-elles adaptées aux différents profils d’utilisateurs ?</t>
  </si>
  <si>
    <t>Plans d’action basés sur les résultats</t>
  </si>
  <si>
    <t>Absence de canaux adaptés aux utilisateurs internationaux, créant des frustrations</t>
  </si>
  <si>
    <t>Mauvaise prise de décision</t>
  </si>
  <si>
    <t>Mettre en place des actions concrètes basées sur les retours</t>
  </si>
  <si>
    <t>Répartition des utilisateurs dans l’enquête</t>
  </si>
  <si>
    <t>Les retours des enquêtes sont-ils analysés ?</t>
  </si>
  <si>
    <t>Procédures d’enquête</t>
  </si>
  <si>
    <t>Problèmes de confidentialité ou de sécurité dans l’utilisation de certains moyens de contact</t>
  </si>
  <si>
    <t>Décisions basées sur des données incomplètes</t>
  </si>
  <si>
    <t>Améliorer l’accessibilité des résultats</t>
  </si>
  <si>
    <t>Suivi des résultats dans le temps</t>
  </si>
  <si>
    <t>Les résultats sont-ils utilisés pour améliorer les services ?</t>
  </si>
  <si>
    <t>Historique des enquêtes</t>
  </si>
  <si>
    <t>Inefficacité du service en raison de la non-adaptation aux besoins des utilisateurs</t>
  </si>
  <si>
    <t>Baisse de l'engagement des utilisateurs</t>
  </si>
  <si>
    <t>Rendre les résultats plus visibles et compréhensibles</t>
  </si>
  <si>
    <t xml:space="preserve">S’assurer qu’il existe une évaluation de l’équipe HD, notamment pour les prestataires afin d’en évaluer le niveau de connaissance </t>
  </si>
  <si>
    <t>Fréquence des évaluations</t>
  </si>
  <si>
    <t>Les prestataires sont-ils régulièrement évalués ?</t>
  </si>
  <si>
    <t>Rapports d’évaluation des prestataires</t>
  </si>
  <si>
    <t>Rapport financier sur les coûts et l'efficacité des services fournis par les prestataires</t>
  </si>
  <si>
    <t>Baisse de la qualité des services</t>
  </si>
  <si>
    <t>Mettre en place une évaluation formalisée</t>
  </si>
  <si>
    <t>Exhaustivité des critères d’évaluation</t>
  </si>
  <si>
    <t>Les critères d’évaluation sont-ils bien définis ?</t>
  </si>
  <si>
    <t>Critères d’évaluation des prestataires</t>
  </si>
  <si>
    <t>Qualité des services fournis</t>
  </si>
  <si>
    <t>Risque d’engager des prestataires incompétents</t>
  </si>
  <si>
    <t>Utiliser les résultats pour ajuster les contrats</t>
  </si>
  <si>
    <t>Méthodes de mesure des compétences</t>
  </si>
  <si>
    <t>Les résultats sont-ils suivis et utilisés pour l’amélioration ?</t>
  </si>
  <si>
    <t>Historique des évaluations</t>
  </si>
  <si>
    <t>Non-prise en compte des résultats dans la planification</t>
  </si>
  <si>
    <t>Effectuer un suivi des actions post-évaluation</t>
  </si>
  <si>
    <t>Suivi des résultats d’évaluation</t>
  </si>
  <si>
    <t>Le processus d’évaluation est-il transparent ?</t>
  </si>
  <si>
    <t>Retours des utilisateurs sur les prestataires</t>
  </si>
  <si>
    <t>Absence de formations basées sur les résultats</t>
  </si>
  <si>
    <t>Mauvaise gestion des ressources</t>
  </si>
  <si>
    <t>Évaluer tous les aspects des compétences des prestataires</t>
  </si>
  <si>
    <t>Processus d’amélioration continue</t>
  </si>
  <si>
    <t>L’évaluation prend-elle en compte toutes les compétences nécessaires ?</t>
  </si>
  <si>
    <t>Résultats des tests de compétence</t>
  </si>
  <si>
    <t>Évaluations peu représentatives des compétences clés</t>
  </si>
  <si>
    <t>Détérioration de la relation avec les prestataires</t>
  </si>
  <si>
    <t>S’assurer que l’évaluation est transparente et complète</t>
  </si>
  <si>
    <t xml:space="preserve">Vérifier la stratégie de formation des utilisateurs et de l’équipe Helpdesk </t>
  </si>
  <si>
    <t>Existence d’un plan de formation documenté</t>
  </si>
  <si>
    <t>Le plan de formation est-il documenté ?</t>
  </si>
  <si>
    <t>Plan de formation des utilisateurs</t>
  </si>
  <si>
    <t>Manque de formation pour certains utilisateurs</t>
  </si>
  <si>
    <t>Diminution de l’efficacité des utilisateurs</t>
  </si>
  <si>
    <t>Mettre à jour régulièrement le plan de formation</t>
  </si>
  <si>
    <t>Adaptation des formations aux besoins des utilisateurs</t>
  </si>
  <si>
    <t>Les formations sont-elles adaptées aux besoins réels des utilisateurs ?</t>
  </si>
  <si>
    <t>Historique des formations réalisées</t>
  </si>
  <si>
    <t>Contenus obsolètes ou inadaptés</t>
  </si>
  <si>
    <t>Augmentation des erreurs de manipulation</t>
  </si>
  <si>
    <t>Adopter des formations sur les nouvelles technologies</t>
  </si>
  <si>
    <t>Suivi des progrès des utilisateurs formés</t>
  </si>
  <si>
    <t>Les progrès des utilisateurs formés sont-ils suivis ?</t>
  </si>
  <si>
    <t>Évaluations post-formation</t>
  </si>
  <si>
    <t>Faible participation aux formations</t>
  </si>
  <si>
    <t>Perte de compétitivité</t>
  </si>
  <si>
    <t>Évaluer l'impact des formations</t>
  </si>
  <si>
    <t>Accès à des formations continues</t>
  </si>
  <si>
    <t>Les utilisateurs ont-ils accès à des formations continues ?</t>
  </si>
  <si>
    <t>Supports de formation</t>
  </si>
  <si>
    <t>Retards dans l’adaptation aux nouvelles technologies</t>
  </si>
  <si>
    <t>Offrir des formations continues</t>
  </si>
  <si>
    <t>Mise à jour régulière des contenus</t>
  </si>
  <si>
    <t>Les contenus de formation sont-ils régulièrement actualisés ?</t>
  </si>
  <si>
    <t>Suivi des compétences des utilisateurs</t>
  </si>
  <si>
    <t>Manque d’évaluation de l'efficacité des formations</t>
  </si>
  <si>
    <t>Augmentation des incidents non résolus</t>
  </si>
  <si>
    <t>S’assurer que chaque utilisateur a les compétences nécessaires</t>
  </si>
  <si>
    <t xml:space="preserve">Vérifier que les procédures de reporting et de suivi sont fonctionnelles </t>
  </si>
  <si>
    <t>Existence de procédures formalisées</t>
  </si>
  <si>
    <t>Les rapports sont-ils produits régulièrement ?</t>
  </si>
  <si>
    <t>Procédures de reporting</t>
  </si>
  <si>
    <t>Retards dans la production des rapports</t>
  </si>
  <si>
    <t>Décisions prises sur des données inexactes</t>
  </si>
  <si>
    <t>Améliorer la régularité des rapports</t>
  </si>
  <si>
    <t>Fréquence et régularité des rapports</t>
  </si>
  <si>
    <t>Les données rapportées sont-elles fiables ?</t>
  </si>
  <si>
    <t>Exemples de rapports générés</t>
  </si>
  <si>
    <t>Données inexactes ou erronées</t>
  </si>
  <si>
    <t>Non-prise en compte des problèmes clés</t>
  </si>
  <si>
    <t>Assurer la précision des données rapportées</t>
  </si>
  <si>
    <t>Précision des données suivies</t>
  </si>
  <si>
    <t>Les actions issues des rapports sont-elles suivies ?</t>
  </si>
  <si>
    <t>Suivi des actions correctives</t>
  </si>
  <si>
    <t>Manque de suivi des actions recommandées</t>
  </si>
  <si>
    <t>Retards dans l’amélioration des processus</t>
  </si>
  <si>
    <t>Mettre en place un suivi systématique des actions</t>
  </si>
  <si>
    <t>Suivi des actions post-rapport</t>
  </si>
  <si>
    <t>Les rapports sont-ils communiqués en temps utile ?</t>
  </si>
  <si>
    <t>Critères de qualité des rapports</t>
  </si>
  <si>
    <t>Non-accessibilité des rapports</t>
  </si>
  <si>
    <t>Rendre les rapports accessibles à toutes les parties prenantes</t>
  </si>
  <si>
    <t>Accessibilité des rapports pour les parties prenantes</t>
  </si>
  <si>
    <t>Les parties prenantes ont-elles accès aux rapports ?</t>
  </si>
  <si>
    <t>Historique des rapports produits</t>
  </si>
  <si>
    <t>Absence de transparence dans le processus</t>
  </si>
  <si>
    <t>Baisse de la performance des services</t>
  </si>
  <si>
    <t>Optimiser les processus de collecte de données</t>
  </si>
  <si>
    <t>Vérifier que les résultats des études de satisfaction sont pris en compte</t>
  </si>
  <si>
    <t>Analyse des résultats d’enquête</t>
  </si>
  <si>
    <t>Les résultats des études de satisfaction sont-ils analysés ?</t>
  </si>
  <si>
    <t>Rapports d’étude de satisfaction</t>
  </si>
  <si>
    <t>Non-prise en compte des retours des utilisateurs</t>
  </si>
  <si>
    <t>Détérioration de la satisfaction des utilisateurs</t>
  </si>
  <si>
    <t>Mettre en place un processus systématique de suivi des retours</t>
  </si>
  <si>
    <t>Mise en place d’actions suite aux retours</t>
  </si>
  <si>
    <t>Les actions nécessaires sont-elles mises en place après chaque étude ?</t>
  </si>
  <si>
    <t>Absence de suivi des actions recommandées</t>
  </si>
  <si>
    <t>Perte de crédibilité auprès des utilisateurs</t>
  </si>
  <si>
    <t>Communiquer les résultats de manière transparente</t>
  </si>
  <si>
    <t>Suivi de l'impact des actions prises</t>
  </si>
  <si>
    <t>L'impact des actions est-il mesuré ?</t>
  </si>
  <si>
    <t>Comptes rendus des réunions de suivi</t>
  </si>
  <si>
    <t>Faible communication des résultats</t>
  </si>
  <si>
    <t>Échec des initiatives d’amélioration continue</t>
  </si>
  <si>
    <t>Prendre des mesures immédiates suite aux retours négatifs</t>
  </si>
  <si>
    <t>Communication des résultats aux parties prenantes</t>
  </si>
  <si>
    <t>Suivi des actions mises en place</t>
  </si>
  <si>
    <t>Inaction face aux problèmes identifiés</t>
  </si>
  <si>
    <t>Mauvaise gestion des attentes des utilisateurs</t>
  </si>
  <si>
    <t>Mettre à jour régulièrement les services en fonction des retours</t>
  </si>
  <si>
    <t>Prise en compte des retours pour améliorer les services</t>
  </si>
  <si>
    <t>Les retours sont-ils utilisés pour ajuster les services ?</t>
  </si>
  <si>
    <t>Rapports d’impact des actions entreprises</t>
  </si>
  <si>
    <t>Diminution de la satisfaction des utilisateurs</t>
  </si>
  <si>
    <t>Retards dans l’adaptation des services</t>
  </si>
  <si>
    <t>Mesurer l’efficacité des actions entreprises après les retours</t>
  </si>
  <si>
    <t xml:space="preserve">. Gestion du parc matériel et logiciel : audit fiabilité et sécurité </t>
  </si>
  <si>
    <t>Vérifier la procédure de déploiement des mises à jour, d’un nouveau logiciel</t>
  </si>
  <si>
    <t>Procédure écrite et formalisée</t>
  </si>
  <si>
    <t>Existe-t-il une procédure documentée pour le déploiement des mises à jour ou des nouveaux logiciels ?</t>
  </si>
  <si>
    <t>Procédure "Déploiement des logiciels et mises à jour"</t>
  </si>
  <si>
    <t>Absence de traçabilité des tests réalisés avant déploiement</t>
  </si>
  <si>
    <t>Retards dans la mise en production</t>
  </si>
  <si>
    <t>Mise en place d'un processus de validation multi-niveaux avant déploiement</t>
  </si>
  <si>
    <t>Validation des mises à jour avant déploiement</t>
  </si>
  <si>
    <t>Les mises à jour sont-elles testées avant leur déploiement en environnement de production ?</t>
  </si>
  <si>
    <t>Aucun registre de tests fourni</t>
  </si>
  <si>
    <t>Risque de perte d’informations critiques liées au suivi des échanges</t>
  </si>
  <si>
    <t>Interruption de service pour les utilisateurs</t>
  </si>
  <si>
    <t>Assurer la formation continue des utilisateurs sur les mises à jour</t>
  </si>
  <si>
    <t>Communication aux utilisateurs</t>
  </si>
  <si>
    <t>Les utilisateurs sont-ils informés des mises à jour prévues et des impacts potentiels ?</t>
  </si>
  <si>
    <t>Emails partiels archivés</t>
  </si>
  <si>
    <t>Non-prise en compte des retours utilisateurs pouvant entraîner une insatisfaction</t>
  </si>
  <si>
    <t>Exposition accrue aux cyberattaques</t>
  </si>
  <si>
    <t>Prévoir un support dédié pour les utilisateurs rencontrant des problèmes après mise à jour</t>
  </si>
  <si>
    <t>Gestion des retours utilisateurs</t>
  </si>
  <si>
    <t>Existe-t-il un mécanisme pour recueillir les retours des utilisateurs après un déploiement ?</t>
  </si>
  <si>
    <t>Aucun sondage ou formulaire de feedback disponible</t>
  </si>
  <si>
    <t>Impossibilité de prouver les actions de déploiement réalisées en cas d’incident</t>
  </si>
  <si>
    <t>Perturbation des activités métiers critiques</t>
  </si>
  <si>
    <t>Établir une politique de révision régulière des procédures de déploiement</t>
  </si>
  <si>
    <t>Historique des déploiements</t>
  </si>
  <si>
    <t>Un historique des déploiements est-il maintenu et accessible ?</t>
  </si>
  <si>
    <t>Journal des déploiements logiciels</t>
  </si>
  <si>
    <t>Utilisation d’outils non conformes ou non documentés pouvant causer des litiges</t>
  </si>
  <si>
    <t>Incompatibilité avec les systèmes existants, causant des pannes</t>
  </si>
  <si>
    <t>Garantir la disponibilité d'un guide détaillé pour le suivi des retours utilisateurs</t>
  </si>
  <si>
    <t>Vérifier les outils mis en place pour gérer les versions des logiciels</t>
  </si>
  <si>
    <t>Outil centralisé de gestion des versions</t>
  </si>
  <si>
    <t>Un outil de gestion des versions (ex : SCCM, WSUS) est-il utilisé ?</t>
  </si>
  <si>
    <t>Contrat de licence de l'outil, documentation technique</t>
  </si>
  <si>
    <t>Erreurs humaines fréquentes dues à l’absence d’automatisation</t>
  </si>
  <si>
    <t>Pertes de données liées à une mauvaise gestion des mises à jour</t>
  </si>
  <si>
    <t>Automatiser la vérification de la compatibilité des nouvelles versions avec les systèmes existants</t>
  </si>
  <si>
    <t>Mises à jour automatiques configurées</t>
  </si>
  <si>
    <t>Les mises à jour critiques sont-elles déployées automatiquement ?</t>
  </si>
  <si>
    <t>Configuration manuelle des mises à jour</t>
  </si>
  <si>
    <t>Absence d’alerte en cas de défaillance entraînant un déploiement instable</t>
  </si>
  <si>
    <t>Augmentation des coûts liés à la gestion des incidents de mise à jour</t>
  </si>
  <si>
    <t>Mettre en place un audit régulier des outils de gestion des versions</t>
  </si>
  <si>
    <t>Alerte pour les versions obsolètes</t>
  </si>
  <si>
    <t>L'outil génère-t-il des alertes pour les logiciels obsolètes ou non supportés ?</t>
  </si>
  <si>
    <t>Rapport d'alertes généré par l'outil</t>
  </si>
  <si>
    <t>Incompatibilité entre le logiciel déployé et l’environnement cible</t>
  </si>
  <si>
    <t>Inaccessibilité ou inefficacité des services à distance</t>
  </si>
  <si>
    <t>Assurer un suivi des actions correctives suite aux alertes de versions obsolètes</t>
  </si>
  <si>
    <t>Compatibilité avec les systèmes existants</t>
  </si>
  <si>
    <t>Les mises à jour sont-elles vérifiées pour leur compatibilité avec l'environnement actuel ?</t>
  </si>
  <si>
    <t>Procédure de vérification de compatibilité</t>
  </si>
  <si>
    <t>Vulnérabilités non détectées pouvant compromettre la sécurité</t>
  </si>
  <si>
    <t>Problèmes d'obsolescence du matériel entraînant des défaillances</t>
  </si>
  <si>
    <t>Mettre en place une procédure de réévaluation des logiciels et matériels obsolètes</t>
  </si>
  <si>
    <t>Reporting des vulnérabilités</t>
  </si>
  <si>
    <t>L'outil fournit-il un reporting des vulnérabilités logicielles ?</t>
  </si>
  <si>
    <t>Aucun rapport de vulnérabilités disponible</t>
  </si>
  <si>
    <t>Matériel obsolète non identifié impactant les performances</t>
  </si>
  <si>
    <t>Manque de traçabilité dans les déploiements affectant la conformité</t>
  </si>
  <si>
    <t>Prévoir un mécanisme de gestion de crise pour les problèmes critiques liés au déploiement</t>
  </si>
  <si>
    <t>Vérifier les outils mis en place pour gérer le matériel informatique</t>
  </si>
  <si>
    <t>Inventaire matériel à jour</t>
  </si>
  <si>
    <t>Un inventaire du parc matériel est-il maintenu et régulièrement mis à jour ?</t>
  </si>
  <si>
    <t>Rapport d'inventaire matériel</t>
  </si>
  <si>
    <t>Non-renouvellement des garanties affectant la maintenance</t>
  </si>
  <si>
    <t>Perte de visibilité sur l'état des équipements et des logiciels</t>
  </si>
  <si>
    <t>Mettre en place un processus de gestion des incidents sur les mises à jour avec des indicateurs de performance</t>
  </si>
  <si>
    <t>Suivi des garanties et maintenances</t>
  </si>
  <si>
    <t>Les garanties et contrats de maintenance des équipements sont-ils suivis ?</t>
  </si>
  <si>
    <t>Aucun document de suivi des garanties</t>
  </si>
  <si>
    <t>Manque de visibilité sur les incidents récurrents liés au matériel</t>
  </si>
  <si>
    <t>Non-conformité aux normes de sécurité physique</t>
  </si>
  <si>
    <t>Réévaluer périodiquement les processus de gestion des garanties et maintenances pour les équipements</t>
  </si>
  <si>
    <t>Gestion des pannes et réparations</t>
  </si>
  <si>
    <t>Existe-t-il un système pour tracer les pannes matérielles et leurs résolutions ?</t>
  </si>
  <si>
    <t>Base de données des incidents matériels</t>
  </si>
  <si>
    <t>Absence de cadre de gestion augmentant les dérives opérationnelles</t>
  </si>
  <si>
    <t>Diminution de la productivité due à des interruptions dans la gestion des portables</t>
  </si>
  <si>
    <t>Améliorer les outils de reporting des vulnérabilités pour inclure une analyse d'impact</t>
  </si>
  <si>
    <t>Politique de renouvellement du matériel</t>
  </si>
  <si>
    <t>Une politique définit-elle les critères et la fréquence de renouvellement du matériel ?</t>
  </si>
  <si>
    <t>Aucune politique documentée</t>
  </si>
  <si>
    <t>Risque d’intrusion ou de vol lié à l’absence de sécurisation des locaux</t>
  </si>
  <si>
    <t>Inadaptation aux besoins des utilisateurs nomades</t>
  </si>
  <si>
    <t>Assurer une procédure d'audit de la sécurité physique des équipements de manière régulière</t>
  </si>
  <si>
    <t>Sécurité physique des équipements</t>
  </si>
  <si>
    <t>Des mesures de sécurité physique (ex : antivol) sont-elles appliquées aux équipements ?</t>
  </si>
  <si>
    <t>Procédure de sécurité physique</t>
  </si>
  <si>
    <t>Flou organisationnel ralentissant la réactivité en cas d’anomalie</t>
  </si>
  <si>
    <t>Non-respect des politiques de mise à jour pour les mises à jour critiques</t>
  </si>
  <si>
    <t>Mettre en place un plan de continuité pour les équipements mobiles et portables</t>
  </si>
  <si>
    <t>S’assurer qu’il existe un processus spécifique pour le suivi des mises à jour sur les portables</t>
  </si>
  <si>
    <t>Processus dédié aux portables</t>
  </si>
  <si>
    <t>Un processus distinct existe-t-il pour gérer les mises à jour des ordinateurs portables ?</t>
  </si>
  <si>
    <t>Aucune procédure spécifique</t>
  </si>
  <si>
    <t>Mauvaise utilisation de la solution à distance par les utilisateurs</t>
  </si>
  <si>
    <t>Problèmes de support impactant la satisfaction utilisateur</t>
  </si>
  <si>
    <t>Élaborer une politique de notification de mises à jour pour les utilisateurs à distance</t>
  </si>
  <si>
    <t>Adaptabilité aux utilisateurs nomades</t>
  </si>
  <si>
    <t>Le processus prend-il en compte les contraintes des utilisateurs nomades (ex : connexion VPN) ?</t>
  </si>
  <si>
    <t>Guide utilisateur pour les mises à jour à distance</t>
  </si>
  <si>
    <t>Retards dans les interventions faute de notification automatisée</t>
  </si>
  <si>
    <t>Incompatibilité entre les logiciels et les outils de déploiement, créant des erreurs système</t>
  </si>
  <si>
    <t>Mettre à jour régulièrement l'historique des mises à jour pour garantir la traçabilité</t>
  </si>
  <si>
    <t>Notification des mises à jour critiques</t>
  </si>
  <si>
    <t>Les utilisateurs de portables reçoivent-ils des notifications pour les mises à jour critiques ?</t>
  </si>
  <si>
    <t>Aucun système de notification documenté</t>
  </si>
  <si>
    <t>Non-suivi des postes nomades exposés à plus de risques</t>
  </si>
  <si>
    <t>Augmentation du nombre d'incidents critiques de mise à jour non gérés</t>
  </si>
  <si>
    <t>Améliorer le support pour les mises à jour échouées avec des solutions automatisées</t>
  </si>
  <si>
    <t>Historique des mises à jour appliquées</t>
  </si>
  <si>
    <t>Un historique des mises à jour appliquées sur les portables est-il disponible ?</t>
  </si>
  <si>
    <t>Rapport des mises à jour des portables</t>
  </si>
  <si>
    <t>Difficultés d’assistance liées à l’absence de documentation spécifique</t>
  </si>
  <si>
    <t>Perte de contrôle sur l’historique des mises à jour</t>
  </si>
  <si>
    <t>Définir une procédure détaillée pour la gestion des mises à jour sur les outils à distance</t>
  </si>
  <si>
    <t>Support en cas d'échec de mise à jour</t>
  </si>
  <si>
    <t>Existe-t-il un support dédié pour résoudre les échecs de mises à jour sur les portables ?</t>
  </si>
  <si>
    <t>Aucune procédure de support spécifique</t>
  </si>
  <si>
    <t xml:space="preserve">difficulté pour avoir les supports </t>
  </si>
  <si>
    <t>Retard dans la mise en œuvre des nouvelles versions de logiciels et correctifs</t>
  </si>
  <si>
    <t>Mettre en place un tableau de bord pour suivre les performances et les retours sur chaque déploiement</t>
  </si>
  <si>
    <t>S’assurer que le déploiement de nouveaux logiciels ou mises à jour est possible à distance (utile pour les utilisateurs nomades)</t>
  </si>
  <si>
    <t>Compatibilité des logiciels avec les outils de déploiement à distance</t>
  </si>
  <si>
    <t>Les logiciels sont-ils compatibles avec les outils de déploiement à distance ?</t>
  </si>
  <si>
    <t>Procédures de déploiement à distance</t>
  </si>
  <si>
    <t>Incompatibilité entre les outils et logiciels</t>
  </si>
  <si>
    <t>Difficultés dans la gestion de la sécurité des équipements critiques</t>
  </si>
  <si>
    <t>Existence d’une procédure formalisée de déploiement</t>
  </si>
  <si>
    <t>Une procédure est-elle définie pour le déploiement à distance ?</t>
  </si>
  <si>
    <t>Rapports de tests de déploiement</t>
  </si>
  <si>
    <t>Absence de procédures formalisées</t>
  </si>
  <si>
    <t>4o mini</t>
  </si>
  <si>
    <t>Mise en place de tests de déploiement à distance</t>
  </si>
  <si>
    <t>Des tests sont-ils réalisés pour vérifier l'efficacité du déploiement ?</t>
  </si>
  <si>
    <t>Outils de suivi des déploiements</t>
  </si>
  <si>
    <t>Échecs lors des déploiements</t>
  </si>
  <si>
    <t>Réaliser des tests sur divers types d’appareils</t>
  </si>
  <si>
    <t>Accessibilité des outils pour les utilisateurs nomades</t>
  </si>
  <si>
    <t>Les utilisateurs nomades ont-ils accès aux outils nécessaires ?</t>
  </si>
  <si>
    <t>Liste des logiciels déployés à distance</t>
  </si>
  <si>
    <t>Accès restreint pour les utilisateurs nomades</t>
  </si>
  <si>
    <t>Risque de non-conformité dans les configurations</t>
  </si>
  <si>
    <t>Optimiser l’accès aux outils pour les utilisateurs nomades</t>
  </si>
  <si>
    <t>Suivi et reporting des déploiements</t>
  </si>
  <si>
    <t>Le suivi du déploiement est-il effectué efficacement ?</t>
  </si>
  <si>
    <t>Manque de suivi du déploiement</t>
  </si>
  <si>
    <t>Perturbation de l’activité des utilisateurs nomades</t>
  </si>
  <si>
    <t>Assurer un suivi rigoureux des déploiements</t>
  </si>
  <si>
    <t xml:space="preserve">Vérifier qu’il est possible pour le HD de prendre la main à distance, si oui, en vérifier la procédure </t>
  </si>
  <si>
    <t>Existence d’un outil de prise en main à distance</t>
  </si>
  <si>
    <t>L’équipe Helpdesk dispose-t-elle d’un outil de prise en main à distance ?</t>
  </si>
  <si>
    <t>Procédure de prise en main à distance</t>
  </si>
  <si>
    <t>Accès non sécurisé aux systèmes</t>
  </si>
  <si>
    <t>Violation de la sécurité des systèmes</t>
  </si>
  <si>
    <t>Renforcer la sécurité des outils de prise en main</t>
  </si>
  <si>
    <t>Procédure définie pour l’utilisation de l’outil</t>
  </si>
  <si>
    <t>Une procédure détaillée est-elle définie pour son utilisation ?</t>
  </si>
  <si>
    <t>Contrat de sécurité pour l’accès à distance</t>
  </si>
  <si>
    <t>Mauvaise utilisation de l’outil de prise en main</t>
  </si>
  <si>
    <t>Réduction de l’efficacité du support</t>
  </si>
  <si>
    <t>Mettre à jour la procédure régulièrement</t>
  </si>
  <si>
    <t>Sécurisation de l’accès à distance</t>
  </si>
  <si>
    <t>L'accès à distance est-il sécurisé et contrôlé ?</t>
  </si>
  <si>
    <t>Rapports de session de prise en main</t>
  </si>
  <si>
    <t>Absence de suivi des actions réalisées à distance</t>
  </si>
  <si>
    <t>Manque de transparence sur les interventions</t>
  </si>
  <si>
    <t>Assurer un suivi détaillé des sessions d’assistance</t>
  </si>
  <si>
    <t>Suivi des sessions de prise en main à distance</t>
  </si>
  <si>
    <t>Les sessions sont-elles enregistrées pour un suivi ultérieur ?</t>
  </si>
  <si>
    <t>Formations suivies par l’équipe Helpdesk</t>
  </si>
  <si>
    <t>Manque de formation du personnel</t>
  </si>
  <si>
    <t>Risque de fraude ou d’abus d'accès</t>
  </si>
  <si>
    <t>Former l’équipe Helpdesk régulièrement</t>
  </si>
  <si>
    <t>Formation de l’équipe Helpdesk sur cet outil</t>
  </si>
  <si>
    <t>L’équipe Helpdesk a-t-elle été formée à l’utilisation de cet outil ?</t>
  </si>
  <si>
    <t>Historique des interventions à distance</t>
  </si>
  <si>
    <t>Vulnérabilité aux attaques externes</t>
  </si>
  <si>
    <t>Perturbation des opérations en cas d’attaque</t>
  </si>
  <si>
    <t>Mettre en place des audits de sécurité sur les outils à distance</t>
  </si>
  <si>
    <t xml:space="preserve">Vérifier comment est géré le parc informatique, quel type de machine, et quels outils y sont déployés </t>
  </si>
  <si>
    <t>Enregistrement des machines et des équipements</t>
  </si>
  <si>
    <t>Le parc informatique est-il bien enregistré et suivi ?</t>
  </si>
  <si>
    <t>Inventaire des machines et équipements</t>
  </si>
  <si>
    <t>Machines non enregistrées ou mal suivies</t>
  </si>
  <si>
    <t>Pertes financières dues à une mauvaise gestion des équipements</t>
  </si>
  <si>
    <t>Maintenir un inventaire précis et à jour</t>
  </si>
  <si>
    <t>Liste des outils déployés sur chaque machine</t>
  </si>
  <si>
    <t>Tous les outils nécessaires sont-ils déployés sur les machines ?</t>
  </si>
  <si>
    <t>Liste des logiciels et outils déployés</t>
  </si>
  <si>
    <t>Outils non mis à jour</t>
  </si>
  <si>
    <t>Vulnérabilités liées à des outils non à jour</t>
  </si>
  <si>
    <t>Mettre en place un processus clair pour les mises à jour</t>
  </si>
  <si>
    <t>Processus de mise à jour des outils</t>
  </si>
  <si>
    <t>Les mises à jour des outils sont-elles effectuées régulièrement ?</t>
  </si>
  <si>
    <t>Historique des mises à jour des outils</t>
  </si>
  <si>
    <t>Mauvaise répartition des ressources</t>
  </si>
  <si>
    <t>Inefficacité dans l'utilisation des ressources</t>
  </si>
  <si>
    <t>Attribuer les machines en fonction des besoins métiers</t>
  </si>
  <si>
    <t>Répartition des machines en fonction des besoins</t>
  </si>
  <si>
    <t>Les machines sont-elles attribuées en fonction des besoins des utilisateurs ?</t>
  </si>
  <si>
    <t>Planning d’attribution des machines</t>
  </si>
  <si>
    <t>Manque d’efficacité dans l’utilisation des outils</t>
  </si>
  <si>
    <t>Augmentation des coûts d’exploitation</t>
  </si>
  <si>
    <t>Optimiser l’utilisation des équipements</t>
  </si>
  <si>
    <t>Suivi de l’utilisation des outils et des machines</t>
  </si>
  <si>
    <t>Le suivi de l’utilisation des outils et machines est-il effectué ?</t>
  </si>
  <si>
    <t>Rapports d’utilisation des outils</t>
  </si>
  <si>
    <t>Absence de suivi sur l’utilisation des machines</t>
  </si>
  <si>
    <t>Problèmes de compatibilité des outils et machines</t>
  </si>
  <si>
    <t>Suivre régulièrement l'utilisation des outils et machines</t>
  </si>
  <si>
    <t>Vérifier que les utilisateurs sont sensibilisés à la sécurité informatique</t>
  </si>
  <si>
    <t>Campagnes de sensibilisation régulières</t>
  </si>
  <si>
    <t>Des campagnes de sensibilisation à la sécurité sont-elles organisées au moins une fois par an ?</t>
  </si>
  <si>
    <t>Planning des campagnes de sensibilisation</t>
  </si>
  <si>
    <t>Ignorance des bonnes pratiques</t>
  </si>
  <si>
    <t>Risque d'inefficacité dans la gestion de la sécurité des systèmes</t>
  </si>
  <si>
    <t>Sensibiliser régulièrement les utilisateurs aux bonnes pratiques de sécurité.</t>
  </si>
  <si>
    <t>Interdiction des logiciels non officiels</t>
  </si>
  <si>
    <t>Les utilisateurs sont-ils informés des risques liés à l'installation de logiciels non officiels ?</t>
  </si>
  <si>
    <t>Aucun document de sensibilisation spécifique</t>
  </si>
  <si>
    <t>Logiciels malveillants</t>
  </si>
  <si>
    <t>Possibilité d'attaque par des logiciels malveillants ou piratage</t>
  </si>
  <si>
    <t>Interdire l'installation de logiciels non autorisés.</t>
  </si>
  <si>
    <t>Formation sur les bonnes pratiques</t>
  </si>
  <si>
    <t>Une formation sur les bonnes pratiques de sécurité est-elle obligatoire pour les nouveaux employés ?</t>
  </si>
  <si>
    <t>Programme de formation des employés</t>
  </si>
  <si>
    <t>Absence de réactivité face aux incidents de sécurité</t>
  </si>
  <si>
    <t>Organiser des formations sur les bonnes pratiques.</t>
  </si>
  <si>
    <t>Procédure de signalement des incidents</t>
  </si>
  <si>
    <t>Les utilisateurs connaissent-ils la procédure pour signaler un incident de sécurité ?</t>
  </si>
  <si>
    <t>Guide utilisateur partiellement diffusé</t>
  </si>
  <si>
    <t>Retard dans la gestion</t>
  </si>
  <si>
    <t>Manque de réactivité dans la gestion des alertes de sécurité</t>
  </si>
  <si>
    <t>Mettre en place une procédure de signalement d'incidents.</t>
  </si>
  <si>
    <t>Tests de phishing</t>
  </si>
  <si>
    <t>Des tests de phishing sont-ils réalisés pour évaluer la vigilance des utilisateurs ?</t>
  </si>
  <si>
    <t>Aucun rapport de test de phishing</t>
  </si>
  <si>
    <t>Vulnérabilité face aux attaques</t>
  </si>
  <si>
    <t>Compromission des données sensibles par des attaques de phishing</t>
  </si>
  <si>
    <t>Réaliser des tests de phishing réguliers.</t>
  </si>
  <si>
    <t xml:space="preserve">Gestion du parc matériel et logiciel : audit d'efficacité et de performance </t>
  </si>
  <si>
    <t>Vérifier comment est effectué l'inventaire des licences</t>
  </si>
  <si>
    <t>Existence d'un inventaire centralisé des licences logicielles</t>
  </si>
  <si>
    <t>Un inventaire centralisé listant les logiciels, versions, et utilisateurs est-il disponible ?</t>
  </si>
  <si>
    <t>Rapport d'inventaire des licences logicielle</t>
  </si>
  <si>
    <t>Mauvaise gestion des licences logicielles et non-conformité</t>
  </si>
  <si>
    <t>Maintenir un inventaire centralisé des licences à jour.</t>
  </si>
  <si>
    <t>Mises à jour régulières de l'inventaire</t>
  </si>
  <si>
    <t>L'inventaire a-t-il été mis à jour dans les 3 derniers mois ?</t>
  </si>
  <si>
    <t>Aucun journal de modifications récent</t>
  </si>
  <si>
    <t>Pertes de licences et de ressources par un inventaire obsolète</t>
  </si>
  <si>
    <t>Effectuer des mises à jour régulières de l'inventaire.</t>
  </si>
  <si>
    <t>L'inventaire couvre-t-il tous les logiciels critiques utilisés par les métiers ?</t>
  </si>
  <si>
    <t>Liste des logiciels critiques vs. inventaire</t>
  </si>
  <si>
    <t>Licences inadaptées</t>
  </si>
  <si>
    <t>Mauvaise gestion des ressources informatiques et des besoins métiers</t>
  </si>
  <si>
    <t>Aligner les licences avec les besoins métiers.</t>
  </si>
  <si>
    <t>Gestion des licences expirées ou obsolètes</t>
  </si>
  <si>
    <t>Existe-t-il un processus pour identifier et remplacer les licences expirées ?</t>
  </si>
  <si>
    <t>Procédure "Gestion des licences expirées"</t>
  </si>
  <si>
    <t>Non-conformité et amendes pour licences expirées ou non-renouvelées</t>
  </si>
  <si>
    <t>Gérer les licences expirées ou obsolètes.</t>
  </si>
  <si>
    <t>Accès restreint et sécurisé à l'inventaire</t>
  </si>
  <si>
    <t>L'accès à l'inventaire est-il limité aux personnes autorisées ?</t>
  </si>
  <si>
    <t>Politique de sécurité des accès</t>
  </si>
  <si>
    <t>Fuite de données</t>
  </si>
  <si>
    <t>Risques de fuites de données ou d'accès non autorisés à l'inventaire</t>
  </si>
  <si>
    <t>Restreindre l'accès à l'inventaire.</t>
  </si>
  <si>
    <t>S’assurer que les outils de type SAM (Software Asset Management) sont déployés</t>
  </si>
  <si>
    <t>Utilisation d'un outil SAM (ex : Snow, Flexera)</t>
  </si>
  <si>
    <t>Un outil dédié à la gestion des actifs logiciels est-il utilisé ?</t>
  </si>
  <si>
    <t>Contrat de l'outil SAM, captures d'écran</t>
  </si>
  <si>
    <t>Mauvaise gestion des licences</t>
  </si>
  <si>
    <t>Mauvaise gestion des logiciels, entraînant une perte de contrôle sur les ressources</t>
  </si>
  <si>
    <t>Utiliser un outil SAM pour la gestion des licences.</t>
  </si>
  <si>
    <t>Intégration avec d'autres systèmes IT</t>
  </si>
  <si>
    <t>L'outil SAM est-il connecté à l'inventaire matériel ou au help-desk ?</t>
  </si>
  <si>
    <t>Documentation d'intégration manquante</t>
  </si>
  <si>
    <t>Gestion désorganisée des licences</t>
  </si>
  <si>
    <t>Manque d'intégration entre systèmes entraînant une gestion inefficace</t>
  </si>
  <si>
    <t>Intégrer l'outil SAM avec d'autres systèmes IT.</t>
  </si>
  <si>
    <t>Rapports automatisés sur l'utilisation des licences</t>
  </si>
  <si>
    <t>Des rapports sur l'utilisation des licences sont-ils générés mensuellement ?</t>
  </si>
  <si>
    <t>Exemple de rapport SAM</t>
  </si>
  <si>
    <t>Erreurs humaines</t>
  </si>
  <si>
    <t>Non-optimisation des licences et gaspillage de ressources</t>
  </si>
  <si>
    <t>Automatiser les rapports sur l'utilisation des licences.</t>
  </si>
  <si>
    <t>Alertes pour les surutilisations ou sous-utilisations</t>
  </si>
  <si>
    <t>L'outil envoie-t-il des alertes pour les licences mal utilisées ?</t>
  </si>
  <si>
    <t>Aucun log d'alertes disponible</t>
  </si>
  <si>
    <t>Inefficacité</t>
  </si>
  <si>
    <t>Manque de suivi des licences sous-utilisées, entraînant des coûts inutiles</t>
  </si>
  <si>
    <t>Configurer des alertes pour les sur/sous-utilisations des licences.</t>
  </si>
  <si>
    <t>Formation des équipes à l'outil SAM</t>
  </si>
  <si>
    <t>Les équipes ont-elles reçu une formation sur l'utilisation de l'outil SAM ?</t>
  </si>
  <si>
    <t>Plan de formation SAM</t>
  </si>
  <si>
    <t>Manque de formation des équipes sur les outils SAM, entraînant une mauvaise gestion des licences</t>
  </si>
  <si>
    <t>Former les équipes à l'outil SAM.</t>
  </si>
  <si>
    <t>S’assurer qu’il existe des revues régulières des licences</t>
  </si>
  <si>
    <t>Revues trimestrielles des licences</t>
  </si>
  <si>
    <t>Une réunion de revue des licences a-t-elle eu lieu le trimestre dernier ?</t>
  </si>
  <si>
    <t>Compte-rendu de réunion "Revue des licences"</t>
  </si>
  <si>
    <t>Perte de contrôle sur les licences</t>
  </si>
  <si>
    <t>Non-conformité avec les politiques internes lors des revues de licences</t>
  </si>
  <si>
    <t>Réaliser des revues trimestrielles des licences.</t>
  </si>
  <si>
    <t>Participation des métiers aux revues</t>
  </si>
  <si>
    <t>Les départements métiers sont-ils invités à participer aux revues ?</t>
  </si>
  <si>
    <t>Désalignement avec les besoins métiers</t>
  </si>
  <si>
    <t>Difficulté à identifier et résoudre les anomalies de licences</t>
  </si>
  <si>
    <t>Impliquer les métiers dans les revues de licences.</t>
  </si>
  <si>
    <t>Des actions sont-elles définies suite aux revues (ex : résiliation de licences) ?</t>
  </si>
  <si>
    <t>Non-régularisation des erreurs</t>
  </si>
  <si>
    <t>Actions correctives inefficaces ou tardives, risquant la persistance des problèmes</t>
  </si>
  <si>
    <t>Planifier des actions correctives en cas de non-conformités.</t>
  </si>
  <si>
    <t>Historique des décisions conservé</t>
  </si>
  <si>
    <t>Les décisions prises lors des revues sont-elles archivées ?</t>
  </si>
  <si>
    <t>Archives des décisions</t>
  </si>
  <si>
    <t>Manque de transparence</t>
  </si>
  <si>
    <t>Perte d'historique des décisions, rendant difficile le suivi et la traçabilité</t>
  </si>
  <si>
    <t>Conserver un historique des décisions.</t>
  </si>
  <si>
    <t>Optimisation des coûts documentée</t>
  </si>
  <si>
    <t>Une analyse des économies réalisées grâce aux revues est-elle disponible ?</t>
  </si>
  <si>
    <t>Aucun document financier</t>
  </si>
  <si>
    <t>Dépenses excessives</t>
  </si>
  <si>
    <t>Dépenses supplémentaires pour l'optimisation des coûts mal documentée</t>
  </si>
  <si>
    <t>Documenter l'optimisation des coûts.</t>
  </si>
  <si>
    <t xml:space="preserve">S’assurer qu’il existe une base de données de gestion de configuration de type CMDB (Configuration Management Data Base) </t>
  </si>
  <si>
    <t>Existence d'une CMDB à jour</t>
  </si>
  <si>
    <t>Une base de données de gestion de configuration (CMDB) est-elle mise en place ?</t>
  </si>
  <si>
    <t>Capture d'écran de la CMDB</t>
  </si>
  <si>
    <t>Gestion d'actifs incorrecte</t>
  </si>
  <si>
    <t>Mauvaise gestion des configurations et des ressources informatiques</t>
  </si>
  <si>
    <t>Maintenir une CMDB à jour.</t>
  </si>
  <si>
    <t>Couverture des éléments critiques (matériel, logiciel, réseaux)</t>
  </si>
  <si>
    <t>La CMDB inclut-elle tous les éléments critiques du parc IT ?</t>
  </si>
  <si>
    <t>Audit de couverture de la CMDB</t>
  </si>
  <si>
    <t>Interruption de services</t>
  </si>
  <si>
    <t>Risque d'obsolescence des systèmes informatiques et des logiciels</t>
  </si>
  <si>
    <t>Couvrir les éléments critiques dans la CMDB.</t>
  </si>
  <si>
    <t>Mises à jour automatiques depuis les autres outils</t>
  </si>
  <si>
    <t>La CMDB est-elle alimentée automatiquement par des outils comme le SAM ou l'inventaire ?</t>
  </si>
  <si>
    <t>Documentation des flux manuels</t>
  </si>
  <si>
    <t>Incohérence des données</t>
  </si>
  <si>
    <t>Non-détection des risques liés aux systèmes, pouvant entraîner des failles de sécurité</t>
  </si>
  <si>
    <t>Mettre à jour la CMDB automatiquement.</t>
  </si>
  <si>
    <t>Accès contrôlé et tracé</t>
  </si>
  <si>
    <t>Les modifications dans la CMDB sont-elles tracées et approuvées ?</t>
  </si>
  <si>
    <t>Journal des modifications de la CMDB</t>
  </si>
  <si>
    <t>Violation de sécurité</t>
  </si>
  <si>
    <t>Absence d'accès sécurisé aux systèmes, exposant l'organisation à des risques internes</t>
  </si>
  <si>
    <t>Contrôler et tracer l'accès à la CMDB.</t>
  </si>
  <si>
    <t>Utilisation pour la résolution d'incidents</t>
  </si>
  <si>
    <t>La CMDB est-elle utilisée pour identifier les impacts lors d'incidents ?</t>
  </si>
  <si>
    <t>Exemple de rapport d'incident utilisant la CMDB</t>
  </si>
  <si>
    <t>Gestion erronée des incidents</t>
  </si>
  <si>
    <t>Risques d'erreurs dans la résolution des incidents dus à une gestion défectueuse</t>
  </si>
  <si>
    <t>Utiliser la CMDB pour la résolution d'incidents.</t>
  </si>
  <si>
    <t>Vérifier que des audits sont réalisés</t>
  </si>
  <si>
    <t>Plan d'audit annuel formalisé</t>
  </si>
  <si>
    <t>Un plan d'audit du parc matériel/logiciel a-t-il été établi pour l'année en cours ?</t>
  </si>
  <si>
    <t>Plan d'audit IT</t>
  </si>
  <si>
    <t>Absence de contrôle sur les actions d'audit, réduisant la capacité à identifier des failles</t>
  </si>
  <si>
    <t>Réaliser un audit annuel formalisé.</t>
  </si>
  <si>
    <t>Audits réalisés conformément au plan</t>
  </si>
  <si>
    <t>Les audits prévus ont-ils été réalisés dans les délais ?</t>
  </si>
  <si>
    <t>Retard signalé dans le suivi du plan</t>
  </si>
  <si>
    <t>Non-identification des problèmes</t>
  </si>
  <si>
    <t>Non-identification des écarts ou des non-conformités dans les audits</t>
  </si>
  <si>
    <t>Corriger les écarts identifiés lors des audits.</t>
  </si>
  <si>
    <t>Correction des écarts identifiés</t>
  </si>
  <si>
    <t>Les écarts identifiés lors des audits précédents ont-ils été corrigés ?</t>
  </si>
  <si>
    <t>Rapport de suivi des actions</t>
  </si>
  <si>
    <t>Persistance des écarts</t>
  </si>
  <si>
    <t>Absence d'expertise externe sur l'audit de conformité</t>
  </si>
  <si>
    <t>Faire intervenir des auditeurs externes.</t>
  </si>
  <si>
    <t>Implication d'auditeurs externes</t>
  </si>
  <si>
    <t>Des auditeurs externes ont-ils été sollicités pour évaluer le parc IT ?</t>
  </si>
  <si>
    <t>Aucun contrat avec des auditeurs externes</t>
  </si>
  <si>
    <t>Partialité dans l'audit</t>
  </si>
  <si>
    <t>Risques d'inefficacité dans la communication des résultats d'audit</t>
  </si>
  <si>
    <t>Communiquer les résultats d'audit aux parties prenantes.</t>
  </si>
  <si>
    <t>Les résultats des audits sont-ils partagés avec la direction et les métiers ?</t>
  </si>
  <si>
    <t>Présentation aux parties prenantes</t>
  </si>
  <si>
    <t>Manque de clarté dans les politiques de gestion de la sécurité et de la conformité</t>
  </si>
  <si>
    <t>Rédiger et diffuser une politique de gestion des licences.</t>
  </si>
  <si>
    <t>Vérifier qu’une politique logicielle existe</t>
  </si>
  <si>
    <t>Politique documentée et accessible</t>
  </si>
  <si>
    <t>Une politique logicielle (ex : interdiction des logiciels non approuvés) est-elle publiée ?</t>
  </si>
  <si>
    <t>Document "Politique logicielle"</t>
  </si>
  <si>
    <t>Non-adhésion des employés</t>
  </si>
  <si>
    <t>Sensibiliser les utilisateurs aux risques liés aux logiciels.</t>
  </si>
  <si>
    <t>Sensibilisation des utilisateurs</t>
  </si>
  <si>
    <t>Les utilisateurs ont-ils été formés ou informés sur cette politique ?</t>
  </si>
  <si>
    <t>Mauvaise gestion des risques internes</t>
  </si>
  <si>
    <t>Surveiller les installations non autorisées.</t>
  </si>
  <si>
    <t>Contrôle des installations non autorisées</t>
  </si>
  <si>
    <t>Des outils de contrôle (ex : whitelisting) sont-ils déployés pour bloquer les installations non autorisées ?</t>
  </si>
  <si>
    <t>Procédure de déploiement des outils de contrôle</t>
  </si>
  <si>
    <t>Intrusion de logiciels</t>
  </si>
  <si>
    <t>Définir des sanctions en cas de non-respect des politiques.</t>
  </si>
  <si>
    <t>Sanctions en cas de non-respect</t>
  </si>
  <si>
    <t>La politique prévoit-elle des sanctions pour les violations répétées ?</t>
  </si>
  <si>
    <t>Aucune mention dans le document</t>
  </si>
  <si>
    <t>Réaliser une revue annuelle de la politique de gestion des licences.</t>
  </si>
  <si>
    <t>Revue annuelle de la politique</t>
  </si>
  <si>
    <t>La politique a-t-elle été mise à jour dans l'année ?</t>
  </si>
  <si>
    <t>Historique des versions de la politique</t>
  </si>
  <si>
    <t>Non-conformité à jour</t>
  </si>
  <si>
    <t>QUESTIONS D'EVALUATION</t>
  </si>
  <si>
    <t xml:space="preserve">RISQUES </t>
  </si>
  <si>
    <t>Audit de Sécurité Informatique</t>
  </si>
  <si>
    <t>Facteurs clés de succès</t>
  </si>
  <si>
    <t>Vérifier qu'une politique de sécurité est définie et correspond à l'activité de l'Organisation</t>
  </si>
  <si>
    <t>Existence d'un document formalisé de politique de sécurité</t>
  </si>
  <si>
    <t>La politique de sécurité est-elle documentée et formalisée ?</t>
  </si>
  <si>
    <t xml:space="preserve">Charte informatique  </t>
  </si>
  <si>
    <t xml:space="preserve">Exposition accrue aux cyberattaques  </t>
  </si>
  <si>
    <t xml:space="preserve">Élevée </t>
  </si>
  <si>
    <t xml:space="preserve">Non-conformité aux exigences réglementaires  </t>
  </si>
  <si>
    <t xml:space="preserve"> Rédiger et formaliser une politique de sécurité claire  </t>
  </si>
  <si>
    <t>Alignement explicite avec les activités et risques de l'organisation</t>
  </si>
  <si>
    <t>La politique couvre-t-elle spécifiquement les activités et risques de notre organisation ?</t>
  </si>
  <si>
    <t>Plan de sécurité ou schéma directeur de sécurité</t>
  </si>
  <si>
    <t xml:space="preserve">- Non-conformité aux exigences réglementaires (ex. RGPD, ISO 27001)  </t>
  </si>
  <si>
    <t xml:space="preserve">- Aligner la politique sur les activités et les risques spécifiques de l’organisation  </t>
  </si>
  <si>
    <t>Validation formelle par la direction générale</t>
  </si>
  <si>
    <t>La direction générale a-t-elle officiellement approuvé cette politique ?</t>
  </si>
  <si>
    <t xml:space="preserve">- Analyse de risques (ex. : EBIOS, ISO 27005)  </t>
  </si>
  <si>
    <t xml:space="preserve"> Mauvaise gestion des accès et des droits utilisateurs</t>
  </si>
  <si>
    <t>perte de confiance des partenaires et clients</t>
  </si>
  <si>
    <t>Mettre à jour régulièrement la politique de sécurité</t>
  </si>
  <si>
    <t>Mécanisme de révision périodique défini</t>
  </si>
  <si>
    <t>Existe-t-il un processus défini pour réviser régulièrement cette politique ?</t>
  </si>
  <si>
    <t xml:space="preserve"> Registre des actifs informationnels</t>
  </si>
  <si>
    <t xml:space="preserve"> Fuite ou perte de données sensibles</t>
  </si>
  <si>
    <t xml:space="preserve"> Mauvaise gestion des incidents de sécurité</t>
  </si>
  <si>
    <t xml:space="preserve">- Diffuser la politique à l’ensemble du personnel  </t>
  </si>
  <si>
    <t>Accessibilité et diffusion à l'ensemble du personnel</t>
  </si>
  <si>
    <t>Tous les employés ont-ils accès à cette politique et en ont-ils connaissance ?</t>
  </si>
  <si>
    <t xml:space="preserve">- Plan de continuité d'activité (PCA)  </t>
  </si>
  <si>
    <t>Faible sensibilisation des employés à la sécurité</t>
  </si>
  <si>
    <t>Difficulté à évaluer les risques réels</t>
  </si>
  <si>
    <t xml:space="preserve">- Former les employés à la compréhension et à l’application de cette politique  </t>
  </si>
  <si>
    <t>Vérifier qu'une démarche de mise en œuvre de la gestion de la sécurité est adoptée et compatible avec la culture de l'Organisation</t>
  </si>
  <si>
    <t>Plan d'implémentation concret et documenté</t>
  </si>
  <si>
    <t>Existe-t-il un plan détaillé pour mettre en œuvre la politique de sécurité ?</t>
  </si>
  <si>
    <t xml:space="preserve">Politique de sécurité de l'information  </t>
  </si>
  <si>
    <t xml:space="preserve">– Inadéquation des mesures de sécurité  </t>
  </si>
  <si>
    <t xml:space="preserve"> Atteinte à la confidentialité, intégrité et disponibilité des données  </t>
  </si>
  <si>
    <t xml:space="preserve"> Aligner la politique de sécurité avec les objectifs organisationnels  </t>
  </si>
  <si>
    <t>Adéquation avec les valeurs et processus existants</t>
  </si>
  <si>
    <t>Cette démarche tient-elle compte de notre culture organisationnelle et nos habitudes de travail ?</t>
  </si>
  <si>
    <t xml:space="preserve">– Plan de mise en œuvre de la sécurité  </t>
  </si>
  <si>
    <t xml:space="preserve">– Manque d'engagement de la direction  </t>
  </si>
  <si>
    <t xml:space="preserve">– Modérée à élevée  </t>
  </si>
  <si>
    <t xml:space="preserve">– Perturbation des opérations  </t>
  </si>
  <si>
    <t xml:space="preserve">– Impliquer la direction et les parties prenantes clés  </t>
  </si>
  <si>
    <t>Implication des différentes directions métiers</t>
  </si>
  <si>
    <t>Les différents services sont-ils impliqués dans cette mise en œuvre ?</t>
  </si>
  <si>
    <t xml:space="preserve">– Analyse de risques  </t>
  </si>
  <si>
    <t xml:space="preserve">– Résistance au changement  </t>
  </si>
  <si>
    <t xml:space="preserve">– Modérée  </t>
  </si>
  <si>
    <t xml:space="preserve">– Communiquer et former régulièrement le personnel  </t>
  </si>
  <si>
    <t>Indicateurs de progression définis</t>
  </si>
  <si>
    <t>Des indicateurs permettent-ils de mesurer l'avancement du déploiement ?</t>
  </si>
  <si>
    <t xml:space="preserve">– Procédures opérationnelles de sécurité  </t>
  </si>
  <si>
    <t xml:space="preserve">– Ressources insuffisantes  </t>
  </si>
  <si>
    <t xml:space="preserve">– Variable  </t>
  </si>
  <si>
    <t xml:space="preserve">– Sanctions légales et réglementaires  </t>
  </si>
  <si>
    <t xml:space="preserve">– Allouer des ressources adéquates  </t>
  </si>
  <si>
    <t>Mécanismes d'ajustement en fonction des retours</t>
  </si>
  <si>
    <t>Des ajustements sont-ils prévus en fonction des retours terrain ?</t>
  </si>
  <si>
    <t xml:space="preserve">– Registre des incidents de sécurité  </t>
  </si>
  <si>
    <t xml:space="preserve">– Non-conformité aux exigences légales et réglementaires  </t>
  </si>
  <si>
    <t xml:space="preserve">– Très élevée  </t>
  </si>
  <si>
    <t xml:space="preserve">– Détérioration de la réputation  </t>
  </si>
  <si>
    <t xml:space="preserve">– Évaluer et améliorer continuellement la démarche de sécurité  </t>
  </si>
  <si>
    <t>Vérifier que la direction assure un soutien total et un engagement visible pour la sécurité</t>
  </si>
  <si>
    <t>Communication régulière de la direction sur l'importance de la sécurité</t>
  </si>
  <si>
    <t>La direction communique-t-elle régulièrement sur les enjeux de sécurité ?</t>
  </si>
  <si>
    <t xml:space="preserve"> Déclaration d'engagement de la direction pour la sécurité  </t>
  </si>
  <si>
    <t xml:space="preserve">– Manque de soutien de la direction, menant à des lacunes dans la sécurité  </t>
  </si>
  <si>
    <t xml:space="preserve"> Très élevée  </t>
  </si>
  <si>
    <t xml:space="preserve">– Non-conformité avec les exigences légales et réglementaires  </t>
  </si>
  <si>
    <t xml:space="preserve">– Assurer une visibilité continue des actions de sécurité dans les réunions stratégiques  </t>
  </si>
  <si>
    <t>Allocation de ressources budgétaires dédiées</t>
  </si>
  <si>
    <t>Des ressources financières suffisantes sont-elles allouées à la sécurité ?</t>
  </si>
  <si>
    <t xml:space="preserve">– Rapports de réunions de direction sur la sécurité  </t>
  </si>
  <si>
    <t xml:space="preserve">– Sous-investissement dans les ressources de sécurité  </t>
  </si>
  <si>
    <t xml:space="preserve">– Augmentation des vulnérabilités face aux cyberattaques  </t>
  </si>
  <si>
    <t xml:space="preserve">– Allouer les ressources nécessaires pour garantir la mise en œuvre de la sécurité  </t>
  </si>
  <si>
    <t>Participation active aux comités sécurité</t>
  </si>
  <si>
    <t>Les membres de la direction participent-ils aux réunions sur la sécurité ?</t>
  </si>
  <si>
    <t xml:space="preserve">– Plan stratégique de sécurité  </t>
  </si>
  <si>
    <t xml:space="preserve">– Manque de visibilité sur la sécurité au sein de l'organisation  </t>
  </si>
  <si>
    <t xml:space="preserve">– Détérioration de la confiance des parties prenantes  </t>
  </si>
  <si>
    <t xml:space="preserve">– Sensibiliser régulièrement la direction aux risques et aux enjeux de sécurité  </t>
  </si>
  <si>
    <t>Intégration d'objectifs sécurité dans les évaluations</t>
  </si>
  <si>
    <t>Les objectifs sécurité font-ils partie des évaluations des managers ?</t>
  </si>
  <si>
    <t xml:space="preserve">– Audit de l'implication de la direction  </t>
  </si>
  <si>
    <t xml:space="preserve">– Absence de prise en charge des incidents de sécurité par la direction  </t>
  </si>
  <si>
    <t xml:space="preserve">– Réduction de la réactivité et de l'efficacité dans la gestion des incidents  </t>
  </si>
  <si>
    <t xml:space="preserve">– Mettre en place des indicateurs pour suivre et démontrer l'engagement de la direction  </t>
  </si>
  <si>
    <t>Exemplarité dans le respect des règles</t>
  </si>
  <si>
    <t>La direction donne-t-elle l'exemple en respectant les règles de sécurité ?</t>
  </si>
  <si>
    <t xml:space="preserve">– Analyse des ressources allouées à la sécurité  </t>
  </si>
  <si>
    <t xml:space="preserve">– Risque d'inefficacité dans la mise en œuvre des politiques de sécurité  </t>
  </si>
  <si>
    <t>– Élevée</t>
  </si>
  <si>
    <t xml:space="preserve">– Incidents de sécurité pouvant mener à des pertes financières ou de données  </t>
  </si>
  <si>
    <t>Impliquer la direction dans l'élaboration et la révision des politiques de sécurité</t>
  </si>
  <si>
    <t>Vérifier que les exigences de sécurité et les risques sont compris et évalués</t>
  </si>
  <si>
    <t>Inventaire complet des actifs critiques</t>
  </si>
  <si>
    <t>Dispose-t-on d'un inventaire à jour de tous les actifs critiques ?</t>
  </si>
  <si>
    <t xml:space="preserve"> Manque de soutien de la direction, menant à des lacunes dans la sécurité  </t>
  </si>
  <si>
    <t xml:space="preserve">Très élevée  </t>
  </si>
  <si>
    <t xml:space="preserve"> Exposition à des attaques de plus grande ampleur  </t>
  </si>
  <si>
    <t xml:space="preserve"> Mettre en place une analyse des risques régulière et détaillée  </t>
  </si>
  <si>
    <t>Processus formel d'évaluation des risques</t>
  </si>
  <si>
    <t>Existe-t-il un processus structuré pour évaluer les risques sécurité ?</t>
  </si>
  <si>
    <t xml:space="preserve">– Manque de conformité réglementaire et légale  </t>
  </si>
  <si>
    <t xml:space="preserve">– Former les équipes à identifier et à comprendre les risques de sécurité  </t>
  </si>
  <si>
    <t>Documentation des analyses de risques</t>
  </si>
  <si>
    <t>Les analyses de risques sont-elles documentées et accessibles ?</t>
  </si>
  <si>
    <t xml:space="preserve">– Perte de données sensibles ou critiques  </t>
  </si>
  <si>
    <t>– Revoir périodiquement les exigences de sécurité et les adapter aux nouveaux risques</t>
  </si>
  <si>
    <t>Méthodologie d'évaluation standardisée</t>
  </si>
  <si>
    <t>Utilise-t-on une méthodologie reconnue pour ces évaluations ?</t>
  </si>
  <si>
    <t xml:space="preserve">– Faiblesse dans la réponse aux incidents de sécurité  </t>
  </si>
  <si>
    <t xml:space="preserve"> Impliquer les parties prenantes dans l'évaluation des risques et des impacts  </t>
  </si>
  <si>
    <t>Revue régulière des évaluations</t>
  </si>
  <si>
    <t>Ces évaluations sont-elles réexaminées périodiquement ?</t>
  </si>
  <si>
    <t xml:space="preserve">– Perturbation de l’activité et dégradation de la réputation de l’organisation  </t>
  </si>
  <si>
    <t xml:space="preserve">– S'assurer que les plans de réponse aux risques sont actualisés et adaptés  </t>
  </si>
  <si>
    <t>Vérifier que l'ensemble des responsables et des employés sont sensibilisés et informés</t>
  </si>
  <si>
    <t>Programme de sensibilisation annuel</t>
  </si>
  <si>
    <t>Un programme annuel de sensibilisation est-il en place ?</t>
  </si>
  <si>
    <t xml:space="preserve">Plan de sensibilisation à la sécurité  </t>
  </si>
  <si>
    <t xml:space="preserve"> Manque de vigilance face aux attaques et aux cybermenaces  </t>
  </si>
  <si>
    <t xml:space="preserve">Augmentation des incidents de sécurité liés à l'erreur humaine  </t>
  </si>
  <si>
    <t xml:space="preserve">– Assurer une sensibilisation ciblée en fonction des rôles et responsabilités  </t>
  </si>
  <si>
    <t>Contenu adapté aux différents métiers</t>
  </si>
  <si>
    <t>Les formations sont-elles adaptées aux différents services et métiers ?</t>
  </si>
  <si>
    <t xml:space="preserve">– Enregistrements des sessions de formation et des ateliers  </t>
  </si>
  <si>
    <t xml:space="preserve">– Utilisation de pratiques de sécurité faibles ou inappropriées par les employés  </t>
  </si>
  <si>
    <t xml:space="preserve">– Compromission des systèmes par des attaques ciblant des employés non sensibilisés  </t>
  </si>
  <si>
    <t xml:space="preserve">– Mettre en place un processus de vérification régulière des connaissances des employés en matière de sécurité  </t>
  </si>
  <si>
    <t>Taux de participation mesuré</t>
  </si>
  <si>
    <t>Mesure-t-on le taux de participation aux formations sécurité ?</t>
  </si>
  <si>
    <t xml:space="preserve">– Rapports d'évaluations des programmes de sensibilisation  </t>
  </si>
  <si>
    <t xml:space="preserve">– Incapacité à détecter ou à réagir aux incidents de sécurité  </t>
  </si>
  <si>
    <t xml:space="preserve">– Violation des politiques de sécurité interne et risques légaux  </t>
  </si>
  <si>
    <t xml:space="preserve">– Encourager la remontée d'incidents et de comportements suspects pour renforcer la vigilance  </t>
  </si>
  <si>
    <t>Évaluation de l'efficacité des formations</t>
  </si>
  <si>
    <t>Évalue-t-on l'impact des actions de sensibilisation ?</t>
  </si>
  <si>
    <t xml:space="preserve">– Politique interne de sécurité et communication  </t>
  </si>
  <si>
    <t xml:space="preserve">– Non-conformité avec les bonnes pratiques et politiques de sécurité  </t>
  </si>
  <si>
    <t xml:space="preserve">– Perte de données critiques ou sensibles  </t>
  </si>
  <si>
    <t xml:space="preserve">– Créer une culture de sécurité où chaque membre de l'organisation est responsable de la protection des données et des systèmes  </t>
  </si>
  <si>
    <t>Supports d'information régulièrement mis à jour</t>
  </si>
  <si>
    <t>Les supports d'information sont-ils actualisés régulièrement ?</t>
  </si>
  <si>
    <t xml:space="preserve">– Supports de formation (présentations, vidéos, guides)  </t>
  </si>
  <si>
    <t xml:space="preserve">– Exposition à des risques humains (erreur, négligence) qui compromettent la sécurité  </t>
  </si>
  <si>
    <t xml:space="preserve">– Détérioration de la confiance des clients et des partenaires  </t>
  </si>
  <si>
    <t xml:space="preserve"> Déployer un programme de formation continue sur la cybersécurité pour tous les employés</t>
  </si>
  <si>
    <t>Vérifier que les lignes directrices de la politique de sécurité et des normes de sécurité de l'information sont distribuées à tous les employés et fournisseurs</t>
  </si>
  <si>
    <t>Documentation officielle disponible</t>
  </si>
  <si>
    <t>Les documents normatifs sont-ils accessibles à l'ensemble du personnel ?</t>
  </si>
  <si>
    <t xml:space="preserve">– Copie de la politique de sécurité de l'information  </t>
  </si>
  <si>
    <t xml:space="preserve"> Non-respect des normes de sécurité en raison de l'ignorance des lignes directrices  </t>
  </si>
  <si>
    <t xml:space="preserve"> Atteinte à la confidentialité, à l'intégrité et à la disponibilité des informations  </t>
  </si>
  <si>
    <t xml:space="preserve">– S'assurer que chaque employé et fournisseur signe un document de réception des lignes directrices et des normes de sécurité  </t>
  </si>
  <si>
    <t>Canaux de diffusion multiples</t>
  </si>
  <si>
    <t>Plusieurs canaux (intranet, email, affichage) sont-ils utilisés pour la diffusion ?</t>
  </si>
  <si>
    <t xml:space="preserve">– Liste de distribution des lignes directrices et des normes de sécurité  </t>
  </si>
  <si>
    <t xml:space="preserve">– Absence de compréhension des obligations de sécurité par les employés et fournisseurs  </t>
  </si>
  <si>
    <t xml:space="preserve">– Incidents de sécurité dus à des comportements non conformes des employés ou fournisseurs  </t>
  </si>
  <si>
    <t xml:space="preserve">– Organiser des sessions régulières de formation et de sensibilisation sur les normes de sécurité de l'information  </t>
  </si>
  <si>
    <t>Version unique et actualisée</t>
  </si>
  <si>
    <t>Existe-t-il un système garantissant que seule la dernière version circule ?</t>
  </si>
  <si>
    <t xml:space="preserve">– Accusés de réception de la distribution des documents  </t>
  </si>
  <si>
    <t xml:space="preserve">– Risques de violation de la politique de sécurité par des tiers non informés  </t>
  </si>
  <si>
    <t xml:space="preserve">– Perte de données sensibles ou violations de données  </t>
  </si>
  <si>
    <t xml:space="preserve">– Mettre en place un système de suivi pour vérifier que les lignes directrices sont effectivement reçues et comprises  </t>
  </si>
  <si>
    <t>Accusé de réception obligatoire</t>
  </si>
  <si>
    <t>Un système permet-il de vérifier que chaque employé a bien reçu les documents ?</t>
  </si>
  <si>
    <t xml:space="preserve">– Plan de communication interne pour la sécurité de l'information  </t>
  </si>
  <si>
    <t xml:space="preserve">– Manque de conformité réglementaire en matière de sécurité de l'information  </t>
  </si>
  <si>
    <t>– Impact sur la réputation de l'organisation et perte de confiance des clients</t>
  </si>
  <si>
    <t xml:space="preserve">– Assurer une communication claire et fréquente des changements dans la politique ou les normes de sécurité  </t>
  </si>
  <si>
    <t>Adaptation pour les fournisseurs externes</t>
  </si>
  <si>
    <t>Des versions adaptées sont-elles fournies aux partenaires et sous-traitants ?</t>
  </si>
  <si>
    <t xml:space="preserve">– Registre des formations et des sensibilisations relatives à la politique de sécurité  </t>
  </si>
  <si>
    <t xml:space="preserve">– Compromission des données sensibles par négligence ou non-conformité  </t>
  </si>
  <si>
    <t xml:space="preserve"> Poursuites judiciaires ou sanctions liées à des violations de la législation en matière de sécurité de l'information  </t>
  </si>
  <si>
    <t xml:space="preserve">– Auditer régulièrement la conformité avec les lignes directrices de sécurité pour détecter d'éventuelles lacunes  </t>
  </si>
  <si>
    <t>Vérifier que les acteurs de la sécurité sont formés de manière appropriée</t>
  </si>
  <si>
    <t>Programme de formation annuel</t>
  </si>
  <si>
    <t>Un plan de formation sécurité est-il établi pour l'année ?</t>
  </si>
  <si>
    <t xml:space="preserve"> Liste des formations de sécurité suivies par les acteurs de la sécurité  </t>
  </si>
  <si>
    <t xml:space="preserve"> Manque de compétences dans la gestion des incidents de sécurité  </t>
  </si>
  <si>
    <t xml:space="preserve"> Risque accru d'attaques réussies et de fuites de données  </t>
  </si>
  <si>
    <t xml:space="preserve"> S'assurer que tous les acteurs de la sécurité suivent des formations spécifiques et certifiantes en cybersécurité  </t>
  </si>
  <si>
    <t>Contenu adapté aux rôles</t>
  </si>
  <si>
    <t>Les formations diffèrent-elles selon les métiers (RSSI, correspondants, etc.) ?</t>
  </si>
  <si>
    <t xml:space="preserve">– Registre des certifications et qualifications des responsables de la sécurité  </t>
  </si>
  <si>
    <t xml:space="preserve">– Erreurs humaines dues à une formation insuffisante  </t>
  </si>
  <si>
    <t xml:space="preserve">– Inefficacité dans la réponse aux incidents de sécurité, aggravant ainsi les dommages  </t>
  </si>
  <si>
    <t xml:space="preserve">– Organiser des sessions de formation régulières pour maintenir à jour les compétences des responsables de la sécurité  </t>
  </si>
  <si>
    <t>Évaluation des compétences</t>
  </si>
  <si>
    <t>Des tests valident-ils l'acquisition des connaissances ?</t>
  </si>
  <si>
    <t xml:space="preserve">– Plan de formation continue pour les acteurs de la sécurité  </t>
  </si>
  <si>
    <t xml:space="preserve">– Risque de non-conformité aux normes et réglementations de sécurité  </t>
  </si>
  <si>
    <t xml:space="preserve">– Non-respect des obligations réglementaires entraînant des sanctions  </t>
  </si>
  <si>
    <t xml:space="preserve">– Évaluer régulièrement l'efficacité de la formation et ajuster les programmes en fonction des nouvelles menaces  </t>
  </si>
  <si>
    <t>Le taux de participation est-il suivi et analysé ?</t>
  </si>
  <si>
    <t xml:space="preserve">– Rapports de suivi des formations et évaluations de la compétence des acteurs de sécurité  </t>
  </si>
  <si>
    <t xml:space="preserve">– Inefficacité dans la mise en œuvre des mesures de sécurité  </t>
  </si>
  <si>
    <t>– Pertes financières dues à des violations de sécurité ou à la non-conformité</t>
  </si>
  <si>
    <t xml:space="preserve">– Encourager la participation des acteurs de la sécurité à des conférences et à des séminaires sur la cybersécurité pour renforcer leur expertise  </t>
  </si>
  <si>
    <t>Mise à jour régulière des modules</t>
  </si>
  <si>
    <t>Le contenu des formations est-il revu après des incidents majeurs ?</t>
  </si>
  <si>
    <t xml:space="preserve">– Politique de gestion des compétences et de la formation en matière de sécurité de l'information  </t>
  </si>
  <si>
    <t xml:space="preserve">– Mauvaise gestion des vulnérabilités et des menaces en raison de lacunes dans les compétences  </t>
  </si>
  <si>
    <t xml:space="preserve">– Altération de la réputation de l'organisation suite à des incidents évitables  </t>
  </si>
  <si>
    <t xml:space="preserve">– Mettre en place des exercices de simulation d'incidents pour tester la réactivité et l'efficacité des acteurs de la sécurité  </t>
  </si>
  <si>
    <t>Vérifier qu'un système de mesure complet est mis en place pour évaluer l'efficacité de la gestion de la sécurité</t>
  </si>
  <si>
    <t>Des indicateurs clés de performance sécurité sont-ils définis et suivis ?</t>
  </si>
  <si>
    <t xml:space="preserve">Politique de mesure de la sécurité de l'information  </t>
  </si>
  <si>
    <t xml:space="preserve">Absence d'indicateurs clairs, entraînant une mauvaise évaluation de l'efficacité des mesures de sécurité  </t>
  </si>
  <si>
    <t xml:space="preserve">Risque accru de cyberattaques non détectées et de violations de données  </t>
  </si>
  <si>
    <t xml:space="preserve"> Mettre en place des indicateurs de performance clés (KPI) pour mesurer l'efficacité des processus de sécurité  </t>
  </si>
  <si>
    <t>Fréquence d'analyse définie</t>
  </si>
  <si>
    <t>Ces indicateurs sont-ils analysés au moins trimestriellement ?</t>
  </si>
  <si>
    <t xml:space="preserve">– Rapport d'audit de sécurité précédent  </t>
  </si>
  <si>
    <t xml:space="preserve">– Incapacité à détecter des failles de sécurité en temps réel  </t>
  </si>
  <si>
    <t xml:space="preserve">– Pertes financières dues à des failles de sécurité non identifiées à temps  </t>
  </si>
  <si>
    <t xml:space="preserve">– Implémenter des systèmes de surveillance en temps réel pour évaluer les menaces et les réponses de sécurité  </t>
  </si>
  <si>
    <t>Benchmark sectoriel</t>
  </si>
  <si>
    <t>Les résultats sont-ils comparés à ceux d'organisations similaires ?</t>
  </si>
  <si>
    <t xml:space="preserve">– Plan de gestion des risques avec les indicateurs de performance associés  </t>
  </si>
  <si>
    <t xml:space="preserve">– Mauvaise gestion des incidents de sécurité en raison de l'absence de mécanismes de mesure  </t>
  </si>
  <si>
    <t xml:space="preserve">– Dommages à la réputation de l'organisation après une violation de la sécurité non contrôlée  </t>
  </si>
  <si>
    <t xml:space="preserve">– Effectuer des audits réguliers pour tester l'efficacité des mesures de sécurité et faire des ajustements  </t>
  </si>
  <si>
    <t>Processus d'amélioration continue</t>
  </si>
  <si>
    <t>Les écarts donnent-ils lieu à des plans d'action concrets ?</t>
  </si>
  <si>
    <t xml:space="preserve">– Tableau de bord des mesures de sécurité et des performances  </t>
  </si>
  <si>
    <t xml:space="preserve">– Non-conformité avec les normes et réglementations de sécurité de l'information  </t>
  </si>
  <si>
    <t>– Sanctions légales et réglementaires pour non-conformité aux exigences de sécurité</t>
  </si>
  <si>
    <t xml:space="preserve">– Analyser régulièrement les données collectées par les systèmes de sécurité pour repérer les tendances et faiblesses  </t>
  </si>
  <si>
    <t>Communication des résultats à la direction</t>
  </si>
  <si>
    <t>La direction reçoit-elle régulièrement un reporting sur ces mesures ?</t>
  </si>
  <si>
    <t xml:space="preserve">– Enregistrements des évaluations de la sécurité et rapports d'audit internes/externes  </t>
  </si>
  <si>
    <t xml:space="preserve">– Inefficacité dans l'amélioration continue de la gestion de la sécurité  </t>
  </si>
  <si>
    <t>– Impossibilité de prendre des décisions éclairées pour améliorer la sécurité de l'organisation</t>
  </si>
  <si>
    <t xml:space="preserve">– Assurer une revue périodique des rapports de sécurité pour garantir la conformité et l'amélioration continue des pratiques de sécurité  </t>
  </si>
  <si>
    <t>Politique de sécurité</t>
  </si>
  <si>
    <t>S’assurer qu’il existe une politique de sécurité formalisée avec une implication de la direction générale</t>
  </si>
  <si>
    <t>Document officiel signé par la direction</t>
  </si>
  <si>
    <t>La politique est-elle signée par la direction générale ?</t>
  </si>
  <si>
    <t xml:space="preserve">Politique de sécurité formalisée  </t>
  </si>
  <si>
    <t xml:space="preserve">Absence de politique de sécurité claire pouvant entraîner des pratiques incohérentes et un manque de coordination  </t>
  </si>
  <si>
    <t xml:space="preserve"> Vulnerabilité accrue aux attaques cybernétiques en raison de la gestion désorganisée de la sécurité  </t>
  </si>
  <si>
    <t xml:space="preserve">S'assurer que la direction générale approuve et soutient activement la politique de sécurité  </t>
  </si>
  <si>
    <t>Définition claire des rôles et responsabilités</t>
  </si>
  <si>
    <t>Les responsabilités en matière de sécurité sont-elles explicitement définies ?</t>
  </si>
  <si>
    <t xml:space="preserve">– Charte de sécurité de l'information signée par la direction générale  </t>
  </si>
  <si>
    <t xml:space="preserve">– Manque de soutien de la direction générale pouvant affaiblir l'engagement envers la sécurité  </t>
  </si>
  <si>
    <t xml:space="preserve">– Incapacité à protéger correctement les données sensibles et à répondre rapidement aux incidents de sécurité  </t>
  </si>
  <si>
    <t xml:space="preserve">– Formaliser la politique de sécurité et veiller à son alignement avec les objectifs stratégiques de l'organisation  </t>
  </si>
  <si>
    <t>Processus de validation hiérarchique</t>
  </si>
  <si>
    <t>La politique a-t-elle été validée par les instances dirigeantes ?</t>
  </si>
  <si>
    <t xml:space="preserve">– Plan stratégique de gestion de la sécurité  </t>
  </si>
  <si>
    <t xml:space="preserve">– Non-conformité aux normes et aux exigences légales en matière de cybersécurité  </t>
  </si>
  <si>
    <t>– Sanctions légales et réglementaires pour non-respect des obligations de sécurité</t>
  </si>
  <si>
    <t xml:space="preserve">– Définir des rôles et responsabilités clairs pour la sécurité à tous les niveaux de l'organisation  </t>
  </si>
  <si>
    <t>Versionnage et historique des modifications</t>
  </si>
  <si>
    <t>Existe-t-il un système de gestion des versions de la politique ?</t>
  </si>
  <si>
    <t xml:space="preserve">– Rapport d'audit de la politique de sécurité  </t>
  </si>
  <si>
    <t xml:space="preserve">– Difficulté à identifier les priorités et les actions de sécurité sans une politique formelle  </t>
  </si>
  <si>
    <t xml:space="preserve"> Perte de confiance des partenaires et des clients en raison du manque de sécurité  </t>
  </si>
  <si>
    <t xml:space="preserve">– Organiser des sessions de sensibilisation et de formation pour la direction générale et les responsables de la sécurité  </t>
  </si>
  <si>
    <t>Accessibilité physique et numérique</t>
  </si>
  <si>
    <t>Le document est-il disponible sur l’intranet et en version imprimée ?</t>
  </si>
  <si>
    <t xml:space="preserve">– Organigramme de la direction avec l'affectation des responsabilités en matière de sécurité  </t>
  </si>
  <si>
    <t xml:space="preserve">– Problèmes de gouvernance, avec une déresponsabilisation des équipes de sécurité  </t>
  </si>
  <si>
    <t xml:space="preserve">– Impact négatif sur la réputation et l'image de l'organisation  </t>
  </si>
  <si>
    <t xml:space="preserve">– Effectuer des revues régulières de la politique de sécurité pour garantir son efficacité et sa mise à jour  </t>
  </si>
  <si>
    <t>S’assurer que la communication se fait à tous les utilisateurs sous une forme pertinente, accessible et compréhensible</t>
  </si>
  <si>
    <t>Supports adaptés aux différents métiers</t>
  </si>
  <si>
    <t>Des supports spécifiques existent-ils pour les différents services (ex : IT, RH, etc.) ?</t>
  </si>
  <si>
    <t xml:space="preserve"> Plan de communication sur la sécurité  </t>
  </si>
  <si>
    <t xml:space="preserve"> Mauvaise compréhension des messages de sécurité, ce qui peut conduire à des erreurs humaines  </t>
  </si>
  <si>
    <t xml:space="preserve">Augmentation des risques d'incidents de sécurité en raison de comportements non sécurisés des utilisateurs  </t>
  </si>
  <si>
    <t xml:space="preserve">– Développer des supports de communication simples, clairs et adaptés au niveau de compréhension des utilisateurs  </t>
  </si>
  <si>
    <t>Campagnes de communication régulières</t>
  </si>
  <si>
    <t>Des rappels sur la politique sont-ils envoyés trimestriellement ?</t>
  </si>
  <si>
    <t xml:space="preserve">– Copies des communications envoyées aux utilisateurs (emails, newsletters, affichages, etc.)  </t>
  </si>
  <si>
    <t xml:space="preserve">– Manque d'engagement des utilisateurs à suivre les pratiques de sécurité recommandées  </t>
  </si>
  <si>
    <t>– Impact sur la productivité en cas de confusion ou de mauvaise interprétation des consignes</t>
  </si>
  <si>
    <t xml:space="preserve">– Organiser des campagnes de sensibilisation régulières et diversifiées (ateliers, vidéos, emails, etc.)  </t>
  </si>
  <si>
    <t>Traduction dans les langues utilisées par le personnel</t>
  </si>
  <si>
    <t>La politique est-elle disponible dans les langues des employés non francophones ?</t>
  </si>
  <si>
    <t xml:space="preserve">– Rapport sur les sessions de formation et de sensibilisation à la sécurité  </t>
  </si>
  <si>
    <t xml:space="preserve">– Risque de non-conformité aux exigences de sécurité de l'information en raison de la mauvaise communication  </t>
  </si>
  <si>
    <t xml:space="preserve"> Non-conformité aux exigences de sécurité réglementaires, pouvant entraîner des amendes ou sanctions  </t>
  </si>
  <si>
    <t xml:space="preserve">– Utiliser des canaux de communication accessibles à tous les utilisateurs (intranet, emails, affichages)  </t>
  </si>
  <si>
    <t>Mécanismes de feedback des employés</t>
  </si>
  <si>
    <t>Un système de questions/réponses permet-il de clarifier les points obscurs ?</t>
  </si>
  <si>
    <t xml:space="preserve">– Feedback des utilisateurs sur la clarté et la compréhension des messages  </t>
  </si>
  <si>
    <t xml:space="preserve">– Frustration des utilisateurs due à des messages trop complexes ou techniques  </t>
  </si>
  <si>
    <t xml:space="preserve">– Rejet ou ignorance des politiques de sécurité par les utilisateurs, rendant les mesures inefficaces  </t>
  </si>
  <si>
    <t xml:space="preserve">– Mettre en place des mécanismes de feedback pour vérifier la compréhension des messages par les utilisateurs  </t>
  </si>
  <si>
    <t>Indicateurs de taux de lecture/diffusion</t>
  </si>
  <si>
    <t>Mesure-t-on le pourcentage d’employés ayant pris connaissance de la politique ?</t>
  </si>
  <si>
    <t xml:space="preserve">– Exemples de supports de communication (brochures, vidéos, intranet)  </t>
  </si>
  <si>
    <t xml:space="preserve">– Difficulté à gérer les incidents de sécurité en raison du manque de formation et d'information claire  </t>
  </si>
  <si>
    <t xml:space="preserve">– Difficulté à répondre aux incidents de sécurité en raison d’une réaction tardive ou inappropriée des utilisateurs  </t>
  </si>
  <si>
    <t xml:space="preserve">– Adapter les messages de sécurité à l'audience spécifique (par exemple, managers, employés, prestataires externes)  </t>
  </si>
  <si>
    <t>S’assurer qu’une revue régulière de la politique est réalisée afin de vérifier son adéquation</t>
  </si>
  <si>
    <t>Calendrier de révision formalisé</t>
  </si>
  <si>
    <t>La politique est-elle révisée au moins annuellement ?</t>
  </si>
  <si>
    <t xml:space="preserve">Politique obsolète ou inadaptée aux nouveaux risques  </t>
  </si>
  <si>
    <t xml:space="preserve">Exposition accrue aux menaces émergentes non prises en compte  </t>
  </si>
  <si>
    <t xml:space="preserve">Désigner des responsables chargés de l’actualisation régulière des documents  </t>
  </si>
  <si>
    <t>Implication des parties prenantes (métiers, juridique, etc.)</t>
  </si>
  <si>
    <t>Les différents services contribuent-ils aux mises à jour ?</t>
  </si>
  <si>
    <t xml:space="preserve">– Planning ou calendrier des revues de la politique  </t>
  </si>
  <si>
    <t xml:space="preserve">– Non-conformité aux évolutions réglementaires ou normatives  </t>
  </si>
  <si>
    <t xml:space="preserve">– Sanctions réglementaires en cas de non-conformité  </t>
  </si>
  <si>
    <t xml:space="preserve">– Intégrer les résultats d’audits, incidents et retours d’expérience dans la mise à jour  </t>
  </si>
  <si>
    <t>Analyse des incidents pour ajustements</t>
  </si>
  <si>
    <t>Les retours d’incidents influencent-ils les révisions ?</t>
  </si>
  <si>
    <t xml:space="preserve">– Comptes rendus des réunions de revue  </t>
  </si>
  <si>
    <t xml:space="preserve">– Failles de sécurité non couvertes par les mesures en place  </t>
  </si>
  <si>
    <t xml:space="preserve">– Incident de sécurité majeur lié à une mauvaise couverture des risques  </t>
  </si>
  <si>
    <t xml:space="preserve">– Communiquer les évolutions de la politique à tous les utilisateurs  </t>
  </si>
  <si>
    <t>Benchmark des meilleures pratiques sectorielles</t>
  </si>
  <si>
    <t>La politique est-elle comparée aux standards du secteur (ISO 27001, etc.) ?</t>
  </si>
  <si>
    <t xml:space="preserve">– Rapports d’audit internes ou externes  </t>
  </si>
  <si>
    <t xml:space="preserve">– Perte de crédibilité des politiques de sécurité auprès des utilisateurs  </t>
  </si>
  <si>
    <t xml:space="preserve">– Moyenne  </t>
  </si>
  <si>
    <t xml:space="preserve">– Difficulté à sensibiliser les utilisateurs sur une politique déconnectée de la réalité  </t>
  </si>
  <si>
    <t xml:space="preserve">– Aligner les mises à jour de la politique avec les changements organisationnels et technologiques  </t>
  </si>
  <si>
    <t>Documentation des décisions de modification</t>
  </si>
  <si>
    <t>Les modifications sont-elles tracées avec leurs justifications ?</t>
  </si>
  <si>
    <t xml:space="preserve">– Registre des modifications ou mises à jour de la politique  </t>
  </si>
  <si>
    <t xml:space="preserve">– Inefficacité des contrôles liés à des exigences dépassées  </t>
  </si>
  <si>
    <t xml:space="preserve">– Perte de confiance des parties prenantes internes et externes  </t>
  </si>
  <si>
    <t xml:space="preserve"> Mettre en place une procédure formalisée de revue périodique de la politique</t>
  </si>
  <si>
    <t>S’assurer que la démarche de sécurité inclut la totalité de l’informatique (sans zones d’ombre)</t>
  </si>
  <si>
    <t>Inventaire exhaustif des équipements couverts</t>
  </si>
  <si>
    <t>Tous les équipements IT (même imprimantes/GSB) sont-ils inclus ?</t>
  </si>
  <si>
    <t xml:space="preserve"> Cartographie du système d'information  </t>
  </si>
  <si>
    <t xml:space="preserve"> Oubli de certains actifs critiques non protégés  </t>
  </si>
  <si>
    <t xml:space="preserve"> Compromission de données sensibles par une faille ignorée  </t>
  </si>
  <si>
    <t xml:space="preserve"> Réaliser une cartographie exhaustive et actualisée du SI  </t>
  </si>
  <si>
    <t>Procédures spécifiques pour les systèmes critiques</t>
  </si>
  <si>
    <t>Des règles supplémentaires s’appliquent-elles aux systèmes sensibles ?</t>
  </si>
  <si>
    <t xml:space="preserve">– Politique de sécurité informatique  </t>
  </si>
  <si>
    <t xml:space="preserve">– Présence de failles dans des zones non couvertes  </t>
  </si>
  <si>
    <t xml:space="preserve">– Non-conformité réglementaire  </t>
  </si>
  <si>
    <t xml:space="preserve">– Intégrer tous les composants IT et OT dans la démarche de sécurité  </t>
  </si>
  <si>
    <t>Intégration des objets connectés (IoT)</t>
  </si>
  <si>
    <t>Les dispositifs IoT sont-ils soumis aux mêmes exigences ?</t>
  </si>
  <si>
    <t xml:space="preserve">– Registre des actifs informatiques  </t>
  </si>
  <si>
    <t xml:space="preserve">– Accès non contrôlé à des systèmes isolés  </t>
  </si>
  <si>
    <t xml:space="preserve">– Interruption de service suite à un incident dans une zone non sécurisée  </t>
  </si>
  <si>
    <t>– Mettre à jour régulièrement le registre des actifs</t>
  </si>
  <si>
    <t>Contrôle des sous-traitants et partenaires</t>
  </si>
  <si>
    <t>Les sous-traitants doivent-ils respecter cette politique ?</t>
  </si>
  <si>
    <t xml:space="preserve">– Plan de gestion des risques  </t>
  </si>
  <si>
    <t xml:space="preserve">– Incohérences dans les politiques de sécurité appliquées  </t>
  </si>
  <si>
    <t xml:space="preserve">– Risque d’effet domino à partir d’une zone vulnérable  </t>
  </si>
  <si>
    <t xml:space="preserve"> Auditer les segments non conventionnels (imprimantes, IoT, systèmes en fin de vie)  </t>
  </si>
  <si>
    <t>Audits couvrant l’ensemble du périmètre</t>
  </si>
  <si>
    <t>Les audits vérifient-ils l’absence d’exclusions arbitraires ?</t>
  </si>
  <si>
    <t xml:space="preserve">– Comptes rendus d’audits de sécurité  </t>
  </si>
  <si>
    <t xml:space="preserve">– Propagation d’attaques via des segments négligés  </t>
  </si>
  <si>
    <t xml:space="preserve">– Baisse de la confiance des partenaires et des utilisateurs  </t>
  </si>
  <si>
    <t xml:space="preserve">– Renforcer la coordination entre équipes techniques, métiers et RSSI  </t>
  </si>
  <si>
    <t>Organisation de la sécurité</t>
  </si>
  <si>
    <t xml:space="preserve">S’assurer qu’il existe une structure dédiée à la gestion de lasécurité de l'information : un comité sécurité, un responsable de la sécurité du système d'information (RSSI) et des correspondants sécurité dans les unités </t>
  </si>
  <si>
    <t>Existence d'un RSSI nommé officiellement</t>
  </si>
  <si>
    <t>Un Responsable de la Sécurité des Systèmes d'Information est-il formellement désigné ?</t>
  </si>
  <si>
    <t>non</t>
  </si>
  <si>
    <t xml:space="preserve"> Organigramme de la sécurité informatique  </t>
  </si>
  <si>
    <t xml:space="preserve">Absence de pilotage clair de la sécurité  </t>
  </si>
  <si>
    <t xml:space="preserve">Incidents non détectés ou mal gérés  </t>
  </si>
  <si>
    <t xml:space="preserve"> Désigner officiellement un RSSI avec les moyens et prérogatives nécessaires  </t>
  </si>
  <si>
    <t>Création d'un comité sécurité opérationnel</t>
  </si>
  <si>
    <t>Un comité sécurité se réunit-il régulièrement avec un ordre du jour défini ?</t>
  </si>
  <si>
    <t xml:space="preserve">– Fiches de poste du RSSI et des correspondants sécurité  </t>
  </si>
  <si>
    <t xml:space="preserve">– Répartition floue des responsabilités  </t>
  </si>
  <si>
    <t xml:space="preserve">– Délai de réaction prolongé face aux menaces  </t>
  </si>
  <si>
    <t xml:space="preserve">– Créer un comité de sécurité actif et transversal  </t>
  </si>
  <si>
    <t>Désignation de correspondants sécurité dans les unités</t>
  </si>
  <si>
    <t>Chaque département dispose-t-il d'un correspondant sécurité identifié ?</t>
  </si>
  <si>
    <t xml:space="preserve">– Procès-verbaux des réunions du comité de sécurité  </t>
  </si>
  <si>
    <t xml:space="preserve">– Décisions de sécurité non suivies d'effets  </t>
  </si>
  <si>
    <t xml:space="preserve">– Décrochage des unités locales vis-à-vis des politiques centrales  </t>
  </si>
  <si>
    <t xml:space="preserve">– Identifier des référents sécurité dans chaque unité ou direction  </t>
  </si>
  <si>
    <t>Organigramme officiel de la structure sécurité</t>
  </si>
  <si>
    <t>L'organigramme de la sécurité est-il documenté et diffusé ?</t>
  </si>
  <si>
    <t xml:space="preserve">– Charte de gouvernance SSI  </t>
  </si>
  <si>
    <t xml:space="preserve">– Mauvaise coordination entre entités  </t>
  </si>
  <si>
    <t xml:space="preserve">– Fragmentation de la stratégie SSI  </t>
  </si>
  <si>
    <t>– Clarifier et formaliser les rôles et responsabilités dans un document validé par la direction</t>
  </si>
  <si>
    <t>Budget annuel alloué à la sécurité</t>
  </si>
  <si>
    <t>Existe-t-il un budget spécifique pour les initiatives de sécurité ?</t>
  </si>
  <si>
    <t xml:space="preserve">– Politique de sécurité de l’information  </t>
  </si>
  <si>
    <t xml:space="preserve">– Manque de visibilité sur les incidents et les priorités  </t>
  </si>
  <si>
    <t xml:space="preserve">– Perte de contrôle global sur le niveau de sécurité  </t>
  </si>
  <si>
    <t xml:space="preserve"> Assurer une coordination régulière via des réunions, outils collaboratifs et reportings  </t>
  </si>
  <si>
    <t>Vérifier qu’il y a une attribution claire des responsabilités</t>
  </si>
  <si>
    <t>Matrice RACI pour les processus sécurité</t>
  </si>
  <si>
    <t>Une matrice RACI pour les activités sécurité est-elle disponible ?</t>
  </si>
  <si>
    <t xml:space="preserve">Fiches de poste des acteurs clés (RSSI, administrateurs, chefs de projet, etc.)  </t>
  </si>
  <si>
    <t xml:space="preserve">Tâches de sécurité non exécutées ou en doublon  </t>
  </si>
  <si>
    <t xml:space="preserve"> Élevée  </t>
  </si>
  <si>
    <t xml:space="preserve"> Dysfonctionnements opérationnels  </t>
  </si>
  <si>
    <t xml:space="preserve"> Définir et valider les rôles et responsabilités dans un document officiel  </t>
  </si>
  <si>
    <t>Description de poste incluant les obligations sécurité</t>
  </si>
  <si>
    <t>Les fiches de poste mentionnent-elles explicitement les responsabilités sécurité ?</t>
  </si>
  <si>
    <t xml:space="preserve">– Organigramme fonctionnel et hiérarchique  </t>
  </si>
  <si>
    <t xml:space="preserve">– Incertitude sur qui réagit en cas d’incident  </t>
  </si>
  <si>
    <t xml:space="preserve">– Allongement des délais de réponse  </t>
  </si>
  <si>
    <t xml:space="preserve">– Utiliser une matrice RACI pour tous les processus clés  </t>
  </si>
  <si>
    <t>Procédures de délégation en cas d'absence</t>
  </si>
  <si>
    <t>Existe-t-il des suppléants désignés pour les rôles critiques ?</t>
  </si>
  <si>
    <t xml:space="preserve">– Matrice RACI (Responsable, Approbateur, Consulté, Informé)  </t>
  </si>
  <si>
    <t xml:space="preserve">– Conflits ou lacunes dans la prise de décision  </t>
  </si>
  <si>
    <t xml:space="preserve">– Pertes ou fuites de données sensibles  </t>
  </si>
  <si>
    <t xml:space="preserve">– S’assurer que chaque acteur est formé à ses responsabilités  </t>
  </si>
  <si>
    <t>Clause sécurité dans les contrats de travail</t>
  </si>
  <si>
    <t>Les contrats intègrent-ils des clauses relatives à la sécurité ?</t>
  </si>
  <si>
    <t xml:space="preserve">– Manque de redevabilité  </t>
  </si>
  <si>
    <t xml:space="preserve">– Accroissement du risque humain  </t>
  </si>
  <si>
    <t xml:space="preserve">– Intégrer l’attribution des rôles dans les entretiens annuels  </t>
  </si>
  <si>
    <t>Tableau de bord des responsabilités</t>
  </si>
  <si>
    <t>Un tableau de bord suit-il l'exercice des responsabilités sécurité ?</t>
  </si>
  <si>
    <t xml:space="preserve">– Charte informatique signée par les collaborateurs  </t>
  </si>
  <si>
    <t>– Sous-évaluation des actions critiques</t>
  </si>
  <si>
    <t xml:space="preserve">– Non-conformité aux exigences réglementaires  </t>
  </si>
  <si>
    <t>– Mettre en place un suivi régulier de l’application des responsabilités</t>
  </si>
  <si>
    <t>S’assurer qu’un propriétaire est désigné, il est responsable de lamise en œuvre et du suivi des évolutions à apporter</t>
  </si>
  <si>
    <t>nventaire des actifs avec propriétaires identifiés</t>
  </si>
  <si>
    <t>Tous les actifs critiques ont-ils un propriétaire clairement identifié ?</t>
  </si>
  <si>
    <t xml:space="preserve"> Registre des actifs informationnels avec propriétaires désignés  </t>
  </si>
  <si>
    <t xml:space="preserve"> Absence de pilotage sur les mesures de sécurité  </t>
  </si>
  <si>
    <t xml:space="preserve"> Incohérences dans les processus de sécurité  </t>
  </si>
  <si>
    <t xml:space="preserve"> Désigner formellement un propriétaire pour chaque élément critique  </t>
  </si>
  <si>
    <t>Processus de nomination des propriétaires</t>
  </si>
  <si>
    <t>Existe-t-il une procédure pour désigner les propriétaires d'actifs ?</t>
  </si>
  <si>
    <t xml:space="preserve">– Plan de gestion des changements  </t>
  </si>
  <si>
    <t xml:space="preserve">– Changements non suivis ou non validés  </t>
  </si>
  <si>
    <t xml:space="preserve">– Perte de temps ou de ressources  </t>
  </si>
  <si>
    <t xml:space="preserve">– Documenter ses responsabilités et missions  </t>
  </si>
  <si>
    <t>Formation des propriétaires à leurs obligations</t>
  </si>
  <si>
    <t>Les propriétaires reçoivent-ils une formation sur leurs obligations ?</t>
  </si>
  <si>
    <t xml:space="preserve">– Fiches de responsabilités ou fiches de fonction  </t>
  </si>
  <si>
    <t xml:space="preserve">– Perte de traçabilité des actions de sécurité  </t>
  </si>
  <si>
    <t xml:space="preserve">– Vulnérabilités non corrigées  </t>
  </si>
  <si>
    <t xml:space="preserve">– Intégrer la fonction dans la gouvernance de la sécurité  </t>
  </si>
  <si>
    <t>Mécanisme de révision des propriétaires</t>
  </si>
  <si>
    <t>La liste des propriétaires est-elle révisée annuellement ?</t>
  </si>
  <si>
    <t xml:space="preserve">– Charte de gouvernance de la sécurité  </t>
  </si>
  <si>
    <t xml:space="preserve">– Évolutions incohérentes ou non alignées avec les besoins  </t>
  </si>
  <si>
    <t xml:space="preserve">– Responsabilités floues en cas de problème  </t>
  </si>
  <si>
    <t>– Mettre en place un tableau de bord de suivi des évolutions</t>
  </si>
  <si>
    <t>Documentation des responsabilités des propriétaires</t>
  </si>
  <si>
    <t>Les responsabilités des propriétaires sont-elles documentées ?</t>
  </si>
  <si>
    <t xml:space="preserve">– Journal de suivi des actions correctives  </t>
  </si>
  <si>
    <t xml:space="preserve">– Non-respect des délais de mise en œuvre des correctifs  </t>
  </si>
  <si>
    <t xml:space="preserve">– Non-respect des objectifs de conformité ou de performance  </t>
  </si>
  <si>
    <t xml:space="preserve">– Réaliser des points de contrôle réguliers avec le propriétaire  </t>
  </si>
  <si>
    <t>S’assurer qu’il existe des procédures d'autorisation de nouveauxmatériels ou logiciels</t>
  </si>
  <si>
    <t>Processus formalisé d'homologation</t>
  </si>
  <si>
    <t>Existe-t-il une procédure écrite d'homologation des nouveaux équipements ?</t>
  </si>
  <si>
    <t xml:space="preserve"> Procédure d’intégration des matériels et logiciels  </t>
  </si>
  <si>
    <t xml:space="preserve"> Introduction de matériels ou logiciels non conformes  </t>
  </si>
  <si>
    <t xml:space="preserve">Vulnérabilités exploitables par des attaquants  </t>
  </si>
  <si>
    <t xml:space="preserve">– Formaliser une procédure claire d’approbation préalable  </t>
  </si>
  <si>
    <t>Critères d'évaluation technique et sécurité</t>
  </si>
  <si>
    <t>Des critères sécurité sont-ils appliqués lors de l'évaluation ?</t>
  </si>
  <si>
    <t xml:space="preserve">– Formulaire ou registre de demande d’approbation  </t>
  </si>
  <si>
    <t xml:space="preserve">– Failles de sécurité liées à des outils non validés  </t>
  </si>
  <si>
    <t xml:space="preserve">– Dégradation des performances ou interruptions de service  </t>
  </si>
  <si>
    <t xml:space="preserve">– Sensibiliser les utilisateurs sur les règles d’acquisition  </t>
  </si>
  <si>
    <t>Circuit d'approbation multi-services</t>
  </si>
  <si>
    <t>Les demandes passent-elles par une validation conjointe (IT, sécurité, métier) ?</t>
  </si>
  <si>
    <t xml:space="preserve">– Politique d’achat et d’équipement informatique  </t>
  </si>
  <si>
    <t xml:space="preserve">– Incompatibilités techniques  </t>
  </si>
  <si>
    <t xml:space="preserve">– Surcoût lié au support ou à la correction d’incidents  </t>
  </si>
  <si>
    <t xml:space="preserve">– Centraliser les demandes via un outil ou un service dédié  </t>
  </si>
  <si>
    <t>Registre des demandes et décisions</t>
  </si>
  <si>
    <t>Un registre central conserve-t-il l'historique des décisions ?</t>
  </si>
  <si>
    <t xml:space="preserve">– Liste validée des matériels/logiciels autorisés  </t>
  </si>
  <si>
    <t xml:space="preserve">– Non-respect des licences ou des réglementations  </t>
  </si>
  <si>
    <t xml:space="preserve">– Risques juridiques ou financiers  </t>
  </si>
  <si>
    <t>– Mettre à jour régulièrement la liste des matériels/logiciels validés</t>
  </si>
  <si>
    <t>Contrôles post-installation</t>
  </si>
  <si>
    <t>Des vérifications sont-elles faites après installation ?</t>
  </si>
  <si>
    <t>– PV de comités techniques ou de validation</t>
  </si>
  <si>
    <t>– Perte de maîtrise sur le parc informatique</t>
  </si>
  <si>
    <t>– Moyenne</t>
  </si>
  <si>
    <t>– Diminution de la fiabilité du système d’information</t>
  </si>
  <si>
    <t xml:space="preserve"> Intégrer un contrôle systématique lors des audits internes</t>
  </si>
  <si>
    <t>S’assurer qu’il existe des procédures applicables à l'accès auxinformations de l'organisation par des tiers</t>
  </si>
  <si>
    <t>Classification des informations partageables</t>
  </si>
  <si>
    <t>Les informations autorisées au partage sont-elles clairement identifiées ?</t>
  </si>
  <si>
    <t xml:space="preserve"> Politique de gestion des accès tiers  </t>
  </si>
  <si>
    <t xml:space="preserve"> Fuite ou vol d’informations sensibles  </t>
  </si>
  <si>
    <t xml:space="preserve">– Atteinte à la réputation de l’organisation  </t>
  </si>
  <si>
    <t xml:space="preserve">– Mettre en place une procédure formalisée pour tout accès tiers  </t>
  </si>
  <si>
    <t>Modèles de contrats avec clauses sécurité</t>
  </si>
  <si>
    <t>Les contrats avec tiers incluent-ils des exigences sécurité ?</t>
  </si>
  <si>
    <t xml:space="preserve">– Contrat ou convention de confidentialité (NDA)  </t>
  </si>
  <si>
    <t xml:space="preserve">– Accès non autorisé ou non contrôlé  </t>
  </si>
  <si>
    <t xml:space="preserve">– Pertes financières ou poursuites légales  </t>
  </si>
  <si>
    <t xml:space="preserve">– Exiger la signature d’un NDA avant tout accès  </t>
  </si>
  <si>
    <t>Processus de vérification des tiers</t>
  </si>
  <si>
    <t>Les tiers font-ils l'objet d'une évaluation avant accès ?</t>
  </si>
  <si>
    <t xml:space="preserve">– Procédure d’habilitation des prestataires externes  </t>
  </si>
  <si>
    <t xml:space="preserve">– Non-respect de la confidentialité contractuelle  </t>
  </si>
  <si>
    <t xml:space="preserve">– Violation de données personnelles ou confidentielles  </t>
  </si>
  <si>
    <t xml:space="preserve">– Associer chaque accès à un responsable interne référent  </t>
  </si>
  <si>
    <t>Journalisation des accès externes</t>
  </si>
  <si>
    <t>Tous les accès externes sont-ils tracés et monitorés ?</t>
  </si>
  <si>
    <t xml:space="preserve">– Journal ou registre des accès accordés aux tiers  </t>
  </si>
  <si>
    <t xml:space="preserve">– Perte de traçabilité des actions des tiers  </t>
  </si>
  <si>
    <t xml:space="preserve">– Sanctions réglementaires (ex : RGPD)  </t>
  </si>
  <si>
    <t>– Limiter les accès au strict nécessaire (principe du moindre privilège)</t>
  </si>
  <si>
    <t>Procédure de révocation des accès</t>
  </si>
  <si>
    <t>Existe-t-il un processus pour couper rapidement les accès ?</t>
  </si>
  <si>
    <t>– Charte d'utilisation des ressources pour les tiers</t>
  </si>
  <si>
    <t>– Compromission du système par des prestataires malveillants</t>
  </si>
  <si>
    <t>– Perte de confiance des partenaires ou clients</t>
  </si>
  <si>
    <t xml:space="preserve">S’assurer que des modalités de protection de l'informationconfiée à des sous-traitants existent </t>
  </si>
  <si>
    <t>Cadre contractuel contraignant</t>
  </si>
  <si>
    <t>Les contrats avec sous-traitants imposent-ils des exigences sécurité précises ?</t>
  </si>
  <si>
    <t xml:space="preserve">Clauses contractuelles de sécurité (dans les contrats de sous-traitance)  </t>
  </si>
  <si>
    <t xml:space="preserve"> Perte ou divulgation non autorisée de données sensibles  </t>
  </si>
  <si>
    <t xml:space="preserve">– Atteinte à l’image et à la crédibilité de l’organisation  </t>
  </si>
  <si>
    <t xml:space="preserve"> Intégrer des exigences de sécurité dans tous les contrats de sous-traitance  </t>
  </si>
  <si>
    <t>Audits sécurité des sous-traitants</t>
  </si>
  <si>
    <t>Des audits sécurité sont-ils réalisés chez les sous-traitants critiques ?</t>
  </si>
  <si>
    <t xml:space="preserve">– Politique de gestion des relations avec les sous-traitants  </t>
  </si>
  <si>
    <t xml:space="preserve">– Non-conformité réglementaire (ex : RGPD)  </t>
  </si>
  <si>
    <t xml:space="preserve">– Pertes financières dues à des amendes ou litiges  </t>
  </si>
  <si>
    <t>– Effectuer des audits réguliers des prestataires</t>
  </si>
  <si>
    <t>Obligations de conformité spécifiées</t>
  </si>
  <si>
    <t>Les sous-traitants doivent-ils prouver leur conformité à des standards ?</t>
  </si>
  <si>
    <t xml:space="preserve">– Procédures de contrôle d’accès pour les sous-traitants  </t>
  </si>
  <si>
    <t xml:space="preserve">– Utilisation abusive des informations confiées  </t>
  </si>
  <si>
    <t xml:space="preserve">– Fuite de données stratégiques ou personnelles  </t>
  </si>
  <si>
    <t xml:space="preserve">Limiter l’accès des sous-traitants aux seules données nécessaires  </t>
  </si>
  <si>
    <t>Procédures de gestion des incidents</t>
  </si>
  <si>
    <t>Existe-t-il un protocole pour gérer les incidents impliquant des sous-traitants ?</t>
  </si>
  <si>
    <t xml:space="preserve">– Convention de confidentialité (NDA)  </t>
  </si>
  <si>
    <t xml:space="preserve">– Failles de sécurité provenant de la chaîne de sous-traitance  </t>
  </si>
  <si>
    <t xml:space="preserve">– Rupture de contrats avec des clients ou partenaires  </t>
  </si>
  <si>
    <t xml:space="preserve">– Suivre et tracer toutes les opérations effectuées par les sous-traitants  </t>
  </si>
  <si>
    <t>Contrôles réguliers des accès</t>
  </si>
  <si>
    <t>Les accès des sous-traitants sont-ils revus périodiquement ?</t>
  </si>
  <si>
    <t>– Rapport d'audit ou d’évaluation de la sécurité des sous-traitants</t>
  </si>
  <si>
    <t>– Difficulté à imposer des sanctions ou à corriger les failles</t>
  </si>
  <si>
    <t>– Détérioration de la relation avec les sous-traitants</t>
  </si>
  <si>
    <t>– Mettre à jour régulièrement les accords de confidentialité et les engagements de sécurité</t>
  </si>
  <si>
    <t xml:space="preserve">Vérifier qu'il existe des modalités de réaction aux incidents desécurité et aux défauts de fonctionnement </t>
  </si>
  <si>
    <t>Procédure incident documentée</t>
  </si>
  <si>
    <t>Une procédure de gestion des incidents est-elle formalisée et accessible ?</t>
  </si>
  <si>
    <t xml:space="preserve"> Procédure de gestion des incidents de sécurité  </t>
  </si>
  <si>
    <t xml:space="preserve">Réaction tardive à un incident critique  </t>
  </si>
  <si>
    <t xml:space="preserve"> Interruption prolongée des activités  </t>
  </si>
  <si>
    <t xml:space="preserve">– Mettre en place une cellule de réponse aux incidents (CSIRT)  </t>
  </si>
  <si>
    <t>Équipe dédiée identifiée</t>
  </si>
  <si>
    <t>Une équipe spécifique est-elle désignée pour gérer les incidents ?</t>
  </si>
  <si>
    <t xml:space="preserve">– Plan de réponse aux incidents (PRI)  </t>
  </si>
  <si>
    <t xml:space="preserve">– Amplification des impacts d’une faille non maîtrisée  </t>
  </si>
  <si>
    <t xml:space="preserve">– Dommages à la réputation de l’organisation  </t>
  </si>
  <si>
    <t xml:space="preserve">– Définir clairement les rôles et responsabilités en cas d’incident  </t>
  </si>
  <si>
    <t>Délais d'intervention définis</t>
  </si>
  <si>
    <t>Des délais maximum d'intervention sont-ils établis ?</t>
  </si>
  <si>
    <t xml:space="preserve">– Journal d’incidents ou registre des événements  </t>
  </si>
  <si>
    <t xml:space="preserve">– Perte de données sensibles  </t>
  </si>
  <si>
    <t xml:space="preserve">– Coûts de récupération et d’investigation élevés  </t>
  </si>
  <si>
    <t xml:space="preserve">– Réaliser régulièrement des tests et exercices de simulation  </t>
  </si>
  <si>
    <t>Plan de communication crise</t>
  </si>
  <si>
    <t>Existe-t-il un plan de communication pour les crises majeures ?</t>
  </si>
  <si>
    <t xml:space="preserve">– RACI (Répartition des rôles en cas d'incident)  </t>
  </si>
  <si>
    <t xml:space="preserve">– Non-conformité aux exigences légales ou contractuelles  </t>
  </si>
  <si>
    <t xml:space="preserve">– Perte de confiance des clients et partenaires  </t>
  </si>
  <si>
    <t>– Documenter systématiquement tous les incidents et les réponses apportées</t>
  </si>
  <si>
    <t>Les retours d'expérience donnent-ils lieu à des améliorations ?</t>
  </si>
  <si>
    <t>– Compte rendu des tests ou simulations d’incidents</t>
  </si>
  <si>
    <t>– Atteinte à la disponibilité des services</t>
  </si>
  <si>
    <t>– Sanctions juridiques ou réglementaires</t>
  </si>
  <si>
    <t>– Assurer la sensibilisation des employés à la détection et au signalement d’incidents</t>
  </si>
  <si>
    <t>S’assure qu’il existe une revue régulière de la sécurité par desaudits aussi bien internes qu'externes</t>
  </si>
  <si>
    <t>Politique formalisée d'accès tiers</t>
  </si>
  <si>
    <t>Existe-t-il une politique écrite régissant l'accès des tiers aux informations ?</t>
  </si>
  <si>
    <t xml:space="preserve"> Plan d’audit de sécurité  </t>
  </si>
  <si>
    <t xml:space="preserve">Failles de sécurité non détectées  </t>
  </si>
  <si>
    <t xml:space="preserve"> Exposition prolongée à des menaces  </t>
  </si>
  <si>
    <t xml:space="preserve">– Mettre en œuvre un programme d’audit structuré et récurrent  </t>
  </si>
  <si>
    <t>Classification des données partageables</t>
  </si>
  <si>
    <t>Les données autorisées au partage sont-elles clairement identifiées et classées ?</t>
  </si>
  <si>
    <t xml:space="preserve">– Rapports d’audits internes et externes  </t>
  </si>
  <si>
    <t xml:space="preserve">– Accumulation de vulnérabilités non corrigées  </t>
  </si>
  <si>
    <t xml:space="preserve">– Dommages financiers ou juridiques  </t>
  </si>
  <si>
    <t xml:space="preserve">– Prévoir des audits externes par des organismes indépendants  </t>
  </si>
  <si>
    <t>Processus de vérification des antécédents</t>
  </si>
  <si>
    <t>Les tiers font-ils l'objet d'une vérification préalable ?</t>
  </si>
  <si>
    <t xml:space="preserve">– Registre de suivi des non-conformités  </t>
  </si>
  <si>
    <t xml:space="preserve">– Non-conformité aux normes ou réglementations  </t>
  </si>
  <si>
    <t xml:space="preserve">– Image dégradée de l’organisation  </t>
  </si>
  <si>
    <t xml:space="preserve">– Traiter systématiquement les écarts identifiés  </t>
  </si>
  <si>
    <t>Contrats avec clauses de confidentialité</t>
  </si>
  <si>
    <t>Les contrats incluent-ils des clauses spécifiques sur la protection des données ?</t>
  </si>
  <si>
    <t xml:space="preserve">– Programme de contrôle interne  </t>
  </si>
  <si>
    <t xml:space="preserve">– Suspension ou retrait de certifications  </t>
  </si>
  <si>
    <t xml:space="preserve">– Intégrer les résultats d’audit dans les plans d’amélioration  </t>
  </si>
  <si>
    <t>Mécanisme de révocation des accès</t>
  </si>
  <si>
    <t>Un processus permet-il de révoquer rapidement les accès lorsque nécessaire ?</t>
  </si>
  <si>
    <t>– Charte d’audit et feuille de route annuelle</t>
  </si>
  <si>
    <t>– Manque de visibilité sur l’efficacité des mesures de sécurité</t>
  </si>
  <si>
    <t>– Arrêt ou perturbation des activités critiques</t>
  </si>
  <si>
    <t>– Assurer la traçabilité des actions correctives</t>
  </si>
  <si>
    <t>Classification et contrôle des actifs</t>
  </si>
  <si>
    <t>Vérifier que les actifs sont inventoriés et hiérarchisés par valeur pour l'organisation</t>
  </si>
  <si>
    <t>Inventaire complet à jour</t>
  </si>
  <si>
    <t>L'inventaire couvre-t-il tous les actifs matériels et immatériels ?</t>
  </si>
  <si>
    <t xml:space="preserve"> Registre des actifs  </t>
  </si>
  <si>
    <t xml:space="preserve"> Perte ou vol d’actifs non identifiés  </t>
  </si>
  <si>
    <t xml:space="preserve">– Pertes financières ou opérationnelles importantes  </t>
  </si>
  <si>
    <t xml:space="preserve">Élaborer un inventaire complet et mis à jour régulièrement  </t>
  </si>
  <si>
    <t>Critères de valorisation définis</t>
  </si>
  <si>
    <t>Existe-t-il une grille pour évaluer la valeur des actifs pour l'organisation ?</t>
  </si>
  <si>
    <t xml:space="preserve">– Fiches d’inventaire matériel et logiciel  </t>
  </si>
  <si>
    <t xml:space="preserve">– Mauvaise priorisation des mesures de sécurité  </t>
  </si>
  <si>
    <t xml:space="preserve">– Mauvaise allocation des ressources de sécurité  </t>
  </si>
  <si>
    <t xml:space="preserve">– Classer les actifs selon leur criticité et leur valeur  </t>
  </si>
  <si>
    <t>Niveaux de criticité établis</t>
  </si>
  <si>
    <t>Les actifs sont-ils classés par niveau d'importance (critique/moyen/faible) ?</t>
  </si>
  <si>
    <t xml:space="preserve">– Politique de gestion des actifs  </t>
  </si>
  <si>
    <t xml:space="preserve">– Évaluation incomplète des impacts en cas d’incident  </t>
  </si>
  <si>
    <t xml:space="preserve">– Impossibilité de réagir efficacement en cas de crise  </t>
  </si>
  <si>
    <t xml:space="preserve">– Mettre en place des outils de gestion automatisée des actifs  </t>
  </si>
  <si>
    <t>Méthode d'évaluation documentée</t>
  </si>
  <si>
    <t>La méthodologie de classification est-elle formalisée par écrit ?</t>
  </si>
  <si>
    <t xml:space="preserve">– Rapport d’évaluation des actifs  </t>
  </si>
  <si>
    <t xml:space="preserve">– Difficulté à assurer la traçabilité des équipements  </t>
  </si>
  <si>
    <t xml:space="preserve">– Risques accrus de fuites d’informations sensibles  </t>
  </si>
  <si>
    <t xml:space="preserve">– Former les équipes à l’importance de la gestion des actifs  </t>
  </si>
  <si>
    <t>Fréquence de mise à jour définie</t>
  </si>
  <si>
    <t>L'inventaire est-il actualisé au moins annuellement ?</t>
  </si>
  <si>
    <t>– Cartographie du système d’information</t>
  </si>
  <si>
    <t>– Non-respect de la conformité réglementaire</t>
  </si>
  <si>
    <t>– Amendes ou sanctions en cas d’audit externe</t>
  </si>
  <si>
    <t>– Intégrer cet inventaire dans le processus de gestion des risques</t>
  </si>
  <si>
    <t>Vérifier que pour tout actif important, un propriétaire est désigné et informé de ses responsabilités</t>
  </si>
  <si>
    <t>Liste des propriétaires documentée</t>
  </si>
  <si>
    <t>Chaque actif critique a-t-il un propriétaire clairement identifié ?</t>
  </si>
  <si>
    <t xml:space="preserve">Registre des propriétaires d’actifs  </t>
  </si>
  <si>
    <t xml:space="preserve"> Actifs mal protégés ou négligés  </t>
  </si>
  <si>
    <t xml:space="preserve"> Perte ou corruption de données critiques  </t>
  </si>
  <si>
    <t xml:space="preserve"> Désigner un propriétaire pour chaque actif important  </t>
  </si>
  <si>
    <t>Fiches de poste mises à jour</t>
  </si>
  <si>
    <t>Les responsabilités des propriétaires figurent-elles dans leur description de poste ?</t>
  </si>
  <si>
    <t xml:space="preserve">– Fiches de désignation des responsabilités  </t>
  </si>
  <si>
    <t xml:space="preserve">– Confusion dans la gestion ou la maintenance  </t>
  </si>
  <si>
    <t xml:space="preserve">– Accès non contrôlé ou non autorisé à l’actif  </t>
  </si>
  <si>
    <t xml:space="preserve">– Documenter et formaliser ses responsabilités  </t>
  </si>
  <si>
    <t>Processus de nomination formel</t>
  </si>
  <si>
    <t>Existe-t-il une procédure pour désigner/modifier les propriétaires ?</t>
  </si>
  <si>
    <t xml:space="preserve">– Charte de sécurité informatique  </t>
  </si>
  <si>
    <t xml:space="preserve">– Difficulté à réagir en cas d’incident  </t>
  </si>
  <si>
    <t xml:space="preserve">– Allongement du délai de résolution des incidents  </t>
  </si>
  <si>
    <t xml:space="preserve">– Informer et sensibiliser chaque propriétaire désigné  </t>
  </si>
  <si>
    <t>Formation des propriétaires</t>
  </si>
  <si>
    <t xml:space="preserve">– Responsabilité non assumée en cas de problème  </t>
  </si>
  <si>
    <t xml:space="preserve">– Engagement de la responsabilité juridique de l’organisation  </t>
  </si>
  <si>
    <t xml:space="preserve">– Intégrer cette gestion dans la politique de sécurité globale  </t>
  </si>
  <si>
    <t>Contrôle de l'exercice des responsabilités</t>
  </si>
  <si>
    <t>L'exercice des responsabilités fait-il l'objet d'un suivi régulier ?</t>
  </si>
  <si>
    <t>– Procédures de gestion des responsabilités</t>
  </si>
  <si>
    <t>– Non-conformité aux normes de sécurité</t>
  </si>
  <si>
    <t>– Dégradation de la performance ou du service</t>
  </si>
  <si>
    <t>– Suivre régulièrement la mise à jour du registre des propriétaires</t>
  </si>
  <si>
    <t>Vérifier qu'il existe un système de classification qui définit un ensemble approprié de niveaux de protection</t>
  </si>
  <si>
    <t>Grille de classification formalisée</t>
  </si>
  <si>
    <t>Existe-t-il une grille écrite définissant les niveaux de classification ?</t>
  </si>
  <si>
    <t xml:space="preserve"> Politique de classification de l'information  </t>
  </si>
  <si>
    <t xml:space="preserve">– Protection inadaptée des données sensibles  </t>
  </si>
  <si>
    <t xml:space="preserve"> Divulgation d'informations stratégiques  </t>
  </si>
  <si>
    <t xml:space="preserve">Définir une classification claire et adaptée aux types d’informations  </t>
  </si>
  <si>
    <t>Niveaux de protection différenciés</t>
  </si>
  <si>
    <t>Les différents niveaux entraînent-ils des mesures de protection distinctes ?</t>
  </si>
  <si>
    <t xml:space="preserve">– Grille de classification des actifs  </t>
  </si>
  <si>
    <t xml:space="preserve">– Fuite ou exposition de données confidentielles  </t>
  </si>
  <si>
    <t xml:space="preserve">– Pertes financières et réputationnelles  </t>
  </si>
  <si>
    <t xml:space="preserve">– Appliquer des mesures de sécurité selon chaque niveau de classification  </t>
  </si>
  <si>
    <t>Correspondance avec les risques</t>
  </si>
  <si>
    <t>La classification tient-elle compte des risques associés à chaque actif ?</t>
  </si>
  <si>
    <t xml:space="preserve">– Procédures de gestion selon les niveaux de classification  </t>
  </si>
  <si>
    <t xml:space="preserve">– Incohérence dans l’application des mesures de sécurité  </t>
  </si>
  <si>
    <t xml:space="preserve">– Sanctions légales ou réglementaires  </t>
  </si>
  <si>
    <t>– Former les utilisateurs à la manipulation des données selon leur niveau</t>
  </si>
  <si>
    <t>Communication aux équipes</t>
  </si>
  <si>
    <t>Le personnel concerné connaît-il le système de classification ?</t>
  </si>
  <si>
    <t xml:space="preserve">– Registre des informations classifiées  </t>
  </si>
  <si>
    <t xml:space="preserve">– Non-respect des obligations réglementaires  </t>
  </si>
  <si>
    <t xml:space="preserve">– Perte de confiance des clients ou partenaires  </t>
  </si>
  <si>
    <t xml:space="preserve">Mettre à jour régulièrement la grille de classification  </t>
  </si>
  <si>
    <t>Application cohérente</t>
  </si>
  <si>
    <t>La classification est-elle appliquée uniformément à tous les actifs ?</t>
  </si>
  <si>
    <t>– Charte de sécurité des systèmes d'information</t>
  </si>
  <si>
    <t>– Surprotection ou sous-protection des ressources</t>
  </si>
  <si>
    <t>– Charges supplémentaires dues à une mauvaise gestion</t>
  </si>
  <si>
    <t>– Réaliser des audits pour vérifier la bonne application du système</t>
  </si>
  <si>
    <t>Vérifier que chaque actif a fait l'objet d'une étude visant à déterminer son niveau de classification</t>
  </si>
  <si>
    <t>Procès-verbal d'analyse</t>
  </si>
  <si>
    <t>Existe-t-il un document attestant de la classification de chaque actif ?</t>
  </si>
  <si>
    <t xml:space="preserve">Classement incorrect des actifs  </t>
  </si>
  <si>
    <t xml:space="preserve"> Fuite d’informations confidentielles  </t>
  </si>
  <si>
    <t xml:space="preserve"> Mettre à jour régulièrement la classification  </t>
  </si>
  <si>
    <t>Méthodologie standardisée</t>
  </si>
  <si>
    <t>Utilise-t-on la même méthode pour classifier tous les actifs ?</t>
  </si>
  <si>
    <t xml:space="preserve">– Rapport de classification des actifs  </t>
  </si>
  <si>
    <t xml:space="preserve">– Données sensibles mal protégées  </t>
  </si>
  <si>
    <t xml:space="preserve">– Perte de confiance des partenaires  </t>
  </si>
  <si>
    <t xml:space="preserve">– Sensibiliser les responsables métiers  </t>
  </si>
  <si>
    <t>Implication des métiers</t>
  </si>
  <si>
    <t>Les responsables métiers participent-ils au processus de classification ?</t>
  </si>
  <si>
    <t xml:space="preserve">– Procédure de classification des informations  </t>
  </si>
  <si>
    <t xml:space="preserve">– Accès non autorisé à des informations critiques  </t>
  </si>
  <si>
    <t xml:space="preserve">– Amendes en cas de non-respect des lois  </t>
  </si>
  <si>
    <t>– Auditer la classification de manière périodique</t>
  </si>
  <si>
    <t>Historique des décisions</t>
  </si>
  <si>
    <t>Les décisions de classification sont-elles archivées avec leur justification ?</t>
  </si>
  <si>
    <t xml:space="preserve">– Politique de sécurité de l'information  </t>
  </si>
  <si>
    <t xml:space="preserve">– Incohérence dans les mesures de sécurité appliquées  </t>
  </si>
  <si>
    <t xml:space="preserve">– Arrêt ou perturbation des activités  </t>
  </si>
  <si>
    <t xml:space="preserve"> Centraliser les documents de classification  </t>
  </si>
  <si>
    <t>Revue périodique</t>
  </si>
  <si>
    <t>Les classifications sont-elles révisées lors des changements majeurs ?</t>
  </si>
  <si>
    <t xml:space="preserve">– Résultats d’audits précédents  </t>
  </si>
  <si>
    <t xml:space="preserve">– Non-conformité aux réglementations  </t>
  </si>
  <si>
    <t xml:space="preserve">– Perte d’avantage concurrentiel  </t>
  </si>
  <si>
    <t>– Revoir les niveaux de sécurité associés à chaque actif</t>
  </si>
  <si>
    <t>Sécurité du personnel</t>
  </si>
  <si>
    <t>Vérifier que les postes et les ressources sont définis</t>
  </si>
  <si>
    <t>Descriptions de poste formalisées</t>
  </si>
  <si>
    <t>Tous les postes ont-ils une fiche de fonction écrite ?</t>
  </si>
  <si>
    <t xml:space="preserve">– Fiches de poste  </t>
  </si>
  <si>
    <t xml:space="preserve"> Ambiguïté dans les responsabilités  </t>
  </si>
  <si>
    <t xml:space="preserve">– Retards dans l’exécution des tâches  </t>
  </si>
  <si>
    <t xml:space="preserve"> Formaliser et diffuser les fiches de poste  </t>
  </si>
  <si>
    <t>Liste des accès nécessaires par fonction</t>
  </si>
  <si>
    <t>Les droits d'accès sont-ils définis en fonction des rôles ?</t>
  </si>
  <si>
    <t xml:space="preserve">– Organigramme de l’organisation  </t>
  </si>
  <si>
    <t xml:space="preserve">– Manque de ressources pour assurer la continuité des activités  </t>
  </si>
  <si>
    <t>– Surmenage de certains collaborateurs</t>
  </si>
  <si>
    <t xml:space="preserve">– Mettre en place un plan de gestion des ressources  </t>
  </si>
  <si>
    <t>Matrice des responsabilités sécurité</t>
  </si>
  <si>
    <t>Existe-t-il une matrice clarifiant les responsabilités sécurité par poste ?</t>
  </si>
  <si>
    <t xml:space="preserve">– Plan de gestion des ressources  </t>
  </si>
  <si>
    <t xml:space="preserve">– Conflits ou redondance dans les tâches  </t>
  </si>
  <si>
    <t xml:space="preserve">Manque de responsabilité sur les incidents  </t>
  </si>
  <si>
    <t xml:space="preserve">– Réaliser une cartographie des compétences  </t>
  </si>
  <si>
    <t>Processus de gestion des changements de poste</t>
  </si>
  <si>
    <t>Un processus existe-t-il pour mettre à jour les accès lors des mutations ?</t>
  </si>
  <si>
    <t xml:space="preserve">– Procédure de gestion des ressources humaines  </t>
  </si>
  <si>
    <t xml:space="preserve">– Difficultés de coordination  </t>
  </si>
  <si>
    <t>– Moyenne  </t>
  </si>
  <si>
    <t xml:space="preserve">– Inefficacité globale du projet  </t>
  </si>
  <si>
    <t xml:space="preserve">– Assurer la redondance des rôles critiques  </t>
  </si>
  <si>
    <t>Contrôle régulier des habilitations</t>
  </si>
  <si>
    <t>Les habilitations sont-elles vérifiées au moins annuellement ?</t>
  </si>
  <si>
    <t>– Registre des affectations projet</t>
  </si>
  <si>
    <t>– Mauvaise répartition des charges de travail</t>
  </si>
  <si>
    <t>– Élevée</t>
  </si>
  <si>
    <t>– Perte de compétences en cas de départ non anticipé</t>
  </si>
  <si>
    <t>– Mettre à jour régulièrement l’organigramme et les affectations</t>
  </si>
  <si>
    <t>Vérifier qu'il existe un programme de formation pour tous les personnels</t>
  </si>
  <si>
    <t>Plan de formation annuel</t>
  </si>
  <si>
    <t>Un programme de formation sécurité est-il planifié chaque année ?</t>
  </si>
  <si>
    <t xml:space="preserve"> Plan de formation annuel  </t>
  </si>
  <si>
    <t xml:space="preserve">Manque de sensibilisation aux risques de sécurité  </t>
  </si>
  <si>
    <t xml:space="preserve"> Augmentation des incidents de sécurité  </t>
  </si>
  <si>
    <t xml:space="preserve">Développer un programme de formation continue adapté aux différents rôles  </t>
  </si>
  <si>
    <t>Contenu adapté aux risques métiers</t>
  </si>
  <si>
    <t>Les formations tiennent-elles compte des risques spécifiques à chaque service ?</t>
  </si>
  <si>
    <t xml:space="preserve">– Catalogue des formations proposées  </t>
  </si>
  <si>
    <t xml:space="preserve">– Sanctions légales ou contractuelles  </t>
  </si>
  <si>
    <t xml:space="preserve">– Intégrer des modules sur les menaces actuelles et les bonnes pratiques  </t>
  </si>
  <si>
    <t>Modalités pédagogiques variées</t>
  </si>
  <si>
    <t>Combine-t-on formations présentielles, e-learning et sensibilisations informelles ?</t>
  </si>
  <si>
    <t xml:space="preserve">– Registre des formations suivies par les employés  </t>
  </si>
  <si>
    <t xml:space="preserve">– Réactions inappropriées en cas d'incident  </t>
  </si>
  <si>
    <t xml:space="preserve">– Impact financier dû à des violations de données  </t>
  </si>
  <si>
    <t xml:space="preserve">– Organiser des sessions interactives et des simulations d'incidents  </t>
  </si>
  <si>
    <t>Suivi des participations</t>
  </si>
  <si>
    <t>Un registre central conserve-t-il les participations de chaque employé ?</t>
  </si>
  <si>
    <t xml:space="preserve">– Évaluations post-formation  </t>
  </si>
  <si>
    <t>– Assurer un suivi et une évaluation régulière des compétences acquises</t>
  </si>
  <si>
    <t>Évaluation de l'efficacité</t>
  </si>
  <si>
    <t>Des tests ou questionnaires évaluent-ils l'acquisition des connaissances ?</t>
  </si>
  <si>
    <t>– Procédure d'intégration des nouveaux employés</t>
  </si>
  <si>
    <t>– Réputation ternie auprès des clients et partenaires</t>
  </si>
  <si>
    <t>– Difficulté à obtenir ou maintenir des certifications de sécurité</t>
  </si>
  <si>
    <t xml:space="preserve"> Mettre à jour régulièrement les contenus de formation en fonction de l'évolution des risques</t>
  </si>
  <si>
    <t>Vérifier que le programme de formation prend en compte la spécificité des postes de travail et des profils</t>
  </si>
  <si>
    <t>Modules différenciés par métier</t>
  </si>
  <si>
    <t>Les formations techniques diffèrent-elles entre services (IT, RH, etc.) ?</t>
  </si>
  <si>
    <t xml:space="preserve"> Plan de formation personnalisé  </t>
  </si>
  <si>
    <t xml:space="preserve"> Formation inadaptée aux responsabilités  </t>
  </si>
  <si>
    <t xml:space="preserve">– Failles de sécurité persistantes  </t>
  </si>
  <si>
    <t xml:space="preserve">Adapter les contenus de formation aux fonctions spécifiques  </t>
  </si>
  <si>
    <t>Cas pratiques sectoriels</t>
  </si>
  <si>
    <t>Utilise-t-on des exemples concrets liés à l'activité des participants ?</t>
  </si>
  <si>
    <t xml:space="preserve">– Fiches de poste avec compétences requises  </t>
  </si>
  <si>
    <t xml:space="preserve">– Surcoût lié à des formations inutiles  </t>
  </si>
  <si>
    <t xml:space="preserve">– Perte de productivité  </t>
  </si>
  <si>
    <t xml:space="preserve">– Mettre en place une cartographie des compétences par poste  </t>
  </si>
  <si>
    <t>Adaptation aux niveaux hiérarchiques</t>
  </si>
  <si>
    <t>Le contenu varie-t-il selon les niveaux (direction, managers, employés) ?</t>
  </si>
  <si>
    <t xml:space="preserve">– Registre des formations par profil  </t>
  </si>
  <si>
    <t xml:space="preserve">– Méconnaissance des outils ou procédures critiques  </t>
  </si>
  <si>
    <t xml:space="preserve">– Erreurs humaines fréquentes  </t>
  </si>
  <si>
    <t xml:space="preserve">– Réaliser des bilans de compétences réguliers  </t>
  </si>
  <si>
    <t>Prise en compte des nouveaux arrivants</t>
  </si>
  <si>
    <t>Les nouveaux embauchés reçoivent-ils une formation adaptée ?</t>
  </si>
  <si>
    <t xml:space="preserve">– Grille d’évaluation des besoins en formation  </t>
  </si>
  <si>
    <t xml:space="preserve">– Inégalité de niveau de sensibilisation entre employés  </t>
  </si>
  <si>
    <t xml:space="preserve">– Détection tardive d'incidents  </t>
  </si>
  <si>
    <t xml:space="preserve">– Intégrer des scénarios réels dans les formations  </t>
  </si>
  <si>
    <t>Formation des prestataires temporaires</t>
  </si>
  <si>
    <t>Les intérimaires et prestataires sont-ils inclus dans le programme ?</t>
  </si>
  <si>
    <t>– Feedbacks des participants</t>
  </si>
  <si>
    <t>– Non-maîtrise des procédures de sécurité</t>
  </si>
  <si>
    <t>– Insatisfaction du personnel</t>
  </si>
  <si>
    <t>– Assurer une validation des acquis par des tests adaptés</t>
  </si>
  <si>
    <t>Vérifier que tous les personnels participent aux formations</t>
  </si>
  <si>
    <t>Obligation contractuelle</t>
  </si>
  <si>
    <t>Le suivi des formations est-il inscrit dans les contrats de travail ?</t>
  </si>
  <si>
    <t xml:space="preserve">– Liste de présence des formations  </t>
  </si>
  <si>
    <t xml:space="preserve"> Non-participation de certains employés essentiels  </t>
  </si>
  <si>
    <t xml:space="preserve"> Augmentation des vulnérabilités de sécurité  </t>
  </si>
  <si>
    <t xml:space="preserve"> Mettre en place un suivi individuel des participations  </t>
  </si>
  <si>
    <t>Relances systématiques</t>
  </si>
  <si>
    <t>Des rappels sont-ils envoyés aux absents des sessions obligatoires ?</t>
  </si>
  <si>
    <t xml:space="preserve">– Rapport de participation des employés  </t>
  </si>
  <si>
    <t xml:space="preserve">– Perte de connaissances critiques  </t>
  </si>
  <si>
    <t xml:space="preserve">– Mauvaise gestion des incidents  </t>
  </si>
  <si>
    <t xml:space="preserve">– Rendre la formation obligatoire pour certains profils  </t>
  </si>
  <si>
    <t>Aménagements horaires</t>
  </si>
  <si>
    <t>Des créneaux spécifiques sont-ils prévus pour les équipes en roulement ?</t>
  </si>
  <si>
    <t xml:space="preserve">– Certificats de formation  </t>
  </si>
  <si>
    <t xml:space="preserve">– Faible niveau de sensibilisation à la sécurité  </t>
  </si>
  <si>
    <t xml:space="preserve">– Diminution de la réactivité face aux risques  </t>
  </si>
  <si>
    <t xml:space="preserve">– Offrir des formations alternatives pour les absents  </t>
  </si>
  <si>
    <t>Indicateurs de participation</t>
  </si>
  <si>
    <t>Le taux global de participation est-il mesuré et analysé ?</t>
  </si>
  <si>
    <t xml:space="preserve">– Plan de suivi des formations  </t>
  </si>
  <si>
    <t xml:space="preserve">– Inefficacité des mesures de sécurité mises en place  </t>
  </si>
  <si>
    <t xml:space="preserve">– Non-conformité avec les normes de sécurité  </t>
  </si>
  <si>
    <t xml:space="preserve">– Intégrer des rappels réguliers sur la nécessité de la formation  </t>
  </si>
  <si>
    <t>Sanctions en cas de manquement</t>
  </si>
  <si>
    <t>Des mesures disciplinaires s'appliquent-elles en cas de refus persistant ?</t>
  </si>
  <si>
    <t>– Historique des sessions de formation</t>
  </si>
  <si>
    <t>– Difficulté à répondre aux audits de conformité</t>
  </si>
  <si>
    <t>– Impact négatif sur la réputation de l'organisation</t>
  </si>
  <si>
    <t>– Utiliser des outils de gestion de la formation pour un meilleur suivi</t>
  </si>
  <si>
    <t>Vérifier que des évaluations « anté » et « post » formation sont réalisées</t>
  </si>
  <si>
    <t>Tests de connaissances initiaux</t>
  </si>
  <si>
    <t>Les participants passent-ils un test avant la formation ?</t>
  </si>
  <si>
    <t xml:space="preserve"> Description des postes  </t>
  </si>
  <si>
    <t xml:space="preserve">– Attribution floue des responsabilités  </t>
  </si>
  <si>
    <t xml:space="preserve">Augmentation des erreurs opérationnelles  </t>
  </si>
  <si>
    <t xml:space="preserve">Définir clairement les rôles et responsabilités de chaque poste  </t>
  </si>
  <si>
    <t>Évaluation des acquis en fin de session</t>
  </si>
  <si>
    <t>Une évaluation valide-t-elle les acquis en fin de session ?</t>
  </si>
  <si>
    <t xml:space="preserve">– Organigramme de l'organisation  </t>
  </si>
  <si>
    <t xml:space="preserve">– Manque de clarté dans la gestion des ressources  </t>
  </si>
  <si>
    <t xml:space="preserve">– Impact sur la performance de l’organisation  </t>
  </si>
  <si>
    <t xml:space="preserve">– Assurer une mise à jour régulière des fiches de poste  </t>
  </si>
  <si>
    <t>Questionnaires de satisfaction</t>
  </si>
  <si>
    <t>Les stagiaires évaluent-ils la qualité pédagogique des formations ?</t>
  </si>
  <si>
    <t xml:space="preserve">– Plan de ressources humaines  </t>
  </si>
  <si>
    <t xml:space="preserve">– Délégation inefficace des tâches  </t>
  </si>
  <si>
    <t xml:space="preserve">– Inefficacité dans l’allocation des ressources  </t>
  </si>
  <si>
    <t xml:space="preserve">– Effectuer des audits réguliers des ressources  </t>
  </si>
  <si>
    <t>Mesure d'impact à 3 mois</t>
  </si>
  <si>
    <t>Un suivi mesure-t-il l'application des connaissances après quelques mois ?</t>
  </si>
  <si>
    <t xml:space="preserve">– Fiches de poste actualisées  </t>
  </si>
  <si>
    <t xml:space="preserve">– Surutilisation ou sous-utilisation des ressources  </t>
  </si>
  <si>
    <t xml:space="preserve">– Retards dans l'exécution des tâches ou projets  </t>
  </si>
  <si>
    <t xml:space="preserve">– Mettre en place des formations pour optimiser l'utilisation des ressources  </t>
  </si>
  <si>
    <t>Ajustements du contenu</t>
  </si>
  <si>
    <t>Le contenu des formations est-il ajusté en fonction des retours ?</t>
  </si>
  <si>
    <t>– Inventaire des ressources matérielles et logicielles</t>
  </si>
  <si>
    <t>– Non-respect des normes internes ou légales</t>
  </si>
  <si>
    <t>– Non-conformité aux exigences réglementaires</t>
  </si>
  <si>
    <t>– Garantir que chaque ressource est correctement allouée et suivie</t>
  </si>
  <si>
    <t>S'assurer que des sondages existent pour évaluer l'impact des formations dans le travail quotidien</t>
  </si>
  <si>
    <t>Enquêtes périodiques</t>
  </si>
  <si>
    <t>Des enquêtes anonymes évaluent-elles l'utilité pratique des formations ?</t>
  </si>
  <si>
    <t xml:space="preserve"> Résultats des sondages de satisfaction post-formation  </t>
  </si>
  <si>
    <t xml:space="preserve">Manque d'objectivité dans l'évaluation des formations  </t>
  </si>
  <si>
    <t xml:space="preserve">Baisse de la productivité et de la performance  </t>
  </si>
  <si>
    <t xml:space="preserve"> Concevoir des sondages structurés pour évaluer l'impact réel  </t>
  </si>
  <si>
    <t>Indicateurs comportementaux</t>
  </si>
  <si>
    <t>Des indicateurs mesurent-ils l'évolution des comportements à risque ?</t>
  </si>
  <si>
    <t xml:space="preserve">– Rapports d'évaluation de l'impact des formations  </t>
  </si>
  <si>
    <t xml:space="preserve">– Absence de suivi post-formation  </t>
  </si>
  <si>
    <t xml:space="preserve">– Mauvaise répartition des ressources de formation  </t>
  </si>
  <si>
    <t xml:space="preserve">– Intégrer des questions sur la mise en pratique des compétences apprises  </t>
  </si>
  <si>
    <t>Retours des managers</t>
  </si>
  <si>
    <t>Les managers rapportent-ils des améliorations dans leurs équipes ?</t>
  </si>
  <si>
    <t xml:space="preserve">– Méthodologie des sondages (questionnaire, format)  </t>
  </si>
  <si>
    <t xml:space="preserve">– Formation mal adaptée aux besoins réels des employés  </t>
  </si>
  <si>
    <t xml:space="preserve">– Insatisfaction des employés et désengagement  </t>
  </si>
  <si>
    <t>– Analyser les résultats des sondages pour ajuster les formations futures</t>
  </si>
  <si>
    <t>Analyse des incidents post-formation</t>
  </si>
  <si>
    <t>L'analyse des incidents tient-elle compte des formations suivies ?</t>
  </si>
  <si>
    <t xml:space="preserve">– Plans de suivi des formations  </t>
  </si>
  <si>
    <t xml:space="preserve">– Perte de temps et de ressources pour des formations inefficaces  </t>
  </si>
  <si>
    <t xml:space="preserve">– Non-adoption des bonnes pratiques apprises  </t>
  </si>
  <si>
    <t xml:space="preserve"> Mettre en place un suivi pour évaluer l'évolution après la formation  </t>
  </si>
  <si>
    <t>Boucle d'amélioration continue</t>
  </si>
  <si>
    <t>Les résultats influencent-ils le plan de formation suivant ?</t>
  </si>
  <si>
    <t>– Analyse des retours d'expérience des employés</t>
  </si>
  <si>
    <t>– Faible taux de participation des employés</t>
  </si>
  <si>
    <t>– Non-amélioration des compétences essentielles</t>
  </si>
  <si>
    <t>– Encourager la participation active des employés dans les sondages</t>
  </si>
  <si>
    <t>Sécurité : gestion des communications et des opérations</t>
  </si>
  <si>
    <t>Vérifier que la documentation des procédures et les responsabilités opérationnelles existe</t>
  </si>
  <si>
    <t>1. Existence d'un manuel de procédures opérationnelles.</t>
  </si>
  <si>
    <t>Existe-t-il un manuel documenté détaillant les procédures opérationnelles ?</t>
  </si>
  <si>
    <t xml:space="preserve">– Manuel de procédures de sécurité  </t>
  </si>
  <si>
    <t xml:space="preserve"> Manque de clarté sur les rôles et responsabilités  </t>
  </si>
  <si>
    <t xml:space="preserve">Détérioration de la performance et de l'efficacité des équipes  </t>
  </si>
  <si>
    <t xml:space="preserve">Assurer une communication claire des rôles et responsabilités à tous les niveaux  </t>
  </si>
  <si>
    <t>2. Attribution claire des rôles et responsabilités.</t>
  </si>
  <si>
    <t>Les rôles et responsabilités sont-ils clairement définis et attribués ?</t>
  </si>
  <si>
    <t xml:space="preserve">– Organigramme des responsabilités opérationnelles  </t>
  </si>
  <si>
    <t xml:space="preserve">– Erreurs humaines dues à un manque de procédure documentée  </t>
  </si>
  <si>
    <t xml:space="preserve">– Augmentation des risques d'incidents de sécurité ou d'erreurs opérationnelles  </t>
  </si>
  <si>
    <t xml:space="preserve">– Mettre en place un processus de révision continue des procédures  </t>
  </si>
  <si>
    <t>3. Mise à jour régulière des procédures.</t>
  </si>
  <si>
    <t>Les procédures sont-elles revues et mises à jour annuellement ?</t>
  </si>
  <si>
    <t xml:space="preserve">– Documentation sur les processus métiers  </t>
  </si>
  <si>
    <t xml:space="preserve">– Non-conformité avec les normes et réglementations  </t>
  </si>
  <si>
    <t xml:space="preserve">– Assurer la formation régulière des employés sur les procédures et responsabilités  </t>
  </si>
  <si>
    <t>4. Accessibilité des documents pour le personnel concerné.</t>
  </si>
  <si>
    <t>Les documents sont-ils accessibles à tous les employés concernés ?</t>
  </si>
  <si>
    <t xml:space="preserve">– Registre des responsabilités et des rôles  </t>
  </si>
  <si>
    <t xml:space="preserve">– Retards dans l'exécution des tâches en raison de l'absence de procédure  </t>
  </si>
  <si>
    <t xml:space="preserve">– Confusion organisationnelle et responsabilité floue  </t>
  </si>
  <si>
    <t>– Veiller à ce que la documentation soit accessible à tous les employés concernés</t>
  </si>
  <si>
    <t>5. Intégration des bonnes pratiques sectorielles.</t>
  </si>
  <si>
    <t>Les procédures intègrent-elles les normes sectorielles reconnues ?</t>
  </si>
  <si>
    <t>– Procédures formalisées pour chaque fonction opérationnelle</t>
  </si>
  <si>
    <t>– Confusion et inefficacité dans la gestion des incidents</t>
  </si>
  <si>
    <t>– Incapacité à répondre efficacement aux audits ou évaluations externes</t>
  </si>
  <si>
    <t xml:space="preserve"> Formaliser et maintenir à jour une documentation des procédures et responsabilités</t>
  </si>
  <si>
    <t>Vérifier que le contrôle des modifications opérationnelles est réalisé</t>
  </si>
  <si>
    <t>1. Existence d'une procédure formalisée pour les modifications.</t>
  </si>
  <si>
    <t>Une procédure de gestion des changements est-elle en place ?</t>
  </si>
  <si>
    <t xml:space="preserve">– Procédures de gestion des changements  </t>
  </si>
  <si>
    <t xml:space="preserve">Modifications non contrôlées pouvant causer des dysfonctionnements  </t>
  </si>
  <si>
    <t xml:space="preserve"> Pertes financières dues à des interruptions de service  </t>
  </si>
  <si>
    <t xml:space="preserve"> Formaliser des processus clairs pour le contrôle des modifications  </t>
  </si>
  <si>
    <t>2. Validation des modifications par une autorité désignée.</t>
  </si>
  <si>
    <t>Les modifications sont-elles approuvées par un responsable avant mise en œuvre ?</t>
  </si>
  <si>
    <t xml:space="preserve">– Registre des modifications et des versions  </t>
  </si>
  <si>
    <t xml:space="preserve">– Absence de traçabilité des changements  </t>
  </si>
  <si>
    <t xml:space="preserve">– Détérioration de la performance des systèmes ou des applications  </t>
  </si>
  <si>
    <t xml:space="preserve">– Assurer une validation et un test rigoureux avant toute mise en production  </t>
  </si>
  <si>
    <t>3. Journalisation des modifications effectuées.</t>
  </si>
  <si>
    <t>Toutes les modifications sont-elles enregistrées dans un journal ?</t>
  </si>
  <si>
    <t xml:space="preserve">– Rapport d’audit des modifications  </t>
  </si>
  <si>
    <t xml:space="preserve">– Modification non validée affectant la sécurité ou la performance  </t>
  </si>
  <si>
    <t xml:space="preserve">– Risques de non-conformité aux standards et régulations  </t>
  </si>
  <si>
    <t>– Mettre en place un suivi et une traçabilité des modifications</t>
  </si>
  <si>
    <t>4. Tests préalables pour évaluer l'impact des modifications.</t>
  </si>
  <si>
    <t>Des tests sont-ils réalisés avant la mise en production des modifications ?</t>
  </si>
  <si>
    <t xml:space="preserve">– Liste des modifications validées  </t>
  </si>
  <si>
    <t xml:space="preserve">– Non-respect des procédures de conformité  </t>
  </si>
  <si>
    <t xml:space="preserve">– Augmentation des vulnérabilités de sécurité  </t>
  </si>
  <si>
    <t>5. Communication des modifications aux parties prenantes.</t>
  </si>
  <si>
    <t>Les employés concernés sont-ils informés des modifications opérationnelles ?</t>
  </si>
  <si>
    <t>– Plan de test et de validation des changements</t>
  </si>
  <si>
    <t>– Perte de données ou corruption des systèmes</t>
  </si>
  <si>
    <t>– Très élevée</t>
  </si>
  <si>
    <t>– Incapacité à récupérer rapidement en cas de problème causé par une modification</t>
  </si>
  <si>
    <t>Vérifier que des procédures de gestion des incidents existent</t>
  </si>
  <si>
    <t>1. Existence d'un plan de gestion des incidents.</t>
  </si>
  <si>
    <t>Un plan de gestion des incidents est-il disponible et accessible ?</t>
  </si>
  <si>
    <t xml:space="preserve"> Plan de gestion des incidents  </t>
  </si>
  <si>
    <t xml:space="preserve">Réaction lente ou inefficace face à un incident  </t>
  </si>
  <si>
    <t xml:space="preserve"> Impact financier dû à des périodes d'indisponibilité prolongées  </t>
  </si>
  <si>
    <t xml:space="preserve">Développer des procédures claires et détaillées pour gérer les incidents  </t>
  </si>
  <si>
    <t>2. Désignation d'une équipe dédiée aux incidents.</t>
  </si>
  <si>
    <t>Une équipe responsable de la gestion des incidents est-elle identifiée ?</t>
  </si>
  <si>
    <t xml:space="preserve">– Procédures de réponse aux incidents  </t>
  </si>
  <si>
    <t xml:space="preserve">– Absence de protocoles clairs pour la gestion des incidents  </t>
  </si>
  <si>
    <t xml:space="preserve">– Former le personnel sur les procédures de gestion des incidents  </t>
  </si>
  <si>
    <t>3. Procédure de signalement et d'escalade des incidents.</t>
  </si>
  <si>
    <t>Comment les incidents sont-ils signalés et escaladés ?</t>
  </si>
  <si>
    <t xml:space="preserve">– Rapports d’incidents passés  </t>
  </si>
  <si>
    <t xml:space="preserve">– Manque de coordination entre les équipes lors d’un incident  </t>
  </si>
  <si>
    <t xml:space="preserve">– Violation de la sécurité des données  </t>
  </si>
  <si>
    <t>– Assurer une réponse rapide avec des équipes spécialisées dans la gestion des crises</t>
  </si>
  <si>
    <t>4. Documentation et analyse post-incident.</t>
  </si>
  <si>
    <t>Les incidents font-ils l'objet d'un rapport et d'une analyse après résolution ?</t>
  </si>
  <si>
    <t xml:space="preserve">– Liste des contacts d’urgence  </t>
  </si>
  <si>
    <t xml:space="preserve">– Non-conformité aux exigences légales et réglementaires en matière de gestion des incidents  </t>
  </si>
  <si>
    <t xml:space="preserve">– Pertes de données critiques ou compromission de la confidentialité  </t>
  </si>
  <si>
    <t xml:space="preserve"> Tester régulièrement les procédures par des simulations d’incidents  </t>
  </si>
  <si>
    <t>5. Mise en place de mesures correctives préventives.</t>
  </si>
  <si>
    <t>Des actions correctives sont-elles définies pour éviter la répétition des incidents ?</t>
  </si>
  <si>
    <t>– Formulaire de déclaration d’incidents</t>
  </si>
  <si>
    <t>– Retards dans la reprise d'activité après un incident</t>
  </si>
  <si>
    <t>– Non-conformité avec des normes de sécurité ou des régulations spécifiques</t>
  </si>
  <si>
    <t>– Mettre en place un suivi post-incident pour éviter la récurrence des problèmes</t>
  </si>
  <si>
    <t>Vérifier que la séparation des fonctions et des infrastructures existe</t>
  </si>
  <si>
    <t>1. Séparation physique ou logique des environnements (production, test, développement).</t>
  </si>
  <si>
    <t>Les environnements de production et de test sont-ils distincts ?</t>
  </si>
  <si>
    <t xml:space="preserve">Organigramme fonctionnel  </t>
  </si>
  <si>
    <t xml:space="preserve">Conflit d’intérêts fonctionnels  </t>
  </si>
  <si>
    <t xml:space="preserve">– Compromission de la sécurité du système d’information  </t>
  </si>
  <si>
    <t xml:space="preserve">Mettre en place une séparation stricte des rôles critiques (ex : développement / exploitation)  </t>
  </si>
  <si>
    <t>2. Restrictions d'accès basées sur les rôles.</t>
  </si>
  <si>
    <t>Les accès aux infrastructures sont-ils limités selon les besoins des utilisateurs ?</t>
  </si>
  <si>
    <t xml:space="preserve">– Schéma d’architecture du système d’information  </t>
  </si>
  <si>
    <t xml:space="preserve">– Privileges excessifs donnés à un seul utilisateur  </t>
  </si>
  <si>
    <t xml:space="preserve">– Fuites de données sensibles  </t>
  </si>
  <si>
    <t xml:space="preserve">– Définir des politiques d’accès claires et contrôlées  </t>
  </si>
  <si>
    <t>3. Utilisation de comptes dédiés pour chaque fonction.</t>
  </si>
  <si>
    <t>Des comptes spécifiques sont-ils utilisés pour les différentes fonctions ?</t>
  </si>
  <si>
    <t xml:space="preserve">– Registre des rôles et responsabilités  </t>
  </si>
  <si>
    <t xml:space="preserve">– Accès non autorisé à des ressources critiques  </t>
  </si>
  <si>
    <t xml:space="preserve">– Perte d’intégrité des opérations  </t>
  </si>
  <si>
    <t xml:space="preserve">– Utiliser des outils de gestion des identités et des accès (IAM)  </t>
  </si>
  <si>
    <t>4. Surveillance des accès critiques.</t>
  </si>
  <si>
    <t>Les accès aux infrastructures critiques sont-ils monitorés ?</t>
  </si>
  <si>
    <t xml:space="preserve">– Procédures d’accès aux ressources  </t>
  </si>
  <si>
    <t xml:space="preserve">– Erreurs non détectées dues au manque de supervision  </t>
  </si>
  <si>
    <t xml:space="preserve">– Réaliser des audits réguliers pour vérifier le respect des séparations  </t>
  </si>
  <si>
    <t>5. Revues périodiques des permissions.</t>
  </si>
  <si>
    <t>Les permissions d'accès sont-elles revues régulièrement ?</t>
  </si>
  <si>
    <t>– Politiques de sécurité du système d'information</t>
  </si>
  <si>
    <t>– Non-respect des exigences de conformité</t>
  </si>
  <si>
    <t>– Difficultés à tracer les responsabilités</t>
  </si>
  <si>
    <t>– Former le personnel sur les enjeux de la séparation des fonctions</t>
  </si>
  <si>
    <t>Vérifier qu’une étude de sécurité en cas de gestion externe des infrastructures a été réalisée</t>
  </si>
  <si>
    <t>1. Évaluation des risques liés à l'externalisation.</t>
  </si>
  <si>
    <t>Une analyse des risques a-t-elle été réalisée avant l'externalisation ?</t>
  </si>
  <si>
    <t xml:space="preserve"> Contrat de sous-traitance ou d’infogérance  </t>
  </si>
  <si>
    <t xml:space="preserve">Perte de contrôle sur les données et les systèmes  </t>
  </si>
  <si>
    <t xml:space="preserve"> Compromission des données sensibles  </t>
  </si>
  <si>
    <t xml:space="preserve"> Réaliser une analyse de risques spécifique à l’externalisation  </t>
  </si>
  <si>
    <t>2. Contrats incluant des clauses de sécurité.</t>
  </si>
  <si>
    <t>Les contrats avec les prestataires incluent-ils des exigences de sécurité ?</t>
  </si>
  <si>
    <t xml:space="preserve">– Rapport d’étude de risques externalisation  </t>
  </si>
  <si>
    <t xml:space="preserve">– Manque de réactivité du prestataire en cas d’incident  </t>
  </si>
  <si>
    <t xml:space="preserve">– Détérioration de l’image de l’organisation  </t>
  </si>
  <si>
    <t xml:space="preserve">– Intégrer des exigences de sécurité dans le contrat  </t>
  </si>
  <si>
    <t>3. Vérification des certifications des prestataires.</t>
  </si>
  <si>
    <t>Les prestataires externes disposent-ils de certifications de sécurité reconnues ?</t>
  </si>
  <si>
    <t xml:space="preserve">– Clauses de sécurité dans les SLA (Service Level Agreement)  </t>
  </si>
  <si>
    <t xml:space="preserve">– Pertes financières importantes  </t>
  </si>
  <si>
    <t xml:space="preserve">– Suivre régulièrement la performance et la sécurité du prestataire  </t>
  </si>
  <si>
    <t>4. Audit régulier des prestataires externes.</t>
  </si>
  <si>
    <t>Des audits sont-ils menés pour évaluer la conformité des prestataires ?</t>
  </si>
  <si>
    <t xml:space="preserve">– Politique de sécurité de l’organisation  </t>
  </si>
  <si>
    <t xml:space="preserve">– Accès non autorisé aux ressources critiques  </t>
  </si>
  <si>
    <t xml:space="preserve">– Poursuites juridiques  </t>
  </si>
  <si>
    <t>– Effectuer des audits de sécurité chez le fournisseur</t>
  </si>
  <si>
    <t>5. Plan de secours en cas de défaillance du prestataire.</t>
  </si>
  <si>
    <t>Existe-t-il un plan de secours si le prestataire ne respecte pas ses obligations ?</t>
  </si>
  <si>
    <t>– Plan d’assurance sécurité du prestataire</t>
  </si>
  <si>
    <t>– Failles de sécurité non corrigées par le tiers</t>
  </si>
  <si>
    <t>– Rupture de service critique</t>
  </si>
  <si>
    <t>Vérifier que les mesures de protection contre les infections logiques existent</t>
  </si>
  <si>
    <t>1. Mise en place de solutions antivirus/antimalware.</t>
  </si>
  <si>
    <t>Des outils de protection contre les logiciels malveillants sont-ils déployés ?</t>
  </si>
  <si>
    <t xml:space="preserve">– Politique de sécurité des systèmes d’information  </t>
  </si>
  <si>
    <t xml:space="preserve">Introduction de virus, vers ou chevaux de Troie  </t>
  </si>
  <si>
    <t xml:space="preserve"> Perte de données ou corruption  </t>
  </si>
  <si>
    <t xml:space="preserve">Mettre en place une solution antivirus/EDR à jour sur tous les postes  </t>
  </si>
  <si>
    <t>2. Mises à jour régulières des signatures de sécurité.</t>
  </si>
  <si>
    <t>Les bases de données des antivirus sont-elles mises à jour automatiquement ?</t>
  </si>
  <si>
    <t xml:space="preserve">– Plan de protection antivirus/antimalware  </t>
  </si>
  <si>
    <t xml:space="preserve">– Compromission des données sensibles  </t>
  </si>
  <si>
    <t xml:space="preserve">– Arrêt des opérations métier  </t>
  </si>
  <si>
    <t xml:space="preserve">– Automatiser les mises à jour de sécurité du système et des applications  </t>
  </si>
  <si>
    <t>3. Restrictions sur l'installation de logiciels non autorisés.</t>
  </si>
  <si>
    <t>Les utilisateurs peuvent-ils installer des logiciels sans autorisation ?</t>
  </si>
  <si>
    <t xml:space="preserve">– Journal de mises à jour de sécurité  </t>
  </si>
  <si>
    <t xml:space="preserve">– Indisponibilité des services critiques  </t>
  </si>
  <si>
    <t xml:space="preserve">– Impact sur la réputation de l’organisation  </t>
  </si>
  <si>
    <t xml:space="preserve">– Sensibiliser les utilisateurs aux menaces logiques  </t>
  </si>
  <si>
    <t>4. Surveillance des activités suspectes.</t>
  </si>
  <si>
    <t>Les activités suspectes sur le réseau sont-elles détectées et signalées ?</t>
  </si>
  <si>
    <t xml:space="preserve">– Rapports de détection des menaces  </t>
  </si>
  <si>
    <t xml:space="preserve">– Propagation des infections au sein du réseau  </t>
  </si>
  <si>
    <t xml:space="preserve">– Coût élevé pour la restauration du système  </t>
  </si>
  <si>
    <t xml:space="preserve">– Mettre en œuvre un filtrage du trafic entrant et sortant  </t>
  </si>
  <si>
    <t>5. Formation des utilisateurs aux bonnes pratiques.</t>
  </si>
  <si>
    <t>Les employés sont-ils formés pour reconnaître les menaces logicielles ?</t>
  </si>
  <si>
    <t>Vérifier que les modalités de gestion des supports de données sont clairement définies</t>
  </si>
  <si>
    <t>1. Politique de classification des supports (sensibles, publics, etc.).</t>
  </si>
  <si>
    <t>Les supports de données sont-ils classés selon leur niveau de sensibilité ?</t>
  </si>
  <si>
    <t>2. Procédures de stockage sécurisé des supports.</t>
  </si>
  <si>
    <t>Comment les supports sensibles sont-ils stockés physiquement et numériquement ?</t>
  </si>
  <si>
    <t>3. Méthodes de destruction sécurisée des supports obsolètes.</t>
  </si>
  <si>
    <t>Existe-t-il une procédure pour détruire les supports contenant des données sensibles ?</t>
  </si>
  <si>
    <t>4. Contrôle d'accès aux supports physiques et logiques.</t>
  </si>
  <si>
    <t>Qui a accès aux supports de données et comment est-il géré ?</t>
  </si>
  <si>
    <t>5. Journalisation des mouvements des supports sensibles.</t>
  </si>
  <si>
    <t>Les transferts de supports sensibles sont-ils enregistrés ?</t>
  </si>
  <si>
    <t>Vérifier que les modalités de gestion des supports de données sont appliquées</t>
  </si>
  <si>
    <t>1. Respect des procédures de classification.</t>
  </si>
  <si>
    <t>Les supports sont-ils effectivement classés comme prévu dans la politique ?</t>
  </si>
  <si>
    <t>2. Audit régulier des pratiques de stockage.</t>
  </si>
  <si>
    <t>Des audits sont-ils réalisés pour vérifier le stockage sécurisé des supports ?</t>
  </si>
  <si>
    <t>3. Signalement des écarts par les employés.</t>
  </si>
  <si>
    <t>Les employés signalent-ils les non-conformités observées ?</t>
  </si>
  <si>
    <t>4. Sanctions en cas de non-respect des procédures.</t>
  </si>
  <si>
    <t>Des sanctions sont-elles appliquées en cas de violation des règles ?</t>
  </si>
  <si>
    <t>5. Amélioration continue des procédures.</t>
  </si>
  <si>
    <t>Les retours d'expérience sont-ils utilisés pour améliorer les procédures ?</t>
  </si>
  <si>
    <t>Conformité</t>
  </si>
  <si>
    <t>Vérifier que les politique et procédures de sécurité internalisentles exigences légales et réglementaires</t>
  </si>
  <si>
    <t>Existence d'une documentation des exigences légales et réglementaires applicables</t>
  </si>
  <si>
    <t>Existe-t-il une documentation listant les exigences légales et réglementaires applicables à l'organisation ?</t>
  </si>
  <si>
    <t>Mise à jour régulière de la documentation</t>
  </si>
  <si>
    <t>La documentation est-elle mise à jour régulièrement pour refléter les nouvelles exigences ?</t>
  </si>
  <si>
    <t>Intégration des exigences dans les politiques internes</t>
  </si>
  <si>
    <t>Les politiques internes de sécurité intègrent-elles explicitement ces exigences ?</t>
  </si>
  <si>
    <t>Formation des employés sur les aspects légaux et réglementaires</t>
  </si>
  <si>
    <t>Les employés sont-ils formés sur les aspects légaux et réglementaires liés à la sécurité ?</t>
  </si>
  <si>
    <t>Preuve de conformité aux exigences</t>
  </si>
  <si>
    <t>Existe-t-il des preuves (audits, rapports) attestant de la conformité aux exigences ?</t>
  </si>
  <si>
    <t>Vérifier que la convergence vers le cadre règlementaire nationalest recherchée</t>
  </si>
  <si>
    <t>Identification du cadre réglementaire national applicable</t>
  </si>
  <si>
    <t>Le cadre réglementaire national applicable a-t-il été identifié et documenté ?</t>
  </si>
  <si>
    <t>Analyse des écarts entre pratiques internes et cadre réglementaire</t>
  </si>
  <si>
    <t>Une analyse des écarts entre les pratiques internes et le cadre réglementaire a-t-elle été réalisée ?</t>
  </si>
  <si>
    <t>Plan d'action pour réduire les écarts identifiés</t>
  </si>
  <si>
    <t>Existe-t-il un plan d'action pour réduire les écarts identifiés ?</t>
  </si>
  <si>
    <t>Implication de la direction dans la démarche de conformité</t>
  </si>
  <si>
    <t>La direction est-elle impliquée dans la démarche de conformité au cadre réglementaire ?</t>
  </si>
  <si>
    <t>Suivi régulier des progrès vers la conformité</t>
  </si>
  <si>
    <t>Un suivi régulier des progrès vers la conformité est-il mis en place ?</t>
  </si>
  <si>
    <t xml:space="preserve">S’assurer qu’un document retraçant le gap entre l’état actueldes politiques et procédures de sécurité interne et le cadre réglementaire existe et est tenu à jour </t>
  </si>
  <si>
    <t>Existence d'un document d'analyse des écarts</t>
  </si>
  <si>
    <t>Existe-t-il un document formalisé retraçant les écarts entre les pratiques internes et le cadre réglementaire ?</t>
  </si>
  <si>
    <t>Mise à jour régulière du document</t>
  </si>
  <si>
    <t>Ce document est-il mis à jour régulièrement pour refléter les évolutions ?</t>
  </si>
  <si>
    <t>Accessibilité du document aux parties prenantes</t>
  </si>
  <si>
    <t>Le document est-il accessible aux parties prenantes concernées ?</t>
  </si>
  <si>
    <t>Utilisation du document pour prioriser les actions</t>
  </si>
  <si>
    <t>Le document est-il utilisé pour prioriser les actions correctives ?</t>
  </si>
  <si>
    <t>Validation du document par la direction</t>
  </si>
  <si>
    <t>Le document a-t-il été validé par la direction ?</t>
  </si>
  <si>
    <t>S’assurer que tous les audits réglementaires sont réalisés</t>
  </si>
  <si>
    <t>Planification des audits réglementaires</t>
  </si>
  <si>
    <t>Les audits réglementaires sont-ils planifiés à l'avance ?</t>
  </si>
  <si>
    <t>Réalisation effective des audits</t>
  </si>
  <si>
    <t>Les audits réglementaires prévus ont-ils tous été réalisés ?</t>
  </si>
  <si>
    <t>Documentation des résultats des audits</t>
  </si>
  <si>
    <t>Les résultats des audits sont-ils documentés et archivés ?</t>
  </si>
  <si>
    <t>Suivi des actions correctives issues des audits</t>
  </si>
  <si>
    <t>Un suivi des actions correctives issues des audits est-il mis en place ?</t>
  </si>
  <si>
    <t>Les résultats des audits sont-ils communiqués aux parties prenantes concernées ?</t>
  </si>
  <si>
    <t xml:space="preserve">– Politique de gestion des supports de données  </t>
  </si>
  <si>
    <t xml:space="preserve">Perte ou vol de données sensibles  </t>
  </si>
  <si>
    <t xml:space="preserve"> Sanctions administratives ou financières  </t>
  </si>
  <si>
    <t xml:space="preserve"> Nommer officiellement un responsable conformité avec les moyens nécessaires  </t>
  </si>
  <si>
    <t>S’assurer qu’un responsable conformité est désigné.</t>
  </si>
  <si>
    <t>xistence d'un poste dédié à la conformité</t>
  </si>
  <si>
    <t>Un responsable conformité a-t-il été officiellement désigné ?</t>
  </si>
  <si>
    <t xml:space="preserve">– Procédures de sauvegarde et de restauration  </t>
  </si>
  <si>
    <t xml:space="preserve">– Diffusion non autorisée d’informations confidentielles  </t>
  </si>
  <si>
    <t xml:space="preserve">– Clarifier ses missions dans une fiche de poste  </t>
  </si>
  <si>
    <t>Définition claire des missions du responsable</t>
  </si>
  <si>
    <t>Les missions et responsabilités du responsable conformité sont-elles clairement définies ?</t>
  </si>
  <si>
    <t xml:space="preserve">– Registre de suivi des supports amovibles  </t>
  </si>
  <si>
    <t xml:space="preserve">– Incohérence dans la gestion des sauvegardes  </t>
  </si>
  <si>
    <t xml:space="preserve">– Perte d’opportunités ou de partenariats  </t>
  </si>
  <si>
    <t xml:space="preserve">– Assurer son positionnement dans la structure de gouvernance  </t>
  </si>
  <si>
    <t>Accès aux ressources nécessaires</t>
  </si>
  <si>
    <t>Le responsable conformité a-t-il accès aux ressources nécessaires pour mener à bien ses missions ?</t>
  </si>
  <si>
    <t xml:space="preserve">– Guide de classification des données  </t>
  </si>
  <si>
    <t xml:space="preserve">– Non-conformité avec les réglementations (ex : RGPD)  </t>
  </si>
  <si>
    <t xml:space="preserve">– Risques juridiques accrus  </t>
  </si>
  <si>
    <t xml:space="preserve">– Former le responsable sur les réglementations applicables  </t>
  </si>
  <si>
    <t>Reporting régulier à la direction</t>
  </si>
  <si>
    <t>Le responsable conformité rend-il compte régulièrement à la direction ?</t>
  </si>
  <si>
    <t>– Procédure de destruction sécurisée des supports</t>
  </si>
  <si>
    <t>– Usage non maîtrisé de supports amovibles</t>
  </si>
  <si>
    <t>– Manque de clarté dans les responsabilités internes</t>
  </si>
  <si>
    <t>Formation continue du responsable</t>
  </si>
  <si>
    <t>Le responsable conformité bénéficie-t-il d'une formation continue pour rester à jour ?</t>
  </si>
  <si>
    <t>Gestion des identifiants et des mots de passe</t>
  </si>
  <si>
    <t>Vérifier qu'il y a un seul utilisateur par identifiant</t>
  </si>
  <si>
    <t>Existence d'une politique interdisant le partage d'identifiants.</t>
  </si>
  <si>
    <t>La politique interdit-elle explicitement le partage des identifiants entre utilisateurs ?</t>
  </si>
  <si>
    <t>Attribution unique des identifiants nominatifs.</t>
  </si>
  <si>
    <t>Chaque utilisateur dispose-t-il d'un identifiant personnel et nominatif ?</t>
  </si>
  <si>
    <t>Surveillance des connexions pour détecter les identifiants partagés.</t>
  </si>
  <si>
    <t>Des mécanismes permettent-ils de détecter les identifiants utilisés par plusieurs personnes ?</t>
  </si>
  <si>
    <t>Sanctions en cas de non-respect de la politique.</t>
  </si>
  <si>
    <t>Des sanctions sont-elles prévues en cas de partage d'identifiants ?</t>
  </si>
  <si>
    <t>Sensibilisation des utilisateurs à l'importance de l'unicité des identifiants.</t>
  </si>
  <si>
    <t>Les employés sont-ils formés sur les risques liés au partage d'identifiants ?</t>
  </si>
  <si>
    <t>Vérifier que les identifiants inutilisés pendant un certain délai sont révoqués</t>
  </si>
  <si>
    <t>Délai défini pour la révocation des identifiants inactifs.</t>
  </si>
  <si>
    <t>Après combien de temps d'inactivité un identifiant est-il désactivé ?</t>
  </si>
  <si>
    <t>Processus automatisé ou manuel pour la désactivation.</t>
  </si>
  <si>
    <t>Existe-t-il un système automatisé pour désactiver les identifiants inactifs ?</t>
  </si>
  <si>
    <t>Liste régulièrement mise à jour des identifiants actifs.</t>
  </si>
  <si>
    <t>Une liste des identifiants actifs est-elle tenue à jour et vérifiée périodiquement ?</t>
  </si>
  <si>
    <t>Notification aux responsables avant désactivation.</t>
  </si>
  <si>
    <t>Les responsables sont-ils avertis avant la désactivation d'un identifiant ?</t>
  </si>
  <si>
    <t>Procédure de réactivation si nécessaire.</t>
  </si>
  <si>
    <t>Comment un utilisateur peut-il réactiver son identifiant après une période d'inactivité ?</t>
  </si>
  <si>
    <t>Vérifier que des règles de gestion de la casse des mots de passe existent</t>
  </si>
  <si>
    <t>Exigences minimales de complexité (longueur, caractères spéciaux, etc.).</t>
  </si>
  <si>
    <t>Quelles sont les exigences minimales pour la création d'un mot de passe ?</t>
  </si>
  <si>
    <t>Interdiction des mots de passe courants ou facilement devinables.</t>
  </si>
  <si>
    <t>Les mots de passe courants (ex: "123456") sont-ils interdits ?</t>
  </si>
  <si>
    <t>Obligation de changer le mot de passe périodiquement.</t>
  </si>
  <si>
    <t>Les utilisateurs doivent-ils modifier leur mot de passe à intervalles réguliers ?</t>
  </si>
  <si>
    <t>Utilisation d'outils de vérification de la force des mots de passe.</t>
  </si>
  <si>
    <t>Un outil vérifie-t-il la robustesse des mots de passe lors de leur création ?</t>
  </si>
  <si>
    <t>Sensibilisation des utilisateurs aux bonnes pratiques.</t>
  </si>
  <si>
    <t>Les employés sont-ils informés sur la création de mots de passe robustes ?</t>
  </si>
  <si>
    <t>Vérifier que ces règles sont respectées</t>
  </si>
  <si>
    <t>Contrôle systématique du respect des règles.</t>
  </si>
  <si>
    <t>Comment est vérifié le respect des règles de mots de passe ?</t>
  </si>
  <si>
    <t>Blocage des mots de passe non conformes.</t>
  </si>
  <si>
    <t>Le système empêche-t-il la création de mots de passe non conformes ?</t>
  </si>
  <si>
    <t xml:space="preserve"> Journal des accès et des événements  </t>
  </si>
  <si>
    <t xml:space="preserve">Contournement des règles d’accès  </t>
  </si>
  <si>
    <t xml:space="preserve">Violations de sécurité majeures  </t>
  </si>
  <si>
    <t xml:space="preserve">– Mettre en place un système de contrôle continu des accès  </t>
  </si>
  <si>
    <t>Rappels automatiques pour les mots de passe expirés.</t>
  </si>
  <si>
    <t>Les utilisateurs reçoivent-ils des alertes pour changer leur mot de passe expiré ?</t>
  </si>
  <si>
    <t xml:space="preserve">– Rapports d’audit de conformité  </t>
  </si>
  <si>
    <t xml:space="preserve">– Accès non autorisé à des données sensibles  </t>
  </si>
  <si>
    <t xml:space="preserve">– Fuite ou perte d’informations critiques  </t>
  </si>
  <si>
    <t xml:space="preserve">– Automatiser les revues périodiques de droits d’accès  </t>
  </si>
  <si>
    <t>Reporting des violations des règles.</t>
  </si>
  <si>
    <t>Les violations des règles de mots de passe sont-elles signalées et traitées ?</t>
  </si>
  <si>
    <t xml:space="preserve">– Procédures de contrôle d’accès  </t>
  </si>
  <si>
    <t xml:space="preserve">– Usage abusif des privilèges  </t>
  </si>
  <si>
    <t xml:space="preserve">– Responsabilité juridique accrue  </t>
  </si>
  <si>
    <t xml:space="preserve">– Utiliser des alertes en temps réel en cas d’écart  </t>
  </si>
  <si>
    <t>Amélioration continue des règles basée sur les retours.</t>
  </si>
  <si>
    <t>Les règles sont-elles ajustées en fonction des nouvelles menaces identifiées ?</t>
  </si>
  <si>
    <t xml:space="preserve">– Difficulté à tracer les responsabilités  </t>
  </si>
  <si>
    <t xml:space="preserve">– Sanctions réglementaires possibles  </t>
  </si>
  <si>
    <t xml:space="preserve">– Sensibiliser les utilisateurs à la sécurité des accès  </t>
  </si>
  <si>
    <t>Vérifier qu’il existe une procédure de gestion des mots de passe</t>
  </si>
  <si>
    <t>Documentation claire et accessible de la procédure.</t>
  </si>
  <si>
    <t>Où les utilisateurs peuvent-ils consulter la procédure de gestion des mots de passe ?</t>
  </si>
  <si>
    <t>– Rapport de revue périodique des droits</t>
  </si>
  <si>
    <t>– Non-conformité réglementaire</t>
  </si>
  <si>
    <t xml:space="preserve">– Appliquer des sanctions en cas de non-respect des règles  </t>
  </si>
  <si>
    <t>Délégation des responsabilités pour la réinitialisation.</t>
  </si>
  <si>
    <t>Qui est responsable de la réinitialisation des mots de passe en cas d'oubli ?</t>
  </si>
  <si>
    <t>Mécanismes sécurisés pour la récupération des mots de passe.</t>
  </si>
  <si>
    <t>Comment un utilisateur peut-il récupérer son mot de passe en toute sécurité ?</t>
  </si>
  <si>
    <t>Historique des modifications pour traçabilité.</t>
  </si>
  <si>
    <t>Les changements de mots de passe sont-ils enregistrés dans un journal ?</t>
  </si>
  <si>
    <t>Adaptation aux besoins spécifiques des différents services.</t>
  </si>
  <si>
    <t>La procédure tient-elle compte des particularités des différents métiers de l'organisation ?</t>
  </si>
  <si>
    <t>Vérifier que la procédure de gestion des mots de passe statue sur leur réutilisation</t>
  </si>
  <si>
    <t>Interdiction de réutiliser les anciens mots de passe.</t>
  </si>
  <si>
    <t>Les utilisateurs peuvent-ils réutiliser un mot de passe précédemment utilisé ?</t>
  </si>
  <si>
    <t>Nombre maximal de mots de passe uniques avant réutilisation.</t>
  </si>
  <si>
    <t>Après combien de changements un ancien mot de passe peut-il être réutilisé ?</t>
  </si>
  <si>
    <t>Stockage sécurisé des historiques de mots de passe.</t>
  </si>
  <si>
    <t>Où et comment sont stockés les historiques des mots de passe ?</t>
  </si>
  <si>
    <t>Contrôle automatique de la réutilisation.</t>
  </si>
  <si>
    <t>Le système empêche-t-il automatiquement la réutilisation des mots de passe ?</t>
  </si>
  <si>
    <t>Exception justifiée pour certains comptes critiques.</t>
  </si>
  <si>
    <t>Existe-t-il des exceptions pour certains comptes, et comment sont-elles gérées ?</t>
  </si>
  <si>
    <t>Vérifier que la procédure de gestion des mots de passe statue sur leur stockage</t>
  </si>
  <si>
    <t>Interdiction du stockage en clair.</t>
  </si>
  <si>
    <t>Les mots de passe sont-ils stockés de manière chiffrée ou hachée ?</t>
  </si>
  <si>
    <t>Utilisation de coffres-forts numériques si nécessaire.</t>
  </si>
  <si>
    <t>Des outils sécurisés sont-ils utilisés pour stocker les mots de passe partagés ?</t>
  </si>
  <si>
    <t>Accès restreint aux bases de données des mots de passe.</t>
  </si>
  <si>
    <t>Qui a accès aux bases de données contenant les mots de passe ?</t>
  </si>
  <si>
    <t>Protection contre les accès non autorisés.</t>
  </si>
  <si>
    <t>Comment est garantie la sécurité des mots de passe stockés ?</t>
  </si>
  <si>
    <t>Audit régulier des méthodes de stockage.</t>
  </si>
  <si>
    <t>Des audits vérifient-ils régulièrement la sécurité du stockage des mots de passe ?</t>
  </si>
  <si>
    <t>Vérifier que la procédure de gestion des mots de passe statue sur leur diffusion</t>
  </si>
  <si>
    <t>Interdiction de l'envoi par email ou messagerie non sécurisée.</t>
  </si>
  <si>
    <t>Les mots de passe sont-ils transmis par des canaux sécurisés ?</t>
  </si>
  <si>
    <t>Utilisation de méthodes alternatives sécurisées (ex : liens temporaires).</t>
  </si>
  <si>
    <t>Quelles méthodes sécurisées sont utilisées pour communiquer les mots de passe ?</t>
  </si>
  <si>
    <t>Sensibilisation aux risques de la diffusion non sécurisée.</t>
  </si>
  <si>
    <t>Les employés sont-ils informés des risques liés à la diffusion non sécurisée des mots de passe ?</t>
  </si>
  <si>
    <t>Surveillance des violations de la politique de diffusion.</t>
  </si>
  <si>
    <t>Comment sont détectées et traitées les violations de la politique de diffusion ?</t>
  </si>
  <si>
    <t>Procédures d'urgence pour les cas exceptionnels.</t>
  </si>
  <si>
    <t>Existe-t-il des procédures spécifiques pour diffuser un mot de passe en cas d'urgence ?</t>
  </si>
  <si>
    <t>Vérifier que la procédure de gestion des mots de passe statue sur leur réinitialisation</t>
  </si>
  <si>
    <t>Délai maximal pour la réinitialisation après une demande.</t>
  </si>
  <si>
    <t>Combien de temps faut-il pour réinitialiser un mot de passe après une demande ?</t>
  </si>
  <si>
    <t>Vérification d'identité avant réinitialisation.</t>
  </si>
  <si>
    <t>Comment l'identité de l'utilisateur est-elle vérifiée avant une réinitialisation ?</t>
  </si>
  <si>
    <t>Notification à l'utilisateur après réinitialisation.</t>
  </si>
  <si>
    <t>L'utilisateur est-il informé une fois son mot de passe réinitialisé ?</t>
  </si>
  <si>
    <t>Obligation de changement immédiat après réinitialisation.</t>
  </si>
  <si>
    <t>L'utilisateur doit-il modifier son mot de passe après une réinitialisation ?</t>
  </si>
  <si>
    <t>Journalisation des demandes de réinitialisation.</t>
  </si>
  <si>
    <t>Les demandes de réinitialisation sont-elles enregistrées pour traçabilité ?</t>
  </si>
  <si>
    <t>Contrôle des accès</t>
  </si>
  <si>
    <t>Vérifier que la définition et la documentation de la politique de contrôle d'accès existent</t>
  </si>
  <si>
    <t>Existence d'un document formalisé détaillant la politique d'accès.</t>
  </si>
  <si>
    <t>Existe-t-il un document officiel définissant la politique de contrôle d'accès ?</t>
  </si>
  <si>
    <t>Approbation de la politique par la direction.</t>
  </si>
  <si>
    <t>La politique de contrôle d'accès a-t-elle été validée par la direction ?</t>
  </si>
  <si>
    <t>Mise à jour régulière de la politique.</t>
  </si>
  <si>
    <t>La politique est-elle revue et actualisée périodiquement ?</t>
  </si>
  <si>
    <t xml:space="preserve">Politique de sécurité réseau  </t>
  </si>
  <si>
    <t xml:space="preserve"> Intrusions externes ou internes non autorisées  </t>
  </si>
  <si>
    <t xml:space="preserve">Compromission du système d'information  </t>
  </si>
  <si>
    <t>Accessibilité de la politique pour les employés concernés.</t>
  </si>
  <si>
    <t>Les employés ont-ils facilement accès à la politique de contrôle d'accès ?</t>
  </si>
  <si>
    <t xml:space="preserve">– Cartographie du réseau  </t>
  </si>
  <si>
    <t xml:space="preserve">– Fuite de données par des canaux non sécurisés  </t>
  </si>
  <si>
    <t xml:space="preserve">– Interruption de service ou déni de service  </t>
  </si>
  <si>
    <t>Alignement avec les standards sectoriels et réglementaires.</t>
  </si>
  <si>
    <t>La politique est-elle conforme aux normes et réglementations en vigueur ?</t>
  </si>
  <si>
    <t xml:space="preserve">– Configuration des pare-feu et VLAN  </t>
  </si>
  <si>
    <t xml:space="preserve">– Propagation de malwares via le réseau  </t>
  </si>
  <si>
    <t xml:space="preserve">– Non-respect des exigences de conformité  </t>
  </si>
  <si>
    <t>S’assurer que la gestion des accès utilisateurs est effective</t>
  </si>
  <si>
    <t>Processus formalisé pour la création et la suppression des comptes.</t>
  </si>
  <si>
    <t>Comment sont gérées la création et la suppression des comptes utilisateurs ?</t>
  </si>
  <si>
    <t xml:space="preserve">– Registre des accès distants (VPN, etc.)  </t>
  </si>
  <si>
    <t xml:space="preserve">– Utilisation frauduleuse des ressources réseau  </t>
  </si>
  <si>
    <t>Validation des demandes d'accès par un responsable.</t>
  </si>
  <si>
    <t>Les demandes d'accès sont-elles approuvées par un responsable avant attribution ?</t>
  </si>
  <si>
    <t>– Rapports de détection d’intrusion (IDS/IPS)</t>
  </si>
  <si>
    <t xml:space="preserve">– Manque de visibilité sur les connexions établies  </t>
  </si>
  <si>
    <t xml:space="preserve">– Élevée </t>
  </si>
  <si>
    <t xml:space="preserve">– Impact financier et réputationnel  </t>
  </si>
  <si>
    <t>Revue périodique des droits d'accès.</t>
  </si>
  <si>
    <t>Les droits d'accès des utilisateurs sont-ils révisés régulièrement ?</t>
  </si>
  <si>
    <t>Désactivation immédiate des comptes en cas de départ.</t>
  </si>
  <si>
    <t>Les comptes des employés quittant l'organisation sont-ils désactivés rapidement ?</t>
  </si>
  <si>
    <t>Journalisation des modifications des droits d'accès.</t>
  </si>
  <si>
    <t>Les changements de droits d'accès sont-ils enregistrés et traçables ?</t>
  </si>
  <si>
    <t>S’assurer que l'utilisation de mots de passe et de systèmes de déconnexion automatique est effective</t>
  </si>
  <si>
    <t>Obligation d'utiliser des mots de passe robustes.</t>
  </si>
  <si>
    <t>Les utilisateurs sont-ils obligés d'utiliser des mots de passe complexes ?</t>
  </si>
  <si>
    <t>Activation de la déconnexion automatique après une période d'inactivité.</t>
  </si>
  <si>
    <t>Les sessions utilisateurs se ferment-elles automatiquement après une période d'inactivité ?</t>
  </si>
  <si>
    <t>Configuration des délais de déconnexion en fonction des risques.</t>
  </si>
  <si>
    <t>Les délais de déconnexion automatique sont-ils adaptés aux niveaux de sensibilité des données ?</t>
  </si>
  <si>
    <t>Les employés sont-ils formés sur l'importance de la déconnexion des sessions ?</t>
  </si>
  <si>
    <t>Surveillance des violations de la politique.</t>
  </si>
  <si>
    <t>Comment sont détectées et traitées les violations de la politique de déconnexion ?</t>
  </si>
  <si>
    <t>Vérifier que le contrôle des accès aux réseaux est effectif</t>
  </si>
  <si>
    <t>Segmentation du réseau en zones de sécurité.</t>
  </si>
  <si>
    <t>Le réseau est-il divisé en zones distinctes selon les niveaux de sécurité ?</t>
  </si>
  <si>
    <t>Restriction des accès basée sur les besoins opérationnels.</t>
  </si>
  <si>
    <t>Les accès au réseau sont-ils limités aux seules personnes autorisées ?</t>
  </si>
  <si>
    <t>Utilisation de pare-feu et de listes de contrôle d'accès.</t>
  </si>
  <si>
    <t>Des pare-feu et des listes de contrôle d'accès sont-ils mis en place ?</t>
  </si>
  <si>
    <t>Surveillance des connexions réseau suspectes.</t>
  </si>
  <si>
    <t>Les connexions réseau anormales sont-elles détectées et signalées ?</t>
  </si>
  <si>
    <t>Mise à jour régulière des règles de contrôle d'accès.</t>
  </si>
  <si>
    <t>Les règles d'accès au réseau sont-elles révisées et ajustées régulièrement ?</t>
  </si>
  <si>
    <t>Vérifier que le contrôle d'accès aux systèmes d'exploitation est effectif</t>
  </si>
  <si>
    <t>Attribution des privilèges selon le principe du moindre privilège.</t>
  </si>
  <si>
    <t>Les utilisateurs disposent-ils uniquement des droits nécessaires à leurs fonctions ?</t>
  </si>
  <si>
    <t>Désactivation des comptes par défaut et des services inutiles.</t>
  </si>
  <si>
    <t>Les comptes et services inutilisés sont-ils désactivés par défaut ?</t>
  </si>
  <si>
    <t>Utilisation de comptes administrateurs distincts pour les tâches critiques.</t>
  </si>
  <si>
    <t>Des comptes spécifiques sont-ils utilisés pour les opérations administratives ?</t>
  </si>
  <si>
    <t>Journalisation des accès aux systèmes d'exploitation.</t>
  </si>
  <si>
    <t>Les accès aux systèmes d'exploitation sont-ils enregistrés et monitorés ?</t>
  </si>
  <si>
    <t>Mise en place de mécanismes d'authentification forte.</t>
  </si>
  <si>
    <t>L'authentification multifacteur est-elle requise pour les accès sensibles ?</t>
  </si>
  <si>
    <t>Vérifier que le contrôle d'accès aux applications est effectif</t>
  </si>
  <si>
    <t>Configuration des rôles et permissions dans les applications.</t>
  </si>
  <si>
    <t>Les rôles et permissions dans les applications sont-ils configurés précisément ?</t>
  </si>
  <si>
    <t xml:space="preserve"> Politique de contrôle des accès  </t>
  </si>
  <si>
    <t xml:space="preserve"> Intrusions non détectées  </t>
  </si>
  <si>
    <t xml:space="preserve"> Compromission du système d'information  </t>
  </si>
  <si>
    <t xml:space="preserve"> Mettre en place un système centralisé de journalisation (SIEM)  </t>
  </si>
  <si>
    <t>Revue régulière des droits d'accès aux applications.</t>
  </si>
  <si>
    <t>Les droits d'accès aux applications sont-ils révisés périodiquement ?</t>
  </si>
  <si>
    <t xml:space="preserve">– Journaux d’audit et de connexion  </t>
  </si>
  <si>
    <t xml:space="preserve">– Utilisation abusive des ressources système  </t>
  </si>
  <si>
    <t xml:space="preserve">– Perte ou vol de données sensibles  </t>
  </si>
  <si>
    <t xml:space="preserve">– Activer et vérifier les logs d’accès et d’activités  </t>
  </si>
  <si>
    <t>Restriction des accès aux fonctionnalités sensibles.</t>
  </si>
  <si>
    <t>Les fonctionnalités critiques des applications sont-elles protégées par des contrôles d'accès stricts ?</t>
  </si>
  <si>
    <t xml:space="preserve">– Rapport de supervision SIEM  </t>
  </si>
  <si>
    <t xml:space="preserve">– Escalade de privilèges non autorisée  </t>
  </si>
  <si>
    <t xml:space="preserve">– Non-conformité avec les exigences réglementaires  </t>
  </si>
  <si>
    <t xml:space="preserve">– Réaliser des revues régulières des droits d’accès  </t>
  </si>
  <si>
    <t>Journalisation des activités utilisateurs dans les applications.</t>
  </si>
  <si>
    <t>Les actions des utilisateurs dans les applications sont-elles enregistrées ?</t>
  </si>
  <si>
    <t xml:space="preserve">– Procédures de gestion des accès  </t>
  </si>
  <si>
    <t xml:space="preserve">– Détournement d’identifiants  </t>
  </si>
  <si>
    <t xml:space="preserve">– Altération du bon fonctionnement des systèmes  </t>
  </si>
  <si>
    <t xml:space="preserve">– Définir et appliquer une politique stricte de gestion des identifiants  </t>
  </si>
  <si>
    <t>Tests périodiques des vulnérabilités des applications.</t>
  </si>
  <si>
    <t>Des tests de sécurité sont-ils réalisés pour identifier les failles dans les applications ?</t>
  </si>
  <si>
    <t xml:space="preserve">– Relevés d’anomalies ou alertes de sécurité  </t>
  </si>
  <si>
    <t xml:space="preserve">– Absence de traçabilité des actions  </t>
  </si>
  <si>
    <t xml:space="preserve">– Détecter et répondre rapidement aux comportements anormaux  </t>
  </si>
  <si>
    <t>Vérifier que la surveillance des accès aux systèmes et leur utilisation sont effectives</t>
  </si>
  <si>
    <t>Mise en place d'un système de surveillance des accès.</t>
  </si>
  <si>
    <t>Existe-t-il un outil de surveillance des accès aux systèmes ?</t>
  </si>
  <si>
    <t>Alertes en cas d'activités suspectes ou anormales.</t>
  </si>
  <si>
    <t>Des alertes sont-elles générées en cas de comportements suspects ?</t>
  </si>
  <si>
    <t>Revue régulière des journaux d'accès.</t>
  </si>
  <si>
    <t>Les journaux d'accès sont-ils analysés périodiquement ?</t>
  </si>
  <si>
    <t>Procédures de réponse aux incidents d'accès non autorisés.</t>
  </si>
  <si>
    <t>Comment sont gérés les incidents liés à des accès non autorisés ?</t>
  </si>
  <si>
    <t>Formation des équipes à la détection des anomalies.</t>
  </si>
  <si>
    <t>Les équipes sont-elles formées pour identifier les activités suspectes ?</t>
  </si>
  <si>
    <t>Vérifier que des suites sont systématiquement données aux incidents</t>
  </si>
  <si>
    <t>Existence d'un processus de traitement des incidents.</t>
  </si>
  <si>
    <t>Comment les incidents de sécurité sont-ils traités et résolus ?</t>
  </si>
  <si>
    <t>Documentation complète des incidents et des actions correctives.</t>
  </si>
  <si>
    <t>Les incidents et les mesures prises sont-ils documentés de manière détaillée ?</t>
  </si>
  <si>
    <t>Analyse post-incident pour identifier les causes racines.</t>
  </si>
  <si>
    <t>Des analyses sont-elles réalisées pour comprendre les causes des incidents ?</t>
  </si>
  <si>
    <t>Mise en œuvre de mesures préventives après un incident.</t>
  </si>
  <si>
    <t>Des actions sont-elles prises pour éviter la répétition des incidents ?</t>
  </si>
  <si>
    <t xml:space="preserve"> Politique de développement sécurisé  </t>
  </si>
  <si>
    <t xml:space="preserve">– Présence de failles dans les applications (ex : injection SQL)  </t>
  </si>
  <si>
    <t xml:space="preserve">– Compromission de données confidentielles  </t>
  </si>
  <si>
    <t xml:space="preserve"> Intégrer la sécurité dans le cycle de développement (DevSecOps)  </t>
  </si>
  <si>
    <t>Communication des leçons apprises aux équipes concernées.</t>
  </si>
  <si>
    <t>Les retours d'expérience sont-ils partagés avec les employés concernés ?</t>
  </si>
  <si>
    <t xml:space="preserve">– Plan de tests de sécurité applicative  </t>
  </si>
  <si>
    <t xml:space="preserve">– Exploitation de vulnérabilités par des attaquants  </t>
  </si>
  <si>
    <t xml:space="preserve">– Arrêt de service ou indisponibilité de l’application  </t>
  </si>
  <si>
    <t xml:space="preserve">– Réaliser régulièrement des tests de pénétration et audits applicatifs  </t>
  </si>
  <si>
    <t>Développement et maintenance des systèmes</t>
  </si>
  <si>
    <t>S’assurer que les exigences de sécurité des systèmes existent</t>
  </si>
  <si>
    <t>Existence d'un document formalisé des exigences de sécurité</t>
  </si>
  <si>
    <t>Existe-t-il un document officiel détaillant les exigences de sécurité pour les systèmes ?</t>
  </si>
  <si>
    <t xml:space="preserve">– Journal des vulnérabilités et correctifs  </t>
  </si>
  <si>
    <t xml:space="preserve">– Accès non autorisé aux données via l’application  </t>
  </si>
  <si>
    <t xml:space="preserve">– Mettre à jour les composants logiciels et librairies utilisées  </t>
  </si>
  <si>
    <t>Alignement avec les normes sectorielles (ISO 27001, NIST, etc.)</t>
  </si>
  <si>
    <t>Les exigences de sécurité sont-elles conformes aux normes sectorielles reconnues ?</t>
  </si>
  <si>
    <t xml:space="preserve">– Rapport d’audit applicatif  </t>
  </si>
  <si>
    <t xml:space="preserve">– Déni de service sur les applications critiques  </t>
  </si>
  <si>
    <t xml:space="preserve">– Perte financière due à l’exploitation de failles  </t>
  </si>
  <si>
    <t>– Implémenter une gestion des accès forte et contrôlée</t>
  </si>
  <si>
    <t>Validation par les parties prenantes (métiers, IT, sécurité)</t>
  </si>
  <si>
    <t>Les exigences de sécurité ont-elles été validées par les parties prenantes concernées ?</t>
  </si>
  <si>
    <t xml:space="preserve">– Guide des bonnes pratiques de codage sécurisé  </t>
  </si>
  <si>
    <t>– Non-conformité avec les normes de sécurité (ex : OWASP)</t>
  </si>
  <si>
    <t>Mise à jour régulière pour refléter les nouvelles menaces</t>
  </si>
  <si>
    <t>Les exigences de sécurité sont-elles revues et mises à jour annuellement ?</t>
  </si>
  <si>
    <t>Intégration dans le cycle de vie du développement (SDLC)</t>
  </si>
  <si>
    <t>Les exigences de sécurité sont-elles intégrées dès les phases initiales du développement ?</t>
  </si>
  <si>
    <t>S’assurer que la sécurité des systèmes d'application est effective</t>
  </si>
  <si>
    <t>Utilisation de méthodes de codage sécurisé (OWASP, etc.)</t>
  </si>
  <si>
    <t>Les développeurs appliquent-ils des bonnes pratiques de codage sécurisé ?</t>
  </si>
  <si>
    <t>Tests de sécurité automatisés (SAST, DAST) durant le développement</t>
  </si>
  <si>
    <t>Des tests de sécurité automatisés sont-ils réalisés pendant le développement ?</t>
  </si>
  <si>
    <t>Gestion des vulnérabilités identifiées (correctifs, priorités)</t>
  </si>
  <si>
    <t>Les vulnérabilités identifiées sont-elles corrigées dans des délais définis ?</t>
  </si>
  <si>
    <t>Authentification et autorisation robustes dans les applications</t>
  </si>
  <si>
    <t>Les mécanismes d'authentification et d'autorisation sont-ils suffisamment sécurisés ?</t>
  </si>
  <si>
    <t xml:space="preserve"> Accès non autorisé à des données sensibles  </t>
  </si>
  <si>
    <t xml:space="preserve">Perte de données stratégiques  </t>
  </si>
  <si>
    <t xml:space="preserve">– Appliquer des droits d’accès stricts par rôle  </t>
  </si>
  <si>
    <t>Journalisation des activités et monitoring des applications</t>
  </si>
  <si>
    <t>Les activités des applications sont-elles journalisées et surveillées ?</t>
  </si>
  <si>
    <t xml:space="preserve">– Procédures de gestion des accès aux fichiers  </t>
  </si>
  <si>
    <t xml:space="preserve">– Altération ou suppression de fichiers critiques  </t>
  </si>
  <si>
    <t xml:space="preserve">– Non-respect du RGPD ou d’autres réglementations  </t>
  </si>
  <si>
    <t xml:space="preserve">– Activer la journalisation et la surveillance des fichiers sensibles  </t>
  </si>
  <si>
    <t>S’assurer qu’un protocole de recette existe</t>
  </si>
  <si>
    <t>Documentation claire du protocole de recette (étapes, acteurs)</t>
  </si>
  <si>
    <t>Existe-t-il un protocole de recette formalisé et accessible ?</t>
  </si>
  <si>
    <t xml:space="preserve">– Registre des fichiers sensibles  </t>
  </si>
  <si>
    <t xml:space="preserve">– Fuite d’informations confidentielles  </t>
  </si>
  <si>
    <t xml:space="preserve">– Perte de confiance des partenaires ou clients  </t>
  </si>
  <si>
    <t xml:space="preserve">– Chiffrer les fichiers critiques en transit et au repos  </t>
  </si>
  <si>
    <t>Inclusion de tests de sécurité dans la recette</t>
  </si>
  <si>
    <t>Le protocole inclut-il des tests spécifiques pour évaluer la sécurité ?</t>
  </si>
  <si>
    <t xml:space="preserve">– Rapports d’audit de sécurité  </t>
  </si>
  <si>
    <t xml:space="preserve">– Infections par malwares via des fichiers partagés  </t>
  </si>
  <si>
    <t xml:space="preserve">– Interruption des activités métiers  </t>
  </si>
  <si>
    <t xml:space="preserve">– Sauvegarder régulièrement les fichiers importants  </t>
  </si>
  <si>
    <t>Validation par des équipes indépendantes (audit, sécurité)</t>
  </si>
  <si>
    <t>La recette est-elle validée par des équipes indépendantes des développeurs ?</t>
  </si>
  <si>
    <t xml:space="preserve">– Journalisation des accès aux fichiers  </t>
  </si>
  <si>
    <t xml:space="preserve">– Manque de traçabilité sur les modifications de fichiers  </t>
  </si>
  <si>
    <t xml:space="preserve">– Sanctions financières et juridiques  </t>
  </si>
  <si>
    <t xml:space="preserve">– Former les utilisateurs à la gestion sécurisée des fichiers  </t>
  </si>
  <si>
    <t>Traçabilité des résultats et des décisions</t>
  </si>
  <si>
    <t>Les résultats des tests de recette sont-ils documentés et archivés ?</t>
  </si>
  <si>
    <t>Adaptation aux évolutions technologiques et réglementaires</t>
  </si>
  <si>
    <t>Le protocole est-il mis à jour pour refléter les nouvelles exigences ?</t>
  </si>
  <si>
    <t>S’assurer que le protocole de recette a été testé</t>
  </si>
  <si>
    <t>Réalisation effective des tests de recette sur des environnements dédiés</t>
  </si>
  <si>
    <t>Les tests de recette ont-ils été effectivement réalisés avant la mise en production ?</t>
  </si>
  <si>
    <t>Couverture des scénarios critiques (erreurs, attaques simulées)</t>
  </si>
  <si>
    <t>Les tests couvrent-ils des scénarios critiques tels que des attaques simulées ?</t>
  </si>
  <si>
    <t>Résolution des anomalies identifiées avant déploiement</t>
  </si>
  <si>
    <t>Les anomalies identifiées lors des tests sont-elles résolues avant déploiement ?</t>
  </si>
  <si>
    <t>Implication des métiers dans la validation des résultats</t>
  </si>
  <si>
    <t>Les équipes métiers participent-elles à la validation des résultats de la recette ?</t>
  </si>
  <si>
    <t>Benchmark avec des standards sectoriels</t>
  </si>
  <si>
    <t>Les tests de recette sont-ils comparés à des standards sectoriels ?</t>
  </si>
  <si>
    <t>S’assurer que la sécurité des fichiers est prise en compte</t>
  </si>
  <si>
    <t>Classification des fichiers selon leur sensibilité</t>
  </si>
  <si>
    <t>Les fichiers sont-ils classés selon leur niveau de sensibilité (public, interne, confidentiel) ?</t>
  </si>
  <si>
    <t>Contrôle d'accès basé sur les rôles (RBAC) pour les fichiers</t>
  </si>
  <si>
    <t>Les accès aux fichiers sont-ils restreints en fonction des rôles des utilisateurs ?</t>
  </si>
  <si>
    <t>Chiffrement des fichiers sensibles (au repos et en transit)</t>
  </si>
  <si>
    <t>Les fichiers sensibles sont-ils chiffrés lors du stockage et du transfert ?</t>
  </si>
  <si>
    <t>Journalisation des accès et modifications des fichiers critiques</t>
  </si>
  <si>
    <t>Les accès et modifications des fichiers critiques sont-ils tracés ?</t>
  </si>
  <si>
    <t>Procédures de sauvegarde et de récupération des fichiers</t>
  </si>
  <si>
    <t>Existe-t-il des procédures pour sauvegarder et restaurer les fichiers en cas d'incident ?</t>
  </si>
  <si>
    <t>N°</t>
  </si>
  <si>
    <t>Domaines</t>
  </si>
  <si>
    <t>Total OUI</t>
  </si>
  <si>
    <t>Total NON</t>
  </si>
  <si>
    <t>Total PAS</t>
  </si>
  <si>
    <t>Total</t>
  </si>
  <si>
    <t>Score</t>
  </si>
  <si>
    <t>Score 2</t>
  </si>
  <si>
    <t xml:space="preserve">Audit des Applications en Service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</si>
</sst>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Times New Roman"/>
      <family val="1"/>
    </font>
    <font>
      <sz val="12"/>
      <name val="Segoe UI"/>
      <family val="2"/>
    </font>
    <font>
      <sz val="12"/>
      <color theme="1"/>
      <name val="Segoe U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rgb="FF404040"/>
      <name val="Segoe U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Fill="1" applyBorder="1"/>
    <xf numFmtId="0" fontId="0" fillId="0" borderId="13" xfId="0" applyBorder="1"/>
    <xf numFmtId="0" fontId="0" fillId="0" borderId="8" xfId="0" applyBorder="1"/>
    <xf numFmtId="9" fontId="0" fillId="0" borderId="14" xfId="1" applyFont="1" applyBorder="1"/>
    <xf numFmtId="9" fontId="0" fillId="0" borderId="0" xfId="1" applyFont="1"/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/>
    <xf numFmtId="9" fontId="2" fillId="0" borderId="18" xfId="1" applyFont="1" applyBorder="1"/>
  </cellXfs>
  <cellStyles count="2">
    <cellStyle name="Normal" xfId="0" builtinId="0"/>
    <cellStyle name="Pourcentage" xfId="1" builtinId="5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ample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YENGA_TEAM_P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,1"/>
      <sheetName val="4,2"/>
      <sheetName val="4,3"/>
      <sheetName val="Feuil6"/>
      <sheetName val="4,4"/>
      <sheetName val="4,5"/>
    </sheetNames>
    <sheetDataSet>
      <sheetData sheetId="0">
        <row r="2">
          <cell r="J2" t="str">
            <v xml:space="preserve">OUI  </v>
          </cell>
        </row>
        <row r="3">
          <cell r="J3" t="str">
            <v xml:space="preserve">NON  </v>
          </cell>
        </row>
        <row r="4">
          <cell r="J4" t="str">
            <v xml:space="preserve">OUI  </v>
          </cell>
        </row>
        <row r="5">
          <cell r="J5" t="str">
            <v xml:space="preserve">OUI  </v>
          </cell>
        </row>
        <row r="6">
          <cell r="J6" t="str">
            <v xml:space="preserve">NON  </v>
          </cell>
        </row>
        <row r="7">
          <cell r="J7" t="str">
            <v xml:space="preserve">OUI  </v>
          </cell>
        </row>
        <row r="8">
          <cell r="J8" t="str">
            <v xml:space="preserve">NON  </v>
          </cell>
        </row>
        <row r="9">
          <cell r="J9" t="str">
            <v xml:space="preserve">OUI  </v>
          </cell>
        </row>
        <row r="10">
          <cell r="J10" t="str">
            <v xml:space="preserve">OUI  </v>
          </cell>
        </row>
        <row r="11">
          <cell r="J11" t="str">
            <v xml:space="preserve">NON  </v>
          </cell>
        </row>
        <row r="12">
          <cell r="J12" t="str">
            <v xml:space="preserve">OUI  </v>
          </cell>
        </row>
        <row r="13">
          <cell r="J13" t="str">
            <v xml:space="preserve">OUI  </v>
          </cell>
        </row>
        <row r="14">
          <cell r="J14" t="str">
            <v xml:space="preserve">NON  </v>
          </cell>
        </row>
        <row r="15">
          <cell r="J15" t="str">
            <v xml:space="preserve">OUI  </v>
          </cell>
        </row>
        <row r="16">
          <cell r="J16" t="str">
            <v xml:space="preserve">OUI  </v>
          </cell>
        </row>
        <row r="17">
          <cell r="J17" t="str">
            <v xml:space="preserve">OUI  </v>
          </cell>
        </row>
        <row r="18">
          <cell r="J18" t="str">
            <v xml:space="preserve">NON  </v>
          </cell>
        </row>
        <row r="19">
          <cell r="J19" t="str">
            <v xml:space="preserve">OUI  </v>
          </cell>
        </row>
        <row r="20">
          <cell r="J20" t="str">
            <v xml:space="preserve">OUI  </v>
          </cell>
        </row>
        <row r="21">
          <cell r="J21" t="str">
            <v xml:space="preserve">NON  </v>
          </cell>
        </row>
        <row r="22">
          <cell r="J22" t="str">
            <v xml:space="preserve">OUI  </v>
          </cell>
        </row>
        <row r="23">
          <cell r="J23" t="str">
            <v xml:space="preserve">OUI  </v>
          </cell>
        </row>
        <row r="24">
          <cell r="J24" t="str">
            <v xml:space="preserve">OUI  </v>
          </cell>
        </row>
        <row r="25">
          <cell r="J25" t="str">
            <v xml:space="preserve">NON  </v>
          </cell>
        </row>
        <row r="26">
          <cell r="J26" t="str">
            <v xml:space="preserve">OUI  </v>
          </cell>
        </row>
        <row r="27">
          <cell r="J27" t="str">
            <v xml:space="preserve">NON  </v>
          </cell>
        </row>
        <row r="28">
          <cell r="J28" t="str">
            <v xml:space="preserve">OUI  </v>
          </cell>
        </row>
        <row r="29">
          <cell r="J29" t="str">
            <v xml:space="preserve">OUI  </v>
          </cell>
        </row>
        <row r="30">
          <cell r="J30" t="str">
            <v xml:space="preserve">NON  </v>
          </cell>
        </row>
        <row r="31">
          <cell r="J31" t="str">
            <v xml:space="preserve">OUI  </v>
          </cell>
        </row>
        <row r="32">
          <cell r="J32" t="str">
            <v xml:space="preserve">OUI  </v>
          </cell>
        </row>
        <row r="33">
          <cell r="J33" t="str">
            <v xml:space="preserve">OUI  </v>
          </cell>
        </row>
        <row r="34">
          <cell r="J34" t="str">
            <v xml:space="preserve">NON  </v>
          </cell>
        </row>
        <row r="35">
          <cell r="J35" t="str">
            <v xml:space="preserve">OUI  </v>
          </cell>
        </row>
        <row r="36">
          <cell r="J36" t="str">
            <v xml:space="preserve">OUI  </v>
          </cell>
        </row>
        <row r="37">
          <cell r="J37" t="str">
            <v xml:space="preserve">OUI  </v>
          </cell>
        </row>
        <row r="38">
          <cell r="J38" t="str">
            <v xml:space="preserve">OUI  </v>
          </cell>
        </row>
        <row r="39">
          <cell r="J39" t="str">
            <v xml:space="preserve">NON  </v>
          </cell>
        </row>
        <row r="40">
          <cell r="J40" t="str">
            <v xml:space="preserve">OUI  </v>
          </cell>
        </row>
        <row r="41">
          <cell r="J41" t="str">
            <v xml:space="preserve">OUI  </v>
          </cell>
        </row>
        <row r="42">
          <cell r="J42" t="str">
            <v xml:space="preserve">OUI  </v>
          </cell>
        </row>
        <row r="43">
          <cell r="J43" t="str">
            <v xml:space="preserve">NON  </v>
          </cell>
        </row>
        <row r="44">
          <cell r="J44" t="str">
            <v xml:space="preserve">OUI  </v>
          </cell>
        </row>
        <row r="45">
          <cell r="J45" t="str">
            <v xml:space="preserve">OUI  </v>
          </cell>
        </row>
        <row r="46">
          <cell r="J46" t="str">
            <v xml:space="preserve">OUI  </v>
          </cell>
        </row>
        <row r="47">
          <cell r="J47" t="str">
            <v xml:space="preserve">OUI  </v>
          </cell>
        </row>
        <row r="48">
          <cell r="J48" t="str">
            <v xml:space="preserve">NON  </v>
          </cell>
        </row>
        <row r="49">
          <cell r="J49" t="str">
            <v xml:space="preserve">OUI  </v>
          </cell>
        </row>
        <row r="50">
          <cell r="J50" t="str">
            <v xml:space="preserve">OUI  </v>
          </cell>
        </row>
        <row r="51">
          <cell r="J51" t="str">
            <v xml:space="preserve">OUI  </v>
          </cell>
        </row>
        <row r="52">
          <cell r="J52" t="str">
            <v xml:space="preserve">NON  </v>
          </cell>
        </row>
        <row r="53">
          <cell r="J53" t="str">
            <v xml:space="preserve">OUI  </v>
          </cell>
        </row>
        <row r="54">
          <cell r="J54" t="str">
            <v xml:space="preserve">OUI  </v>
          </cell>
        </row>
        <row r="55">
          <cell r="J55" t="str">
            <v xml:space="preserve">OUI  </v>
          </cell>
        </row>
        <row r="56">
          <cell r="J56" t="str">
            <v xml:space="preserve">OUI  </v>
          </cell>
        </row>
        <row r="57">
          <cell r="J57" t="str">
            <v xml:space="preserve">NON  </v>
          </cell>
        </row>
        <row r="58">
          <cell r="J58" t="str">
            <v xml:space="preserve">OUI  </v>
          </cell>
        </row>
        <row r="59">
          <cell r="J59" t="str">
            <v xml:space="preserve">OUI  </v>
          </cell>
        </row>
        <row r="60">
          <cell r="J60" t="str">
            <v xml:space="preserve">OUI  </v>
          </cell>
        </row>
        <row r="61">
          <cell r="J61" t="str">
            <v xml:space="preserve">OUI  </v>
          </cell>
        </row>
        <row r="62">
          <cell r="J62" t="str">
            <v xml:space="preserve">NON  </v>
          </cell>
        </row>
        <row r="63">
          <cell r="J63" t="str">
            <v xml:space="preserve">OUI  </v>
          </cell>
        </row>
        <row r="64">
          <cell r="J64" t="str">
            <v xml:space="preserve">OUI  </v>
          </cell>
        </row>
        <row r="65">
          <cell r="J65" t="str">
            <v xml:space="preserve">OUI  </v>
          </cell>
        </row>
        <row r="66">
          <cell r="J66" t="str">
            <v xml:space="preserve">OUI  </v>
          </cell>
        </row>
        <row r="67">
          <cell r="J67" t="str">
            <v xml:space="preserve">NON  </v>
          </cell>
        </row>
        <row r="68">
          <cell r="J68" t="str">
            <v xml:space="preserve">OUI  </v>
          </cell>
        </row>
        <row r="69">
          <cell r="J69" t="str">
            <v xml:space="preserve">OUI  </v>
          </cell>
        </row>
        <row r="70">
          <cell r="J70" t="str">
            <v xml:space="preserve">OUI  </v>
          </cell>
        </row>
        <row r="71">
          <cell r="J71" t="str">
            <v xml:space="preserve">OUI  </v>
          </cell>
        </row>
        <row r="72">
          <cell r="J72" t="str">
            <v xml:space="preserve">NON  </v>
          </cell>
        </row>
        <row r="73">
          <cell r="J73" t="str">
            <v xml:space="preserve">OUI  </v>
          </cell>
        </row>
        <row r="74">
          <cell r="J74" t="str">
            <v xml:space="preserve">OUI  </v>
          </cell>
        </row>
        <row r="75">
          <cell r="J75" t="str">
            <v xml:space="preserve">OUI  </v>
          </cell>
        </row>
        <row r="76">
          <cell r="J76" t="str">
            <v xml:space="preserve">OUI  </v>
          </cell>
        </row>
        <row r="77">
          <cell r="J77" t="str">
            <v xml:space="preserve">NON  </v>
          </cell>
        </row>
        <row r="78">
          <cell r="J78" t="str">
            <v xml:space="preserve">OUI  </v>
          </cell>
        </row>
        <row r="79">
          <cell r="J79" t="str">
            <v xml:space="preserve">OUI  </v>
          </cell>
        </row>
        <row r="80">
          <cell r="J80" t="str">
            <v xml:space="preserve">OUI  </v>
          </cell>
        </row>
        <row r="81">
          <cell r="J81" t="str">
            <v xml:space="preserve">OUI  </v>
          </cell>
        </row>
        <row r="82">
          <cell r="J82" t="str">
            <v xml:space="preserve">NON  </v>
          </cell>
        </row>
        <row r="83">
          <cell r="J83" t="str">
            <v xml:space="preserve">OUI  </v>
          </cell>
        </row>
        <row r="84">
          <cell r="J84" t="str">
            <v xml:space="preserve">OUI  </v>
          </cell>
        </row>
        <row r="85">
          <cell r="J85" t="str">
            <v xml:space="preserve">OUI  </v>
          </cell>
        </row>
        <row r="86">
          <cell r="J86" t="str">
            <v xml:space="preserve">OUI  </v>
          </cell>
        </row>
        <row r="87">
          <cell r="J87" t="str">
            <v xml:space="preserve">NON  </v>
          </cell>
        </row>
        <row r="88">
          <cell r="J88" t="str">
            <v xml:space="preserve">OUI  </v>
          </cell>
        </row>
        <row r="89">
          <cell r="J89" t="str">
            <v xml:space="preserve">OUI  </v>
          </cell>
        </row>
        <row r="90">
          <cell r="J90" t="str">
            <v xml:space="preserve">OUI  </v>
          </cell>
        </row>
        <row r="91">
          <cell r="J91" t="str">
            <v xml:space="preserve">OUI  </v>
          </cell>
        </row>
        <row r="92">
          <cell r="J92" t="str">
            <v xml:space="preserve">NON  </v>
          </cell>
        </row>
        <row r="93">
          <cell r="J93" t="str">
            <v xml:space="preserve">OUI  </v>
          </cell>
        </row>
        <row r="94">
          <cell r="J94" t="str">
            <v xml:space="preserve">OUI  </v>
          </cell>
        </row>
        <row r="95">
          <cell r="J95" t="str">
            <v xml:space="preserve">OUI  </v>
          </cell>
        </row>
        <row r="96">
          <cell r="J96" t="str">
            <v xml:space="preserve">OUI  </v>
          </cell>
        </row>
        <row r="97">
          <cell r="J97" t="str">
            <v xml:space="preserve">NON  </v>
          </cell>
        </row>
        <row r="98">
          <cell r="J98" t="str">
            <v xml:space="preserve">OUI  </v>
          </cell>
        </row>
        <row r="99">
          <cell r="J99" t="str">
            <v xml:space="preserve">OUI  </v>
          </cell>
        </row>
        <row r="100">
          <cell r="J100" t="str">
            <v xml:space="preserve">OUI  </v>
          </cell>
        </row>
        <row r="101">
          <cell r="J101" t="str">
            <v xml:space="preserve">OUI  </v>
          </cell>
        </row>
        <row r="102">
          <cell r="J102" t="str">
            <v xml:space="preserve">NON  </v>
          </cell>
        </row>
        <row r="103">
          <cell r="J103" t="str">
            <v xml:space="preserve">OUI  </v>
          </cell>
        </row>
        <row r="104">
          <cell r="J104" t="str">
            <v xml:space="preserve">OUI  </v>
          </cell>
        </row>
        <row r="105">
          <cell r="J105" t="str">
            <v xml:space="preserve">OUI  </v>
          </cell>
        </row>
        <row r="106">
          <cell r="J106" t="str">
            <v xml:space="preserve">OUI  </v>
          </cell>
        </row>
        <row r="107">
          <cell r="J107" t="str">
            <v xml:space="preserve">NON  </v>
          </cell>
        </row>
        <row r="108">
          <cell r="J108" t="str">
            <v xml:space="preserve">OUI  </v>
          </cell>
        </row>
        <row r="109">
          <cell r="J109" t="str">
            <v xml:space="preserve">OUI  </v>
          </cell>
        </row>
        <row r="110">
          <cell r="J110" t="str">
            <v xml:space="preserve">OUI  </v>
          </cell>
        </row>
        <row r="111">
          <cell r="J111" t="str">
            <v xml:space="preserve">OUI  </v>
          </cell>
        </row>
        <row r="112">
          <cell r="J112" t="str">
            <v xml:space="preserve">NON  </v>
          </cell>
        </row>
        <row r="113">
          <cell r="J113" t="str">
            <v xml:space="preserve">OUI  </v>
          </cell>
        </row>
        <row r="114">
          <cell r="J114" t="str">
            <v xml:space="preserve">OUI  </v>
          </cell>
        </row>
        <row r="115">
          <cell r="J115" t="str">
            <v xml:space="preserve">OUI  </v>
          </cell>
        </row>
        <row r="116">
          <cell r="J116" t="str">
            <v xml:space="preserve">OUI  </v>
          </cell>
        </row>
        <row r="117">
          <cell r="J117" t="str">
            <v xml:space="preserve">NON  </v>
          </cell>
        </row>
        <row r="118">
          <cell r="J118" t="str">
            <v xml:space="preserve">OUI  </v>
          </cell>
        </row>
        <row r="119">
          <cell r="J119" t="str">
            <v xml:space="preserve">OUI  </v>
          </cell>
        </row>
        <row r="120">
          <cell r="J120" t="str">
            <v xml:space="preserve">OUI  </v>
          </cell>
        </row>
        <row r="121">
          <cell r="J121" t="str">
            <v xml:space="preserve">OUI  </v>
          </cell>
        </row>
        <row r="122">
          <cell r="J122" t="str">
            <v xml:space="preserve">NON  </v>
          </cell>
        </row>
        <row r="123">
          <cell r="J123" t="str">
            <v xml:space="preserve">OUI  </v>
          </cell>
        </row>
        <row r="124">
          <cell r="J124" t="str">
            <v xml:space="preserve">OUI  </v>
          </cell>
        </row>
        <row r="125">
          <cell r="J125" t="str">
            <v xml:space="preserve">OUI  </v>
          </cell>
        </row>
        <row r="126">
          <cell r="J126" t="str">
            <v xml:space="preserve">OUI  </v>
          </cell>
        </row>
        <row r="127">
          <cell r="J127" t="str">
            <v xml:space="preserve">NON  </v>
          </cell>
        </row>
        <row r="128">
          <cell r="J128" t="str">
            <v xml:space="preserve">OUI  </v>
          </cell>
        </row>
        <row r="129">
          <cell r="J129" t="str">
            <v xml:space="preserve">OUI  </v>
          </cell>
        </row>
        <row r="130">
          <cell r="J130" t="str">
            <v xml:space="preserve">OUI  </v>
          </cell>
        </row>
        <row r="131">
          <cell r="J131" t="str">
            <v xml:space="preserve">OUI  </v>
          </cell>
        </row>
        <row r="132">
          <cell r="J132" t="str">
            <v xml:space="preserve">NON  </v>
          </cell>
        </row>
        <row r="133">
          <cell r="J133" t="str">
            <v xml:space="preserve">OUI  </v>
          </cell>
        </row>
        <row r="134">
          <cell r="J134" t="str">
            <v xml:space="preserve">OUI  </v>
          </cell>
        </row>
        <row r="135">
          <cell r="J135" t="str">
            <v xml:space="preserve">OUI  </v>
          </cell>
        </row>
        <row r="136">
          <cell r="J136" t="str">
            <v xml:space="preserve">OUI  </v>
          </cell>
        </row>
        <row r="137">
          <cell r="J137" t="str">
            <v xml:space="preserve">NON  </v>
          </cell>
        </row>
        <row r="138">
          <cell r="J138" t="str">
            <v xml:space="preserve">OUI  </v>
          </cell>
        </row>
        <row r="139">
          <cell r="J139" t="str">
            <v xml:space="preserve">OUI  </v>
          </cell>
        </row>
        <row r="140">
          <cell r="J140" t="str">
            <v xml:space="preserve">OUI  </v>
          </cell>
        </row>
        <row r="141">
          <cell r="J141" t="str">
            <v xml:space="preserve">OUI  </v>
          </cell>
        </row>
        <row r="142">
          <cell r="J142" t="str">
            <v xml:space="preserve">NON  </v>
          </cell>
        </row>
        <row r="143">
          <cell r="J143" t="str">
            <v xml:space="preserve">OUI  </v>
          </cell>
        </row>
        <row r="144">
          <cell r="J144" t="str">
            <v xml:space="preserve">OUI  </v>
          </cell>
        </row>
        <row r="145">
          <cell r="J145" t="str">
            <v xml:space="preserve">OUI  </v>
          </cell>
        </row>
        <row r="146">
          <cell r="J146" t="str">
            <v xml:space="preserve">OUI  </v>
          </cell>
        </row>
        <row r="147">
          <cell r="J147" t="str">
            <v xml:space="preserve">NON  </v>
          </cell>
        </row>
        <row r="148">
          <cell r="J148" t="str">
            <v xml:space="preserve">OUI  </v>
          </cell>
        </row>
        <row r="149">
          <cell r="J149" t="str">
            <v xml:space="preserve">OUI  </v>
          </cell>
        </row>
        <row r="150">
          <cell r="J150" t="str">
            <v xml:space="preserve">OUI  </v>
          </cell>
        </row>
        <row r="151">
          <cell r="J151" t="str">
            <v xml:space="preserve">OUI  </v>
          </cell>
        </row>
        <row r="152">
          <cell r="J152" t="str">
            <v xml:space="preserve">NON  </v>
          </cell>
        </row>
        <row r="153">
          <cell r="J153" t="str">
            <v xml:space="preserve">OUI  </v>
          </cell>
        </row>
        <row r="154">
          <cell r="J154" t="str">
            <v xml:space="preserve">OUI  </v>
          </cell>
        </row>
        <row r="155">
          <cell r="J155" t="str">
            <v xml:space="preserve">OUI  </v>
          </cell>
        </row>
        <row r="156">
          <cell r="J156" t="str">
            <v xml:space="preserve">OUI  </v>
          </cell>
        </row>
        <row r="157">
          <cell r="J157" t="str">
            <v xml:space="preserve">NON  </v>
          </cell>
        </row>
        <row r="158">
          <cell r="J158" t="str">
            <v xml:space="preserve">OUI  </v>
          </cell>
        </row>
        <row r="159">
          <cell r="J159" t="str">
            <v xml:space="preserve">OUI  </v>
          </cell>
        </row>
        <row r="160">
          <cell r="J160" t="str">
            <v xml:space="preserve">OUI  </v>
          </cell>
        </row>
        <row r="161">
          <cell r="J161" t="str">
            <v xml:space="preserve">OUI  </v>
          </cell>
        </row>
        <row r="162">
          <cell r="J162" t="str">
            <v xml:space="preserve">NON  </v>
          </cell>
        </row>
        <row r="163">
          <cell r="J163" t="str">
            <v xml:space="preserve">OUI  </v>
          </cell>
        </row>
        <row r="164">
          <cell r="J164" t="str">
            <v xml:space="preserve">OUI  </v>
          </cell>
        </row>
        <row r="165">
          <cell r="J165" t="str">
            <v xml:space="preserve">OUI  </v>
          </cell>
        </row>
        <row r="166">
          <cell r="J166" t="str">
            <v xml:space="preserve">OUI  </v>
          </cell>
        </row>
        <row r="167">
          <cell r="J167" t="str">
            <v xml:space="preserve">NON  </v>
          </cell>
        </row>
        <row r="168">
          <cell r="J168" t="str">
            <v xml:space="preserve">OUI  </v>
          </cell>
        </row>
        <row r="169">
          <cell r="J169" t="str">
            <v xml:space="preserve">OUI  </v>
          </cell>
        </row>
        <row r="170">
          <cell r="J170" t="str">
            <v xml:space="preserve">OUI  </v>
          </cell>
        </row>
        <row r="171">
          <cell r="J171" t="str">
            <v xml:space="preserve">OUI  </v>
          </cell>
        </row>
        <row r="172">
          <cell r="J172" t="str">
            <v xml:space="preserve">NON  </v>
          </cell>
        </row>
        <row r="173">
          <cell r="J173" t="str">
            <v xml:space="preserve">OUI  </v>
          </cell>
        </row>
        <row r="174">
          <cell r="J174" t="str">
            <v xml:space="preserve">OUI  </v>
          </cell>
        </row>
        <row r="175">
          <cell r="J175" t="str">
            <v xml:space="preserve">OUI  </v>
          </cell>
        </row>
        <row r="176">
          <cell r="J176" t="str">
            <v xml:space="preserve">OUI  </v>
          </cell>
        </row>
        <row r="177">
          <cell r="J177" t="str">
            <v xml:space="preserve">NON  </v>
          </cell>
        </row>
        <row r="178">
          <cell r="J178" t="str">
            <v xml:space="preserve">OUI  </v>
          </cell>
        </row>
        <row r="179">
          <cell r="J179" t="str">
            <v xml:space="preserve">OUI  </v>
          </cell>
        </row>
        <row r="180">
          <cell r="J180" t="str">
            <v xml:space="preserve">OUI  </v>
          </cell>
        </row>
        <row r="181">
          <cell r="J181" t="str">
            <v xml:space="preserve">OUI  </v>
          </cell>
        </row>
        <row r="182">
          <cell r="J182" t="str">
            <v xml:space="preserve">NON  </v>
          </cell>
        </row>
        <row r="183">
          <cell r="J183" t="str">
            <v xml:space="preserve">OUI  </v>
          </cell>
        </row>
        <row r="184">
          <cell r="J184" t="str">
            <v xml:space="preserve">OUI  </v>
          </cell>
        </row>
        <row r="185">
          <cell r="J185" t="str">
            <v xml:space="preserve">OUI  </v>
          </cell>
        </row>
        <row r="186">
          <cell r="J186" t="str">
            <v xml:space="preserve">OUI  </v>
          </cell>
        </row>
        <row r="187">
          <cell r="J187" t="str">
            <v xml:space="preserve">NON  </v>
          </cell>
        </row>
        <row r="188">
          <cell r="J188" t="str">
            <v xml:space="preserve">OUI  </v>
          </cell>
        </row>
        <row r="189">
          <cell r="J189" t="str">
            <v xml:space="preserve">OUI  </v>
          </cell>
        </row>
        <row r="190">
          <cell r="J190" t="str">
            <v xml:space="preserve">OUI  </v>
          </cell>
        </row>
        <row r="191">
          <cell r="J191" t="str">
            <v xml:space="preserve">OUI  </v>
          </cell>
        </row>
        <row r="192">
          <cell r="J192" t="str">
            <v xml:space="preserve">NON  </v>
          </cell>
        </row>
        <row r="193">
          <cell r="J193" t="str">
            <v xml:space="preserve">OUI  </v>
          </cell>
        </row>
        <row r="194">
          <cell r="J194" t="str">
            <v xml:space="preserve">OUI  </v>
          </cell>
        </row>
        <row r="195">
          <cell r="J195" t="str">
            <v xml:space="preserve">OUI  </v>
          </cell>
        </row>
        <row r="196">
          <cell r="J196" t="str">
            <v xml:space="preserve">OUI  </v>
          </cell>
        </row>
        <row r="197">
          <cell r="J197" t="str">
            <v xml:space="preserve">NON  </v>
          </cell>
        </row>
        <row r="198">
          <cell r="J198" t="str">
            <v xml:space="preserve">OUI  </v>
          </cell>
        </row>
        <row r="199">
          <cell r="J199" t="str">
            <v xml:space="preserve">OUI  </v>
          </cell>
        </row>
        <row r="200">
          <cell r="J200" t="str">
            <v xml:space="preserve">OUI  </v>
          </cell>
        </row>
        <row r="201">
          <cell r="J201" t="str">
            <v xml:space="preserve">OUI  </v>
          </cell>
        </row>
        <row r="202">
          <cell r="J202" t="str">
            <v xml:space="preserve">NON  </v>
          </cell>
        </row>
        <row r="203">
          <cell r="J203" t="str">
            <v xml:space="preserve">OUI  </v>
          </cell>
        </row>
        <row r="204">
          <cell r="J204" t="str">
            <v xml:space="preserve">OUI  </v>
          </cell>
        </row>
        <row r="205">
          <cell r="J205" t="str">
            <v xml:space="preserve">OUI  </v>
          </cell>
        </row>
        <row r="206">
          <cell r="J206" t="str">
            <v xml:space="preserve">OUI  </v>
          </cell>
        </row>
        <row r="207">
          <cell r="J207" t="str">
            <v xml:space="preserve">NON  </v>
          </cell>
        </row>
        <row r="208">
          <cell r="J208" t="str">
            <v xml:space="preserve">OUI  </v>
          </cell>
        </row>
        <row r="209">
          <cell r="J209" t="str">
            <v xml:space="preserve">OUI  </v>
          </cell>
        </row>
        <row r="210">
          <cell r="J210" t="str">
            <v xml:space="preserve">OUI  </v>
          </cell>
        </row>
        <row r="211">
          <cell r="J211" t="str">
            <v xml:space="preserve">OUI  </v>
          </cell>
        </row>
        <row r="212">
          <cell r="J212" t="str">
            <v xml:space="preserve">NON  </v>
          </cell>
        </row>
        <row r="213">
          <cell r="J213" t="str">
            <v xml:space="preserve">OUI  </v>
          </cell>
        </row>
        <row r="214">
          <cell r="J214" t="str">
            <v xml:space="preserve">OUI  </v>
          </cell>
        </row>
        <row r="215">
          <cell r="J215" t="str">
            <v xml:space="preserve">OUI  </v>
          </cell>
        </row>
        <row r="216">
          <cell r="J216" t="str">
            <v xml:space="preserve">OUI  </v>
          </cell>
        </row>
        <row r="217">
          <cell r="J217" t="str">
            <v xml:space="preserve">NON  </v>
          </cell>
        </row>
        <row r="218">
          <cell r="J218" t="str">
            <v xml:space="preserve">OUI  </v>
          </cell>
        </row>
        <row r="219">
          <cell r="J219" t="str">
            <v xml:space="preserve">OUI  </v>
          </cell>
        </row>
        <row r="220">
          <cell r="J220" t="str">
            <v xml:space="preserve">OUI  </v>
          </cell>
        </row>
        <row r="221">
          <cell r="J221" t="str">
            <v xml:space="preserve">OUI  </v>
          </cell>
        </row>
        <row r="222">
          <cell r="J222" t="str">
            <v xml:space="preserve">NON  </v>
          </cell>
        </row>
        <row r="223">
          <cell r="J223" t="str">
            <v xml:space="preserve">OUI  </v>
          </cell>
        </row>
        <row r="224">
          <cell r="J224" t="str">
            <v xml:space="preserve">OUI  </v>
          </cell>
        </row>
        <row r="225">
          <cell r="J225" t="str">
            <v xml:space="preserve">OUI  </v>
          </cell>
        </row>
        <row r="226">
          <cell r="J226" t="str">
            <v xml:space="preserve">OUI  </v>
          </cell>
        </row>
        <row r="227">
          <cell r="J227" t="str">
            <v xml:space="preserve">NON  </v>
          </cell>
        </row>
        <row r="228">
          <cell r="J228" t="str">
            <v xml:space="preserve">OUI  </v>
          </cell>
        </row>
        <row r="229">
          <cell r="J229" t="str">
            <v xml:space="preserve">OUI  </v>
          </cell>
        </row>
        <row r="230">
          <cell r="J230" t="str">
            <v xml:space="preserve">OUI  </v>
          </cell>
        </row>
        <row r="231">
          <cell r="J231" t="str">
            <v xml:space="preserve">OUI  </v>
          </cell>
        </row>
        <row r="232">
          <cell r="J232" t="str">
            <v xml:space="preserve">NON  </v>
          </cell>
        </row>
        <row r="233">
          <cell r="J233" t="str">
            <v xml:space="preserve">OUI  </v>
          </cell>
        </row>
        <row r="234">
          <cell r="J234" t="str">
            <v xml:space="preserve">OUI  </v>
          </cell>
        </row>
        <row r="235">
          <cell r="J235" t="str">
            <v xml:space="preserve">OUI  </v>
          </cell>
        </row>
        <row r="236">
          <cell r="J236" t="str">
            <v xml:space="preserve">OUI  </v>
          </cell>
        </row>
        <row r="237">
          <cell r="J237" t="str">
            <v xml:space="preserve">NON  </v>
          </cell>
        </row>
        <row r="238">
          <cell r="J238" t="str">
            <v xml:space="preserve">OUI  </v>
          </cell>
        </row>
        <row r="239">
          <cell r="J239" t="str">
            <v xml:space="preserve">OUI  </v>
          </cell>
        </row>
        <row r="240">
          <cell r="J240" t="str">
            <v xml:space="preserve">OUI  </v>
          </cell>
        </row>
        <row r="241">
          <cell r="J241" t="str">
            <v xml:space="preserve">OUI  </v>
          </cell>
        </row>
        <row r="242">
          <cell r="J242" t="str">
            <v xml:space="preserve">NON  </v>
          </cell>
        </row>
        <row r="243">
          <cell r="J243" t="str">
            <v xml:space="preserve">OUI  </v>
          </cell>
        </row>
        <row r="244">
          <cell r="J244" t="str">
            <v xml:space="preserve">OUI  </v>
          </cell>
        </row>
        <row r="245">
          <cell r="J245" t="str">
            <v xml:space="preserve">OUI  </v>
          </cell>
        </row>
        <row r="246">
          <cell r="J246" t="str">
            <v xml:space="preserve">OUI  </v>
          </cell>
        </row>
        <row r="247">
          <cell r="J247" t="str">
            <v xml:space="preserve">NON  </v>
          </cell>
        </row>
        <row r="248">
          <cell r="J248" t="str">
            <v xml:space="preserve">OUI  </v>
          </cell>
        </row>
        <row r="249">
          <cell r="J249" t="str">
            <v xml:space="preserve">OUI  </v>
          </cell>
        </row>
        <row r="250">
          <cell r="J250" t="str">
            <v xml:space="preserve">OUI  </v>
          </cell>
        </row>
        <row r="251">
          <cell r="J251" t="str">
            <v xml:space="preserve">OUI  </v>
          </cell>
        </row>
        <row r="252">
          <cell r="J252" t="str">
            <v xml:space="preserve">NON  </v>
          </cell>
        </row>
        <row r="253">
          <cell r="J253" t="str">
            <v xml:space="preserve">OUI  </v>
          </cell>
        </row>
        <row r="254">
          <cell r="J254" t="str">
            <v xml:space="preserve">OUI  </v>
          </cell>
        </row>
        <row r="255">
          <cell r="J255" t="str">
            <v xml:space="preserve">OUI  </v>
          </cell>
        </row>
        <row r="256">
          <cell r="J256" t="str">
            <v xml:space="preserve">OUI  </v>
          </cell>
        </row>
        <row r="257">
          <cell r="J257" t="str">
            <v xml:space="preserve">NON  </v>
          </cell>
        </row>
        <row r="258">
          <cell r="J258" t="str">
            <v xml:space="preserve">OUI  </v>
          </cell>
        </row>
        <row r="259">
          <cell r="J259" t="str">
            <v xml:space="preserve">OUI  </v>
          </cell>
        </row>
        <row r="260">
          <cell r="J260" t="str">
            <v xml:space="preserve">OUI  </v>
          </cell>
        </row>
        <row r="261">
          <cell r="J261" t="str">
            <v xml:space="preserve">OUI  </v>
          </cell>
        </row>
        <row r="262">
          <cell r="J262" t="str">
            <v xml:space="preserve">NON  </v>
          </cell>
        </row>
        <row r="263">
          <cell r="J263" t="str">
            <v xml:space="preserve">OUI  </v>
          </cell>
        </row>
        <row r="264">
          <cell r="J264" t="str">
            <v xml:space="preserve">OUI  </v>
          </cell>
        </row>
        <row r="265">
          <cell r="J265" t="str">
            <v xml:space="preserve">OUI  </v>
          </cell>
        </row>
        <row r="266">
          <cell r="J266" t="str">
            <v xml:space="preserve">OUI  </v>
          </cell>
        </row>
        <row r="267">
          <cell r="J267" t="str">
            <v xml:space="preserve">NON  </v>
          </cell>
        </row>
        <row r="268">
          <cell r="J268" t="str">
            <v xml:space="preserve">OUI  </v>
          </cell>
        </row>
        <row r="269">
          <cell r="J269" t="str">
            <v xml:space="preserve">OUI  </v>
          </cell>
        </row>
        <row r="270">
          <cell r="J270" t="str">
            <v xml:space="preserve">OUI  </v>
          </cell>
        </row>
        <row r="271">
          <cell r="J271" t="str">
            <v xml:space="preserve">OUI  </v>
          </cell>
        </row>
        <row r="272">
          <cell r="J272" t="str">
            <v xml:space="preserve">NON  </v>
          </cell>
        </row>
        <row r="273">
          <cell r="J273" t="str">
            <v xml:space="preserve">OUI  </v>
          </cell>
        </row>
        <row r="274">
          <cell r="J274" t="str">
            <v xml:space="preserve">OUI  </v>
          </cell>
        </row>
        <row r="275">
          <cell r="J275" t="str">
            <v xml:space="preserve">OUI  </v>
          </cell>
        </row>
        <row r="276">
          <cell r="J276" t="str">
            <v xml:space="preserve">OUI  </v>
          </cell>
        </row>
        <row r="277">
          <cell r="J277" t="str">
            <v xml:space="preserve">NON  </v>
          </cell>
        </row>
        <row r="278">
          <cell r="J278" t="str">
            <v xml:space="preserve">OUI  </v>
          </cell>
        </row>
        <row r="279">
          <cell r="J279" t="str">
            <v xml:space="preserve">OUI  </v>
          </cell>
        </row>
        <row r="280">
          <cell r="J280" t="str">
            <v xml:space="preserve">OUI  </v>
          </cell>
        </row>
        <row r="281">
          <cell r="J281" t="str">
            <v xml:space="preserve">OUI  </v>
          </cell>
        </row>
        <row r="282">
          <cell r="J282" t="str">
            <v xml:space="preserve">NON  </v>
          </cell>
        </row>
        <row r="283">
          <cell r="J283" t="str">
            <v xml:space="preserve">OUI  </v>
          </cell>
        </row>
        <row r="284">
          <cell r="J284" t="str">
            <v xml:space="preserve">OUI  </v>
          </cell>
        </row>
        <row r="285">
          <cell r="J285" t="str">
            <v xml:space="preserve">OUI  </v>
          </cell>
        </row>
        <row r="286">
          <cell r="J286" t="str">
            <v xml:space="preserve">OUI  </v>
          </cell>
        </row>
        <row r="287">
          <cell r="J287" t="str">
            <v xml:space="preserve">NON  </v>
          </cell>
        </row>
        <row r="288">
          <cell r="J288" t="str">
            <v xml:space="preserve">OUI  </v>
          </cell>
        </row>
        <row r="289">
          <cell r="J289" t="str">
            <v xml:space="preserve">OUI  </v>
          </cell>
        </row>
        <row r="290">
          <cell r="J290" t="str">
            <v xml:space="preserve">OUI  </v>
          </cell>
        </row>
        <row r="291">
          <cell r="J291" t="str">
            <v xml:space="preserve">OUI  </v>
          </cell>
        </row>
        <row r="292">
          <cell r="J292" t="str">
            <v xml:space="preserve">NON  </v>
          </cell>
        </row>
        <row r="293">
          <cell r="J293" t="str">
            <v xml:space="preserve">OUI  </v>
          </cell>
        </row>
        <row r="294">
          <cell r="J294" t="str">
            <v xml:space="preserve">OUI  </v>
          </cell>
        </row>
        <row r="295">
          <cell r="J295" t="str">
            <v xml:space="preserve">OUI  </v>
          </cell>
        </row>
        <row r="296">
          <cell r="J296" t="str">
            <v xml:space="preserve">OUI  </v>
          </cell>
        </row>
        <row r="297">
          <cell r="J297" t="str">
            <v xml:space="preserve">NON  </v>
          </cell>
        </row>
        <row r="298">
          <cell r="J298" t="str">
            <v xml:space="preserve">OUI  </v>
          </cell>
        </row>
        <row r="299">
          <cell r="J299" t="str">
            <v xml:space="preserve">OUI  </v>
          </cell>
        </row>
        <row r="300">
          <cell r="J300" t="str">
            <v xml:space="preserve">OUI  </v>
          </cell>
        </row>
        <row r="301">
          <cell r="J301" t="str">
            <v xml:space="preserve">OUI  </v>
          </cell>
        </row>
        <row r="302">
          <cell r="J302" t="str">
            <v xml:space="preserve">NON  </v>
          </cell>
        </row>
        <row r="303">
          <cell r="J303" t="str">
            <v xml:space="preserve">OUI  </v>
          </cell>
        </row>
        <row r="304">
          <cell r="J304" t="str">
            <v xml:space="preserve">OUI  </v>
          </cell>
        </row>
        <row r="305">
          <cell r="J305" t="str">
            <v xml:space="preserve">OUI  </v>
          </cell>
        </row>
        <row r="306">
          <cell r="J306" t="str">
            <v xml:space="preserve">OUI  </v>
          </cell>
        </row>
        <row r="307">
          <cell r="J307" t="str">
            <v xml:space="preserve">NON  </v>
          </cell>
        </row>
        <row r="308">
          <cell r="J308" t="str">
            <v xml:space="preserve">OUI  </v>
          </cell>
        </row>
        <row r="309">
          <cell r="J309" t="str">
            <v xml:space="preserve">OUI  </v>
          </cell>
        </row>
        <row r="310">
          <cell r="J310" t="str">
            <v xml:space="preserve">OUI  </v>
          </cell>
        </row>
        <row r="311">
          <cell r="J311" t="str">
            <v xml:space="preserve">OUI  </v>
          </cell>
        </row>
        <row r="312">
          <cell r="J312" t="str">
            <v xml:space="preserve">NON  </v>
          </cell>
        </row>
        <row r="313">
          <cell r="J313" t="str">
            <v xml:space="preserve">OUI  </v>
          </cell>
        </row>
        <row r="314">
          <cell r="J314" t="str">
            <v xml:space="preserve">OUI  </v>
          </cell>
        </row>
        <row r="315">
          <cell r="J315" t="str">
            <v xml:space="preserve">OUI  </v>
          </cell>
        </row>
        <row r="316">
          <cell r="J316" t="str">
            <v xml:space="preserve">OUI  </v>
          </cell>
        </row>
        <row r="317">
          <cell r="J317" t="str">
            <v xml:space="preserve">NON  </v>
          </cell>
        </row>
        <row r="318">
          <cell r="J318" t="str">
            <v xml:space="preserve">OUI  </v>
          </cell>
        </row>
        <row r="319">
          <cell r="J319" t="str">
            <v xml:space="preserve">OUI  </v>
          </cell>
        </row>
        <row r="320">
          <cell r="J320" t="str">
            <v xml:space="preserve">OUI  </v>
          </cell>
        </row>
        <row r="321">
          <cell r="J321" t="str">
            <v xml:space="preserve">OUI  </v>
          </cell>
        </row>
        <row r="322">
          <cell r="J322" t="str">
            <v xml:space="preserve">NON  </v>
          </cell>
        </row>
        <row r="323">
          <cell r="J323" t="str">
            <v xml:space="preserve">OUI  </v>
          </cell>
        </row>
        <row r="324">
          <cell r="J324" t="str">
            <v xml:space="preserve">OUI  </v>
          </cell>
        </row>
        <row r="325">
          <cell r="J325" t="str">
            <v xml:space="preserve">OUI  </v>
          </cell>
        </row>
        <row r="326">
          <cell r="J326" t="str">
            <v xml:space="preserve">OUI  </v>
          </cell>
        </row>
        <row r="327">
          <cell r="J327" t="str">
            <v xml:space="preserve">NON  </v>
          </cell>
        </row>
        <row r="328">
          <cell r="J328" t="str">
            <v xml:space="preserve">OUI  </v>
          </cell>
        </row>
        <row r="329">
          <cell r="J329" t="str">
            <v xml:space="preserve">OUI  </v>
          </cell>
        </row>
        <row r="330">
          <cell r="J330" t="str">
            <v xml:space="preserve">OUI  </v>
          </cell>
        </row>
        <row r="331">
          <cell r="J331" t="str">
            <v xml:space="preserve">OUI  </v>
          </cell>
        </row>
        <row r="332">
          <cell r="J332" t="str">
            <v xml:space="preserve">NON  </v>
          </cell>
        </row>
        <row r="333">
          <cell r="J333" t="str">
            <v xml:space="preserve">OUI  </v>
          </cell>
        </row>
        <row r="334">
          <cell r="J334" t="str">
            <v xml:space="preserve">OUI  </v>
          </cell>
        </row>
        <row r="335">
          <cell r="J335" t="str">
            <v xml:space="preserve">OUI  </v>
          </cell>
        </row>
        <row r="336">
          <cell r="J336" t="str">
            <v xml:space="preserve">OUI  </v>
          </cell>
        </row>
        <row r="337">
          <cell r="J337" t="str">
            <v xml:space="preserve">NON  </v>
          </cell>
        </row>
        <row r="338">
          <cell r="J338" t="str">
            <v xml:space="preserve">OUI  </v>
          </cell>
        </row>
        <row r="339">
          <cell r="J339" t="str">
            <v xml:space="preserve">OUI  </v>
          </cell>
        </row>
        <row r="340">
          <cell r="J340" t="str">
            <v xml:space="preserve">OUI  </v>
          </cell>
        </row>
        <row r="341">
          <cell r="J341" t="str">
            <v xml:space="preserve">OUI  </v>
          </cell>
        </row>
        <row r="342">
          <cell r="J342" t="str">
            <v xml:space="preserve">NON  </v>
          </cell>
        </row>
        <row r="343">
          <cell r="J343" t="str">
            <v xml:space="preserve">OUI  </v>
          </cell>
        </row>
        <row r="344">
          <cell r="J344" t="str">
            <v xml:space="preserve">OUI  </v>
          </cell>
        </row>
        <row r="345">
          <cell r="J345" t="str">
            <v xml:space="preserve">OUI  </v>
          </cell>
        </row>
        <row r="346">
          <cell r="J346" t="str">
            <v xml:space="preserve">OUI  </v>
          </cell>
        </row>
        <row r="347">
          <cell r="J347" t="str">
            <v xml:space="preserve">NON  </v>
          </cell>
        </row>
        <row r="348">
          <cell r="J348" t="str">
            <v xml:space="preserve">OUI  </v>
          </cell>
        </row>
        <row r="349">
          <cell r="J349" t="str">
            <v xml:space="preserve">OUI  </v>
          </cell>
        </row>
        <row r="350">
          <cell r="J350" t="str">
            <v xml:space="preserve">OUI  </v>
          </cell>
        </row>
        <row r="351">
          <cell r="J351" t="str">
            <v xml:space="preserve">OUI  </v>
          </cell>
        </row>
        <row r="352">
          <cell r="J352" t="str">
            <v xml:space="preserve">NON  </v>
          </cell>
        </row>
        <row r="353">
          <cell r="J353" t="str">
            <v xml:space="preserve">OUI  </v>
          </cell>
        </row>
        <row r="354">
          <cell r="J354" t="str">
            <v xml:space="preserve">OUI  </v>
          </cell>
        </row>
        <row r="355">
          <cell r="J355" t="str">
            <v xml:space="preserve">OUI  </v>
          </cell>
        </row>
        <row r="356">
          <cell r="J356" t="str">
            <v xml:space="preserve">OUI  </v>
          </cell>
        </row>
        <row r="357">
          <cell r="J357" t="str">
            <v xml:space="preserve">NON  </v>
          </cell>
        </row>
        <row r="358">
          <cell r="J358" t="str">
            <v xml:space="preserve">OUI  </v>
          </cell>
        </row>
        <row r="359">
          <cell r="J359" t="str">
            <v xml:space="preserve">OUI  </v>
          </cell>
        </row>
        <row r="360">
          <cell r="J360" t="str">
            <v xml:space="preserve">OUI  </v>
          </cell>
        </row>
        <row r="361">
          <cell r="J361" t="str">
            <v xml:space="preserve">OUI  </v>
          </cell>
        </row>
        <row r="362">
          <cell r="J362" t="str">
            <v xml:space="preserve">NON  </v>
          </cell>
        </row>
        <row r="363">
          <cell r="J363" t="str">
            <v xml:space="preserve">OUI  </v>
          </cell>
        </row>
        <row r="364">
          <cell r="J364" t="str">
            <v xml:space="preserve">OUI  </v>
          </cell>
        </row>
        <row r="365">
          <cell r="J365" t="str">
            <v xml:space="preserve">OUI  </v>
          </cell>
        </row>
        <row r="366">
          <cell r="J366" t="str">
            <v xml:space="preserve">OUI  </v>
          </cell>
        </row>
        <row r="367">
          <cell r="J367" t="str">
            <v xml:space="preserve">NON  </v>
          </cell>
        </row>
        <row r="368">
          <cell r="J368" t="str">
            <v xml:space="preserve">OUI  </v>
          </cell>
        </row>
        <row r="369">
          <cell r="J369" t="str">
            <v xml:space="preserve">OUI  </v>
          </cell>
        </row>
        <row r="370">
          <cell r="J370" t="str">
            <v xml:space="preserve">OUI  </v>
          </cell>
        </row>
        <row r="371">
          <cell r="J371" t="str">
            <v xml:space="preserve">OUI  </v>
          </cell>
        </row>
        <row r="372">
          <cell r="J372" t="str">
            <v xml:space="preserve">NON  </v>
          </cell>
        </row>
        <row r="373">
          <cell r="J373" t="str">
            <v xml:space="preserve">OUI  </v>
          </cell>
        </row>
        <row r="374">
          <cell r="J374" t="str">
            <v xml:space="preserve">OUI  </v>
          </cell>
        </row>
        <row r="375">
          <cell r="J375" t="str">
            <v xml:space="preserve">OUI  </v>
          </cell>
        </row>
        <row r="376">
          <cell r="J376" t="str">
            <v xml:space="preserve">OUI  </v>
          </cell>
        </row>
        <row r="377">
          <cell r="J377" t="str">
            <v xml:space="preserve">NON  </v>
          </cell>
        </row>
        <row r="378">
          <cell r="J378" t="str">
            <v xml:space="preserve">OUI  </v>
          </cell>
        </row>
        <row r="379">
          <cell r="J379" t="str">
            <v xml:space="preserve">OUI  </v>
          </cell>
        </row>
        <row r="380">
          <cell r="J380" t="str">
            <v xml:space="preserve">OUI  </v>
          </cell>
        </row>
        <row r="381">
          <cell r="J381" t="str">
            <v xml:space="preserve">OUI  </v>
          </cell>
        </row>
        <row r="382">
          <cell r="J382" t="str">
            <v xml:space="preserve">NON  </v>
          </cell>
        </row>
        <row r="383">
          <cell r="J383" t="str">
            <v xml:space="preserve">OUI  </v>
          </cell>
        </row>
        <row r="384">
          <cell r="J384" t="str">
            <v xml:space="preserve">OUI  </v>
          </cell>
        </row>
        <row r="385">
          <cell r="J385" t="str">
            <v xml:space="preserve">OUI  </v>
          </cell>
        </row>
        <row r="386">
          <cell r="J386" t="str">
            <v xml:space="preserve">OUI  </v>
          </cell>
        </row>
        <row r="387">
          <cell r="J387" t="str">
            <v xml:space="preserve">NON  </v>
          </cell>
        </row>
        <row r="388">
          <cell r="J388" t="str">
            <v xml:space="preserve">OUI  </v>
          </cell>
        </row>
        <row r="389">
          <cell r="J389" t="str">
            <v xml:space="preserve">OUI  </v>
          </cell>
        </row>
        <row r="390">
          <cell r="J390" t="str">
            <v xml:space="preserve">OUI  </v>
          </cell>
        </row>
        <row r="391">
          <cell r="J391" t="str">
            <v xml:space="preserve">OUI  </v>
          </cell>
        </row>
        <row r="392">
          <cell r="J392" t="str">
            <v xml:space="preserve">NON  </v>
          </cell>
        </row>
        <row r="393">
          <cell r="J393" t="str">
            <v xml:space="preserve">OUI  </v>
          </cell>
        </row>
        <row r="394">
          <cell r="J394" t="str">
            <v xml:space="preserve">OUI  </v>
          </cell>
        </row>
        <row r="395">
          <cell r="J395" t="str">
            <v xml:space="preserve">OUI  </v>
          </cell>
        </row>
        <row r="396">
          <cell r="J396" t="str">
            <v xml:space="preserve">OUI  </v>
          </cell>
        </row>
        <row r="397">
          <cell r="J397" t="str">
            <v xml:space="preserve">NON  </v>
          </cell>
        </row>
        <row r="398">
          <cell r="J398" t="str">
            <v xml:space="preserve">OUI  </v>
          </cell>
        </row>
        <row r="399">
          <cell r="J399" t="str">
            <v xml:space="preserve">OUI  </v>
          </cell>
        </row>
        <row r="400">
          <cell r="J400" t="str">
            <v xml:space="preserve">OUI  </v>
          </cell>
        </row>
        <row r="401">
          <cell r="J401" t="str">
            <v xml:space="preserve">OUI  </v>
          </cell>
        </row>
        <row r="402">
          <cell r="J402" t="str">
            <v xml:space="preserve">NON  </v>
          </cell>
        </row>
        <row r="403">
          <cell r="J403" t="str">
            <v xml:space="preserve">OUI  </v>
          </cell>
        </row>
        <row r="404">
          <cell r="J404" t="str">
            <v xml:space="preserve">OUI  </v>
          </cell>
        </row>
        <row r="405">
          <cell r="J405" t="str">
            <v xml:space="preserve">OUI  </v>
          </cell>
        </row>
        <row r="406">
          <cell r="J406" t="str">
            <v xml:space="preserve">OUI  </v>
          </cell>
        </row>
        <row r="407">
          <cell r="J407" t="str">
            <v xml:space="preserve">NON  </v>
          </cell>
        </row>
        <row r="408">
          <cell r="J408" t="str">
            <v xml:space="preserve">OUI  </v>
          </cell>
        </row>
        <row r="409">
          <cell r="J409" t="str">
            <v xml:space="preserve">OUI  </v>
          </cell>
        </row>
        <row r="410">
          <cell r="J410" t="str">
            <v xml:space="preserve">OUI  </v>
          </cell>
        </row>
        <row r="411">
          <cell r="J411" t="str">
            <v xml:space="preserve">OUI  </v>
          </cell>
        </row>
        <row r="412">
          <cell r="J412" t="str">
            <v xml:space="preserve">NON  </v>
          </cell>
        </row>
        <row r="413">
          <cell r="J413" t="str">
            <v xml:space="preserve">OUI  </v>
          </cell>
        </row>
        <row r="414">
          <cell r="J414" t="str">
            <v xml:space="preserve">OUI  </v>
          </cell>
        </row>
        <row r="415">
          <cell r="J415" t="str">
            <v xml:space="preserve">OUI  </v>
          </cell>
        </row>
        <row r="416">
          <cell r="J416" t="str">
            <v xml:space="preserve">OUI  </v>
          </cell>
        </row>
        <row r="417">
          <cell r="J417" t="str">
            <v xml:space="preserve">NON  </v>
          </cell>
        </row>
        <row r="418">
          <cell r="J418" t="str">
            <v xml:space="preserve">OUI  </v>
          </cell>
        </row>
        <row r="419">
          <cell r="J419" t="str">
            <v xml:space="preserve">OUI  </v>
          </cell>
        </row>
        <row r="420">
          <cell r="J420" t="str">
            <v xml:space="preserve">OUI  </v>
          </cell>
        </row>
        <row r="421">
          <cell r="J421" t="str">
            <v xml:space="preserve">OUI  </v>
          </cell>
        </row>
        <row r="422">
          <cell r="J422" t="str">
            <v xml:space="preserve">NON  </v>
          </cell>
        </row>
        <row r="423">
          <cell r="J423" t="str">
            <v xml:space="preserve">OUI  </v>
          </cell>
        </row>
        <row r="424">
          <cell r="J424" t="str">
            <v xml:space="preserve">OUI  </v>
          </cell>
        </row>
        <row r="425">
          <cell r="J425" t="str">
            <v xml:space="preserve">OUI  </v>
          </cell>
        </row>
        <row r="426">
          <cell r="J426" t="str">
            <v xml:space="preserve">OUI  </v>
          </cell>
        </row>
        <row r="427">
          <cell r="J427" t="str">
            <v xml:space="preserve">NON  </v>
          </cell>
        </row>
        <row r="428">
          <cell r="J428" t="str">
            <v xml:space="preserve">OUI  </v>
          </cell>
        </row>
        <row r="429">
          <cell r="J429" t="str">
            <v xml:space="preserve">OUI  </v>
          </cell>
        </row>
        <row r="430">
          <cell r="J430" t="str">
            <v xml:space="preserve">OUI  </v>
          </cell>
        </row>
        <row r="431">
          <cell r="J431" t="str">
            <v xml:space="preserve">OUI  </v>
          </cell>
        </row>
        <row r="432">
          <cell r="J432" t="str">
            <v xml:space="preserve">NON  </v>
          </cell>
        </row>
        <row r="433">
          <cell r="J433" t="str">
            <v xml:space="preserve">OUI  </v>
          </cell>
        </row>
        <row r="434">
          <cell r="J434" t="str">
            <v xml:space="preserve">OUI  </v>
          </cell>
        </row>
        <row r="435">
          <cell r="J435" t="str">
            <v xml:space="preserve">OUI  </v>
          </cell>
        </row>
        <row r="436">
          <cell r="J436" t="str">
            <v xml:space="preserve">OUI  </v>
          </cell>
        </row>
        <row r="437">
          <cell r="J437" t="str">
            <v xml:space="preserve">NON  </v>
          </cell>
        </row>
        <row r="438">
          <cell r="J438" t="str">
            <v xml:space="preserve">OUI  </v>
          </cell>
        </row>
        <row r="439">
          <cell r="J439" t="str">
            <v xml:space="preserve">OUI  </v>
          </cell>
        </row>
        <row r="440">
          <cell r="J440" t="str">
            <v xml:space="preserve">OUI  </v>
          </cell>
        </row>
        <row r="441">
          <cell r="J441" t="str">
            <v xml:space="preserve">OUI  </v>
          </cell>
        </row>
        <row r="442">
          <cell r="J442" t="str">
            <v xml:space="preserve">NON  </v>
          </cell>
        </row>
        <row r="443">
          <cell r="J443" t="str">
            <v xml:space="preserve">OUI  </v>
          </cell>
        </row>
        <row r="444">
          <cell r="J444" t="str">
            <v xml:space="preserve">OUI  </v>
          </cell>
        </row>
        <row r="445">
          <cell r="J445" t="str">
            <v xml:space="preserve">OUI  </v>
          </cell>
        </row>
        <row r="446">
          <cell r="J446" t="str">
            <v xml:space="preserve">OUI  </v>
          </cell>
        </row>
        <row r="447">
          <cell r="J447" t="str">
            <v xml:space="preserve">NON  </v>
          </cell>
        </row>
        <row r="448">
          <cell r="J448" t="str">
            <v xml:space="preserve">OUI  </v>
          </cell>
        </row>
        <row r="449">
          <cell r="J449" t="str">
            <v xml:space="preserve">OUI  </v>
          </cell>
        </row>
        <row r="450">
          <cell r="J450" t="str">
            <v xml:space="preserve">OUI  </v>
          </cell>
        </row>
        <row r="451">
          <cell r="J451" t="str">
            <v xml:space="preserve">OUI  </v>
          </cell>
        </row>
        <row r="452">
          <cell r="J452" t="str">
            <v xml:space="preserve">NON  </v>
          </cell>
        </row>
        <row r="453">
          <cell r="J453" t="str">
            <v xml:space="preserve">OUI  </v>
          </cell>
        </row>
        <row r="454">
          <cell r="J454" t="str">
            <v xml:space="preserve">OUI  </v>
          </cell>
        </row>
        <row r="455">
          <cell r="J455" t="str">
            <v xml:space="preserve">OUI  </v>
          </cell>
        </row>
        <row r="456">
          <cell r="J456" t="str">
            <v xml:space="preserve">OUI  </v>
          </cell>
        </row>
        <row r="457">
          <cell r="J457" t="str">
            <v xml:space="preserve">NON  </v>
          </cell>
        </row>
        <row r="458">
          <cell r="J458" t="str">
            <v xml:space="preserve">OUI  </v>
          </cell>
        </row>
        <row r="459">
          <cell r="J459" t="str">
            <v xml:space="preserve">OUI  </v>
          </cell>
        </row>
        <row r="460">
          <cell r="J460" t="str">
            <v xml:space="preserve">OUI  </v>
          </cell>
        </row>
        <row r="461">
          <cell r="J461" t="str">
            <v xml:space="preserve">OUI  </v>
          </cell>
        </row>
        <row r="462">
          <cell r="J462" t="str">
            <v xml:space="preserve">NON  </v>
          </cell>
        </row>
        <row r="463">
          <cell r="J463" t="str">
            <v xml:space="preserve">OUI  </v>
          </cell>
        </row>
        <row r="464">
          <cell r="J464" t="str">
            <v xml:space="preserve">OUI  </v>
          </cell>
        </row>
        <row r="465">
          <cell r="J465" t="str">
            <v xml:space="preserve">OUI  </v>
          </cell>
        </row>
        <row r="466">
          <cell r="J466" t="str">
            <v xml:space="preserve">OUI  </v>
          </cell>
        </row>
        <row r="467">
          <cell r="J467" t="str">
            <v xml:space="preserve">NON  </v>
          </cell>
        </row>
        <row r="468">
          <cell r="J468" t="str">
            <v xml:space="preserve">OUI  </v>
          </cell>
        </row>
        <row r="469">
          <cell r="J469" t="str">
            <v xml:space="preserve">OUI  </v>
          </cell>
        </row>
        <row r="470">
          <cell r="J470" t="str">
            <v xml:space="preserve">OUI  </v>
          </cell>
        </row>
        <row r="471">
          <cell r="J471" t="str">
            <v xml:space="preserve">OUI  </v>
          </cell>
        </row>
        <row r="472">
          <cell r="J472" t="str">
            <v xml:space="preserve">NON  </v>
          </cell>
        </row>
        <row r="473">
          <cell r="J473" t="str">
            <v xml:space="preserve">OUI  </v>
          </cell>
        </row>
        <row r="474">
          <cell r="J474" t="str">
            <v xml:space="preserve">OUI  </v>
          </cell>
        </row>
        <row r="475">
          <cell r="J475" t="str">
            <v xml:space="preserve">OUI  </v>
          </cell>
        </row>
        <row r="476">
          <cell r="J476" t="str">
            <v xml:space="preserve">OUI  </v>
          </cell>
        </row>
        <row r="477">
          <cell r="J477" t="str">
            <v xml:space="preserve">NON  </v>
          </cell>
        </row>
        <row r="478">
          <cell r="J478" t="str">
            <v xml:space="preserve">OUI  </v>
          </cell>
        </row>
        <row r="479">
          <cell r="J479" t="str">
            <v xml:space="preserve">OUI  </v>
          </cell>
        </row>
        <row r="480">
          <cell r="J480" t="str">
            <v xml:space="preserve">OUI  </v>
          </cell>
        </row>
        <row r="481">
          <cell r="J481" t="str">
            <v xml:space="preserve">OUI  </v>
          </cell>
        </row>
        <row r="482">
          <cell r="J482" t="str">
            <v xml:space="preserve">NON  </v>
          </cell>
        </row>
        <row r="483">
          <cell r="J483" t="str">
            <v xml:space="preserve">OUI  </v>
          </cell>
        </row>
        <row r="484">
          <cell r="J484" t="str">
            <v xml:space="preserve">OUI  </v>
          </cell>
        </row>
        <row r="485">
          <cell r="J485" t="str">
            <v xml:space="preserve">OUI  </v>
          </cell>
        </row>
        <row r="486">
          <cell r="J486" t="str">
            <v xml:space="preserve">OUI  </v>
          </cell>
        </row>
        <row r="487">
          <cell r="J487" t="str">
            <v xml:space="preserve">NON  </v>
          </cell>
        </row>
        <row r="488">
          <cell r="J488" t="str">
            <v xml:space="preserve">OUI  </v>
          </cell>
        </row>
        <row r="489">
          <cell r="J489" t="str">
            <v xml:space="preserve">OUI  </v>
          </cell>
        </row>
        <row r="490">
          <cell r="J490" t="str">
            <v xml:space="preserve">OUI  </v>
          </cell>
        </row>
        <row r="491">
          <cell r="J491" t="str">
            <v xml:space="preserve">OUI  </v>
          </cell>
        </row>
        <row r="492">
          <cell r="J492" t="str">
            <v xml:space="preserve">NON  </v>
          </cell>
        </row>
        <row r="493">
          <cell r="J493" t="str">
            <v xml:space="preserve">OUI  </v>
          </cell>
        </row>
        <row r="494">
          <cell r="J494" t="str">
            <v xml:space="preserve">OUI  </v>
          </cell>
        </row>
        <row r="495">
          <cell r="J495" t="str">
            <v xml:space="preserve">OUI  </v>
          </cell>
        </row>
        <row r="496">
          <cell r="J496" t="str">
            <v xml:space="preserve">OUI  </v>
          </cell>
        </row>
        <row r="497">
          <cell r="J497" t="str">
            <v xml:space="preserve">NON  </v>
          </cell>
        </row>
        <row r="498">
          <cell r="J498" t="str">
            <v xml:space="preserve">OUI  </v>
          </cell>
        </row>
        <row r="499">
          <cell r="J499" t="str">
            <v xml:space="preserve">OUI  </v>
          </cell>
        </row>
        <row r="500">
          <cell r="J500" t="str">
            <v xml:space="preserve">OUI  </v>
          </cell>
        </row>
        <row r="501">
          <cell r="J501" t="str">
            <v xml:space="preserve">OUI  </v>
          </cell>
        </row>
        <row r="502">
          <cell r="J502" t="str">
            <v xml:space="preserve">OUI  </v>
          </cell>
        </row>
        <row r="503">
          <cell r="J503" t="str">
            <v xml:space="preserve">NON  </v>
          </cell>
        </row>
        <row r="504">
          <cell r="J504" t="str">
            <v xml:space="preserve">OUI  </v>
          </cell>
        </row>
        <row r="505">
          <cell r="J505" t="str">
            <v xml:space="preserve">OUI  </v>
          </cell>
        </row>
        <row r="506">
          <cell r="J506" t="str">
            <v xml:space="preserve">OUI  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lications"/>
      <sheetName val="Synthèse"/>
      <sheetName val="Feuil1"/>
      <sheetName val="Global"/>
      <sheetName val="Domaines"/>
      <sheetName val="Chronogramme"/>
      <sheetName val="Suivi de la Mission"/>
      <sheetName val="Ref_Appli_Serv"/>
      <sheetName val="Feuil2"/>
      <sheetName val="Ref_COSO"/>
      <sheetName val="SWOT"/>
      <sheetName val="Ref_APPLICATION"/>
      <sheetName val="Q_Resp_Cloture"/>
      <sheetName val="Q_Resp_EtatFinanciers"/>
      <sheetName val="Q_Resp_GestionClientFournisseur"/>
      <sheetName val="Q_Resp_Immobilisations"/>
      <sheetName val="Q_Rep_Trésorerie"/>
      <sheetName val="Q_Resp_Facturation"/>
      <sheetName val="Q_Resp_Comptes"/>
      <sheetName val="Q_Resp_Saisies"/>
      <sheetName val="Matrice des Risq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C2" t="str">
            <v>OUI</v>
          </cell>
        </row>
        <row r="4">
          <cell r="C4" t="str">
            <v>OUI</v>
          </cell>
        </row>
        <row r="6">
          <cell r="C6" t="str">
            <v>OUI</v>
          </cell>
        </row>
        <row r="8">
          <cell r="C8" t="str">
            <v>OUI</v>
          </cell>
        </row>
        <row r="10">
          <cell r="C10" t="str">
            <v>OUI</v>
          </cell>
        </row>
        <row r="12">
          <cell r="C12" t="str">
            <v>PAS</v>
          </cell>
        </row>
        <row r="14">
          <cell r="C14" t="str">
            <v>PAS</v>
          </cell>
        </row>
        <row r="16">
          <cell r="C16" t="str">
            <v>PAS</v>
          </cell>
        </row>
        <row r="18">
          <cell r="C18" t="str">
            <v>PAS</v>
          </cell>
        </row>
        <row r="20">
          <cell r="C20" t="str">
            <v>PAS</v>
          </cell>
        </row>
        <row r="22">
          <cell r="C22" t="str">
            <v>PAS</v>
          </cell>
        </row>
        <row r="24">
          <cell r="C24" t="str">
            <v>NON</v>
          </cell>
        </row>
        <row r="26">
          <cell r="C26" t="str">
            <v>OUI</v>
          </cell>
        </row>
        <row r="28">
          <cell r="C28" t="str">
            <v>NON</v>
          </cell>
        </row>
        <row r="30">
          <cell r="C30" t="str">
            <v>PAS</v>
          </cell>
        </row>
        <row r="32">
          <cell r="C32" t="str">
            <v>NON</v>
          </cell>
        </row>
        <row r="34">
          <cell r="C34" t="str">
            <v>NON</v>
          </cell>
        </row>
        <row r="36">
          <cell r="C36" t="str">
            <v>NON</v>
          </cell>
        </row>
        <row r="38">
          <cell r="C38" t="str">
            <v>OUI</v>
          </cell>
        </row>
        <row r="40">
          <cell r="C40" t="str">
            <v>OUI</v>
          </cell>
        </row>
        <row r="42">
          <cell r="C42" t="str">
            <v>OUI</v>
          </cell>
        </row>
        <row r="44">
          <cell r="C44" t="str">
            <v>OUI</v>
          </cell>
        </row>
        <row r="46">
          <cell r="C46" t="str">
            <v>PAS</v>
          </cell>
        </row>
        <row r="48">
          <cell r="C48" t="str">
            <v>NON</v>
          </cell>
        </row>
        <row r="50">
          <cell r="C50" t="str">
            <v>NON</v>
          </cell>
        </row>
        <row r="52">
          <cell r="C52" t="str">
            <v>NON</v>
          </cell>
        </row>
        <row r="54">
          <cell r="C54" t="str">
            <v>NON</v>
          </cell>
        </row>
        <row r="56">
          <cell r="C56" t="str">
            <v>NON</v>
          </cell>
        </row>
        <row r="58">
          <cell r="C58" t="str">
            <v>OUI</v>
          </cell>
        </row>
        <row r="60">
          <cell r="C60" t="str">
            <v>OUI</v>
          </cell>
        </row>
        <row r="62">
          <cell r="C62" t="str">
            <v>OUI</v>
          </cell>
        </row>
        <row r="64">
          <cell r="C64" t="str">
            <v>OUI</v>
          </cell>
        </row>
        <row r="66">
          <cell r="C66" t="str">
            <v>OUI</v>
          </cell>
        </row>
        <row r="68">
          <cell r="C68" t="str">
            <v>OUI</v>
          </cell>
        </row>
        <row r="70">
          <cell r="C70" t="str">
            <v>OUI</v>
          </cell>
        </row>
        <row r="72">
          <cell r="C72" t="str">
            <v>PAS</v>
          </cell>
        </row>
        <row r="74">
          <cell r="C74" t="str">
            <v>PAS</v>
          </cell>
        </row>
        <row r="76">
          <cell r="C76" t="str">
            <v>PAS</v>
          </cell>
        </row>
        <row r="78">
          <cell r="C78" t="str">
            <v>PAS</v>
          </cell>
        </row>
        <row r="80">
          <cell r="C80" t="str">
            <v>PAS</v>
          </cell>
        </row>
        <row r="82">
          <cell r="C82" t="str">
            <v>PAS</v>
          </cell>
        </row>
        <row r="84">
          <cell r="C84" t="str">
            <v>NON</v>
          </cell>
        </row>
        <row r="86">
          <cell r="C86" t="str">
            <v>OUI</v>
          </cell>
        </row>
        <row r="88">
          <cell r="C88" t="str">
            <v>NON</v>
          </cell>
        </row>
        <row r="90">
          <cell r="C90" t="str">
            <v>PAS</v>
          </cell>
        </row>
        <row r="92">
          <cell r="C92" t="str">
            <v>NON</v>
          </cell>
        </row>
        <row r="94">
          <cell r="C94" t="str">
            <v>NON</v>
          </cell>
        </row>
        <row r="96">
          <cell r="C96" t="str">
            <v>NON</v>
          </cell>
        </row>
        <row r="98">
          <cell r="C98" t="str">
            <v>OUI</v>
          </cell>
        </row>
        <row r="100">
          <cell r="C100" t="str">
            <v>OUI</v>
          </cell>
        </row>
        <row r="102">
          <cell r="C102" t="str">
            <v>OUI</v>
          </cell>
        </row>
        <row r="104">
          <cell r="C104" t="str">
            <v>OUI</v>
          </cell>
        </row>
        <row r="106">
          <cell r="C106" t="str">
            <v>PAS</v>
          </cell>
        </row>
        <row r="108">
          <cell r="C108" t="str">
            <v>NON</v>
          </cell>
        </row>
        <row r="110">
          <cell r="C110" t="str">
            <v>NON</v>
          </cell>
        </row>
        <row r="112">
          <cell r="C112" t="str">
            <v>NON</v>
          </cell>
        </row>
        <row r="114">
          <cell r="C114" t="str">
            <v>NON</v>
          </cell>
        </row>
        <row r="116">
          <cell r="C116" t="str">
            <v>NON</v>
          </cell>
        </row>
        <row r="118">
          <cell r="C118" t="str">
            <v>OUI</v>
          </cell>
        </row>
        <row r="120">
          <cell r="C120" t="str">
            <v>OUI</v>
          </cell>
        </row>
        <row r="122">
          <cell r="C122" t="str">
            <v>OUI</v>
          </cell>
        </row>
        <row r="124">
          <cell r="C124" t="str">
            <v>NON</v>
          </cell>
        </row>
        <row r="126">
          <cell r="C126" t="str">
            <v>OUI</v>
          </cell>
        </row>
        <row r="128">
          <cell r="C128" t="str">
            <v>OUI</v>
          </cell>
        </row>
        <row r="130">
          <cell r="C130" t="str">
            <v>PAS</v>
          </cell>
        </row>
        <row r="132">
          <cell r="C132" t="str">
            <v>NON</v>
          </cell>
        </row>
        <row r="134">
          <cell r="C134" t="str">
            <v>NON</v>
          </cell>
        </row>
        <row r="136">
          <cell r="C136" t="str">
            <v>NON</v>
          </cell>
        </row>
        <row r="138">
          <cell r="C138" t="str">
            <v>NON</v>
          </cell>
        </row>
        <row r="140">
          <cell r="C140" t="str">
            <v>NON</v>
          </cell>
        </row>
        <row r="142">
          <cell r="C142" t="str">
            <v>OUI</v>
          </cell>
        </row>
        <row r="144">
          <cell r="C144" t="str">
            <v>NON</v>
          </cell>
        </row>
        <row r="146">
          <cell r="C146" t="str">
            <v>PAS</v>
          </cell>
        </row>
        <row r="148">
          <cell r="C148" t="str">
            <v>OUI</v>
          </cell>
        </row>
        <row r="150">
          <cell r="C150" t="str">
            <v>NON</v>
          </cell>
        </row>
        <row r="152">
          <cell r="C152" t="str">
            <v>NON</v>
          </cell>
        </row>
        <row r="154">
          <cell r="C154" t="str">
            <v>OUI</v>
          </cell>
        </row>
        <row r="156">
          <cell r="C156" t="str">
            <v>NON</v>
          </cell>
        </row>
        <row r="158">
          <cell r="C158" t="str">
            <v>NON</v>
          </cell>
        </row>
        <row r="160">
          <cell r="C160" t="str">
            <v>NON</v>
          </cell>
        </row>
        <row r="162">
          <cell r="C162" t="str">
            <v>PAS</v>
          </cell>
        </row>
        <row r="164">
          <cell r="C164" t="str">
            <v>NON</v>
          </cell>
        </row>
        <row r="166">
          <cell r="C166" t="str">
            <v>PAS</v>
          </cell>
        </row>
        <row r="168">
          <cell r="C168" t="str">
            <v>OUI</v>
          </cell>
        </row>
        <row r="170">
          <cell r="C170" t="str">
            <v>OUI</v>
          </cell>
        </row>
        <row r="172">
          <cell r="C172" t="str">
            <v>OUI</v>
          </cell>
        </row>
        <row r="174">
          <cell r="C174" t="str">
            <v>NON</v>
          </cell>
        </row>
        <row r="176">
          <cell r="C176" t="str">
            <v>PAS</v>
          </cell>
        </row>
        <row r="178">
          <cell r="C178" t="str">
            <v>NON</v>
          </cell>
        </row>
        <row r="180">
          <cell r="C180" t="str">
            <v>NON</v>
          </cell>
        </row>
        <row r="182">
          <cell r="C182" t="str">
            <v>OUI</v>
          </cell>
        </row>
        <row r="184">
          <cell r="C184" t="str">
            <v>NON</v>
          </cell>
        </row>
        <row r="186">
          <cell r="C186" t="str">
            <v>OUI</v>
          </cell>
        </row>
        <row r="188">
          <cell r="C188" t="str">
            <v>OUI</v>
          </cell>
        </row>
        <row r="190">
          <cell r="C190" t="str">
            <v>OUI</v>
          </cell>
        </row>
        <row r="192">
          <cell r="C192" t="str">
            <v>OUI</v>
          </cell>
        </row>
        <row r="194">
          <cell r="C194" t="str">
            <v>OUI</v>
          </cell>
        </row>
        <row r="196">
          <cell r="C196" t="str">
            <v>OUI</v>
          </cell>
        </row>
        <row r="198">
          <cell r="C198" t="str">
            <v>NON</v>
          </cell>
        </row>
        <row r="200">
          <cell r="C200" t="str">
            <v>PAS</v>
          </cell>
        </row>
        <row r="202">
          <cell r="C202" t="str">
            <v>OUI</v>
          </cell>
        </row>
        <row r="204">
          <cell r="C204" t="str">
            <v>PAS</v>
          </cell>
        </row>
        <row r="206">
          <cell r="C206" t="str">
            <v>PAS</v>
          </cell>
        </row>
        <row r="208">
          <cell r="C208" t="str">
            <v>PAS</v>
          </cell>
        </row>
        <row r="210">
          <cell r="C210" t="str">
            <v>NON</v>
          </cell>
        </row>
        <row r="212">
          <cell r="C212" t="str">
            <v>NON</v>
          </cell>
        </row>
        <row r="214">
          <cell r="C214" t="str">
            <v>OUI</v>
          </cell>
        </row>
        <row r="216">
          <cell r="C216" t="str">
            <v>OUI</v>
          </cell>
        </row>
        <row r="218">
          <cell r="C218" t="str">
            <v>NON</v>
          </cell>
        </row>
        <row r="220">
          <cell r="C220" t="str">
            <v>PAS</v>
          </cell>
        </row>
        <row r="222">
          <cell r="C222" t="str">
            <v>PAS</v>
          </cell>
        </row>
        <row r="224">
          <cell r="C224" t="str">
            <v>NON</v>
          </cell>
        </row>
        <row r="226">
          <cell r="C226" t="str">
            <v>PAS</v>
          </cell>
        </row>
        <row r="228">
          <cell r="C228" t="str">
            <v>OUI</v>
          </cell>
        </row>
        <row r="230">
          <cell r="C230" t="str">
            <v>OUI</v>
          </cell>
        </row>
        <row r="232">
          <cell r="C232" t="str">
            <v>OUI</v>
          </cell>
        </row>
        <row r="234">
          <cell r="C234" t="str">
            <v>OUI</v>
          </cell>
        </row>
        <row r="236">
          <cell r="C236" t="str">
            <v>PAS</v>
          </cell>
        </row>
        <row r="238">
          <cell r="C238" t="str">
            <v>OUI</v>
          </cell>
        </row>
        <row r="240">
          <cell r="C240" t="str">
            <v>OUI</v>
          </cell>
        </row>
      </sheetData>
      <sheetData sheetId="15"/>
      <sheetData sheetId="16">
        <row r="2">
          <cell r="C2" t="str">
            <v>oui</v>
          </cell>
        </row>
        <row r="4">
          <cell r="C4" t="str">
            <v>oui</v>
          </cell>
        </row>
        <row r="6">
          <cell r="C6" t="str">
            <v>oui</v>
          </cell>
        </row>
        <row r="8">
          <cell r="C8" t="str">
            <v>oui</v>
          </cell>
        </row>
        <row r="10">
          <cell r="C10" t="str">
            <v>oui</v>
          </cell>
        </row>
        <row r="12">
          <cell r="C12" t="str">
            <v>oui</v>
          </cell>
        </row>
        <row r="14">
          <cell r="C14" t="str">
            <v>non</v>
          </cell>
        </row>
        <row r="16">
          <cell r="C16" t="str">
            <v>oui</v>
          </cell>
        </row>
        <row r="18">
          <cell r="C18" t="str">
            <v>oui</v>
          </cell>
        </row>
        <row r="20">
          <cell r="C20" t="str">
            <v>oui</v>
          </cell>
        </row>
        <row r="22">
          <cell r="C22" t="str">
            <v>non</v>
          </cell>
        </row>
        <row r="24">
          <cell r="C24" t="str">
            <v>oui</v>
          </cell>
        </row>
        <row r="26">
          <cell r="C26" t="str">
            <v>oui</v>
          </cell>
        </row>
        <row r="28">
          <cell r="C28" t="str">
            <v>oui</v>
          </cell>
        </row>
        <row r="30">
          <cell r="C30" t="str">
            <v>non</v>
          </cell>
        </row>
        <row r="32">
          <cell r="C32" t="str">
            <v>oui</v>
          </cell>
        </row>
        <row r="34">
          <cell r="C34" t="str">
            <v>oui</v>
          </cell>
        </row>
        <row r="36">
          <cell r="C36" t="str">
            <v>oui</v>
          </cell>
        </row>
        <row r="38">
          <cell r="C38" t="str">
            <v>oui</v>
          </cell>
        </row>
        <row r="40">
          <cell r="C40" t="str">
            <v>oui</v>
          </cell>
        </row>
        <row r="42">
          <cell r="C42" t="str">
            <v>oui</v>
          </cell>
        </row>
        <row r="44">
          <cell r="C44" t="str">
            <v>oui</v>
          </cell>
        </row>
        <row r="46">
          <cell r="C46" t="str">
            <v>oui</v>
          </cell>
        </row>
        <row r="48">
          <cell r="C48" t="str">
            <v>oui</v>
          </cell>
        </row>
        <row r="50">
          <cell r="C50" t="str">
            <v>oui</v>
          </cell>
        </row>
        <row r="52">
          <cell r="C52" t="str">
            <v>oui</v>
          </cell>
        </row>
        <row r="54">
          <cell r="C54" t="str">
            <v>oui</v>
          </cell>
        </row>
        <row r="56">
          <cell r="C56" t="str">
            <v>oui</v>
          </cell>
        </row>
        <row r="58">
          <cell r="C58" t="str">
            <v>oui</v>
          </cell>
        </row>
        <row r="60">
          <cell r="C60" t="str">
            <v>oui</v>
          </cell>
        </row>
        <row r="62">
          <cell r="C62" t="str">
            <v>oui</v>
          </cell>
        </row>
        <row r="64">
          <cell r="C64" t="str">
            <v>oui</v>
          </cell>
        </row>
        <row r="66">
          <cell r="C66" t="str">
            <v>oui</v>
          </cell>
        </row>
        <row r="68">
          <cell r="C68" t="str">
            <v>non</v>
          </cell>
        </row>
        <row r="70">
          <cell r="C70" t="str">
            <v>non</v>
          </cell>
        </row>
        <row r="72">
          <cell r="C72" t="str">
            <v>non</v>
          </cell>
        </row>
        <row r="74">
          <cell r="C74" t="str">
            <v>oui</v>
          </cell>
        </row>
        <row r="76">
          <cell r="C76" t="str">
            <v>oui</v>
          </cell>
        </row>
        <row r="78">
          <cell r="C78" t="str">
            <v>oui</v>
          </cell>
        </row>
        <row r="80">
          <cell r="C80" t="str">
            <v>oui</v>
          </cell>
        </row>
        <row r="82">
          <cell r="C82" t="str">
            <v>oui</v>
          </cell>
        </row>
        <row r="84">
          <cell r="C84" t="str">
            <v>oui</v>
          </cell>
        </row>
        <row r="86">
          <cell r="C86" t="str">
            <v>oui</v>
          </cell>
        </row>
        <row r="88">
          <cell r="C88" t="str">
            <v>oui</v>
          </cell>
        </row>
        <row r="90">
          <cell r="C90" t="str">
            <v>non</v>
          </cell>
        </row>
        <row r="92">
          <cell r="C92" t="str">
            <v>oui</v>
          </cell>
        </row>
        <row r="94">
          <cell r="C94" t="str">
            <v>oui</v>
          </cell>
        </row>
        <row r="96">
          <cell r="C96" t="str">
            <v>oui</v>
          </cell>
        </row>
        <row r="98">
          <cell r="C98" t="str">
            <v>oui</v>
          </cell>
        </row>
        <row r="100">
          <cell r="C100" t="str">
            <v>oui</v>
          </cell>
        </row>
        <row r="102">
          <cell r="C102" t="str">
            <v>oui</v>
          </cell>
        </row>
        <row r="104">
          <cell r="C104" t="str">
            <v>oui</v>
          </cell>
        </row>
        <row r="106">
          <cell r="C106" t="str">
            <v>oui</v>
          </cell>
        </row>
        <row r="108">
          <cell r="C108" t="str">
            <v>oui</v>
          </cell>
        </row>
        <row r="110">
          <cell r="C110" t="str">
            <v>oui</v>
          </cell>
        </row>
        <row r="112">
          <cell r="C112" t="str">
            <v>non</v>
          </cell>
        </row>
        <row r="114">
          <cell r="C114" t="str">
            <v>non</v>
          </cell>
        </row>
        <row r="116">
          <cell r="C116" t="str">
            <v>non</v>
          </cell>
        </row>
        <row r="118">
          <cell r="C118" t="str">
            <v>oui</v>
          </cell>
        </row>
        <row r="120">
          <cell r="C120" t="str">
            <v>oui</v>
          </cell>
        </row>
      </sheetData>
      <sheetData sheetId="17">
        <row r="2">
          <cell r="C2" t="str">
            <v>OUI</v>
          </cell>
        </row>
        <row r="4">
          <cell r="C4" t="str">
            <v>NON</v>
          </cell>
        </row>
        <row r="6">
          <cell r="C6" t="str">
            <v>NON</v>
          </cell>
        </row>
        <row r="8">
          <cell r="C8" t="str">
            <v>NON</v>
          </cell>
        </row>
        <row r="10">
          <cell r="C10" t="str">
            <v>NON</v>
          </cell>
        </row>
        <row r="12">
          <cell r="C12" t="str">
            <v>OUI</v>
          </cell>
        </row>
        <row r="14">
          <cell r="C14" t="str">
            <v>NON</v>
          </cell>
        </row>
        <row r="16">
          <cell r="C16" t="str">
            <v>NON</v>
          </cell>
        </row>
        <row r="18">
          <cell r="C18" t="str">
            <v>PAS</v>
          </cell>
        </row>
        <row r="20">
          <cell r="C20" t="str">
            <v>NON</v>
          </cell>
        </row>
        <row r="22">
          <cell r="C22" t="str">
            <v>OUI</v>
          </cell>
        </row>
        <row r="24">
          <cell r="C24" t="str">
            <v>OUI</v>
          </cell>
        </row>
        <row r="26">
          <cell r="C26" t="str">
            <v>OUI</v>
          </cell>
        </row>
        <row r="28">
          <cell r="C28" t="str">
            <v>NON</v>
          </cell>
        </row>
        <row r="30">
          <cell r="C30" t="str">
            <v>NON</v>
          </cell>
        </row>
        <row r="32">
          <cell r="C32" t="str">
            <v>NON</v>
          </cell>
        </row>
        <row r="34">
          <cell r="C34" t="str">
            <v>OUI</v>
          </cell>
        </row>
        <row r="36">
          <cell r="C36" t="str">
            <v>PAS</v>
          </cell>
        </row>
        <row r="38">
          <cell r="C38" t="str">
            <v>PAS</v>
          </cell>
        </row>
        <row r="40">
          <cell r="C40" t="str">
            <v>PAS</v>
          </cell>
        </row>
        <row r="42">
          <cell r="C42" t="str">
            <v>NON</v>
          </cell>
        </row>
        <row r="44">
          <cell r="C44" t="str">
            <v>PAS</v>
          </cell>
        </row>
        <row r="46">
          <cell r="C46" t="str">
            <v>NON</v>
          </cell>
        </row>
        <row r="48">
          <cell r="C48" t="str">
            <v>OUI</v>
          </cell>
        </row>
        <row r="50">
          <cell r="C50" t="str">
            <v>OUI</v>
          </cell>
        </row>
        <row r="52">
          <cell r="C52" t="str">
            <v>OUI</v>
          </cell>
        </row>
        <row r="54">
          <cell r="C54" t="str">
            <v>OUI</v>
          </cell>
        </row>
        <row r="56">
          <cell r="C56" t="str">
            <v>NON</v>
          </cell>
        </row>
        <row r="58">
          <cell r="C58" t="str">
            <v>NON</v>
          </cell>
        </row>
        <row r="60">
          <cell r="C60" t="str">
            <v>OUI</v>
          </cell>
        </row>
        <row r="62">
          <cell r="C62" t="str">
            <v>PAS</v>
          </cell>
        </row>
        <row r="64">
          <cell r="C64" t="str">
            <v>NON</v>
          </cell>
        </row>
        <row r="66">
          <cell r="C66" t="str">
            <v>OUI</v>
          </cell>
        </row>
        <row r="68">
          <cell r="C68" t="str">
            <v>OUI</v>
          </cell>
        </row>
        <row r="70">
          <cell r="C70" t="str">
            <v>OUI</v>
          </cell>
        </row>
        <row r="72">
          <cell r="C72" t="str">
            <v>PAS</v>
          </cell>
        </row>
        <row r="74">
          <cell r="C74" t="str">
            <v>PAS</v>
          </cell>
        </row>
        <row r="76">
          <cell r="C76" t="str">
            <v>OUI</v>
          </cell>
        </row>
        <row r="78">
          <cell r="C78" t="str">
            <v>OUI</v>
          </cell>
        </row>
        <row r="80">
          <cell r="C80" t="str">
            <v>PAS</v>
          </cell>
        </row>
        <row r="82">
          <cell r="C82" t="str">
            <v>OUI</v>
          </cell>
        </row>
        <row r="84">
          <cell r="C84" t="str">
            <v>NON</v>
          </cell>
        </row>
        <row r="86">
          <cell r="C86" t="str">
            <v>OUI</v>
          </cell>
        </row>
        <row r="88">
          <cell r="C88" t="str">
            <v>OUI</v>
          </cell>
        </row>
        <row r="90">
          <cell r="C90" t="str">
            <v>PAS</v>
          </cell>
        </row>
        <row r="92">
          <cell r="C92" t="str">
            <v>OUI</v>
          </cell>
        </row>
        <row r="94">
          <cell r="C94" t="str">
            <v>PAS</v>
          </cell>
        </row>
        <row r="96">
          <cell r="C96" t="str">
            <v>OUI</v>
          </cell>
        </row>
        <row r="98">
          <cell r="C98" t="str">
            <v>OUI</v>
          </cell>
        </row>
        <row r="100">
          <cell r="C100" t="str">
            <v>OUI</v>
          </cell>
        </row>
        <row r="102">
          <cell r="C102" t="str">
            <v>OUI</v>
          </cell>
        </row>
        <row r="104">
          <cell r="C104" t="str">
            <v>PAS</v>
          </cell>
        </row>
        <row r="106">
          <cell r="C106" t="str">
            <v>PAS</v>
          </cell>
        </row>
        <row r="108">
          <cell r="C108" t="str">
            <v>OUI</v>
          </cell>
        </row>
        <row r="110">
          <cell r="C110" t="str">
            <v>PAS</v>
          </cell>
        </row>
        <row r="112">
          <cell r="C112" t="str">
            <v>OUI</v>
          </cell>
        </row>
        <row r="114">
          <cell r="C114" t="str">
            <v>OUI</v>
          </cell>
        </row>
        <row r="116">
          <cell r="C116" t="str">
            <v>NON</v>
          </cell>
        </row>
        <row r="118">
          <cell r="C118" t="str">
            <v>NON</v>
          </cell>
        </row>
        <row r="120">
          <cell r="C120" t="str">
            <v>NON</v>
          </cell>
        </row>
        <row r="122">
          <cell r="C122" t="str">
            <v>NON</v>
          </cell>
        </row>
        <row r="124">
          <cell r="C124" t="str">
            <v>NON</v>
          </cell>
        </row>
        <row r="126">
          <cell r="C126" t="str">
            <v>PAS</v>
          </cell>
        </row>
        <row r="128">
          <cell r="C128" t="str">
            <v>NON</v>
          </cell>
        </row>
        <row r="130">
          <cell r="C130" t="str">
            <v>NON</v>
          </cell>
        </row>
        <row r="132">
          <cell r="C132" t="str">
            <v>NON</v>
          </cell>
        </row>
        <row r="134">
          <cell r="C134" t="str">
            <v>OUI</v>
          </cell>
        </row>
        <row r="136">
          <cell r="C136" t="str">
            <v>NON</v>
          </cell>
        </row>
        <row r="138">
          <cell r="C138" t="str">
            <v>OUI</v>
          </cell>
        </row>
        <row r="140">
          <cell r="C140" t="str">
            <v>OUI</v>
          </cell>
        </row>
        <row r="142">
          <cell r="C142" t="str">
            <v>OUI</v>
          </cell>
        </row>
        <row r="144">
          <cell r="C144" t="str">
            <v>NON</v>
          </cell>
        </row>
        <row r="146">
          <cell r="C146" t="str">
            <v>OUI</v>
          </cell>
        </row>
      </sheetData>
      <sheetData sheetId="18">
        <row r="2">
          <cell r="C2" t="str">
            <v>Oui</v>
          </cell>
        </row>
        <row r="4">
          <cell r="C4" t="str">
            <v>Non</v>
          </cell>
        </row>
        <row r="6">
          <cell r="C6" t="str">
            <v>Oui</v>
          </cell>
        </row>
        <row r="8">
          <cell r="C8" t="str">
            <v>Oui</v>
          </cell>
        </row>
        <row r="10">
          <cell r="C10" t="str">
            <v>Oui</v>
          </cell>
        </row>
        <row r="12">
          <cell r="C12" t="str">
            <v>Non</v>
          </cell>
        </row>
        <row r="14">
          <cell r="C14" t="str">
            <v>Oui</v>
          </cell>
        </row>
        <row r="16">
          <cell r="C16" t="str">
            <v>Oui</v>
          </cell>
        </row>
        <row r="18">
          <cell r="C18" t="str">
            <v>Non</v>
          </cell>
        </row>
        <row r="20">
          <cell r="C20" t="str">
            <v>Non</v>
          </cell>
        </row>
        <row r="22">
          <cell r="C22" t="str">
            <v>Oui</v>
          </cell>
        </row>
        <row r="24">
          <cell r="C24" t="str">
            <v>Oui</v>
          </cell>
        </row>
        <row r="26">
          <cell r="C26" t="str">
            <v>Non</v>
          </cell>
        </row>
        <row r="28">
          <cell r="C28" t="str">
            <v>Oui</v>
          </cell>
        </row>
        <row r="30">
          <cell r="C30" t="str">
            <v>Oui</v>
          </cell>
        </row>
        <row r="32">
          <cell r="C32" t="str">
            <v>Oui</v>
          </cell>
        </row>
        <row r="34">
          <cell r="C34" t="str">
            <v>Oui</v>
          </cell>
        </row>
        <row r="36">
          <cell r="C36" t="str">
            <v>Non</v>
          </cell>
        </row>
        <row r="38">
          <cell r="C38" t="str">
            <v>Oui</v>
          </cell>
        </row>
        <row r="40">
          <cell r="C40" t="str">
            <v>Oui</v>
          </cell>
        </row>
        <row r="42">
          <cell r="C42" t="str">
            <v>Oui</v>
          </cell>
        </row>
        <row r="44">
          <cell r="C44" t="str">
            <v>Non</v>
          </cell>
        </row>
        <row r="46">
          <cell r="C46" t="str">
            <v>Oui</v>
          </cell>
        </row>
        <row r="48">
          <cell r="C48" t="str">
            <v>Oui</v>
          </cell>
        </row>
        <row r="50">
          <cell r="C50" t="str">
            <v>Oui</v>
          </cell>
        </row>
        <row r="52">
          <cell r="C52" t="str">
            <v>Non</v>
          </cell>
        </row>
        <row r="54">
          <cell r="C54" t="str">
            <v>Non</v>
          </cell>
        </row>
        <row r="56">
          <cell r="C56" t="str">
            <v>Non</v>
          </cell>
        </row>
        <row r="58">
          <cell r="C58" t="str">
            <v>Non</v>
          </cell>
        </row>
        <row r="60">
          <cell r="C60" t="str">
            <v>Oui</v>
          </cell>
        </row>
        <row r="62">
          <cell r="C62" t="str">
            <v>Oui</v>
          </cell>
        </row>
        <row r="64">
          <cell r="C64" t="str">
            <v>Oui</v>
          </cell>
        </row>
        <row r="66">
          <cell r="C66" t="str">
            <v>Non</v>
          </cell>
        </row>
        <row r="68">
          <cell r="C68" t="str">
            <v>Oui</v>
          </cell>
        </row>
        <row r="70">
          <cell r="C70" t="str">
            <v>Non</v>
          </cell>
        </row>
        <row r="72">
          <cell r="C72" t="str">
            <v>Oui</v>
          </cell>
        </row>
        <row r="74">
          <cell r="C74" t="str">
            <v>Non</v>
          </cell>
        </row>
        <row r="76">
          <cell r="C76" t="str">
            <v>Oui</v>
          </cell>
        </row>
        <row r="78">
          <cell r="C78" t="str">
            <v>Non</v>
          </cell>
        </row>
        <row r="80">
          <cell r="C80" t="str">
            <v>Non</v>
          </cell>
        </row>
        <row r="82">
          <cell r="C82" t="str">
            <v>Oui</v>
          </cell>
        </row>
        <row r="84">
          <cell r="C84" t="str">
            <v>Oui</v>
          </cell>
        </row>
        <row r="86">
          <cell r="C86" t="str">
            <v>Oui</v>
          </cell>
        </row>
        <row r="88">
          <cell r="C88" t="str">
            <v>Oui</v>
          </cell>
        </row>
        <row r="90">
          <cell r="C90" t="str">
            <v>Oui</v>
          </cell>
        </row>
        <row r="92">
          <cell r="C92" t="str">
            <v>Oui</v>
          </cell>
        </row>
        <row r="94">
          <cell r="C94" t="str">
            <v>Non</v>
          </cell>
        </row>
        <row r="96">
          <cell r="C96" t="str">
            <v>Oui</v>
          </cell>
        </row>
        <row r="98">
          <cell r="C98" t="str">
            <v>Non</v>
          </cell>
        </row>
        <row r="100">
          <cell r="C100" t="str">
            <v>Non</v>
          </cell>
        </row>
        <row r="102">
          <cell r="C102" t="str">
            <v>Non</v>
          </cell>
        </row>
        <row r="104">
          <cell r="C104" t="str">
            <v>Non</v>
          </cell>
        </row>
        <row r="106">
          <cell r="C106" t="str">
            <v>Oui</v>
          </cell>
        </row>
        <row r="108">
          <cell r="C108" t="str">
            <v>Oui</v>
          </cell>
        </row>
        <row r="110">
          <cell r="C110" t="str">
            <v>Non</v>
          </cell>
        </row>
        <row r="112">
          <cell r="C112" t="str">
            <v>Non</v>
          </cell>
        </row>
        <row r="114">
          <cell r="C114" t="str">
            <v>Non</v>
          </cell>
        </row>
        <row r="116">
          <cell r="C116" t="str">
            <v>Non</v>
          </cell>
        </row>
        <row r="118">
          <cell r="C118" t="str">
            <v>Non</v>
          </cell>
        </row>
        <row r="120">
          <cell r="C120" t="str">
            <v>Oui</v>
          </cell>
        </row>
        <row r="122">
          <cell r="C122" t="str">
            <v>Oui</v>
          </cell>
        </row>
        <row r="124">
          <cell r="C124" t="str">
            <v>Oui</v>
          </cell>
        </row>
        <row r="126">
          <cell r="C126" t="str">
            <v>Oui</v>
          </cell>
        </row>
        <row r="128">
          <cell r="C128" t="str">
            <v>Oui</v>
          </cell>
        </row>
        <row r="130">
          <cell r="C130" t="str">
            <v>Non</v>
          </cell>
        </row>
        <row r="132">
          <cell r="C132" t="str">
            <v>Oui</v>
          </cell>
        </row>
        <row r="134">
          <cell r="C134" t="str">
            <v>Non</v>
          </cell>
        </row>
        <row r="136">
          <cell r="C136" t="str">
            <v>Oui</v>
          </cell>
        </row>
        <row r="138">
          <cell r="C138" t="str">
            <v>Oui</v>
          </cell>
        </row>
        <row r="140">
          <cell r="C140" t="str">
            <v>Oui</v>
          </cell>
        </row>
        <row r="142">
          <cell r="C142" t="str">
            <v>Non</v>
          </cell>
        </row>
        <row r="144">
          <cell r="C144" t="str">
            <v>Oui</v>
          </cell>
        </row>
        <row r="146">
          <cell r="C146" t="str">
            <v>Non</v>
          </cell>
        </row>
        <row r="148">
          <cell r="C148" t="str">
            <v>Oui</v>
          </cell>
        </row>
        <row r="150">
          <cell r="C150" t="str">
            <v>Non</v>
          </cell>
        </row>
        <row r="152">
          <cell r="C152" t="str">
            <v>Oui</v>
          </cell>
        </row>
        <row r="154">
          <cell r="C154" t="str">
            <v>Non</v>
          </cell>
        </row>
        <row r="156">
          <cell r="C156" t="str">
            <v>Oui</v>
          </cell>
        </row>
        <row r="158">
          <cell r="C158" t="str">
            <v>Oui</v>
          </cell>
        </row>
        <row r="160">
          <cell r="C160" t="str">
            <v>Oui</v>
          </cell>
        </row>
        <row r="162">
          <cell r="C162" t="str">
            <v>Oui</v>
          </cell>
        </row>
        <row r="164">
          <cell r="C164" t="str">
            <v>Oui</v>
          </cell>
        </row>
        <row r="166">
          <cell r="C166" t="str">
            <v>Non</v>
          </cell>
        </row>
        <row r="168">
          <cell r="C168" t="str">
            <v>Oui</v>
          </cell>
        </row>
        <row r="170">
          <cell r="C170" t="str">
            <v>Non</v>
          </cell>
        </row>
        <row r="172">
          <cell r="C172" t="str">
            <v>Oui</v>
          </cell>
        </row>
        <row r="174">
          <cell r="C174" t="str">
            <v>Non</v>
          </cell>
        </row>
        <row r="176">
          <cell r="C176" t="str">
            <v>Oui</v>
          </cell>
        </row>
        <row r="178">
          <cell r="C178" t="str">
            <v>Oui</v>
          </cell>
        </row>
        <row r="180">
          <cell r="C180" t="str">
            <v>Oui</v>
          </cell>
        </row>
      </sheetData>
      <sheetData sheetId="19">
        <row r="2">
          <cell r="C2" t="str">
            <v>Oui</v>
          </cell>
        </row>
        <row r="4">
          <cell r="C4" t="str">
            <v>Oui</v>
          </cell>
        </row>
        <row r="6">
          <cell r="C6" t="str">
            <v>Oui</v>
          </cell>
        </row>
        <row r="8">
          <cell r="C8" t="str">
            <v>Oui</v>
          </cell>
        </row>
        <row r="10">
          <cell r="C10" t="str">
            <v>Oui</v>
          </cell>
        </row>
        <row r="12">
          <cell r="C12" t="str">
            <v>Oui</v>
          </cell>
        </row>
        <row r="14">
          <cell r="C14" t="str">
            <v>Oui</v>
          </cell>
        </row>
        <row r="16">
          <cell r="C16" t="str">
            <v>Oui</v>
          </cell>
        </row>
        <row r="18">
          <cell r="C18" t="str">
            <v>Non</v>
          </cell>
        </row>
        <row r="20">
          <cell r="C20" t="str">
            <v>Oui</v>
          </cell>
        </row>
        <row r="22">
          <cell r="C22" t="str">
            <v>Non</v>
          </cell>
        </row>
        <row r="24">
          <cell r="C24" t="str">
            <v>Non</v>
          </cell>
        </row>
        <row r="26">
          <cell r="C26" t="str">
            <v>Oui</v>
          </cell>
        </row>
        <row r="28">
          <cell r="C28" t="str">
            <v>Non</v>
          </cell>
        </row>
        <row r="30">
          <cell r="C30" t="str">
            <v>Non</v>
          </cell>
        </row>
        <row r="32">
          <cell r="C32" t="str">
            <v>Oui</v>
          </cell>
        </row>
        <row r="34">
          <cell r="C34" t="str">
            <v>Oui</v>
          </cell>
        </row>
        <row r="36">
          <cell r="C36" t="str">
            <v>Non</v>
          </cell>
        </row>
        <row r="38">
          <cell r="C38" t="str">
            <v>Non</v>
          </cell>
        </row>
        <row r="40">
          <cell r="C40" t="str">
            <v>Non</v>
          </cell>
        </row>
        <row r="42">
          <cell r="C42" t="str">
            <v>Non</v>
          </cell>
        </row>
        <row r="44">
          <cell r="C44" t="str">
            <v>Oui</v>
          </cell>
        </row>
        <row r="46">
          <cell r="C46" t="str">
            <v>Oui</v>
          </cell>
        </row>
        <row r="48">
          <cell r="C48" t="str">
            <v>Oui</v>
          </cell>
        </row>
        <row r="50">
          <cell r="C50" t="str">
            <v>Non</v>
          </cell>
        </row>
        <row r="52">
          <cell r="C52" t="str">
            <v>Non</v>
          </cell>
        </row>
        <row r="54">
          <cell r="C54" t="str">
            <v>Non</v>
          </cell>
        </row>
        <row r="56">
          <cell r="C56" t="str">
            <v>Non</v>
          </cell>
        </row>
        <row r="58">
          <cell r="C58" t="str">
            <v>Oui</v>
          </cell>
        </row>
        <row r="60">
          <cell r="C60" t="str">
            <v>Oui</v>
          </cell>
        </row>
        <row r="62">
          <cell r="C62" t="str">
            <v>Oui</v>
          </cell>
        </row>
        <row r="64">
          <cell r="C64" t="str">
            <v>Oui</v>
          </cell>
        </row>
        <row r="66">
          <cell r="C66" t="str">
            <v>Oui</v>
          </cell>
        </row>
        <row r="68">
          <cell r="C68" t="str">
            <v>Oui</v>
          </cell>
        </row>
        <row r="70">
          <cell r="C70" t="str">
            <v>Oui</v>
          </cell>
        </row>
        <row r="72">
          <cell r="C72" t="str">
            <v>Non</v>
          </cell>
        </row>
        <row r="74">
          <cell r="C74" t="str">
            <v>Non</v>
          </cell>
        </row>
        <row r="76">
          <cell r="C76" t="str">
            <v>Non</v>
          </cell>
        </row>
        <row r="78">
          <cell r="C78" t="str">
            <v>Non</v>
          </cell>
        </row>
        <row r="80">
          <cell r="C80" t="str">
            <v>Non</v>
          </cell>
        </row>
        <row r="82">
          <cell r="C82" t="str">
            <v>Oui</v>
          </cell>
        </row>
        <row r="84">
          <cell r="C84" t="str">
            <v>Oui</v>
          </cell>
        </row>
        <row r="86">
          <cell r="C86" t="str">
            <v>Oui</v>
          </cell>
        </row>
        <row r="88">
          <cell r="C88" t="str">
            <v>Oui</v>
          </cell>
        </row>
        <row r="90">
          <cell r="C90" t="str">
            <v>Oui</v>
          </cell>
        </row>
        <row r="92">
          <cell r="C92" t="str">
            <v>Non</v>
          </cell>
        </row>
        <row r="94">
          <cell r="C94" t="str">
            <v>Oui</v>
          </cell>
        </row>
        <row r="96">
          <cell r="C96" t="str">
            <v>Non</v>
          </cell>
        </row>
        <row r="98">
          <cell r="C98" t="str">
            <v>Non</v>
          </cell>
        </row>
        <row r="100">
          <cell r="C100" t="str">
            <v>Non</v>
          </cell>
        </row>
        <row r="102">
          <cell r="C102" t="str">
            <v>Non</v>
          </cell>
        </row>
        <row r="104">
          <cell r="C104" t="str">
            <v>Oui</v>
          </cell>
        </row>
        <row r="106">
          <cell r="C106" t="str">
            <v>Oui</v>
          </cell>
        </row>
        <row r="108">
          <cell r="C108" t="str">
            <v>Oui</v>
          </cell>
        </row>
        <row r="110">
          <cell r="C110" t="str">
            <v>Non</v>
          </cell>
        </row>
        <row r="112">
          <cell r="C112" t="str">
            <v>Non</v>
          </cell>
        </row>
        <row r="114">
          <cell r="C114" t="str">
            <v>Non</v>
          </cell>
        </row>
        <row r="116">
          <cell r="C116" t="str">
            <v>Non</v>
          </cell>
        </row>
        <row r="118">
          <cell r="C118" t="str">
            <v>Oui</v>
          </cell>
        </row>
        <row r="120">
          <cell r="C120" t="str">
            <v>Non</v>
          </cell>
        </row>
        <row r="122">
          <cell r="C122" t="str">
            <v>Oui</v>
          </cell>
        </row>
        <row r="124">
          <cell r="C124" t="str">
            <v>Oui</v>
          </cell>
        </row>
        <row r="126">
          <cell r="C126" t="str">
            <v>Oui</v>
          </cell>
        </row>
        <row r="128">
          <cell r="C128" t="str">
            <v>Oui</v>
          </cell>
        </row>
        <row r="130">
          <cell r="C130" t="str">
            <v>Oui</v>
          </cell>
        </row>
        <row r="132">
          <cell r="C132" t="str">
            <v>Oui</v>
          </cell>
        </row>
        <row r="134">
          <cell r="C134" t="str">
            <v>Oui</v>
          </cell>
        </row>
        <row r="136">
          <cell r="C136" t="str">
            <v>Non</v>
          </cell>
        </row>
        <row r="138">
          <cell r="C138" t="str">
            <v>Oui</v>
          </cell>
        </row>
        <row r="140">
          <cell r="C140" t="str">
            <v>Non</v>
          </cell>
        </row>
        <row r="142">
          <cell r="C142" t="str">
            <v>Non</v>
          </cell>
        </row>
        <row r="144">
          <cell r="C144" t="str">
            <v>Non</v>
          </cell>
        </row>
        <row r="146">
          <cell r="C146" t="str">
            <v>Non</v>
          </cell>
        </row>
        <row r="148">
          <cell r="C148" t="str">
            <v>Oui</v>
          </cell>
        </row>
        <row r="150">
          <cell r="C150" t="str">
            <v>Non</v>
          </cell>
        </row>
        <row r="152">
          <cell r="C152" t="str">
            <v>Non</v>
          </cell>
        </row>
        <row r="154">
          <cell r="C154" t="str">
            <v>Non</v>
          </cell>
        </row>
        <row r="156">
          <cell r="C156" t="str">
            <v>Non</v>
          </cell>
        </row>
        <row r="158">
          <cell r="C158" t="str">
            <v>Non</v>
          </cell>
        </row>
        <row r="160">
          <cell r="C160" t="str">
            <v>Oui</v>
          </cell>
        </row>
        <row r="162">
          <cell r="C162" t="str">
            <v>Non</v>
          </cell>
        </row>
        <row r="164">
          <cell r="C164" t="str">
            <v>Non</v>
          </cell>
        </row>
        <row r="166">
          <cell r="C166" t="str">
            <v>Non</v>
          </cell>
        </row>
        <row r="168">
          <cell r="C168" t="str">
            <v>Non</v>
          </cell>
        </row>
        <row r="170">
          <cell r="C170" t="str">
            <v>Non</v>
          </cell>
        </row>
        <row r="172">
          <cell r="C172" t="str">
            <v>Non</v>
          </cell>
        </row>
        <row r="174">
          <cell r="C174" t="str">
            <v>Oui</v>
          </cell>
        </row>
        <row r="176">
          <cell r="C176" t="str">
            <v>Oui</v>
          </cell>
        </row>
        <row r="178">
          <cell r="C178" t="str">
            <v>Oui</v>
          </cell>
        </row>
        <row r="180">
          <cell r="C180" t="str">
            <v>Non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6"/>
  <sheetViews>
    <sheetView workbookViewId="0">
      <selection activeCell="B18" sqref="B18"/>
    </sheetView>
  </sheetViews>
  <sheetFormatPr baseColWidth="10" defaultRowHeight="14.4" x14ac:dyDescent="0.3"/>
  <cols>
    <col min="1" max="5" width="47.44140625" customWidth="1"/>
    <col min="6" max="6" width="52" customWidth="1"/>
    <col min="7" max="7" width="75.21875" customWidth="1"/>
    <col min="8" max="8" width="141.77734375" customWidth="1"/>
    <col min="9" max="9" width="106.33203125" customWidth="1"/>
    <col min="10" max="10" width="25.109375" customWidth="1"/>
    <col min="11" max="11" width="122.5546875" customWidth="1"/>
    <col min="12" max="12" width="133.5546875" customWidth="1"/>
    <col min="13" max="13" width="34.5546875" customWidth="1"/>
    <col min="14" max="14" width="154.77734375" customWidth="1"/>
    <col min="15" max="15" width="209.88671875" customWidth="1"/>
  </cols>
  <sheetData>
    <row r="1" spans="1:15" ht="26.4" thickBot="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7" t="s">
        <v>14</v>
      </c>
    </row>
    <row r="2" spans="1:15" ht="21" x14ac:dyDescent="0.3">
      <c r="A2" s="8" t="s">
        <v>15</v>
      </c>
      <c r="B2" s="9"/>
      <c r="C2" s="9"/>
      <c r="D2" s="9"/>
      <c r="E2" s="9"/>
      <c r="F2" s="10" t="s">
        <v>16</v>
      </c>
      <c r="G2" s="11" t="s">
        <v>17</v>
      </c>
      <c r="H2" s="12" t="s">
        <v>18</v>
      </c>
      <c r="I2" s="13" t="s">
        <v>19</v>
      </c>
      <c r="J2" s="14" t="s">
        <v>20</v>
      </c>
      <c r="K2" s="15" t="s">
        <v>21</v>
      </c>
      <c r="L2" s="16" t="s">
        <v>22</v>
      </c>
      <c r="M2" s="17" t="s">
        <v>23</v>
      </c>
      <c r="N2" s="15" t="s">
        <v>24</v>
      </c>
      <c r="O2" s="18" t="s">
        <v>25</v>
      </c>
    </row>
    <row r="3" spans="1:15" ht="21" x14ac:dyDescent="0.3">
      <c r="A3" s="19"/>
      <c r="B3" s="20"/>
      <c r="C3" s="20"/>
      <c r="D3" s="20"/>
      <c r="E3" s="20"/>
      <c r="F3" s="21"/>
      <c r="G3" s="22"/>
      <c r="H3" s="18" t="s">
        <v>26</v>
      </c>
      <c r="I3" s="23" t="s">
        <v>27</v>
      </c>
      <c r="J3" s="24" t="s">
        <v>28</v>
      </c>
      <c r="K3" s="25" t="s">
        <v>29</v>
      </c>
      <c r="L3" s="25" t="s">
        <v>30</v>
      </c>
      <c r="M3" s="26" t="s">
        <v>31</v>
      </c>
      <c r="N3" s="25" t="s">
        <v>32</v>
      </c>
      <c r="O3" s="18" t="s">
        <v>33</v>
      </c>
    </row>
    <row r="4" spans="1:15" ht="21" x14ac:dyDescent="0.3">
      <c r="A4" s="19"/>
      <c r="B4" s="20"/>
      <c r="C4" s="20"/>
      <c r="D4" s="20"/>
      <c r="E4" s="20"/>
      <c r="F4" s="21"/>
      <c r="G4" s="22"/>
      <c r="H4" s="18" t="s">
        <v>34</v>
      </c>
      <c r="I4" s="23" t="s">
        <v>35</v>
      </c>
      <c r="J4" s="24" t="s">
        <v>20</v>
      </c>
      <c r="K4" s="25" t="s">
        <v>36</v>
      </c>
      <c r="L4" s="25" t="s">
        <v>37</v>
      </c>
      <c r="M4" s="26" t="s">
        <v>23</v>
      </c>
      <c r="N4" s="25" t="s">
        <v>38</v>
      </c>
      <c r="O4" s="18" t="s">
        <v>39</v>
      </c>
    </row>
    <row r="5" spans="1:15" ht="21" x14ac:dyDescent="0.3">
      <c r="A5" s="19"/>
      <c r="B5" s="20"/>
      <c r="C5" s="20"/>
      <c r="D5" s="20"/>
      <c r="E5" s="20"/>
      <c r="F5" s="21"/>
      <c r="G5" s="22"/>
      <c r="H5" s="18" t="s">
        <v>40</v>
      </c>
      <c r="I5" s="23" t="s">
        <v>41</v>
      </c>
      <c r="J5" s="24" t="s">
        <v>20</v>
      </c>
      <c r="K5" s="25" t="s">
        <v>42</v>
      </c>
      <c r="L5" s="25" t="s">
        <v>43</v>
      </c>
      <c r="M5" s="26" t="s">
        <v>23</v>
      </c>
      <c r="N5" s="25" t="s">
        <v>44</v>
      </c>
      <c r="O5" s="18" t="s">
        <v>45</v>
      </c>
    </row>
    <row r="6" spans="1:15" ht="21" x14ac:dyDescent="0.3">
      <c r="A6" s="19"/>
      <c r="B6" s="20"/>
      <c r="C6" s="20"/>
      <c r="D6" s="20"/>
      <c r="E6" s="20"/>
      <c r="F6" s="21"/>
      <c r="G6" s="22"/>
      <c r="H6" s="18" t="s">
        <v>46</v>
      </c>
      <c r="I6" s="23" t="s">
        <v>47</v>
      </c>
      <c r="J6" s="24" t="s">
        <v>28</v>
      </c>
      <c r="K6" s="25" t="s">
        <v>48</v>
      </c>
      <c r="L6" s="25" t="s">
        <v>49</v>
      </c>
      <c r="M6" s="26" t="s">
        <v>23</v>
      </c>
      <c r="N6" s="25" t="s">
        <v>50</v>
      </c>
      <c r="O6" s="18" t="s">
        <v>51</v>
      </c>
    </row>
    <row r="7" spans="1:15" ht="21" x14ac:dyDescent="0.3">
      <c r="A7" s="19"/>
      <c r="B7" s="20"/>
      <c r="C7" s="20"/>
      <c r="D7" s="20"/>
      <c r="E7" s="20"/>
      <c r="F7" s="21"/>
      <c r="G7" s="22" t="s">
        <v>52</v>
      </c>
      <c r="H7" s="18" t="s">
        <v>53</v>
      </c>
      <c r="I7" s="23" t="s">
        <v>54</v>
      </c>
      <c r="J7" s="24" t="s">
        <v>20</v>
      </c>
      <c r="K7" s="25" t="s">
        <v>55</v>
      </c>
      <c r="L7" s="25" t="s">
        <v>56</v>
      </c>
      <c r="M7" s="26" t="s">
        <v>23</v>
      </c>
      <c r="N7" s="25" t="s">
        <v>57</v>
      </c>
      <c r="O7" s="18" t="s">
        <v>58</v>
      </c>
    </row>
    <row r="8" spans="1:15" ht="21" x14ac:dyDescent="0.3">
      <c r="A8" s="19"/>
      <c r="B8" s="20"/>
      <c r="C8" s="20"/>
      <c r="D8" s="20"/>
      <c r="E8" s="20"/>
      <c r="F8" s="21"/>
      <c r="G8" s="22"/>
      <c r="H8" s="18" t="s">
        <v>59</v>
      </c>
      <c r="I8" s="23" t="s">
        <v>60</v>
      </c>
      <c r="J8" s="24" t="s">
        <v>28</v>
      </c>
      <c r="K8" s="25" t="s">
        <v>61</v>
      </c>
      <c r="L8" s="25" t="s">
        <v>62</v>
      </c>
      <c r="M8" s="25" t="s">
        <v>31</v>
      </c>
      <c r="N8" s="25" t="s">
        <v>63</v>
      </c>
      <c r="O8" s="18" t="s">
        <v>64</v>
      </c>
    </row>
    <row r="9" spans="1:15" ht="21" x14ac:dyDescent="0.3">
      <c r="A9" s="19"/>
      <c r="B9" s="20"/>
      <c r="C9" s="20"/>
      <c r="D9" s="20"/>
      <c r="E9" s="20"/>
      <c r="F9" s="21"/>
      <c r="G9" s="22"/>
      <c r="H9" s="18" t="s">
        <v>65</v>
      </c>
      <c r="I9" s="23" t="s">
        <v>66</v>
      </c>
      <c r="J9" s="24" t="s">
        <v>20</v>
      </c>
      <c r="K9" s="25" t="s">
        <v>67</v>
      </c>
      <c r="L9" s="25" t="s">
        <v>68</v>
      </c>
      <c r="M9" s="25" t="s">
        <v>31</v>
      </c>
      <c r="N9" s="25" t="s">
        <v>69</v>
      </c>
      <c r="O9" s="18" t="s">
        <v>70</v>
      </c>
    </row>
    <row r="10" spans="1:15" ht="21" x14ac:dyDescent="0.3">
      <c r="A10" s="19"/>
      <c r="B10" s="20"/>
      <c r="C10" s="20"/>
      <c r="D10" s="20"/>
      <c r="E10" s="20"/>
      <c r="F10" s="21"/>
      <c r="G10" s="22"/>
      <c r="H10" s="18" t="s">
        <v>71</v>
      </c>
      <c r="I10" s="23" t="s">
        <v>72</v>
      </c>
      <c r="J10" s="24" t="s">
        <v>20</v>
      </c>
      <c r="K10" s="25" t="s">
        <v>73</v>
      </c>
      <c r="L10" s="25" t="s">
        <v>74</v>
      </c>
      <c r="M10" s="25" t="s">
        <v>23</v>
      </c>
      <c r="N10" s="25" t="s">
        <v>75</v>
      </c>
      <c r="O10" s="18" t="s">
        <v>76</v>
      </c>
    </row>
    <row r="11" spans="1:15" ht="21" x14ac:dyDescent="0.3">
      <c r="A11" s="19"/>
      <c r="B11" s="20"/>
      <c r="C11" s="20"/>
      <c r="D11" s="20"/>
      <c r="E11" s="20"/>
      <c r="F11" s="21"/>
      <c r="G11" s="22"/>
      <c r="H11" s="18" t="s">
        <v>77</v>
      </c>
      <c r="I11" s="23" t="s">
        <v>78</v>
      </c>
      <c r="J11" s="24" t="s">
        <v>28</v>
      </c>
      <c r="K11" s="25" t="s">
        <v>79</v>
      </c>
      <c r="L11" s="25" t="s">
        <v>80</v>
      </c>
      <c r="M11" s="25" t="s">
        <v>23</v>
      </c>
      <c r="N11" s="25" t="s">
        <v>81</v>
      </c>
      <c r="O11" s="18" t="s">
        <v>82</v>
      </c>
    </row>
    <row r="12" spans="1:15" ht="21" x14ac:dyDescent="0.3">
      <c r="A12" s="19"/>
      <c r="B12" s="20"/>
      <c r="C12" s="20"/>
      <c r="D12" s="20"/>
      <c r="E12" s="20"/>
      <c r="F12" s="21"/>
      <c r="G12" s="22" t="s">
        <v>83</v>
      </c>
      <c r="H12" s="18" t="s">
        <v>84</v>
      </c>
      <c r="I12" s="23" t="s">
        <v>85</v>
      </c>
      <c r="J12" s="24" t="s">
        <v>20</v>
      </c>
      <c r="K12" s="25" t="s">
        <v>86</v>
      </c>
      <c r="L12" s="25" t="s">
        <v>87</v>
      </c>
      <c r="M12" s="25" t="s">
        <v>23</v>
      </c>
      <c r="N12" s="25" t="s">
        <v>88</v>
      </c>
      <c r="O12" s="18" t="s">
        <v>89</v>
      </c>
    </row>
    <row r="13" spans="1:15" ht="21" x14ac:dyDescent="0.3">
      <c r="A13" s="19"/>
      <c r="B13" s="20"/>
      <c r="C13" s="20"/>
      <c r="D13" s="20"/>
      <c r="E13" s="20"/>
      <c r="F13" s="21"/>
      <c r="G13" s="22"/>
      <c r="H13" s="18" t="s">
        <v>90</v>
      </c>
      <c r="I13" s="23" t="s">
        <v>91</v>
      </c>
      <c r="J13" s="24" t="s">
        <v>20</v>
      </c>
      <c r="K13" s="25" t="s">
        <v>92</v>
      </c>
      <c r="L13" s="25" t="s">
        <v>93</v>
      </c>
      <c r="M13" s="25" t="s">
        <v>23</v>
      </c>
      <c r="N13" s="25" t="s">
        <v>94</v>
      </c>
      <c r="O13" s="18" t="s">
        <v>95</v>
      </c>
    </row>
    <row r="14" spans="1:15" ht="21" x14ac:dyDescent="0.3">
      <c r="A14" s="19"/>
      <c r="B14" s="20"/>
      <c r="C14" s="20"/>
      <c r="D14" s="20"/>
      <c r="E14" s="20"/>
      <c r="F14" s="21"/>
      <c r="G14" s="22"/>
      <c r="H14" s="18" t="s">
        <v>96</v>
      </c>
      <c r="I14" s="23" t="s">
        <v>97</v>
      </c>
      <c r="J14" s="24" t="s">
        <v>28</v>
      </c>
      <c r="K14" s="25" t="s">
        <v>98</v>
      </c>
      <c r="L14" s="25" t="s">
        <v>99</v>
      </c>
      <c r="M14" s="25" t="s">
        <v>23</v>
      </c>
      <c r="N14" s="25" t="s">
        <v>100</v>
      </c>
      <c r="O14" s="18" t="s">
        <v>101</v>
      </c>
    </row>
    <row r="15" spans="1:15" ht="21" x14ac:dyDescent="0.3">
      <c r="A15" s="19"/>
      <c r="B15" s="20"/>
      <c r="C15" s="20"/>
      <c r="D15" s="20"/>
      <c r="E15" s="20"/>
      <c r="F15" s="21"/>
      <c r="G15" s="22"/>
      <c r="H15" s="18" t="s">
        <v>102</v>
      </c>
      <c r="I15" s="23" t="s">
        <v>103</v>
      </c>
      <c r="J15" s="24" t="s">
        <v>20</v>
      </c>
      <c r="K15" s="25" t="s">
        <v>104</v>
      </c>
      <c r="L15" s="25" t="s">
        <v>105</v>
      </c>
      <c r="M15" s="25" t="s">
        <v>23</v>
      </c>
      <c r="N15" s="25" t="s">
        <v>106</v>
      </c>
      <c r="O15" s="18" t="s">
        <v>107</v>
      </c>
    </row>
    <row r="16" spans="1:15" ht="21" x14ac:dyDescent="0.3">
      <c r="A16" s="19"/>
      <c r="B16" s="20"/>
      <c r="C16" s="20"/>
      <c r="D16" s="20"/>
      <c r="E16" s="20"/>
      <c r="F16" s="21"/>
      <c r="G16" s="22"/>
      <c r="H16" s="18" t="s">
        <v>108</v>
      </c>
      <c r="I16" s="23" t="s">
        <v>109</v>
      </c>
      <c r="J16" s="24" t="s">
        <v>20</v>
      </c>
      <c r="K16" s="25" t="s">
        <v>110</v>
      </c>
      <c r="L16" s="25" t="s">
        <v>111</v>
      </c>
      <c r="M16" s="25" t="s">
        <v>23</v>
      </c>
      <c r="N16" s="25" t="s">
        <v>112</v>
      </c>
      <c r="O16" s="18" t="s">
        <v>113</v>
      </c>
    </row>
    <row r="17" spans="1:15" ht="21" x14ac:dyDescent="0.3">
      <c r="A17" s="19"/>
      <c r="B17" s="20"/>
      <c r="C17" s="20"/>
      <c r="D17" s="20"/>
      <c r="E17" s="20"/>
      <c r="F17" s="21"/>
      <c r="G17" s="22" t="s">
        <v>114</v>
      </c>
      <c r="H17" s="18" t="s">
        <v>115</v>
      </c>
      <c r="I17" s="23" t="s">
        <v>116</v>
      </c>
      <c r="J17" s="24" t="s">
        <v>20</v>
      </c>
      <c r="K17" s="25" t="s">
        <v>117</v>
      </c>
      <c r="L17" s="25" t="s">
        <v>118</v>
      </c>
      <c r="M17" s="25" t="s">
        <v>23</v>
      </c>
      <c r="N17" s="25" t="s">
        <v>119</v>
      </c>
      <c r="O17" s="18" t="s">
        <v>120</v>
      </c>
    </row>
    <row r="18" spans="1:15" ht="21" x14ac:dyDescent="0.3">
      <c r="A18" s="19"/>
      <c r="B18" s="20"/>
      <c r="C18" s="20"/>
      <c r="D18" s="20"/>
      <c r="E18" s="20"/>
      <c r="F18" s="21"/>
      <c r="G18" s="22"/>
      <c r="H18" s="18" t="s">
        <v>121</v>
      </c>
      <c r="I18" s="23" t="s">
        <v>122</v>
      </c>
      <c r="J18" s="24" t="s">
        <v>28</v>
      </c>
      <c r="K18" s="25" t="s">
        <v>123</v>
      </c>
      <c r="L18" s="25" t="s">
        <v>124</v>
      </c>
      <c r="M18" s="25" t="s">
        <v>23</v>
      </c>
      <c r="N18" s="25" t="s">
        <v>125</v>
      </c>
      <c r="O18" s="18" t="s">
        <v>126</v>
      </c>
    </row>
    <row r="19" spans="1:15" ht="21" x14ac:dyDescent="0.3">
      <c r="A19" s="19"/>
      <c r="B19" s="20"/>
      <c r="C19" s="20"/>
      <c r="D19" s="20"/>
      <c r="E19" s="20"/>
      <c r="F19" s="21"/>
      <c r="G19" s="22"/>
      <c r="H19" s="18" t="s">
        <v>127</v>
      </c>
      <c r="I19" s="23" t="s">
        <v>128</v>
      </c>
      <c r="J19" s="24" t="s">
        <v>20</v>
      </c>
      <c r="K19" s="25" t="s">
        <v>129</v>
      </c>
      <c r="L19" s="25" t="s">
        <v>130</v>
      </c>
      <c r="M19" s="25" t="s">
        <v>23</v>
      </c>
      <c r="N19" s="25" t="s">
        <v>131</v>
      </c>
      <c r="O19" s="18" t="s">
        <v>132</v>
      </c>
    </row>
    <row r="20" spans="1:15" ht="21" x14ac:dyDescent="0.3">
      <c r="A20" s="19"/>
      <c r="B20" s="20"/>
      <c r="C20" s="20"/>
      <c r="D20" s="20"/>
      <c r="E20" s="20"/>
      <c r="F20" s="21"/>
      <c r="G20" s="22"/>
      <c r="H20" s="18" t="s">
        <v>133</v>
      </c>
      <c r="I20" s="23" t="s">
        <v>134</v>
      </c>
      <c r="J20" s="24" t="s">
        <v>20</v>
      </c>
      <c r="K20" s="25" t="s">
        <v>135</v>
      </c>
      <c r="L20" s="25" t="s">
        <v>136</v>
      </c>
      <c r="M20" s="25" t="s">
        <v>23</v>
      </c>
      <c r="N20" s="25" t="s">
        <v>137</v>
      </c>
      <c r="O20" s="18" t="s">
        <v>138</v>
      </c>
    </row>
    <row r="21" spans="1:15" ht="21" x14ac:dyDescent="0.3">
      <c r="A21" s="19"/>
      <c r="B21" s="20"/>
      <c r="C21" s="20"/>
      <c r="D21" s="20"/>
      <c r="E21" s="20"/>
      <c r="F21" s="21"/>
      <c r="G21" s="22"/>
      <c r="H21" s="18" t="s">
        <v>139</v>
      </c>
      <c r="I21" s="23" t="s">
        <v>140</v>
      </c>
      <c r="J21" s="24" t="s">
        <v>28</v>
      </c>
      <c r="K21" s="25" t="s">
        <v>141</v>
      </c>
      <c r="L21" s="25" t="s">
        <v>142</v>
      </c>
      <c r="M21" s="25" t="s">
        <v>23</v>
      </c>
      <c r="N21" s="25" t="s">
        <v>143</v>
      </c>
      <c r="O21" s="18" t="s">
        <v>144</v>
      </c>
    </row>
    <row r="22" spans="1:15" ht="21" x14ac:dyDescent="0.3">
      <c r="A22" s="19"/>
      <c r="B22" s="20"/>
      <c r="C22" s="20"/>
      <c r="D22" s="20"/>
      <c r="E22" s="20"/>
      <c r="F22" s="21"/>
      <c r="G22" s="22" t="s">
        <v>145</v>
      </c>
      <c r="H22" s="18" t="s">
        <v>146</v>
      </c>
      <c r="I22" s="23" t="s">
        <v>147</v>
      </c>
      <c r="J22" s="24" t="s">
        <v>20</v>
      </c>
      <c r="K22" s="25" t="s">
        <v>148</v>
      </c>
      <c r="L22" s="25" t="s">
        <v>149</v>
      </c>
      <c r="M22" s="25" t="s">
        <v>23</v>
      </c>
      <c r="N22" s="25" t="s">
        <v>150</v>
      </c>
      <c r="O22" s="18" t="s">
        <v>151</v>
      </c>
    </row>
    <row r="23" spans="1:15" ht="21" x14ac:dyDescent="0.3">
      <c r="A23" s="19"/>
      <c r="B23" s="20"/>
      <c r="C23" s="20"/>
      <c r="D23" s="20"/>
      <c r="E23" s="20"/>
      <c r="F23" s="21"/>
      <c r="G23" s="22"/>
      <c r="H23" s="18" t="s">
        <v>152</v>
      </c>
      <c r="I23" s="23" t="s">
        <v>153</v>
      </c>
      <c r="J23" s="24" t="s">
        <v>20</v>
      </c>
      <c r="K23" s="25" t="s">
        <v>154</v>
      </c>
      <c r="L23" s="25" t="s">
        <v>155</v>
      </c>
      <c r="M23" s="25" t="s">
        <v>23</v>
      </c>
      <c r="N23" s="25" t="s">
        <v>156</v>
      </c>
      <c r="O23" s="18" t="s">
        <v>157</v>
      </c>
    </row>
    <row r="24" spans="1:15" ht="21" x14ac:dyDescent="0.3">
      <c r="A24" s="19"/>
      <c r="B24" s="20"/>
      <c r="C24" s="20"/>
      <c r="D24" s="20"/>
      <c r="E24" s="20"/>
      <c r="F24" s="21"/>
      <c r="G24" s="22"/>
      <c r="H24" s="18" t="s">
        <v>158</v>
      </c>
      <c r="I24" s="23" t="s">
        <v>159</v>
      </c>
      <c r="J24" s="24" t="s">
        <v>20</v>
      </c>
      <c r="K24" s="25" t="s">
        <v>160</v>
      </c>
      <c r="L24" s="25" t="s">
        <v>161</v>
      </c>
      <c r="M24" s="25" t="s">
        <v>23</v>
      </c>
      <c r="N24" s="25" t="s">
        <v>162</v>
      </c>
      <c r="O24" s="18" t="s">
        <v>163</v>
      </c>
    </row>
    <row r="25" spans="1:15" ht="21" x14ac:dyDescent="0.3">
      <c r="A25" s="19"/>
      <c r="B25" s="20"/>
      <c r="C25" s="20"/>
      <c r="D25" s="20"/>
      <c r="E25" s="20"/>
      <c r="F25" s="21"/>
      <c r="G25" s="22"/>
      <c r="H25" s="18" t="s">
        <v>164</v>
      </c>
      <c r="I25" s="23" t="s">
        <v>165</v>
      </c>
      <c r="J25" s="24" t="s">
        <v>28</v>
      </c>
      <c r="K25" s="25" t="s">
        <v>166</v>
      </c>
      <c r="L25" s="25" t="s">
        <v>167</v>
      </c>
      <c r="M25" s="25" t="s">
        <v>31</v>
      </c>
      <c r="N25" s="25" t="s">
        <v>168</v>
      </c>
      <c r="O25" s="18" t="s">
        <v>169</v>
      </c>
    </row>
    <row r="26" spans="1:15" ht="21" x14ac:dyDescent="0.3">
      <c r="A26" s="19"/>
      <c r="B26" s="20"/>
      <c r="C26" s="20"/>
      <c r="D26" s="20"/>
      <c r="E26" s="20"/>
      <c r="F26" s="21"/>
      <c r="G26" s="22"/>
      <c r="H26" s="18" t="s">
        <v>170</v>
      </c>
      <c r="I26" s="23" t="s">
        <v>171</v>
      </c>
      <c r="J26" s="24" t="s">
        <v>20</v>
      </c>
      <c r="K26" s="25" t="s">
        <v>172</v>
      </c>
      <c r="L26" s="25" t="s">
        <v>173</v>
      </c>
      <c r="M26" s="25" t="s">
        <v>31</v>
      </c>
      <c r="N26" s="25" t="s">
        <v>174</v>
      </c>
      <c r="O26" s="18" t="s">
        <v>175</v>
      </c>
    </row>
    <row r="27" spans="1:15" ht="21" x14ac:dyDescent="0.3">
      <c r="A27" s="19"/>
      <c r="B27" s="20"/>
      <c r="C27" s="20"/>
      <c r="D27" s="20"/>
      <c r="E27" s="20"/>
      <c r="F27" s="21"/>
      <c r="G27" s="22" t="s">
        <v>176</v>
      </c>
      <c r="H27" s="18" t="s">
        <v>177</v>
      </c>
      <c r="I27" s="23" t="s">
        <v>178</v>
      </c>
      <c r="J27" s="24" t="s">
        <v>28</v>
      </c>
      <c r="K27" s="25" t="s">
        <v>179</v>
      </c>
      <c r="L27" s="25" t="s">
        <v>180</v>
      </c>
      <c r="M27" s="25" t="s">
        <v>23</v>
      </c>
      <c r="N27" s="25" t="s">
        <v>181</v>
      </c>
      <c r="O27" s="18" t="s">
        <v>182</v>
      </c>
    </row>
    <row r="28" spans="1:15" ht="21" x14ac:dyDescent="0.3">
      <c r="A28" s="19"/>
      <c r="B28" s="20"/>
      <c r="C28" s="20"/>
      <c r="D28" s="20"/>
      <c r="E28" s="20"/>
      <c r="F28" s="21"/>
      <c r="G28" s="22"/>
      <c r="H28" s="18" t="s">
        <v>183</v>
      </c>
      <c r="I28" s="23" t="s">
        <v>184</v>
      </c>
      <c r="J28" s="24" t="s">
        <v>20</v>
      </c>
      <c r="K28" s="25" t="s">
        <v>185</v>
      </c>
      <c r="L28" s="25" t="s">
        <v>186</v>
      </c>
      <c r="M28" s="25" t="s">
        <v>23</v>
      </c>
      <c r="N28" s="25" t="s">
        <v>187</v>
      </c>
      <c r="O28" s="18" t="s">
        <v>188</v>
      </c>
    </row>
    <row r="29" spans="1:15" ht="21" x14ac:dyDescent="0.3">
      <c r="A29" s="19"/>
      <c r="B29" s="20"/>
      <c r="C29" s="20"/>
      <c r="D29" s="20"/>
      <c r="E29" s="20"/>
      <c r="F29" s="21"/>
      <c r="G29" s="22"/>
      <c r="H29" s="18" t="s">
        <v>189</v>
      </c>
      <c r="I29" s="23" t="s">
        <v>190</v>
      </c>
      <c r="J29" s="24" t="s">
        <v>20</v>
      </c>
      <c r="K29" s="25" t="s">
        <v>191</v>
      </c>
      <c r="L29" s="25" t="s">
        <v>192</v>
      </c>
      <c r="M29" s="25" t="s">
        <v>193</v>
      </c>
      <c r="N29" s="25" t="s">
        <v>194</v>
      </c>
      <c r="O29" s="18" t="s">
        <v>195</v>
      </c>
    </row>
    <row r="30" spans="1:15" ht="21" x14ac:dyDescent="0.3">
      <c r="A30" s="19"/>
      <c r="B30" s="20"/>
      <c r="C30" s="20"/>
      <c r="D30" s="20"/>
      <c r="E30" s="20"/>
      <c r="F30" s="21"/>
      <c r="G30" s="22"/>
      <c r="H30" s="18" t="s">
        <v>196</v>
      </c>
      <c r="I30" s="23" t="s">
        <v>197</v>
      </c>
      <c r="J30" s="24" t="s">
        <v>28</v>
      </c>
      <c r="K30" s="25" t="s">
        <v>198</v>
      </c>
      <c r="L30" s="25" t="s">
        <v>199</v>
      </c>
      <c r="M30" s="25" t="s">
        <v>23</v>
      </c>
      <c r="N30" s="25" t="s">
        <v>200</v>
      </c>
      <c r="O30" s="18" t="s">
        <v>201</v>
      </c>
    </row>
    <row r="31" spans="1:15" ht="21" x14ac:dyDescent="0.3">
      <c r="A31" s="19"/>
      <c r="B31" s="20"/>
      <c r="C31" s="20"/>
      <c r="D31" s="20"/>
      <c r="E31" s="20"/>
      <c r="F31" s="21"/>
      <c r="G31" s="22"/>
      <c r="H31" s="18" t="s">
        <v>202</v>
      </c>
      <c r="I31" s="23" t="s">
        <v>203</v>
      </c>
      <c r="J31" s="24" t="s">
        <v>20</v>
      </c>
      <c r="K31" s="25" t="s">
        <v>204</v>
      </c>
      <c r="L31" s="25" t="s">
        <v>205</v>
      </c>
      <c r="M31" s="25" t="s">
        <v>23</v>
      </c>
      <c r="N31" s="25" t="s">
        <v>206</v>
      </c>
      <c r="O31" s="18" t="s">
        <v>207</v>
      </c>
    </row>
    <row r="32" spans="1:15" ht="21" x14ac:dyDescent="0.3">
      <c r="A32" s="19"/>
      <c r="B32" s="20"/>
      <c r="C32" s="20"/>
      <c r="D32" s="20"/>
      <c r="E32" s="20"/>
      <c r="F32" s="21"/>
      <c r="G32" s="22" t="s">
        <v>208</v>
      </c>
      <c r="H32" s="18" t="s">
        <v>209</v>
      </c>
      <c r="I32" s="23" t="s">
        <v>210</v>
      </c>
      <c r="J32" s="24" t="s">
        <v>20</v>
      </c>
      <c r="K32" s="25" t="s">
        <v>211</v>
      </c>
      <c r="L32" s="25" t="s">
        <v>212</v>
      </c>
      <c r="M32" s="25" t="s">
        <v>23</v>
      </c>
      <c r="N32" s="25" t="s">
        <v>213</v>
      </c>
      <c r="O32" s="18" t="s">
        <v>214</v>
      </c>
    </row>
    <row r="33" spans="1:15" ht="21" x14ac:dyDescent="0.3">
      <c r="A33" s="19"/>
      <c r="B33" s="20"/>
      <c r="C33" s="20"/>
      <c r="D33" s="20"/>
      <c r="E33" s="20"/>
      <c r="F33" s="21"/>
      <c r="G33" s="22"/>
      <c r="H33" s="18" t="s">
        <v>215</v>
      </c>
      <c r="I33" s="23" t="s">
        <v>216</v>
      </c>
      <c r="J33" s="24" t="s">
        <v>20</v>
      </c>
      <c r="K33" s="25" t="s">
        <v>217</v>
      </c>
      <c r="L33" s="25" t="s">
        <v>218</v>
      </c>
      <c r="M33" s="25" t="s">
        <v>23</v>
      </c>
      <c r="N33" s="25" t="s">
        <v>219</v>
      </c>
      <c r="O33" s="18" t="s">
        <v>220</v>
      </c>
    </row>
    <row r="34" spans="1:15" ht="21" x14ac:dyDescent="0.3">
      <c r="A34" s="19"/>
      <c r="B34" s="20"/>
      <c r="C34" s="20"/>
      <c r="D34" s="20"/>
      <c r="E34" s="20"/>
      <c r="F34" s="21"/>
      <c r="G34" s="22"/>
      <c r="H34" s="18" t="s">
        <v>221</v>
      </c>
      <c r="I34" s="23" t="s">
        <v>222</v>
      </c>
      <c r="J34" s="24" t="s">
        <v>28</v>
      </c>
      <c r="K34" s="25" t="s">
        <v>223</v>
      </c>
      <c r="L34" s="25" t="s">
        <v>224</v>
      </c>
      <c r="M34" s="25" t="s">
        <v>23</v>
      </c>
      <c r="N34" s="25" t="s">
        <v>225</v>
      </c>
      <c r="O34" s="18" t="s">
        <v>226</v>
      </c>
    </row>
    <row r="35" spans="1:15" ht="21" x14ac:dyDescent="0.3">
      <c r="A35" s="19"/>
      <c r="B35" s="20"/>
      <c r="C35" s="20"/>
      <c r="D35" s="20"/>
      <c r="E35" s="20"/>
      <c r="F35" s="21"/>
      <c r="G35" s="22"/>
      <c r="H35" s="18" t="s">
        <v>227</v>
      </c>
      <c r="I35" s="23" t="s">
        <v>228</v>
      </c>
      <c r="J35" s="24" t="s">
        <v>20</v>
      </c>
      <c r="K35" s="25" t="s">
        <v>229</v>
      </c>
      <c r="L35" s="25" t="s">
        <v>230</v>
      </c>
      <c r="M35" s="25" t="s">
        <v>23</v>
      </c>
      <c r="N35" s="25" t="s">
        <v>231</v>
      </c>
      <c r="O35" s="18" t="s">
        <v>232</v>
      </c>
    </row>
    <row r="36" spans="1:15" ht="21" x14ac:dyDescent="0.3">
      <c r="A36" s="19"/>
      <c r="B36" s="20"/>
      <c r="C36" s="20"/>
      <c r="D36" s="20"/>
      <c r="E36" s="20"/>
      <c r="F36" s="21"/>
      <c r="G36" s="22"/>
      <c r="H36" s="18" t="s">
        <v>233</v>
      </c>
      <c r="I36" s="23" t="s">
        <v>234</v>
      </c>
      <c r="J36" s="24" t="s">
        <v>20</v>
      </c>
      <c r="K36" s="25" t="s">
        <v>235</v>
      </c>
      <c r="L36" s="25" t="s">
        <v>236</v>
      </c>
      <c r="M36" s="25" t="s">
        <v>23</v>
      </c>
      <c r="N36" s="25" t="s">
        <v>237</v>
      </c>
      <c r="O36" s="18" t="s">
        <v>238</v>
      </c>
    </row>
    <row r="37" spans="1:15" ht="21" x14ac:dyDescent="0.3">
      <c r="A37" s="19"/>
      <c r="B37" s="20"/>
      <c r="C37" s="20"/>
      <c r="D37" s="20"/>
      <c r="E37" s="20"/>
      <c r="F37" s="21"/>
      <c r="G37" s="22" t="s">
        <v>239</v>
      </c>
      <c r="H37" s="18" t="s">
        <v>240</v>
      </c>
      <c r="I37" s="23" t="s">
        <v>241</v>
      </c>
      <c r="J37" s="24" t="s">
        <v>20</v>
      </c>
      <c r="K37" s="25" t="s">
        <v>242</v>
      </c>
      <c r="L37" s="25" t="s">
        <v>243</v>
      </c>
      <c r="M37" s="25" t="s">
        <v>31</v>
      </c>
      <c r="N37" s="25" t="s">
        <v>244</v>
      </c>
      <c r="O37" s="18" t="s">
        <v>245</v>
      </c>
    </row>
    <row r="38" spans="1:15" ht="21" x14ac:dyDescent="0.3">
      <c r="A38" s="19"/>
      <c r="B38" s="20"/>
      <c r="C38" s="20"/>
      <c r="D38" s="20"/>
      <c r="E38" s="20"/>
      <c r="F38" s="21"/>
      <c r="G38" s="22"/>
      <c r="H38" s="18" t="s">
        <v>246</v>
      </c>
      <c r="I38" s="23" t="s">
        <v>247</v>
      </c>
      <c r="J38" s="24" t="s">
        <v>20</v>
      </c>
      <c r="K38" s="25" t="s">
        <v>248</v>
      </c>
      <c r="L38" s="25" t="s">
        <v>249</v>
      </c>
      <c r="M38" s="25" t="s">
        <v>31</v>
      </c>
      <c r="N38" s="25" t="s">
        <v>250</v>
      </c>
      <c r="O38" s="18" t="s">
        <v>251</v>
      </c>
    </row>
    <row r="39" spans="1:15" ht="21" x14ac:dyDescent="0.3">
      <c r="A39" s="19"/>
      <c r="B39" s="20"/>
      <c r="C39" s="20"/>
      <c r="D39" s="20"/>
      <c r="E39" s="20"/>
      <c r="F39" s="21"/>
      <c r="G39" s="22"/>
      <c r="H39" s="18" t="s">
        <v>252</v>
      </c>
      <c r="I39" s="23" t="s">
        <v>253</v>
      </c>
      <c r="J39" s="24" t="s">
        <v>28</v>
      </c>
      <c r="K39" s="25" t="s">
        <v>254</v>
      </c>
      <c r="L39" s="25" t="s">
        <v>255</v>
      </c>
      <c r="M39" s="25" t="s">
        <v>31</v>
      </c>
      <c r="N39" s="25" t="s">
        <v>256</v>
      </c>
      <c r="O39" s="18" t="s">
        <v>257</v>
      </c>
    </row>
    <row r="40" spans="1:15" ht="21" x14ac:dyDescent="0.3">
      <c r="A40" s="19"/>
      <c r="B40" s="20"/>
      <c r="C40" s="20"/>
      <c r="D40" s="20"/>
      <c r="E40" s="20"/>
      <c r="F40" s="21"/>
      <c r="G40" s="22"/>
      <c r="H40" s="18" t="s">
        <v>258</v>
      </c>
      <c r="I40" s="23" t="s">
        <v>259</v>
      </c>
      <c r="J40" s="24" t="s">
        <v>20</v>
      </c>
      <c r="K40" s="25" t="s">
        <v>260</v>
      </c>
      <c r="L40" s="25" t="s">
        <v>261</v>
      </c>
      <c r="M40" s="25" t="s">
        <v>193</v>
      </c>
      <c r="N40" s="25" t="s">
        <v>262</v>
      </c>
      <c r="O40" s="18" t="s">
        <v>263</v>
      </c>
    </row>
    <row r="41" spans="1:15" ht="21" x14ac:dyDescent="0.3">
      <c r="A41" s="19"/>
      <c r="B41" s="20"/>
      <c r="C41" s="20"/>
      <c r="D41" s="20"/>
      <c r="E41" s="20"/>
      <c r="F41" s="21"/>
      <c r="G41" s="22"/>
      <c r="H41" s="18" t="s">
        <v>264</v>
      </c>
      <c r="I41" s="23" t="s">
        <v>265</v>
      </c>
      <c r="J41" s="24" t="s">
        <v>20</v>
      </c>
      <c r="K41" s="25" t="s">
        <v>266</v>
      </c>
      <c r="L41" s="25" t="s">
        <v>267</v>
      </c>
      <c r="M41" s="25" t="s">
        <v>31</v>
      </c>
      <c r="N41" s="25" t="s">
        <v>268</v>
      </c>
      <c r="O41" s="18" t="s">
        <v>269</v>
      </c>
    </row>
    <row r="42" spans="1:15" ht="21" x14ac:dyDescent="0.3">
      <c r="A42" s="19"/>
      <c r="B42" s="20"/>
      <c r="C42" s="20"/>
      <c r="D42" s="20"/>
      <c r="E42" s="20"/>
      <c r="F42" s="21"/>
      <c r="G42" s="22" t="s">
        <v>270</v>
      </c>
      <c r="H42" s="18" t="s">
        <v>271</v>
      </c>
      <c r="I42" s="23" t="s">
        <v>272</v>
      </c>
      <c r="J42" s="24" t="s">
        <v>20</v>
      </c>
      <c r="K42" s="25" t="s">
        <v>273</v>
      </c>
      <c r="L42" s="25" t="s">
        <v>274</v>
      </c>
      <c r="M42" s="25" t="s">
        <v>23</v>
      </c>
      <c r="N42" s="25" t="s">
        <v>275</v>
      </c>
      <c r="O42" s="18" t="s">
        <v>276</v>
      </c>
    </row>
    <row r="43" spans="1:15" ht="21" x14ac:dyDescent="0.3">
      <c r="A43" s="19"/>
      <c r="B43" s="20"/>
      <c r="C43" s="20"/>
      <c r="D43" s="20"/>
      <c r="E43" s="20"/>
      <c r="F43" s="21"/>
      <c r="G43" s="22"/>
      <c r="H43" s="18" t="s">
        <v>277</v>
      </c>
      <c r="I43" s="23" t="s">
        <v>278</v>
      </c>
      <c r="J43" s="24" t="s">
        <v>28</v>
      </c>
      <c r="K43" s="25" t="s">
        <v>279</v>
      </c>
      <c r="L43" s="25" t="s">
        <v>280</v>
      </c>
      <c r="M43" s="25" t="s">
        <v>23</v>
      </c>
      <c r="N43" s="25" t="s">
        <v>281</v>
      </c>
      <c r="O43" s="18" t="s">
        <v>282</v>
      </c>
    </row>
    <row r="44" spans="1:15" ht="21" x14ac:dyDescent="0.3">
      <c r="A44" s="19"/>
      <c r="B44" s="20"/>
      <c r="C44" s="20"/>
      <c r="D44" s="20"/>
      <c r="E44" s="20"/>
      <c r="F44" s="21"/>
      <c r="G44" s="22"/>
      <c r="H44" s="18" t="s">
        <v>283</v>
      </c>
      <c r="I44" s="23" t="s">
        <v>284</v>
      </c>
      <c r="J44" s="24" t="s">
        <v>20</v>
      </c>
      <c r="K44" s="25" t="s">
        <v>285</v>
      </c>
      <c r="L44" s="25" t="s">
        <v>286</v>
      </c>
      <c r="M44" s="25" t="s">
        <v>23</v>
      </c>
      <c r="N44" s="25" t="s">
        <v>287</v>
      </c>
      <c r="O44" s="18" t="s">
        <v>288</v>
      </c>
    </row>
    <row r="45" spans="1:15" ht="21" x14ac:dyDescent="0.3">
      <c r="A45" s="19"/>
      <c r="B45" s="20"/>
      <c r="C45" s="20"/>
      <c r="D45" s="20"/>
      <c r="E45" s="20"/>
      <c r="F45" s="21"/>
      <c r="G45" s="22"/>
      <c r="H45" s="18" t="s">
        <v>289</v>
      </c>
      <c r="I45" s="23" t="s">
        <v>290</v>
      </c>
      <c r="J45" s="24" t="s">
        <v>20</v>
      </c>
      <c r="K45" s="25" t="s">
        <v>291</v>
      </c>
      <c r="L45" s="25" t="s">
        <v>292</v>
      </c>
      <c r="M45" s="25" t="s">
        <v>23</v>
      </c>
      <c r="N45" s="25" t="s">
        <v>293</v>
      </c>
      <c r="O45" s="18" t="s">
        <v>294</v>
      </c>
    </row>
    <row r="46" spans="1:15" ht="21" x14ac:dyDescent="0.3">
      <c r="A46" s="19"/>
      <c r="B46" s="20"/>
      <c r="C46" s="20"/>
      <c r="D46" s="20"/>
      <c r="E46" s="20"/>
      <c r="F46" s="21"/>
      <c r="G46" s="22"/>
      <c r="H46" s="18" t="s">
        <v>295</v>
      </c>
      <c r="I46" s="23" t="s">
        <v>296</v>
      </c>
      <c r="J46" s="24" t="s">
        <v>20</v>
      </c>
      <c r="K46" s="25" t="s">
        <v>297</v>
      </c>
      <c r="L46" s="25" t="s">
        <v>298</v>
      </c>
      <c r="M46" s="25" t="s">
        <v>23</v>
      </c>
      <c r="N46" s="25" t="s">
        <v>299</v>
      </c>
      <c r="O46" s="18" t="s">
        <v>300</v>
      </c>
    </row>
    <row r="47" spans="1:15" ht="21" x14ac:dyDescent="0.3">
      <c r="A47" s="19"/>
      <c r="B47" s="20"/>
      <c r="C47" s="20"/>
      <c r="D47" s="20"/>
      <c r="E47" s="20"/>
      <c r="F47" s="21"/>
      <c r="G47" s="22" t="s">
        <v>301</v>
      </c>
      <c r="H47" s="18" t="s">
        <v>302</v>
      </c>
      <c r="I47" s="23" t="s">
        <v>303</v>
      </c>
      <c r="J47" s="24" t="s">
        <v>20</v>
      </c>
      <c r="K47" s="25" t="s">
        <v>304</v>
      </c>
      <c r="L47" s="25" t="s">
        <v>305</v>
      </c>
      <c r="M47" s="25" t="s">
        <v>23</v>
      </c>
      <c r="N47" s="25" t="s">
        <v>306</v>
      </c>
      <c r="O47" s="18" t="s">
        <v>307</v>
      </c>
    </row>
    <row r="48" spans="1:15" ht="21" x14ac:dyDescent="0.3">
      <c r="A48" s="19"/>
      <c r="B48" s="20"/>
      <c r="C48" s="20"/>
      <c r="D48" s="20"/>
      <c r="E48" s="20"/>
      <c r="F48" s="21"/>
      <c r="G48" s="22"/>
      <c r="H48" s="18" t="s">
        <v>308</v>
      </c>
      <c r="I48" s="23" t="s">
        <v>309</v>
      </c>
      <c r="J48" s="24" t="s">
        <v>28</v>
      </c>
      <c r="K48" s="25" t="s">
        <v>310</v>
      </c>
      <c r="L48" s="25" t="s">
        <v>311</v>
      </c>
      <c r="M48" s="25" t="s">
        <v>23</v>
      </c>
      <c r="N48" s="25" t="s">
        <v>312</v>
      </c>
      <c r="O48" s="18" t="s">
        <v>313</v>
      </c>
    </row>
    <row r="49" spans="1:15" ht="21" x14ac:dyDescent="0.3">
      <c r="A49" s="19"/>
      <c r="B49" s="20"/>
      <c r="C49" s="20"/>
      <c r="D49" s="20"/>
      <c r="E49" s="20"/>
      <c r="F49" s="21"/>
      <c r="G49" s="22"/>
      <c r="H49" s="18" t="s">
        <v>221</v>
      </c>
      <c r="I49" s="23" t="s">
        <v>314</v>
      </c>
      <c r="J49" s="24" t="s">
        <v>20</v>
      </c>
      <c r="K49" s="25" t="s">
        <v>315</v>
      </c>
      <c r="L49" s="25" t="s">
        <v>316</v>
      </c>
      <c r="M49" s="25" t="s">
        <v>23</v>
      </c>
      <c r="N49" s="25" t="s">
        <v>317</v>
      </c>
      <c r="O49" s="18" t="s">
        <v>318</v>
      </c>
    </row>
    <row r="50" spans="1:15" ht="21" x14ac:dyDescent="0.3">
      <c r="A50" s="19"/>
      <c r="B50" s="20"/>
      <c r="C50" s="20"/>
      <c r="D50" s="20"/>
      <c r="E50" s="20"/>
      <c r="F50" s="21"/>
      <c r="G50" s="22"/>
      <c r="H50" s="18" t="s">
        <v>319</v>
      </c>
      <c r="I50" s="23" t="s">
        <v>320</v>
      </c>
      <c r="J50" s="24" t="s">
        <v>20</v>
      </c>
      <c r="K50" s="25" t="s">
        <v>321</v>
      </c>
      <c r="L50" s="25" t="s">
        <v>322</v>
      </c>
      <c r="M50" s="25" t="s">
        <v>23</v>
      </c>
      <c r="N50" s="25" t="s">
        <v>323</v>
      </c>
      <c r="O50" s="18" t="s">
        <v>324</v>
      </c>
    </row>
    <row r="51" spans="1:15" ht="21" x14ac:dyDescent="0.3">
      <c r="A51" s="19"/>
      <c r="B51" s="20"/>
      <c r="C51" s="20"/>
      <c r="D51" s="20"/>
      <c r="E51" s="20"/>
      <c r="F51" s="21"/>
      <c r="G51" s="22"/>
      <c r="H51" s="18" t="s">
        <v>325</v>
      </c>
      <c r="I51" s="23" t="s">
        <v>326</v>
      </c>
      <c r="J51" s="24" t="s">
        <v>20</v>
      </c>
      <c r="K51" s="25" t="s">
        <v>327</v>
      </c>
      <c r="L51" s="25" t="s">
        <v>328</v>
      </c>
      <c r="M51" s="25" t="s">
        <v>23</v>
      </c>
      <c r="N51" s="25" t="s">
        <v>329</v>
      </c>
      <c r="O51" s="18" t="s">
        <v>330</v>
      </c>
    </row>
    <row r="52" spans="1:15" ht="21" x14ac:dyDescent="0.3">
      <c r="A52" s="19"/>
      <c r="B52" s="20"/>
      <c r="C52" s="20"/>
      <c r="D52" s="20"/>
      <c r="E52" s="20"/>
      <c r="F52" s="21" t="s">
        <v>331</v>
      </c>
      <c r="G52" s="22" t="s">
        <v>332</v>
      </c>
      <c r="H52" s="18" t="s">
        <v>333</v>
      </c>
      <c r="I52" s="23" t="s">
        <v>334</v>
      </c>
      <c r="J52" s="24" t="s">
        <v>28</v>
      </c>
      <c r="K52" s="25" t="s">
        <v>335</v>
      </c>
      <c r="L52" s="25" t="s">
        <v>336</v>
      </c>
      <c r="M52" s="25" t="s">
        <v>23</v>
      </c>
      <c r="N52" s="25" t="s">
        <v>337</v>
      </c>
      <c r="O52" s="18" t="s">
        <v>338</v>
      </c>
    </row>
    <row r="53" spans="1:15" ht="21" x14ac:dyDescent="0.3">
      <c r="A53" s="19"/>
      <c r="B53" s="20"/>
      <c r="C53" s="20"/>
      <c r="D53" s="20"/>
      <c r="E53" s="20"/>
      <c r="F53" s="21"/>
      <c r="G53" s="22"/>
      <c r="H53" s="18" t="s">
        <v>339</v>
      </c>
      <c r="I53" s="23" t="s">
        <v>340</v>
      </c>
      <c r="J53" s="24" t="s">
        <v>20</v>
      </c>
      <c r="K53" s="25" t="s">
        <v>341</v>
      </c>
      <c r="L53" s="25" t="s">
        <v>342</v>
      </c>
      <c r="M53" s="25" t="s">
        <v>23</v>
      </c>
      <c r="N53" s="25" t="s">
        <v>343</v>
      </c>
      <c r="O53" s="18" t="s">
        <v>344</v>
      </c>
    </row>
    <row r="54" spans="1:15" ht="21" x14ac:dyDescent="0.3">
      <c r="A54" s="19"/>
      <c r="B54" s="20"/>
      <c r="C54" s="20"/>
      <c r="D54" s="20"/>
      <c r="E54" s="20"/>
      <c r="F54" s="21"/>
      <c r="G54" s="22"/>
      <c r="H54" s="18" t="s">
        <v>345</v>
      </c>
      <c r="I54" s="23" t="s">
        <v>346</v>
      </c>
      <c r="J54" s="24" t="s">
        <v>20</v>
      </c>
      <c r="K54" s="25" t="s">
        <v>347</v>
      </c>
      <c r="L54" s="25" t="s">
        <v>348</v>
      </c>
      <c r="M54" s="25" t="s">
        <v>23</v>
      </c>
      <c r="N54" s="25" t="s">
        <v>349</v>
      </c>
      <c r="O54" s="18" t="s">
        <v>350</v>
      </c>
    </row>
    <row r="55" spans="1:15" ht="21" x14ac:dyDescent="0.3">
      <c r="A55" s="19"/>
      <c r="B55" s="20"/>
      <c r="C55" s="20"/>
      <c r="D55" s="20"/>
      <c r="E55" s="20"/>
      <c r="F55" s="21"/>
      <c r="G55" s="22"/>
      <c r="H55" s="18" t="s">
        <v>351</v>
      </c>
      <c r="I55" s="23" t="s">
        <v>352</v>
      </c>
      <c r="J55" s="24" t="s">
        <v>20</v>
      </c>
      <c r="K55" s="25" t="s">
        <v>353</v>
      </c>
      <c r="L55" s="25" t="s">
        <v>354</v>
      </c>
      <c r="M55" s="25" t="s">
        <v>23</v>
      </c>
      <c r="N55" s="25" t="s">
        <v>355</v>
      </c>
      <c r="O55" s="18" t="s">
        <v>356</v>
      </c>
    </row>
    <row r="56" spans="1:15" ht="21" x14ac:dyDescent="0.3">
      <c r="A56" s="19"/>
      <c r="B56" s="20"/>
      <c r="C56" s="20"/>
      <c r="D56" s="20"/>
      <c r="E56" s="20"/>
      <c r="F56" s="21"/>
      <c r="G56" s="22"/>
      <c r="H56" s="18" t="s">
        <v>357</v>
      </c>
      <c r="I56" s="23" t="s">
        <v>358</v>
      </c>
      <c r="J56" s="24" t="s">
        <v>20</v>
      </c>
      <c r="K56" s="25" t="s">
        <v>359</v>
      </c>
      <c r="L56" s="25" t="s">
        <v>360</v>
      </c>
      <c r="M56" s="25" t="s">
        <v>23</v>
      </c>
      <c r="N56" s="25" t="s">
        <v>361</v>
      </c>
      <c r="O56" s="18" t="s">
        <v>362</v>
      </c>
    </row>
    <row r="57" spans="1:15" ht="21" x14ac:dyDescent="0.3">
      <c r="A57" s="19"/>
      <c r="B57" s="20"/>
      <c r="C57" s="20"/>
      <c r="D57" s="20"/>
      <c r="E57" s="20"/>
      <c r="F57" s="21"/>
      <c r="G57" s="22" t="s">
        <v>363</v>
      </c>
      <c r="H57" s="18" t="s">
        <v>364</v>
      </c>
      <c r="I57" s="23" t="s">
        <v>365</v>
      </c>
      <c r="J57" s="24" t="s">
        <v>28</v>
      </c>
      <c r="K57" s="25" t="s">
        <v>366</v>
      </c>
      <c r="L57" s="25" t="s">
        <v>367</v>
      </c>
      <c r="M57" s="25" t="s">
        <v>23</v>
      </c>
      <c r="N57" s="25" t="s">
        <v>368</v>
      </c>
      <c r="O57" s="18" t="s">
        <v>369</v>
      </c>
    </row>
    <row r="58" spans="1:15" ht="21" x14ac:dyDescent="0.3">
      <c r="A58" s="19"/>
      <c r="B58" s="20"/>
      <c r="C58" s="20"/>
      <c r="D58" s="20"/>
      <c r="E58" s="20"/>
      <c r="F58" s="21"/>
      <c r="G58" s="22"/>
      <c r="H58" s="18" t="s">
        <v>370</v>
      </c>
      <c r="I58" s="23" t="s">
        <v>371</v>
      </c>
      <c r="J58" s="24" t="s">
        <v>20</v>
      </c>
      <c r="K58" s="25" t="s">
        <v>372</v>
      </c>
      <c r="L58" s="25" t="s">
        <v>373</v>
      </c>
      <c r="M58" s="25" t="s">
        <v>31</v>
      </c>
      <c r="N58" s="25" t="s">
        <v>374</v>
      </c>
      <c r="O58" s="18" t="s">
        <v>375</v>
      </c>
    </row>
    <row r="59" spans="1:15" ht="21" x14ac:dyDescent="0.3">
      <c r="A59" s="19"/>
      <c r="B59" s="20"/>
      <c r="C59" s="20"/>
      <c r="D59" s="20"/>
      <c r="E59" s="20"/>
      <c r="F59" s="21"/>
      <c r="G59" s="22"/>
      <c r="H59" s="18" t="s">
        <v>376</v>
      </c>
      <c r="I59" s="23" t="s">
        <v>377</v>
      </c>
      <c r="J59" s="24" t="s">
        <v>20</v>
      </c>
      <c r="K59" s="25" t="s">
        <v>378</v>
      </c>
      <c r="L59" s="25" t="s">
        <v>379</v>
      </c>
      <c r="M59" s="25" t="s">
        <v>23</v>
      </c>
      <c r="N59" s="25" t="s">
        <v>380</v>
      </c>
      <c r="O59" s="18" t="s">
        <v>381</v>
      </c>
    </row>
    <row r="60" spans="1:15" ht="21" x14ac:dyDescent="0.3">
      <c r="A60" s="19"/>
      <c r="B60" s="20"/>
      <c r="C60" s="20"/>
      <c r="D60" s="20"/>
      <c r="E60" s="20"/>
      <c r="F60" s="21"/>
      <c r="G60" s="22"/>
      <c r="H60" s="18" t="s">
        <v>382</v>
      </c>
      <c r="I60" s="23" t="s">
        <v>383</v>
      </c>
      <c r="J60" s="24" t="s">
        <v>20</v>
      </c>
      <c r="K60" s="25" t="s">
        <v>384</v>
      </c>
      <c r="L60" s="25" t="s">
        <v>385</v>
      </c>
      <c r="M60" s="25" t="s">
        <v>23</v>
      </c>
      <c r="N60" s="25" t="s">
        <v>386</v>
      </c>
      <c r="O60" s="18" t="s">
        <v>387</v>
      </c>
    </row>
    <row r="61" spans="1:15" ht="21" x14ac:dyDescent="0.3">
      <c r="A61" s="19"/>
      <c r="B61" s="20"/>
      <c r="C61" s="20"/>
      <c r="D61" s="20"/>
      <c r="E61" s="20"/>
      <c r="F61" s="21"/>
      <c r="G61" s="22"/>
      <c r="H61" s="18" t="s">
        <v>388</v>
      </c>
      <c r="I61" s="23" t="s">
        <v>389</v>
      </c>
      <c r="J61" s="24" t="s">
        <v>20</v>
      </c>
      <c r="K61" s="25" t="s">
        <v>390</v>
      </c>
      <c r="L61" s="25" t="s">
        <v>391</v>
      </c>
      <c r="M61" s="25" t="s">
        <v>23</v>
      </c>
      <c r="N61" s="25" t="s">
        <v>392</v>
      </c>
      <c r="O61" s="18" t="s">
        <v>393</v>
      </c>
    </row>
    <row r="62" spans="1:15" ht="21" x14ac:dyDescent="0.3">
      <c r="A62" s="19"/>
      <c r="B62" s="20"/>
      <c r="C62" s="20"/>
      <c r="D62" s="20"/>
      <c r="E62" s="20"/>
      <c r="F62" s="21"/>
      <c r="G62" s="22" t="s">
        <v>394</v>
      </c>
      <c r="H62" s="18" t="s">
        <v>395</v>
      </c>
      <c r="I62" s="23" t="s">
        <v>396</v>
      </c>
      <c r="J62" s="24" t="s">
        <v>28</v>
      </c>
      <c r="K62" s="25" t="s">
        <v>397</v>
      </c>
      <c r="L62" s="25" t="s">
        <v>398</v>
      </c>
      <c r="M62" s="25" t="s">
        <v>31</v>
      </c>
      <c r="N62" s="25" t="s">
        <v>399</v>
      </c>
      <c r="O62" s="18" t="s">
        <v>400</v>
      </c>
    </row>
    <row r="63" spans="1:15" ht="21" x14ac:dyDescent="0.3">
      <c r="A63" s="19"/>
      <c r="B63" s="20"/>
      <c r="C63" s="20"/>
      <c r="D63" s="20"/>
      <c r="E63" s="20"/>
      <c r="F63" s="21"/>
      <c r="G63" s="22"/>
      <c r="H63" s="18" t="s">
        <v>401</v>
      </c>
      <c r="I63" s="23" t="s">
        <v>402</v>
      </c>
      <c r="J63" s="24" t="s">
        <v>20</v>
      </c>
      <c r="K63" s="25" t="s">
        <v>403</v>
      </c>
      <c r="L63" s="25" t="s">
        <v>404</v>
      </c>
      <c r="M63" s="25" t="s">
        <v>31</v>
      </c>
      <c r="N63" s="25" t="s">
        <v>405</v>
      </c>
      <c r="O63" s="18" t="s">
        <v>406</v>
      </c>
    </row>
    <row r="64" spans="1:15" ht="21" x14ac:dyDescent="0.3">
      <c r="A64" s="19"/>
      <c r="B64" s="20"/>
      <c r="C64" s="20"/>
      <c r="D64" s="20"/>
      <c r="E64" s="20"/>
      <c r="F64" s="21"/>
      <c r="G64" s="22"/>
      <c r="H64" s="18" t="s">
        <v>407</v>
      </c>
      <c r="I64" s="23" t="s">
        <v>408</v>
      </c>
      <c r="J64" s="24" t="s">
        <v>20</v>
      </c>
      <c r="K64" s="25" t="s">
        <v>409</v>
      </c>
      <c r="L64" s="25" t="s">
        <v>410</v>
      </c>
      <c r="M64" s="25" t="s">
        <v>23</v>
      </c>
      <c r="N64" s="25" t="s">
        <v>411</v>
      </c>
      <c r="O64" s="18" t="s">
        <v>412</v>
      </c>
    </row>
    <row r="65" spans="1:15" ht="21" x14ac:dyDescent="0.3">
      <c r="A65" s="19"/>
      <c r="B65" s="20"/>
      <c r="C65" s="20"/>
      <c r="D65" s="20"/>
      <c r="E65" s="20"/>
      <c r="F65" s="21"/>
      <c r="G65" s="22"/>
      <c r="H65" s="18" t="s">
        <v>413</v>
      </c>
      <c r="I65" s="23" t="s">
        <v>414</v>
      </c>
      <c r="J65" s="24" t="s">
        <v>20</v>
      </c>
      <c r="K65" s="25" t="s">
        <v>415</v>
      </c>
      <c r="L65" s="25" t="s">
        <v>416</v>
      </c>
      <c r="M65" s="25" t="s">
        <v>23</v>
      </c>
      <c r="N65" s="25" t="s">
        <v>417</v>
      </c>
      <c r="O65" s="18" t="s">
        <v>418</v>
      </c>
    </row>
    <row r="66" spans="1:15" ht="21" x14ac:dyDescent="0.3">
      <c r="A66" s="19"/>
      <c r="B66" s="20"/>
      <c r="C66" s="20"/>
      <c r="D66" s="20"/>
      <c r="E66" s="20"/>
      <c r="F66" s="21"/>
      <c r="G66" s="22"/>
      <c r="H66" s="18" t="s">
        <v>419</v>
      </c>
      <c r="I66" s="23" t="s">
        <v>420</v>
      </c>
      <c r="J66" s="24" t="s">
        <v>20</v>
      </c>
      <c r="K66" s="25" t="s">
        <v>421</v>
      </c>
      <c r="L66" s="25" t="s">
        <v>422</v>
      </c>
      <c r="M66" s="25" t="s">
        <v>23</v>
      </c>
      <c r="N66" s="25" t="s">
        <v>423</v>
      </c>
      <c r="O66" s="18" t="s">
        <v>424</v>
      </c>
    </row>
    <row r="67" spans="1:15" ht="21" x14ac:dyDescent="0.3">
      <c r="A67" s="19"/>
      <c r="B67" s="20"/>
      <c r="C67" s="20"/>
      <c r="D67" s="20"/>
      <c r="E67" s="20"/>
      <c r="F67" s="21"/>
      <c r="G67" s="22" t="s">
        <v>425</v>
      </c>
      <c r="H67" s="18" t="s">
        <v>426</v>
      </c>
      <c r="I67" s="23" t="s">
        <v>427</v>
      </c>
      <c r="J67" s="24" t="s">
        <v>28</v>
      </c>
      <c r="K67" s="25" t="s">
        <v>428</v>
      </c>
      <c r="L67" s="25" t="s">
        <v>429</v>
      </c>
      <c r="M67" s="25" t="s">
        <v>23</v>
      </c>
      <c r="N67" s="25" t="s">
        <v>430</v>
      </c>
      <c r="O67" s="18" t="s">
        <v>431</v>
      </c>
    </row>
    <row r="68" spans="1:15" ht="21" x14ac:dyDescent="0.3">
      <c r="A68" s="19"/>
      <c r="B68" s="20"/>
      <c r="C68" s="20"/>
      <c r="D68" s="20"/>
      <c r="E68" s="20"/>
      <c r="F68" s="21"/>
      <c r="G68" s="22"/>
      <c r="H68" s="18" t="s">
        <v>432</v>
      </c>
      <c r="I68" s="23" t="s">
        <v>433</v>
      </c>
      <c r="J68" s="24" t="s">
        <v>20</v>
      </c>
      <c r="K68" s="25" t="s">
        <v>434</v>
      </c>
      <c r="L68" s="25" t="s">
        <v>435</v>
      </c>
      <c r="M68" s="25" t="s">
        <v>23</v>
      </c>
      <c r="N68" s="25" t="s">
        <v>436</v>
      </c>
      <c r="O68" s="18" t="s">
        <v>437</v>
      </c>
    </row>
    <row r="69" spans="1:15" ht="21" x14ac:dyDescent="0.3">
      <c r="A69" s="19"/>
      <c r="B69" s="20"/>
      <c r="C69" s="20"/>
      <c r="D69" s="20"/>
      <c r="E69" s="20"/>
      <c r="F69" s="21"/>
      <c r="G69" s="22"/>
      <c r="H69" s="18" t="s">
        <v>438</v>
      </c>
      <c r="I69" s="23" t="s">
        <v>439</v>
      </c>
      <c r="J69" s="24" t="s">
        <v>20</v>
      </c>
      <c r="K69" s="25" t="s">
        <v>440</v>
      </c>
      <c r="L69" s="25" t="s">
        <v>441</v>
      </c>
      <c r="M69" s="25" t="s">
        <v>23</v>
      </c>
      <c r="N69" s="25" t="s">
        <v>442</v>
      </c>
      <c r="O69" s="18" t="s">
        <v>443</v>
      </c>
    </row>
    <row r="70" spans="1:15" ht="21" x14ac:dyDescent="0.3">
      <c r="A70" s="19"/>
      <c r="B70" s="20"/>
      <c r="C70" s="20"/>
      <c r="D70" s="20"/>
      <c r="E70" s="20"/>
      <c r="F70" s="21"/>
      <c r="G70" s="22"/>
      <c r="H70" s="18" t="s">
        <v>444</v>
      </c>
      <c r="I70" s="23" t="s">
        <v>445</v>
      </c>
      <c r="J70" s="24" t="s">
        <v>20</v>
      </c>
      <c r="K70" s="25" t="s">
        <v>446</v>
      </c>
      <c r="L70" s="25" t="s">
        <v>447</v>
      </c>
      <c r="M70" s="25" t="s">
        <v>23</v>
      </c>
      <c r="N70" s="25" t="s">
        <v>448</v>
      </c>
      <c r="O70" s="18" t="s">
        <v>449</v>
      </c>
    </row>
    <row r="71" spans="1:15" ht="21" x14ac:dyDescent="0.3">
      <c r="A71" s="19"/>
      <c r="B71" s="20"/>
      <c r="C71" s="20"/>
      <c r="D71" s="20"/>
      <c r="E71" s="20"/>
      <c r="F71" s="21"/>
      <c r="G71" s="22"/>
      <c r="H71" s="18" t="s">
        <v>450</v>
      </c>
      <c r="I71" s="23" t="s">
        <v>451</v>
      </c>
      <c r="J71" s="24" t="s">
        <v>20</v>
      </c>
      <c r="K71" s="25" t="s">
        <v>452</v>
      </c>
      <c r="L71" s="25" t="s">
        <v>453</v>
      </c>
      <c r="M71" s="25" t="s">
        <v>23</v>
      </c>
      <c r="N71" s="25" t="s">
        <v>454</v>
      </c>
      <c r="O71" s="18" t="s">
        <v>455</v>
      </c>
    </row>
    <row r="72" spans="1:15" ht="21" x14ac:dyDescent="0.3">
      <c r="A72" s="19"/>
      <c r="B72" s="20"/>
      <c r="C72" s="20"/>
      <c r="D72" s="20"/>
      <c r="E72" s="20"/>
      <c r="F72" s="21"/>
      <c r="G72" s="22" t="s">
        <v>456</v>
      </c>
      <c r="H72" s="18" t="s">
        <v>457</v>
      </c>
      <c r="I72" s="23" t="s">
        <v>458</v>
      </c>
      <c r="J72" s="24" t="s">
        <v>28</v>
      </c>
      <c r="K72" s="25" t="s">
        <v>459</v>
      </c>
      <c r="L72" s="25" t="s">
        <v>460</v>
      </c>
      <c r="M72" s="25" t="s">
        <v>23</v>
      </c>
      <c r="N72" s="25" t="s">
        <v>461</v>
      </c>
      <c r="O72" s="18" t="s">
        <v>462</v>
      </c>
    </row>
    <row r="73" spans="1:15" ht="21" x14ac:dyDescent="0.3">
      <c r="A73" s="19"/>
      <c r="B73" s="20"/>
      <c r="C73" s="20"/>
      <c r="D73" s="20"/>
      <c r="E73" s="20"/>
      <c r="F73" s="21"/>
      <c r="G73" s="22"/>
      <c r="H73" s="18" t="s">
        <v>463</v>
      </c>
      <c r="I73" s="23" t="s">
        <v>464</v>
      </c>
      <c r="J73" s="24" t="s">
        <v>20</v>
      </c>
      <c r="K73" s="25" t="s">
        <v>465</v>
      </c>
      <c r="L73" s="25" t="s">
        <v>466</v>
      </c>
      <c r="M73" s="25" t="s">
        <v>23</v>
      </c>
      <c r="N73" s="25" t="s">
        <v>467</v>
      </c>
      <c r="O73" s="18" t="s">
        <v>468</v>
      </c>
    </row>
    <row r="74" spans="1:15" ht="21" x14ac:dyDescent="0.3">
      <c r="A74" s="19"/>
      <c r="B74" s="20"/>
      <c r="C74" s="20"/>
      <c r="D74" s="20"/>
      <c r="E74" s="20"/>
      <c r="F74" s="21"/>
      <c r="G74" s="22"/>
      <c r="H74" s="18" t="s">
        <v>469</v>
      </c>
      <c r="I74" s="23" t="s">
        <v>470</v>
      </c>
      <c r="J74" s="24" t="s">
        <v>20</v>
      </c>
      <c r="K74" s="25" t="s">
        <v>471</v>
      </c>
      <c r="L74" s="25" t="s">
        <v>472</v>
      </c>
      <c r="M74" s="25" t="s">
        <v>23</v>
      </c>
      <c r="N74" s="25" t="s">
        <v>473</v>
      </c>
      <c r="O74" s="18" t="s">
        <v>474</v>
      </c>
    </row>
    <row r="75" spans="1:15" ht="21" x14ac:dyDescent="0.3">
      <c r="A75" s="19"/>
      <c r="B75" s="20"/>
      <c r="C75" s="20"/>
      <c r="D75" s="20"/>
      <c r="E75" s="20"/>
      <c r="F75" s="21"/>
      <c r="G75" s="22"/>
      <c r="H75" s="18" t="s">
        <v>475</v>
      </c>
      <c r="I75" s="23" t="s">
        <v>476</v>
      </c>
      <c r="J75" s="24" t="s">
        <v>20</v>
      </c>
      <c r="K75" s="25" t="s">
        <v>477</v>
      </c>
      <c r="L75" s="25" t="s">
        <v>478</v>
      </c>
      <c r="M75" s="25" t="s">
        <v>23</v>
      </c>
      <c r="N75" s="25" t="s">
        <v>479</v>
      </c>
      <c r="O75" s="18" t="s">
        <v>480</v>
      </c>
    </row>
    <row r="76" spans="1:15" ht="21" x14ac:dyDescent="0.3">
      <c r="A76" s="19"/>
      <c r="B76" s="20"/>
      <c r="C76" s="20"/>
      <c r="D76" s="20"/>
      <c r="E76" s="20"/>
      <c r="F76" s="21"/>
      <c r="G76" s="22"/>
      <c r="H76" s="18" t="s">
        <v>481</v>
      </c>
      <c r="I76" s="23" t="s">
        <v>482</v>
      </c>
      <c r="J76" s="24" t="s">
        <v>20</v>
      </c>
      <c r="K76" s="25" t="s">
        <v>483</v>
      </c>
      <c r="L76" s="25" t="s">
        <v>484</v>
      </c>
      <c r="M76" s="25" t="s">
        <v>23</v>
      </c>
      <c r="N76" s="25" t="s">
        <v>485</v>
      </c>
      <c r="O76" s="18" t="s">
        <v>486</v>
      </c>
    </row>
    <row r="77" spans="1:15" ht="21" x14ac:dyDescent="0.3">
      <c r="A77" s="19"/>
      <c r="B77" s="20"/>
      <c r="C77" s="20"/>
      <c r="D77" s="20"/>
      <c r="E77" s="20"/>
      <c r="F77" s="21"/>
      <c r="G77" s="22" t="s">
        <v>487</v>
      </c>
      <c r="H77" s="18" t="s">
        <v>488</v>
      </c>
      <c r="I77" s="23" t="s">
        <v>489</v>
      </c>
      <c r="J77" s="24" t="s">
        <v>28</v>
      </c>
      <c r="K77" s="25" t="s">
        <v>490</v>
      </c>
      <c r="L77" s="25" t="s">
        <v>491</v>
      </c>
      <c r="M77" s="25" t="s">
        <v>23</v>
      </c>
      <c r="N77" s="25" t="s">
        <v>492</v>
      </c>
      <c r="O77" s="18" t="s">
        <v>493</v>
      </c>
    </row>
    <row r="78" spans="1:15" ht="21" x14ac:dyDescent="0.3">
      <c r="A78" s="19"/>
      <c r="B78" s="20"/>
      <c r="C78" s="20"/>
      <c r="D78" s="20"/>
      <c r="E78" s="20"/>
      <c r="F78" s="21"/>
      <c r="G78" s="22"/>
      <c r="H78" s="18" t="s">
        <v>494</v>
      </c>
      <c r="I78" s="23" t="s">
        <v>495</v>
      </c>
      <c r="J78" s="24" t="s">
        <v>20</v>
      </c>
      <c r="K78" s="25" t="s">
        <v>496</v>
      </c>
      <c r="L78" s="25" t="s">
        <v>497</v>
      </c>
      <c r="M78" s="25" t="s">
        <v>23</v>
      </c>
      <c r="N78" s="25" t="s">
        <v>498</v>
      </c>
      <c r="O78" s="18" t="s">
        <v>499</v>
      </c>
    </row>
    <row r="79" spans="1:15" ht="21" x14ac:dyDescent="0.3">
      <c r="A79" s="19"/>
      <c r="B79" s="20"/>
      <c r="C79" s="20"/>
      <c r="D79" s="20"/>
      <c r="E79" s="20"/>
      <c r="F79" s="21"/>
      <c r="G79" s="22"/>
      <c r="H79" s="18" t="s">
        <v>500</v>
      </c>
      <c r="I79" s="23" t="s">
        <v>501</v>
      </c>
      <c r="J79" s="24" t="s">
        <v>20</v>
      </c>
      <c r="K79" s="25" t="s">
        <v>502</v>
      </c>
      <c r="L79" s="25" t="s">
        <v>503</v>
      </c>
      <c r="M79" s="25" t="s">
        <v>23</v>
      </c>
      <c r="N79" s="25" t="s">
        <v>504</v>
      </c>
      <c r="O79" s="18" t="s">
        <v>505</v>
      </c>
    </row>
    <row r="80" spans="1:15" ht="21" x14ac:dyDescent="0.3">
      <c r="A80" s="19"/>
      <c r="B80" s="20"/>
      <c r="C80" s="20"/>
      <c r="D80" s="20"/>
      <c r="E80" s="20"/>
      <c r="F80" s="21"/>
      <c r="G80" s="22"/>
      <c r="H80" s="18" t="s">
        <v>351</v>
      </c>
      <c r="I80" s="23" t="s">
        <v>352</v>
      </c>
      <c r="J80" s="24" t="s">
        <v>20</v>
      </c>
      <c r="K80" s="25" t="s">
        <v>506</v>
      </c>
      <c r="L80" s="25" t="s">
        <v>507</v>
      </c>
      <c r="M80" s="25" t="s">
        <v>23</v>
      </c>
      <c r="N80" s="25" t="s">
        <v>508</v>
      </c>
      <c r="O80" s="18" t="s">
        <v>509</v>
      </c>
    </row>
    <row r="81" spans="1:15" ht="21" x14ac:dyDescent="0.3">
      <c r="A81" s="19"/>
      <c r="B81" s="20"/>
      <c r="C81" s="20"/>
      <c r="D81" s="20"/>
      <c r="E81" s="20"/>
      <c r="F81" s="21"/>
      <c r="G81" s="22"/>
      <c r="H81" s="18" t="s">
        <v>510</v>
      </c>
      <c r="I81" s="23" t="s">
        <v>511</v>
      </c>
      <c r="J81" s="24" t="s">
        <v>20</v>
      </c>
      <c r="K81" s="25" t="s">
        <v>512</v>
      </c>
      <c r="L81" s="25" t="s">
        <v>513</v>
      </c>
      <c r="M81" s="25" t="s">
        <v>23</v>
      </c>
      <c r="N81" s="25" t="s">
        <v>514</v>
      </c>
      <c r="O81" s="18" t="s">
        <v>515</v>
      </c>
    </row>
    <row r="82" spans="1:15" ht="21" x14ac:dyDescent="0.3">
      <c r="A82" s="19"/>
      <c r="B82" s="20"/>
      <c r="C82" s="20"/>
      <c r="D82" s="20"/>
      <c r="E82" s="20"/>
      <c r="F82" s="21"/>
      <c r="G82" s="22" t="s">
        <v>516</v>
      </c>
      <c r="H82" s="18" t="s">
        <v>517</v>
      </c>
      <c r="I82" s="23" t="s">
        <v>518</v>
      </c>
      <c r="J82" s="24" t="s">
        <v>28</v>
      </c>
      <c r="K82" s="25" t="s">
        <v>519</v>
      </c>
      <c r="L82" s="25" t="s">
        <v>520</v>
      </c>
      <c r="M82" s="25" t="s">
        <v>23</v>
      </c>
      <c r="N82" s="25" t="s">
        <v>521</v>
      </c>
      <c r="O82" s="18" t="s">
        <v>522</v>
      </c>
    </row>
    <row r="83" spans="1:15" ht="21" x14ac:dyDescent="0.3">
      <c r="A83" s="19"/>
      <c r="B83" s="20"/>
      <c r="C83" s="20"/>
      <c r="D83" s="20"/>
      <c r="E83" s="20"/>
      <c r="F83" s="21"/>
      <c r="G83" s="22"/>
      <c r="H83" s="18" t="s">
        <v>523</v>
      </c>
      <c r="I83" s="23" t="s">
        <v>524</v>
      </c>
      <c r="J83" s="24" t="s">
        <v>20</v>
      </c>
      <c r="K83" s="25" t="s">
        <v>525</v>
      </c>
      <c r="L83" s="25" t="s">
        <v>526</v>
      </c>
      <c r="M83" s="25" t="s">
        <v>23</v>
      </c>
      <c r="N83" s="25" t="s">
        <v>527</v>
      </c>
      <c r="O83" s="18" t="s">
        <v>528</v>
      </c>
    </row>
    <row r="84" spans="1:15" ht="21" x14ac:dyDescent="0.3">
      <c r="A84" s="19"/>
      <c r="B84" s="20"/>
      <c r="C84" s="20"/>
      <c r="D84" s="20"/>
      <c r="E84" s="20"/>
      <c r="F84" s="21"/>
      <c r="G84" s="22"/>
      <c r="H84" s="18" t="s">
        <v>529</v>
      </c>
      <c r="I84" s="23" t="s">
        <v>530</v>
      </c>
      <c r="J84" s="24" t="s">
        <v>20</v>
      </c>
      <c r="K84" s="25" t="s">
        <v>531</v>
      </c>
      <c r="L84" s="25" t="s">
        <v>532</v>
      </c>
      <c r="M84" s="25" t="s">
        <v>31</v>
      </c>
      <c r="N84" s="25" t="s">
        <v>533</v>
      </c>
      <c r="O84" s="18" t="s">
        <v>534</v>
      </c>
    </row>
    <row r="85" spans="1:15" ht="21" x14ac:dyDescent="0.3">
      <c r="A85" s="19"/>
      <c r="B85" s="20"/>
      <c r="C85" s="20"/>
      <c r="D85" s="20"/>
      <c r="E85" s="20"/>
      <c r="F85" s="21"/>
      <c r="G85" s="22"/>
      <c r="H85" s="18" t="s">
        <v>535</v>
      </c>
      <c r="I85" s="23" t="s">
        <v>536</v>
      </c>
      <c r="J85" s="24" t="s">
        <v>20</v>
      </c>
      <c r="K85" s="25" t="s">
        <v>537</v>
      </c>
      <c r="L85" s="25" t="s">
        <v>538</v>
      </c>
      <c r="M85" s="25" t="s">
        <v>31</v>
      </c>
      <c r="N85" s="25" t="s">
        <v>539</v>
      </c>
      <c r="O85" s="18" t="s">
        <v>540</v>
      </c>
    </row>
    <row r="86" spans="1:15" ht="21" x14ac:dyDescent="0.3">
      <c r="A86" s="19"/>
      <c r="B86" s="20"/>
      <c r="C86" s="20"/>
      <c r="D86" s="20"/>
      <c r="E86" s="20"/>
      <c r="F86" s="21"/>
      <c r="G86" s="22"/>
      <c r="H86" s="18" t="s">
        <v>541</v>
      </c>
      <c r="I86" s="23" t="s">
        <v>542</v>
      </c>
      <c r="J86" s="24" t="s">
        <v>20</v>
      </c>
      <c r="K86" s="25" t="s">
        <v>543</v>
      </c>
      <c r="L86" s="25" t="s">
        <v>544</v>
      </c>
      <c r="M86" s="25" t="s">
        <v>31</v>
      </c>
      <c r="N86" s="25" t="s">
        <v>545</v>
      </c>
      <c r="O86" s="18" t="s">
        <v>546</v>
      </c>
    </row>
    <row r="87" spans="1:15" ht="21" x14ac:dyDescent="0.3">
      <c r="A87" s="19"/>
      <c r="B87" s="20"/>
      <c r="C87" s="20"/>
      <c r="D87" s="20"/>
      <c r="E87" s="20"/>
      <c r="F87" s="21"/>
      <c r="G87" s="22" t="s">
        <v>547</v>
      </c>
      <c r="H87" s="18" t="s">
        <v>548</v>
      </c>
      <c r="I87" s="23" t="s">
        <v>549</v>
      </c>
      <c r="J87" s="24" t="s">
        <v>28</v>
      </c>
      <c r="K87" s="25" t="s">
        <v>550</v>
      </c>
      <c r="L87" s="25" t="s">
        <v>551</v>
      </c>
      <c r="M87" s="25" t="s">
        <v>31</v>
      </c>
      <c r="N87" s="25" t="s">
        <v>552</v>
      </c>
      <c r="O87" s="18" t="s">
        <v>553</v>
      </c>
    </row>
    <row r="88" spans="1:15" ht="21" x14ac:dyDescent="0.3">
      <c r="A88" s="19"/>
      <c r="B88" s="20"/>
      <c r="C88" s="20"/>
      <c r="D88" s="20"/>
      <c r="E88" s="20"/>
      <c r="F88" s="21"/>
      <c r="G88" s="22"/>
      <c r="H88" s="18" t="s">
        <v>554</v>
      </c>
      <c r="I88" s="23" t="s">
        <v>555</v>
      </c>
      <c r="J88" s="24" t="s">
        <v>20</v>
      </c>
      <c r="K88" s="25" t="s">
        <v>556</v>
      </c>
      <c r="L88" s="25" t="s">
        <v>557</v>
      </c>
      <c r="M88" s="25" t="s">
        <v>31</v>
      </c>
      <c r="N88" s="25" t="s">
        <v>558</v>
      </c>
      <c r="O88" s="18" t="s">
        <v>559</v>
      </c>
    </row>
    <row r="89" spans="1:15" ht="21" x14ac:dyDescent="0.3">
      <c r="A89" s="19"/>
      <c r="B89" s="20"/>
      <c r="C89" s="20"/>
      <c r="D89" s="20"/>
      <c r="E89" s="20"/>
      <c r="F89" s="21"/>
      <c r="G89" s="22"/>
      <c r="H89" s="18" t="s">
        <v>560</v>
      </c>
      <c r="I89" s="23" t="s">
        <v>561</v>
      </c>
      <c r="J89" s="24" t="s">
        <v>20</v>
      </c>
      <c r="K89" s="25" t="s">
        <v>562</v>
      </c>
      <c r="L89" s="25" t="s">
        <v>563</v>
      </c>
      <c r="M89" s="25" t="s">
        <v>31</v>
      </c>
      <c r="N89" s="25" t="s">
        <v>564</v>
      </c>
      <c r="O89" s="18" t="s">
        <v>565</v>
      </c>
    </row>
    <row r="90" spans="1:15" ht="21" x14ac:dyDescent="0.3">
      <c r="A90" s="19"/>
      <c r="B90" s="20"/>
      <c r="C90" s="20"/>
      <c r="D90" s="20"/>
      <c r="E90" s="20"/>
      <c r="F90" s="21"/>
      <c r="G90" s="22"/>
      <c r="H90" s="18" t="s">
        <v>566</v>
      </c>
      <c r="I90" s="23" t="s">
        <v>567</v>
      </c>
      <c r="J90" s="24" t="s">
        <v>20</v>
      </c>
      <c r="K90" s="25" t="s">
        <v>568</v>
      </c>
      <c r="L90" s="25" t="s">
        <v>569</v>
      </c>
      <c r="M90" s="25" t="s">
        <v>31</v>
      </c>
      <c r="N90" s="25" t="s">
        <v>570</v>
      </c>
      <c r="O90" s="18" t="s">
        <v>571</v>
      </c>
    </row>
    <row r="91" spans="1:15" ht="21" x14ac:dyDescent="0.3">
      <c r="A91" s="19"/>
      <c r="B91" s="20"/>
      <c r="C91" s="20"/>
      <c r="D91" s="20"/>
      <c r="E91" s="20"/>
      <c r="F91" s="21"/>
      <c r="G91" s="22"/>
      <c r="H91" s="18" t="s">
        <v>572</v>
      </c>
      <c r="I91" s="23" t="s">
        <v>573</v>
      </c>
      <c r="J91" s="24" t="s">
        <v>20</v>
      </c>
      <c r="K91" s="25" t="s">
        <v>574</v>
      </c>
      <c r="L91" s="25" t="s">
        <v>575</v>
      </c>
      <c r="M91" s="25" t="s">
        <v>31</v>
      </c>
      <c r="N91" s="25" t="s">
        <v>576</v>
      </c>
      <c r="O91" s="18" t="s">
        <v>577</v>
      </c>
    </row>
    <row r="92" spans="1:15" ht="21" x14ac:dyDescent="0.3">
      <c r="A92" s="19"/>
      <c r="B92" s="20"/>
      <c r="C92" s="20"/>
      <c r="D92" s="20"/>
      <c r="E92" s="20"/>
      <c r="F92" s="21"/>
      <c r="G92" s="22" t="s">
        <v>578</v>
      </c>
      <c r="H92" s="18" t="s">
        <v>579</v>
      </c>
      <c r="I92" s="23" t="s">
        <v>580</v>
      </c>
      <c r="J92" s="24" t="s">
        <v>28</v>
      </c>
      <c r="K92" s="25" t="s">
        <v>581</v>
      </c>
      <c r="L92" s="25" t="s">
        <v>582</v>
      </c>
      <c r="M92" s="25" t="s">
        <v>31</v>
      </c>
      <c r="N92" s="25" t="s">
        <v>583</v>
      </c>
      <c r="O92" s="18" t="s">
        <v>584</v>
      </c>
    </row>
    <row r="93" spans="1:15" ht="21" x14ac:dyDescent="0.3">
      <c r="A93" s="19"/>
      <c r="B93" s="20"/>
      <c r="C93" s="20"/>
      <c r="D93" s="20"/>
      <c r="E93" s="20"/>
      <c r="F93" s="21"/>
      <c r="G93" s="22"/>
      <c r="H93" s="18" t="s">
        <v>585</v>
      </c>
      <c r="I93" s="23" t="s">
        <v>586</v>
      </c>
      <c r="J93" s="24" t="s">
        <v>20</v>
      </c>
      <c r="K93" s="25" t="s">
        <v>587</v>
      </c>
      <c r="L93" s="25" t="s">
        <v>588</v>
      </c>
      <c r="M93" s="25" t="s">
        <v>31</v>
      </c>
      <c r="N93" s="25" t="s">
        <v>589</v>
      </c>
      <c r="O93" s="18" t="s">
        <v>590</v>
      </c>
    </row>
    <row r="94" spans="1:15" ht="21" x14ac:dyDescent="0.3">
      <c r="A94" s="19"/>
      <c r="B94" s="20"/>
      <c r="C94" s="20"/>
      <c r="D94" s="20"/>
      <c r="E94" s="20"/>
      <c r="F94" s="21"/>
      <c r="G94" s="22"/>
      <c r="H94" s="18" t="s">
        <v>591</v>
      </c>
      <c r="I94" s="23" t="s">
        <v>592</v>
      </c>
      <c r="J94" s="24" t="s">
        <v>20</v>
      </c>
      <c r="K94" s="25" t="s">
        <v>593</v>
      </c>
      <c r="L94" s="25" t="s">
        <v>594</v>
      </c>
      <c r="M94" s="25" t="s">
        <v>31</v>
      </c>
      <c r="N94" s="25" t="s">
        <v>595</v>
      </c>
      <c r="O94" s="18" t="s">
        <v>596</v>
      </c>
    </row>
    <row r="95" spans="1:15" ht="21" x14ac:dyDescent="0.3">
      <c r="A95" s="19"/>
      <c r="B95" s="20"/>
      <c r="C95" s="20"/>
      <c r="D95" s="20"/>
      <c r="E95" s="20"/>
      <c r="F95" s="21"/>
      <c r="G95" s="22"/>
      <c r="H95" s="18" t="s">
        <v>597</v>
      </c>
      <c r="I95" s="23" t="s">
        <v>598</v>
      </c>
      <c r="J95" s="24" t="s">
        <v>20</v>
      </c>
      <c r="K95" s="25" t="s">
        <v>599</v>
      </c>
      <c r="L95" s="25" t="s">
        <v>600</v>
      </c>
      <c r="M95" s="25" t="s">
        <v>31</v>
      </c>
      <c r="N95" s="25" t="s">
        <v>601</v>
      </c>
      <c r="O95" s="18" t="s">
        <v>602</v>
      </c>
    </row>
    <row r="96" spans="1:15" ht="21" x14ac:dyDescent="0.3">
      <c r="A96" s="19"/>
      <c r="B96" s="20"/>
      <c r="C96" s="20"/>
      <c r="D96" s="20"/>
      <c r="E96" s="20"/>
      <c r="F96" s="21"/>
      <c r="G96" s="22"/>
      <c r="H96" s="18" t="s">
        <v>603</v>
      </c>
      <c r="I96" s="23" t="s">
        <v>604</v>
      </c>
      <c r="J96" s="24" t="s">
        <v>20</v>
      </c>
      <c r="K96" s="25" t="s">
        <v>605</v>
      </c>
      <c r="L96" s="25" t="s">
        <v>606</v>
      </c>
      <c r="M96" s="25" t="s">
        <v>193</v>
      </c>
      <c r="N96" s="25" t="s">
        <v>607</v>
      </c>
      <c r="O96" s="18" t="s">
        <v>608</v>
      </c>
    </row>
    <row r="97" spans="1:15" ht="21" x14ac:dyDescent="0.3">
      <c r="A97" s="19"/>
      <c r="B97" s="20"/>
      <c r="C97" s="20"/>
      <c r="D97" s="20"/>
      <c r="E97" s="20"/>
      <c r="F97" s="21"/>
      <c r="G97" s="22" t="s">
        <v>609</v>
      </c>
      <c r="H97" s="18" t="s">
        <v>610</v>
      </c>
      <c r="I97" s="23" t="s">
        <v>611</v>
      </c>
      <c r="J97" s="24" t="s">
        <v>28</v>
      </c>
      <c r="K97" s="25" t="s">
        <v>612</v>
      </c>
      <c r="L97" s="25" t="s">
        <v>613</v>
      </c>
      <c r="M97" s="25" t="s">
        <v>23</v>
      </c>
      <c r="N97" s="25" t="s">
        <v>614</v>
      </c>
      <c r="O97" s="18" t="s">
        <v>615</v>
      </c>
    </row>
    <row r="98" spans="1:15" ht="21" x14ac:dyDescent="0.3">
      <c r="A98" s="19"/>
      <c r="B98" s="20"/>
      <c r="C98" s="20"/>
      <c r="D98" s="20"/>
      <c r="E98" s="20"/>
      <c r="F98" s="21"/>
      <c r="G98" s="22"/>
      <c r="H98" s="18" t="s">
        <v>616</v>
      </c>
      <c r="I98" s="23" t="s">
        <v>617</v>
      </c>
      <c r="J98" s="24" t="s">
        <v>20</v>
      </c>
      <c r="K98" s="25" t="s">
        <v>618</v>
      </c>
      <c r="L98" s="25" t="s">
        <v>619</v>
      </c>
      <c r="M98" s="25" t="s">
        <v>23</v>
      </c>
      <c r="N98" s="25" t="s">
        <v>620</v>
      </c>
      <c r="O98" s="18" t="s">
        <v>621</v>
      </c>
    </row>
    <row r="99" spans="1:15" ht="21" x14ac:dyDescent="0.3">
      <c r="A99" s="19"/>
      <c r="B99" s="20"/>
      <c r="C99" s="20"/>
      <c r="D99" s="20"/>
      <c r="E99" s="20"/>
      <c r="F99" s="21"/>
      <c r="G99" s="22"/>
      <c r="H99" s="18" t="s">
        <v>622</v>
      </c>
      <c r="I99" s="23" t="s">
        <v>623</v>
      </c>
      <c r="J99" s="24" t="s">
        <v>20</v>
      </c>
      <c r="K99" s="25" t="s">
        <v>624</v>
      </c>
      <c r="L99" s="25" t="s">
        <v>625</v>
      </c>
      <c r="M99" s="25" t="s">
        <v>23</v>
      </c>
      <c r="N99" s="25" t="s">
        <v>626</v>
      </c>
      <c r="O99" s="18" t="s">
        <v>627</v>
      </c>
    </row>
    <row r="100" spans="1:15" ht="21" x14ac:dyDescent="0.3">
      <c r="A100" s="19"/>
      <c r="B100" s="20"/>
      <c r="C100" s="20"/>
      <c r="D100" s="20"/>
      <c r="E100" s="20"/>
      <c r="F100" s="21"/>
      <c r="G100" s="22"/>
      <c r="H100" s="18" t="s">
        <v>628</v>
      </c>
      <c r="I100" s="23" t="s">
        <v>629</v>
      </c>
      <c r="J100" s="24" t="s">
        <v>20</v>
      </c>
      <c r="K100" s="25" t="s">
        <v>630</v>
      </c>
      <c r="L100" s="25" t="s">
        <v>631</v>
      </c>
      <c r="M100" s="25" t="s">
        <v>23</v>
      </c>
      <c r="N100" s="25" t="s">
        <v>632</v>
      </c>
      <c r="O100" s="18" t="s">
        <v>633</v>
      </c>
    </row>
    <row r="101" spans="1:15" ht="21" x14ac:dyDescent="0.3">
      <c r="A101" s="19"/>
      <c r="B101" s="20"/>
      <c r="C101" s="20"/>
      <c r="D101" s="20"/>
      <c r="E101" s="20"/>
      <c r="F101" s="21"/>
      <c r="G101" s="22"/>
      <c r="H101" s="18" t="s">
        <v>634</v>
      </c>
      <c r="I101" s="23" t="s">
        <v>635</v>
      </c>
      <c r="J101" s="24" t="s">
        <v>20</v>
      </c>
      <c r="K101" s="25" t="s">
        <v>636</v>
      </c>
      <c r="L101" s="25" t="s">
        <v>637</v>
      </c>
      <c r="M101" s="25" t="s">
        <v>23</v>
      </c>
      <c r="N101" s="25" t="s">
        <v>638</v>
      </c>
      <c r="O101" s="18" t="s">
        <v>639</v>
      </c>
    </row>
    <row r="102" spans="1:15" ht="21" x14ac:dyDescent="0.3">
      <c r="A102" s="19"/>
      <c r="B102" s="20"/>
      <c r="C102" s="20"/>
      <c r="D102" s="20"/>
      <c r="E102" s="20"/>
      <c r="F102" s="21"/>
      <c r="G102" s="22" t="s">
        <v>640</v>
      </c>
      <c r="H102" s="18" t="s">
        <v>641</v>
      </c>
      <c r="I102" s="23" t="s">
        <v>642</v>
      </c>
      <c r="J102" s="24" t="s">
        <v>28</v>
      </c>
      <c r="K102" s="25" t="s">
        <v>643</v>
      </c>
      <c r="L102" s="25" t="s">
        <v>644</v>
      </c>
      <c r="M102" s="25" t="s">
        <v>23</v>
      </c>
      <c r="N102" s="25" t="s">
        <v>645</v>
      </c>
      <c r="O102" s="18" t="s">
        <v>646</v>
      </c>
    </row>
    <row r="103" spans="1:15" ht="21" x14ac:dyDescent="0.3">
      <c r="A103" s="19"/>
      <c r="B103" s="20"/>
      <c r="C103" s="20"/>
      <c r="D103" s="20"/>
      <c r="E103" s="20"/>
      <c r="F103" s="21"/>
      <c r="G103" s="22"/>
      <c r="H103" s="18" t="s">
        <v>647</v>
      </c>
      <c r="I103" s="23" t="s">
        <v>648</v>
      </c>
      <c r="J103" s="24" t="s">
        <v>20</v>
      </c>
      <c r="K103" s="25" t="s">
        <v>649</v>
      </c>
      <c r="L103" s="25" t="s">
        <v>650</v>
      </c>
      <c r="M103" s="25" t="s">
        <v>23</v>
      </c>
      <c r="N103" s="25" t="s">
        <v>651</v>
      </c>
      <c r="O103" s="18" t="s">
        <v>652</v>
      </c>
    </row>
    <row r="104" spans="1:15" ht="21" x14ac:dyDescent="0.3">
      <c r="A104" s="19"/>
      <c r="B104" s="20"/>
      <c r="C104" s="20"/>
      <c r="D104" s="20"/>
      <c r="E104" s="20"/>
      <c r="F104" s="21"/>
      <c r="G104" s="22"/>
      <c r="H104" s="18" t="s">
        <v>653</v>
      </c>
      <c r="I104" s="23" t="s">
        <v>654</v>
      </c>
      <c r="J104" s="24" t="s">
        <v>20</v>
      </c>
      <c r="K104" s="25" t="s">
        <v>655</v>
      </c>
      <c r="L104" s="25" t="s">
        <v>656</v>
      </c>
      <c r="M104" s="25" t="s">
        <v>23</v>
      </c>
      <c r="N104" s="25" t="s">
        <v>657</v>
      </c>
      <c r="O104" s="18" t="s">
        <v>658</v>
      </c>
    </row>
    <row r="105" spans="1:15" ht="21" x14ac:dyDescent="0.3">
      <c r="A105" s="19"/>
      <c r="B105" s="20"/>
      <c r="C105" s="20"/>
      <c r="D105" s="20"/>
      <c r="E105" s="20"/>
      <c r="F105" s="21"/>
      <c r="G105" s="22"/>
      <c r="H105" s="18" t="s">
        <v>659</v>
      </c>
      <c r="I105" s="23" t="s">
        <v>660</v>
      </c>
      <c r="J105" s="24" t="s">
        <v>20</v>
      </c>
      <c r="K105" s="25" t="s">
        <v>661</v>
      </c>
      <c r="L105" s="25" t="s">
        <v>662</v>
      </c>
      <c r="M105" s="25" t="s">
        <v>23</v>
      </c>
      <c r="N105" s="25" t="s">
        <v>663</v>
      </c>
      <c r="O105" s="18" t="s">
        <v>664</v>
      </c>
    </row>
    <row r="106" spans="1:15" ht="21" x14ac:dyDescent="0.3">
      <c r="A106" s="19"/>
      <c r="B106" s="20"/>
      <c r="C106" s="20"/>
      <c r="D106" s="20"/>
      <c r="E106" s="20"/>
      <c r="F106" s="21"/>
      <c r="G106" s="22"/>
      <c r="H106" s="18" t="s">
        <v>665</v>
      </c>
      <c r="I106" s="23" t="s">
        <v>666</v>
      </c>
      <c r="J106" s="24" t="s">
        <v>20</v>
      </c>
      <c r="K106" s="25" t="s">
        <v>667</v>
      </c>
      <c r="L106" s="25" t="s">
        <v>668</v>
      </c>
      <c r="M106" s="25" t="s">
        <v>31</v>
      </c>
      <c r="N106" s="25" t="s">
        <v>669</v>
      </c>
      <c r="O106" s="18" t="s">
        <v>670</v>
      </c>
    </row>
    <row r="107" spans="1:15" ht="21" x14ac:dyDescent="0.3">
      <c r="A107" s="19"/>
      <c r="B107" s="20"/>
      <c r="C107" s="20"/>
      <c r="D107" s="20"/>
      <c r="E107" s="20"/>
      <c r="F107" s="21"/>
      <c r="G107" s="22" t="s">
        <v>671</v>
      </c>
      <c r="H107" s="18" t="s">
        <v>672</v>
      </c>
      <c r="I107" s="23" t="s">
        <v>673</v>
      </c>
      <c r="J107" s="24" t="s">
        <v>28</v>
      </c>
      <c r="K107" s="25" t="s">
        <v>674</v>
      </c>
      <c r="L107" s="25" t="s">
        <v>675</v>
      </c>
      <c r="M107" s="25" t="s">
        <v>23</v>
      </c>
      <c r="N107" s="25" t="s">
        <v>676</v>
      </c>
      <c r="O107" s="18" t="s">
        <v>677</v>
      </c>
    </row>
    <row r="108" spans="1:15" ht="21" x14ac:dyDescent="0.3">
      <c r="A108" s="19"/>
      <c r="B108" s="20"/>
      <c r="C108" s="20"/>
      <c r="D108" s="20"/>
      <c r="E108" s="20"/>
      <c r="F108" s="21"/>
      <c r="G108" s="22"/>
      <c r="H108" s="18" t="s">
        <v>523</v>
      </c>
      <c r="I108" s="23" t="s">
        <v>678</v>
      </c>
      <c r="J108" s="24" t="s">
        <v>20</v>
      </c>
      <c r="K108" s="25" t="s">
        <v>679</v>
      </c>
      <c r="L108" s="25" t="s">
        <v>680</v>
      </c>
      <c r="M108" s="25" t="s">
        <v>23</v>
      </c>
      <c r="N108" s="25" t="s">
        <v>681</v>
      </c>
      <c r="O108" s="18" t="s">
        <v>682</v>
      </c>
    </row>
    <row r="109" spans="1:15" ht="21" x14ac:dyDescent="0.3">
      <c r="A109" s="19"/>
      <c r="B109" s="20"/>
      <c r="C109" s="20"/>
      <c r="D109" s="20"/>
      <c r="E109" s="20"/>
      <c r="F109" s="21"/>
      <c r="G109" s="22"/>
      <c r="H109" s="18" t="s">
        <v>683</v>
      </c>
      <c r="I109" s="23" t="s">
        <v>684</v>
      </c>
      <c r="J109" s="24" t="s">
        <v>20</v>
      </c>
      <c r="K109" s="25" t="s">
        <v>685</v>
      </c>
      <c r="L109" s="25" t="s">
        <v>686</v>
      </c>
      <c r="M109" s="25" t="s">
        <v>23</v>
      </c>
      <c r="N109" s="25" t="s">
        <v>687</v>
      </c>
      <c r="O109" s="18" t="s">
        <v>688</v>
      </c>
    </row>
    <row r="110" spans="1:15" ht="21" x14ac:dyDescent="0.3">
      <c r="A110" s="19"/>
      <c r="B110" s="20"/>
      <c r="C110" s="20"/>
      <c r="D110" s="20"/>
      <c r="E110" s="20"/>
      <c r="F110" s="21"/>
      <c r="G110" s="22"/>
      <c r="H110" s="18" t="s">
        <v>689</v>
      </c>
      <c r="I110" s="23" t="s">
        <v>690</v>
      </c>
      <c r="J110" s="24" t="s">
        <v>20</v>
      </c>
      <c r="K110" s="25" t="s">
        <v>691</v>
      </c>
      <c r="L110" s="25" t="s">
        <v>692</v>
      </c>
      <c r="M110" s="25" t="s">
        <v>23</v>
      </c>
      <c r="N110" s="25" t="s">
        <v>693</v>
      </c>
      <c r="O110" s="18" t="s">
        <v>694</v>
      </c>
    </row>
    <row r="111" spans="1:15" ht="21" x14ac:dyDescent="0.3">
      <c r="A111" s="19"/>
      <c r="B111" s="20"/>
      <c r="C111" s="20"/>
      <c r="D111" s="20"/>
      <c r="E111" s="20"/>
      <c r="F111" s="21"/>
      <c r="G111" s="22"/>
      <c r="H111" s="18" t="s">
        <v>541</v>
      </c>
      <c r="I111" s="23" t="s">
        <v>695</v>
      </c>
      <c r="J111" s="24" t="s">
        <v>20</v>
      </c>
      <c r="K111" s="25" t="s">
        <v>696</v>
      </c>
      <c r="L111" s="25" t="s">
        <v>697</v>
      </c>
      <c r="M111" s="25" t="s">
        <v>23</v>
      </c>
      <c r="N111" s="25" t="s">
        <v>698</v>
      </c>
      <c r="O111" s="18" t="s">
        <v>699</v>
      </c>
    </row>
    <row r="112" spans="1:15" ht="21" x14ac:dyDescent="0.3">
      <c r="A112" s="19"/>
      <c r="B112" s="20"/>
      <c r="C112" s="20"/>
      <c r="D112" s="20"/>
      <c r="E112" s="20"/>
      <c r="F112" s="21"/>
      <c r="G112" s="22" t="s">
        <v>700</v>
      </c>
      <c r="H112" s="18" t="s">
        <v>701</v>
      </c>
      <c r="I112" s="23" t="s">
        <v>702</v>
      </c>
      <c r="J112" s="24" t="s">
        <v>28</v>
      </c>
      <c r="K112" s="25" t="s">
        <v>703</v>
      </c>
      <c r="L112" s="25" t="s">
        <v>704</v>
      </c>
      <c r="M112" s="25" t="s">
        <v>23</v>
      </c>
      <c r="N112" s="25" t="s">
        <v>705</v>
      </c>
      <c r="O112" s="18" t="s">
        <v>706</v>
      </c>
    </row>
    <row r="113" spans="1:15" ht="21" x14ac:dyDescent="0.3">
      <c r="A113" s="19"/>
      <c r="B113" s="20"/>
      <c r="C113" s="20"/>
      <c r="D113" s="20"/>
      <c r="E113" s="20"/>
      <c r="F113" s="21"/>
      <c r="G113" s="22"/>
      <c r="H113" s="18" t="s">
        <v>707</v>
      </c>
      <c r="I113" s="23" t="s">
        <v>708</v>
      </c>
      <c r="J113" s="24" t="s">
        <v>20</v>
      </c>
      <c r="K113" s="25" t="s">
        <v>709</v>
      </c>
      <c r="L113" s="25" t="s">
        <v>710</v>
      </c>
      <c r="M113" s="25" t="s">
        <v>31</v>
      </c>
      <c r="N113" s="25" t="s">
        <v>711</v>
      </c>
      <c r="O113" s="18" t="s">
        <v>712</v>
      </c>
    </row>
    <row r="114" spans="1:15" ht="21" x14ac:dyDescent="0.3">
      <c r="A114" s="19"/>
      <c r="B114" s="20"/>
      <c r="C114" s="20"/>
      <c r="D114" s="20"/>
      <c r="E114" s="20"/>
      <c r="F114" s="21"/>
      <c r="G114" s="22"/>
      <c r="H114" s="18" t="s">
        <v>713</v>
      </c>
      <c r="I114" s="23" t="s">
        <v>714</v>
      </c>
      <c r="J114" s="24" t="s">
        <v>20</v>
      </c>
      <c r="K114" s="25" t="s">
        <v>715</v>
      </c>
      <c r="L114" s="25" t="s">
        <v>716</v>
      </c>
      <c r="M114" s="25" t="s">
        <v>31</v>
      </c>
      <c r="N114" s="25" t="s">
        <v>717</v>
      </c>
      <c r="O114" s="18" t="s">
        <v>718</v>
      </c>
    </row>
    <row r="115" spans="1:15" ht="21" x14ac:dyDescent="0.3">
      <c r="A115" s="19"/>
      <c r="B115" s="20"/>
      <c r="C115" s="20"/>
      <c r="D115" s="20"/>
      <c r="E115" s="20"/>
      <c r="F115" s="21"/>
      <c r="G115" s="22"/>
      <c r="H115" s="18" t="s">
        <v>719</v>
      </c>
      <c r="I115" s="23" t="s">
        <v>720</v>
      </c>
      <c r="J115" s="24" t="s">
        <v>20</v>
      </c>
      <c r="K115" s="25" t="s">
        <v>721</v>
      </c>
      <c r="L115" s="25" t="s">
        <v>722</v>
      </c>
      <c r="M115" s="25" t="s">
        <v>31</v>
      </c>
      <c r="N115" s="25" t="s">
        <v>723</v>
      </c>
      <c r="O115" s="18" t="s">
        <v>724</v>
      </c>
    </row>
    <row r="116" spans="1:15" ht="21" x14ac:dyDescent="0.3">
      <c r="A116" s="19"/>
      <c r="B116" s="20"/>
      <c r="C116" s="20"/>
      <c r="D116" s="20"/>
      <c r="E116" s="20"/>
      <c r="F116" s="21"/>
      <c r="G116" s="22"/>
      <c r="H116" s="18" t="s">
        <v>634</v>
      </c>
      <c r="I116" s="23" t="s">
        <v>635</v>
      </c>
      <c r="J116" s="24" t="s">
        <v>20</v>
      </c>
      <c r="K116" s="25" t="s">
        <v>725</v>
      </c>
      <c r="L116" s="25" t="s">
        <v>726</v>
      </c>
      <c r="M116" s="25" t="s">
        <v>193</v>
      </c>
      <c r="N116" s="25" t="s">
        <v>727</v>
      </c>
      <c r="O116" s="18" t="s">
        <v>728</v>
      </c>
    </row>
    <row r="117" spans="1:15" ht="21" x14ac:dyDescent="0.3">
      <c r="A117" s="19"/>
      <c r="B117" s="20"/>
      <c r="C117" s="20"/>
      <c r="D117" s="20"/>
      <c r="E117" s="20"/>
      <c r="F117" s="21"/>
      <c r="G117" s="22" t="s">
        <v>729</v>
      </c>
      <c r="H117" s="18" t="s">
        <v>730</v>
      </c>
      <c r="I117" s="23" t="s">
        <v>731</v>
      </c>
      <c r="J117" s="24" t="s">
        <v>28</v>
      </c>
      <c r="K117" s="25" t="s">
        <v>732</v>
      </c>
      <c r="L117" s="25" t="s">
        <v>733</v>
      </c>
      <c r="M117" s="25" t="s">
        <v>31</v>
      </c>
      <c r="N117" s="25" t="s">
        <v>734</v>
      </c>
      <c r="O117" s="18" t="s">
        <v>735</v>
      </c>
    </row>
    <row r="118" spans="1:15" ht="21" x14ac:dyDescent="0.3">
      <c r="A118" s="19"/>
      <c r="B118" s="20"/>
      <c r="C118" s="20"/>
      <c r="D118" s="20"/>
      <c r="E118" s="20"/>
      <c r="F118" s="21"/>
      <c r="G118" s="22"/>
      <c r="H118" s="18" t="s">
        <v>736</v>
      </c>
      <c r="I118" s="23" t="s">
        <v>737</v>
      </c>
      <c r="J118" s="24" t="s">
        <v>20</v>
      </c>
      <c r="K118" s="25" t="s">
        <v>738</v>
      </c>
      <c r="L118" s="25" t="s">
        <v>739</v>
      </c>
      <c r="M118" s="25" t="s">
        <v>23</v>
      </c>
      <c r="N118" s="25" t="s">
        <v>740</v>
      </c>
      <c r="O118" s="18" t="s">
        <v>741</v>
      </c>
    </row>
    <row r="119" spans="1:15" ht="21" x14ac:dyDescent="0.3">
      <c r="A119" s="19"/>
      <c r="B119" s="20"/>
      <c r="C119" s="20"/>
      <c r="D119" s="20"/>
      <c r="E119" s="20"/>
      <c r="F119" s="21"/>
      <c r="G119" s="22"/>
      <c r="H119" s="18" t="s">
        <v>742</v>
      </c>
      <c r="I119" s="23" t="s">
        <v>743</v>
      </c>
      <c r="J119" s="24" t="s">
        <v>20</v>
      </c>
      <c r="K119" s="25" t="s">
        <v>744</v>
      </c>
      <c r="L119" s="25" t="s">
        <v>745</v>
      </c>
      <c r="M119" s="25" t="s">
        <v>23</v>
      </c>
      <c r="N119" s="25" t="s">
        <v>746</v>
      </c>
      <c r="O119" s="18" t="s">
        <v>747</v>
      </c>
    </row>
    <row r="120" spans="1:15" ht="21" x14ac:dyDescent="0.3">
      <c r="A120" s="19"/>
      <c r="B120" s="20"/>
      <c r="C120" s="20"/>
      <c r="D120" s="20"/>
      <c r="E120" s="20"/>
      <c r="F120" s="21"/>
      <c r="G120" s="22"/>
      <c r="H120" s="18" t="s">
        <v>748</v>
      </c>
      <c r="I120" s="23" t="s">
        <v>749</v>
      </c>
      <c r="J120" s="24" t="s">
        <v>20</v>
      </c>
      <c r="K120" s="25" t="s">
        <v>750</v>
      </c>
      <c r="L120" s="25" t="s">
        <v>751</v>
      </c>
      <c r="M120" s="25" t="s">
        <v>23</v>
      </c>
      <c r="N120" s="25" t="s">
        <v>752</v>
      </c>
      <c r="O120" s="18" t="s">
        <v>753</v>
      </c>
    </row>
    <row r="121" spans="1:15" ht="21" x14ac:dyDescent="0.3">
      <c r="A121" s="19"/>
      <c r="B121" s="20"/>
      <c r="C121" s="20"/>
      <c r="D121" s="20"/>
      <c r="E121" s="20"/>
      <c r="F121" s="21"/>
      <c r="G121" s="22"/>
      <c r="H121" s="18" t="s">
        <v>754</v>
      </c>
      <c r="I121" s="23" t="s">
        <v>755</v>
      </c>
      <c r="J121" s="24" t="s">
        <v>20</v>
      </c>
      <c r="K121" s="25" t="s">
        <v>756</v>
      </c>
      <c r="L121" s="25" t="s">
        <v>757</v>
      </c>
      <c r="M121" s="25" t="s">
        <v>23</v>
      </c>
      <c r="N121" s="25" t="s">
        <v>758</v>
      </c>
      <c r="O121" s="18" t="s">
        <v>759</v>
      </c>
    </row>
    <row r="122" spans="1:15" ht="21" x14ac:dyDescent="0.3">
      <c r="A122" s="19"/>
      <c r="B122" s="20"/>
      <c r="C122" s="20"/>
      <c r="D122" s="20"/>
      <c r="E122" s="20"/>
      <c r="F122" s="21"/>
      <c r="G122" s="22" t="s">
        <v>760</v>
      </c>
      <c r="H122" s="18" t="s">
        <v>761</v>
      </c>
      <c r="I122" s="23" t="s">
        <v>762</v>
      </c>
      <c r="J122" s="24" t="s">
        <v>28</v>
      </c>
      <c r="K122" s="25" t="s">
        <v>763</v>
      </c>
      <c r="L122" s="25" t="s">
        <v>764</v>
      </c>
      <c r="M122" s="25" t="s">
        <v>23</v>
      </c>
      <c r="N122" s="25" t="s">
        <v>765</v>
      </c>
      <c r="O122" s="18" t="s">
        <v>766</v>
      </c>
    </row>
    <row r="123" spans="1:15" ht="21" x14ac:dyDescent="0.3">
      <c r="A123" s="19"/>
      <c r="B123" s="20"/>
      <c r="C123" s="20"/>
      <c r="D123" s="20"/>
      <c r="E123" s="20"/>
      <c r="F123" s="21"/>
      <c r="G123" s="22"/>
      <c r="H123" s="18" t="s">
        <v>767</v>
      </c>
      <c r="I123" s="23" t="s">
        <v>768</v>
      </c>
      <c r="J123" s="24" t="s">
        <v>20</v>
      </c>
      <c r="K123" s="25" t="s">
        <v>769</v>
      </c>
      <c r="L123" s="25" t="s">
        <v>770</v>
      </c>
      <c r="M123" s="25" t="s">
        <v>23</v>
      </c>
      <c r="N123" s="25" t="s">
        <v>771</v>
      </c>
      <c r="O123" s="18" t="s">
        <v>772</v>
      </c>
    </row>
    <row r="124" spans="1:15" ht="21" x14ac:dyDescent="0.3">
      <c r="A124" s="19"/>
      <c r="B124" s="20"/>
      <c r="C124" s="20"/>
      <c r="D124" s="20"/>
      <c r="E124" s="20"/>
      <c r="F124" s="21"/>
      <c r="G124" s="22"/>
      <c r="H124" s="18" t="s">
        <v>773</v>
      </c>
      <c r="I124" s="23" t="s">
        <v>774</v>
      </c>
      <c r="J124" s="24" t="s">
        <v>20</v>
      </c>
      <c r="K124" s="25" t="s">
        <v>775</v>
      </c>
      <c r="L124" s="25" t="s">
        <v>776</v>
      </c>
      <c r="M124" s="25" t="s">
        <v>23</v>
      </c>
      <c r="N124" s="25" t="s">
        <v>777</v>
      </c>
      <c r="O124" s="18" t="s">
        <v>778</v>
      </c>
    </row>
    <row r="125" spans="1:15" ht="21" x14ac:dyDescent="0.3">
      <c r="A125" s="19"/>
      <c r="B125" s="20"/>
      <c r="C125" s="20"/>
      <c r="D125" s="20"/>
      <c r="E125" s="20"/>
      <c r="F125" s="21"/>
      <c r="G125" s="22"/>
      <c r="H125" s="18" t="s">
        <v>779</v>
      </c>
      <c r="I125" s="23" t="s">
        <v>780</v>
      </c>
      <c r="J125" s="24" t="s">
        <v>20</v>
      </c>
      <c r="K125" s="25" t="s">
        <v>781</v>
      </c>
      <c r="L125" s="25" t="s">
        <v>782</v>
      </c>
      <c r="M125" s="25" t="s">
        <v>23</v>
      </c>
      <c r="N125" s="25" t="s">
        <v>783</v>
      </c>
      <c r="O125" s="25" t="s">
        <v>784</v>
      </c>
    </row>
    <row r="126" spans="1:15" ht="21" x14ac:dyDescent="0.3">
      <c r="A126" s="19"/>
      <c r="B126" s="20"/>
      <c r="C126" s="20"/>
      <c r="D126" s="20"/>
      <c r="E126" s="20"/>
      <c r="F126" s="21"/>
      <c r="G126" s="22"/>
      <c r="H126" s="18" t="s">
        <v>785</v>
      </c>
      <c r="I126" s="23" t="s">
        <v>786</v>
      </c>
      <c r="J126" s="24" t="s">
        <v>20</v>
      </c>
      <c r="K126" s="25" t="s">
        <v>787</v>
      </c>
      <c r="L126" s="25" t="s">
        <v>788</v>
      </c>
      <c r="M126" s="25" t="s">
        <v>23</v>
      </c>
      <c r="N126" s="25" t="s">
        <v>789</v>
      </c>
      <c r="O126" s="25" t="s">
        <v>790</v>
      </c>
    </row>
    <row r="127" spans="1:15" ht="21" x14ac:dyDescent="0.3">
      <c r="A127" s="19"/>
      <c r="B127" s="20"/>
      <c r="C127" s="20"/>
      <c r="D127" s="20"/>
      <c r="E127" s="20"/>
      <c r="F127" s="21"/>
      <c r="G127" s="22" t="s">
        <v>791</v>
      </c>
      <c r="H127" s="18" t="s">
        <v>792</v>
      </c>
      <c r="I127" s="23" t="s">
        <v>793</v>
      </c>
      <c r="J127" s="24" t="s">
        <v>28</v>
      </c>
      <c r="K127" s="25" t="s">
        <v>794</v>
      </c>
      <c r="L127" s="25" t="s">
        <v>795</v>
      </c>
      <c r="M127" s="25" t="s">
        <v>23</v>
      </c>
      <c r="N127" s="25" t="s">
        <v>796</v>
      </c>
      <c r="O127" s="25" t="s">
        <v>797</v>
      </c>
    </row>
    <row r="128" spans="1:15" ht="21" x14ac:dyDescent="0.3">
      <c r="A128" s="19"/>
      <c r="B128" s="20"/>
      <c r="C128" s="20"/>
      <c r="D128" s="20"/>
      <c r="E128" s="20"/>
      <c r="F128" s="21"/>
      <c r="G128" s="22"/>
      <c r="H128" s="18" t="s">
        <v>798</v>
      </c>
      <c r="I128" s="23" t="s">
        <v>799</v>
      </c>
      <c r="J128" s="24" t="s">
        <v>20</v>
      </c>
      <c r="K128" s="25" t="s">
        <v>800</v>
      </c>
      <c r="L128" s="25" t="s">
        <v>801</v>
      </c>
      <c r="M128" s="25" t="s">
        <v>23</v>
      </c>
      <c r="N128" s="25" t="s">
        <v>802</v>
      </c>
      <c r="O128" s="25" t="s">
        <v>803</v>
      </c>
    </row>
    <row r="129" spans="1:15" ht="21" x14ac:dyDescent="0.3">
      <c r="A129" s="19"/>
      <c r="B129" s="20"/>
      <c r="C129" s="20"/>
      <c r="D129" s="20"/>
      <c r="E129" s="20"/>
      <c r="F129" s="21"/>
      <c r="G129" s="22"/>
      <c r="H129" s="18" t="s">
        <v>804</v>
      </c>
      <c r="I129" s="23" t="s">
        <v>805</v>
      </c>
      <c r="J129" s="24" t="s">
        <v>20</v>
      </c>
      <c r="K129" s="25" t="s">
        <v>806</v>
      </c>
      <c r="L129" s="25" t="s">
        <v>807</v>
      </c>
      <c r="M129" s="25" t="s">
        <v>23</v>
      </c>
      <c r="N129" s="25" t="s">
        <v>808</v>
      </c>
      <c r="O129" s="25" t="s">
        <v>809</v>
      </c>
    </row>
    <row r="130" spans="1:15" ht="21" x14ac:dyDescent="0.3">
      <c r="A130" s="19"/>
      <c r="B130" s="20"/>
      <c r="C130" s="20"/>
      <c r="D130" s="20"/>
      <c r="E130" s="20"/>
      <c r="F130" s="21"/>
      <c r="G130" s="22"/>
      <c r="H130" s="18" t="s">
        <v>810</v>
      </c>
      <c r="I130" s="23" t="s">
        <v>811</v>
      </c>
      <c r="J130" s="24" t="s">
        <v>20</v>
      </c>
      <c r="K130" s="25" t="s">
        <v>812</v>
      </c>
      <c r="L130" s="25" t="s">
        <v>813</v>
      </c>
      <c r="M130" s="25" t="s">
        <v>23</v>
      </c>
      <c r="N130" s="25" t="s">
        <v>814</v>
      </c>
      <c r="O130" s="25" t="s">
        <v>815</v>
      </c>
    </row>
    <row r="131" spans="1:15" ht="21" x14ac:dyDescent="0.3">
      <c r="A131" s="19"/>
      <c r="B131" s="20"/>
      <c r="C131" s="20"/>
      <c r="D131" s="20"/>
      <c r="E131" s="20"/>
      <c r="F131" s="21"/>
      <c r="G131" s="22"/>
      <c r="H131" s="18" t="s">
        <v>816</v>
      </c>
      <c r="I131" s="23" t="s">
        <v>817</v>
      </c>
      <c r="J131" s="24" t="s">
        <v>20</v>
      </c>
      <c r="K131" s="25" t="s">
        <v>818</v>
      </c>
      <c r="L131" s="25" t="s">
        <v>819</v>
      </c>
      <c r="M131" s="25" t="s">
        <v>23</v>
      </c>
      <c r="N131" s="25" t="s">
        <v>820</v>
      </c>
      <c r="O131" s="25" t="s">
        <v>821</v>
      </c>
    </row>
    <row r="132" spans="1:15" ht="21" x14ac:dyDescent="0.3">
      <c r="A132" s="19"/>
      <c r="B132" s="20"/>
      <c r="C132" s="20"/>
      <c r="D132" s="20"/>
      <c r="E132" s="20"/>
      <c r="F132" s="21"/>
      <c r="G132" s="22" t="s">
        <v>822</v>
      </c>
      <c r="H132" s="18" t="s">
        <v>823</v>
      </c>
      <c r="I132" s="23" t="s">
        <v>824</v>
      </c>
      <c r="J132" s="24" t="s">
        <v>28</v>
      </c>
      <c r="K132" s="25" t="s">
        <v>825</v>
      </c>
      <c r="L132" s="25" t="s">
        <v>826</v>
      </c>
      <c r="M132" s="25" t="s">
        <v>23</v>
      </c>
      <c r="N132" s="25" t="s">
        <v>827</v>
      </c>
      <c r="O132" s="25" t="s">
        <v>828</v>
      </c>
    </row>
    <row r="133" spans="1:15" ht="21" x14ac:dyDescent="0.3">
      <c r="A133" s="19"/>
      <c r="B133" s="20"/>
      <c r="C133" s="20"/>
      <c r="D133" s="20"/>
      <c r="E133" s="20"/>
      <c r="F133" s="21"/>
      <c r="G133" s="22"/>
      <c r="H133" s="18" t="s">
        <v>829</v>
      </c>
      <c r="I133" s="23" t="s">
        <v>830</v>
      </c>
      <c r="J133" s="24" t="s">
        <v>20</v>
      </c>
      <c r="K133" s="25" t="s">
        <v>831</v>
      </c>
      <c r="L133" s="25" t="s">
        <v>832</v>
      </c>
      <c r="M133" s="25" t="s">
        <v>23</v>
      </c>
      <c r="N133" s="25" t="s">
        <v>833</v>
      </c>
      <c r="O133" s="25" t="s">
        <v>834</v>
      </c>
    </row>
    <row r="134" spans="1:15" ht="21" x14ac:dyDescent="0.3">
      <c r="A134" s="19"/>
      <c r="B134" s="20"/>
      <c r="C134" s="20"/>
      <c r="D134" s="20"/>
      <c r="E134" s="20"/>
      <c r="F134" s="21"/>
      <c r="G134" s="22"/>
      <c r="H134" s="18" t="s">
        <v>835</v>
      </c>
      <c r="I134" s="23" t="s">
        <v>836</v>
      </c>
      <c r="J134" s="24" t="s">
        <v>20</v>
      </c>
      <c r="K134" s="25" t="s">
        <v>837</v>
      </c>
      <c r="L134" s="25" t="s">
        <v>838</v>
      </c>
      <c r="M134" s="25" t="s">
        <v>23</v>
      </c>
      <c r="N134" s="25" t="s">
        <v>839</v>
      </c>
      <c r="O134" s="25" t="s">
        <v>840</v>
      </c>
    </row>
    <row r="135" spans="1:15" ht="21" x14ac:dyDescent="0.3">
      <c r="A135" s="19"/>
      <c r="B135" s="20"/>
      <c r="C135" s="20"/>
      <c r="D135" s="20"/>
      <c r="E135" s="20"/>
      <c r="F135" s="21"/>
      <c r="G135" s="22"/>
      <c r="H135" s="18" t="s">
        <v>841</v>
      </c>
      <c r="I135" s="23" t="s">
        <v>842</v>
      </c>
      <c r="J135" s="24" t="s">
        <v>20</v>
      </c>
      <c r="K135" s="25" t="s">
        <v>843</v>
      </c>
      <c r="L135" s="25" t="s">
        <v>844</v>
      </c>
      <c r="M135" s="25" t="s">
        <v>23</v>
      </c>
      <c r="N135" s="25" t="s">
        <v>845</v>
      </c>
      <c r="O135" s="25" t="s">
        <v>846</v>
      </c>
    </row>
    <row r="136" spans="1:15" ht="21" x14ac:dyDescent="0.3">
      <c r="A136" s="19"/>
      <c r="B136" s="20"/>
      <c r="C136" s="20"/>
      <c r="D136" s="20"/>
      <c r="E136" s="20"/>
      <c r="F136" s="21"/>
      <c r="G136" s="22"/>
      <c r="H136" s="18" t="s">
        <v>847</v>
      </c>
      <c r="I136" s="23" t="s">
        <v>848</v>
      </c>
      <c r="J136" s="24" t="s">
        <v>20</v>
      </c>
      <c r="K136" s="25" t="s">
        <v>849</v>
      </c>
      <c r="L136" s="25" t="s">
        <v>850</v>
      </c>
      <c r="M136" s="25" t="s">
        <v>23</v>
      </c>
      <c r="N136" s="25" t="s">
        <v>851</v>
      </c>
      <c r="O136" s="25" t="s">
        <v>852</v>
      </c>
    </row>
    <row r="137" spans="1:15" ht="21" x14ac:dyDescent="0.3">
      <c r="A137" s="19"/>
      <c r="B137" s="20"/>
      <c r="C137" s="20"/>
      <c r="D137" s="20"/>
      <c r="E137" s="20"/>
      <c r="F137" s="21"/>
      <c r="G137" s="22" t="s">
        <v>853</v>
      </c>
      <c r="H137" s="18" t="s">
        <v>854</v>
      </c>
      <c r="I137" s="23" t="s">
        <v>855</v>
      </c>
      <c r="J137" s="24" t="s">
        <v>28</v>
      </c>
      <c r="K137" s="25" t="s">
        <v>856</v>
      </c>
      <c r="L137" s="25" t="s">
        <v>857</v>
      </c>
      <c r="M137" s="25" t="s">
        <v>23</v>
      </c>
      <c r="N137" s="25" t="s">
        <v>858</v>
      </c>
      <c r="O137" s="25" t="s">
        <v>859</v>
      </c>
    </row>
    <row r="138" spans="1:15" ht="21" x14ac:dyDescent="0.3">
      <c r="A138" s="19"/>
      <c r="B138" s="20"/>
      <c r="C138" s="20"/>
      <c r="D138" s="20"/>
      <c r="E138" s="20"/>
      <c r="F138" s="21"/>
      <c r="G138" s="22"/>
      <c r="H138" s="18" t="s">
        <v>523</v>
      </c>
      <c r="I138" s="23" t="s">
        <v>860</v>
      </c>
      <c r="J138" s="24" t="s">
        <v>20</v>
      </c>
      <c r="K138" s="25" t="s">
        <v>861</v>
      </c>
      <c r="L138" s="25" t="s">
        <v>862</v>
      </c>
      <c r="M138" s="25" t="s">
        <v>23</v>
      </c>
      <c r="N138" s="25" t="s">
        <v>863</v>
      </c>
      <c r="O138" s="25" t="s">
        <v>864</v>
      </c>
    </row>
    <row r="139" spans="1:15" ht="21" x14ac:dyDescent="0.3">
      <c r="A139" s="19"/>
      <c r="B139" s="20"/>
      <c r="C139" s="20"/>
      <c r="D139" s="20"/>
      <c r="E139" s="20"/>
      <c r="F139" s="21"/>
      <c r="G139" s="22"/>
      <c r="H139" s="18" t="s">
        <v>865</v>
      </c>
      <c r="I139" s="23" t="s">
        <v>866</v>
      </c>
      <c r="J139" s="24" t="s">
        <v>20</v>
      </c>
      <c r="K139" s="25" t="s">
        <v>867</v>
      </c>
      <c r="L139" s="25" t="s">
        <v>868</v>
      </c>
      <c r="M139" s="25" t="s">
        <v>23</v>
      </c>
      <c r="N139" s="25" t="s">
        <v>869</v>
      </c>
      <c r="O139" s="25" t="s">
        <v>870</v>
      </c>
    </row>
    <row r="140" spans="1:15" ht="21" x14ac:dyDescent="0.3">
      <c r="A140" s="19"/>
      <c r="B140" s="20"/>
      <c r="C140" s="20"/>
      <c r="D140" s="20"/>
      <c r="E140" s="20"/>
      <c r="F140" s="21"/>
      <c r="G140" s="22"/>
      <c r="H140" s="18" t="s">
        <v>871</v>
      </c>
      <c r="I140" s="23" t="s">
        <v>872</v>
      </c>
      <c r="J140" s="24" t="s">
        <v>20</v>
      </c>
      <c r="K140" s="25" t="s">
        <v>873</v>
      </c>
      <c r="L140" s="25" t="s">
        <v>874</v>
      </c>
      <c r="M140" s="25" t="s">
        <v>23</v>
      </c>
      <c r="N140" s="25" t="s">
        <v>875</v>
      </c>
      <c r="O140" s="25" t="s">
        <v>876</v>
      </c>
    </row>
    <row r="141" spans="1:15" ht="21" x14ac:dyDescent="0.3">
      <c r="A141" s="19"/>
      <c r="B141" s="20"/>
      <c r="C141" s="20"/>
      <c r="D141" s="20"/>
      <c r="E141" s="20"/>
      <c r="F141" s="21"/>
      <c r="G141" s="22"/>
      <c r="H141" s="18" t="s">
        <v>541</v>
      </c>
      <c r="I141" s="23" t="s">
        <v>877</v>
      </c>
      <c r="J141" s="24" t="s">
        <v>20</v>
      </c>
      <c r="K141" s="25" t="s">
        <v>878</v>
      </c>
      <c r="L141" s="25" t="s">
        <v>879</v>
      </c>
      <c r="M141" s="25" t="s">
        <v>23</v>
      </c>
      <c r="N141" s="25" t="s">
        <v>880</v>
      </c>
      <c r="O141" s="25" t="s">
        <v>881</v>
      </c>
    </row>
    <row r="142" spans="1:15" ht="21" x14ac:dyDescent="0.3">
      <c r="A142" s="19"/>
      <c r="B142" s="20"/>
      <c r="C142" s="20"/>
      <c r="D142" s="20"/>
      <c r="E142" s="20"/>
      <c r="F142" s="21"/>
      <c r="G142" s="22" t="s">
        <v>882</v>
      </c>
      <c r="H142" s="18" t="s">
        <v>883</v>
      </c>
      <c r="I142" s="23" t="s">
        <v>884</v>
      </c>
      <c r="J142" s="24" t="s">
        <v>28</v>
      </c>
      <c r="K142" s="25" t="s">
        <v>885</v>
      </c>
      <c r="L142" s="25" t="s">
        <v>886</v>
      </c>
      <c r="M142" s="25" t="s">
        <v>23</v>
      </c>
      <c r="N142" s="25" t="s">
        <v>887</v>
      </c>
      <c r="O142" s="25" t="s">
        <v>888</v>
      </c>
    </row>
    <row r="143" spans="1:15" ht="21" x14ac:dyDescent="0.3">
      <c r="A143" s="19"/>
      <c r="B143" s="20"/>
      <c r="C143" s="20"/>
      <c r="D143" s="20"/>
      <c r="E143" s="20"/>
      <c r="F143" s="21"/>
      <c r="G143" s="22"/>
      <c r="H143" s="18" t="s">
        <v>523</v>
      </c>
      <c r="I143" s="23" t="s">
        <v>889</v>
      </c>
      <c r="J143" s="24" t="s">
        <v>20</v>
      </c>
      <c r="K143" s="25" t="s">
        <v>890</v>
      </c>
      <c r="L143" s="25" t="s">
        <v>891</v>
      </c>
      <c r="M143" s="25" t="s">
        <v>23</v>
      </c>
      <c r="N143" s="25" t="s">
        <v>892</v>
      </c>
      <c r="O143" s="25" t="s">
        <v>893</v>
      </c>
    </row>
    <row r="144" spans="1:15" ht="21" x14ac:dyDescent="0.3">
      <c r="A144" s="19"/>
      <c r="B144" s="20"/>
      <c r="C144" s="20"/>
      <c r="D144" s="20"/>
      <c r="E144" s="20"/>
      <c r="F144" s="21"/>
      <c r="G144" s="22"/>
      <c r="H144" s="18" t="s">
        <v>865</v>
      </c>
      <c r="I144" s="23" t="s">
        <v>894</v>
      </c>
      <c r="J144" s="24" t="s">
        <v>20</v>
      </c>
      <c r="K144" s="25" t="s">
        <v>895</v>
      </c>
      <c r="L144" s="25" t="s">
        <v>896</v>
      </c>
      <c r="M144" s="25" t="s">
        <v>23</v>
      </c>
      <c r="N144" s="25" t="s">
        <v>897</v>
      </c>
      <c r="O144" s="25" t="s">
        <v>898</v>
      </c>
    </row>
    <row r="145" spans="1:15" ht="21" x14ac:dyDescent="0.3">
      <c r="A145" s="19"/>
      <c r="B145" s="20"/>
      <c r="C145" s="20"/>
      <c r="D145" s="20"/>
      <c r="E145" s="20"/>
      <c r="F145" s="21"/>
      <c r="G145" s="22"/>
      <c r="H145" s="18" t="s">
        <v>871</v>
      </c>
      <c r="I145" s="23" t="s">
        <v>899</v>
      </c>
      <c r="J145" s="24" t="s">
        <v>20</v>
      </c>
      <c r="K145" s="25" t="s">
        <v>900</v>
      </c>
      <c r="L145" s="25" t="s">
        <v>901</v>
      </c>
      <c r="M145" s="25" t="s">
        <v>23</v>
      </c>
      <c r="N145" s="25" t="s">
        <v>902</v>
      </c>
      <c r="O145" s="25" t="s">
        <v>903</v>
      </c>
    </row>
    <row r="146" spans="1:15" ht="21" x14ac:dyDescent="0.3">
      <c r="A146" s="19"/>
      <c r="B146" s="20"/>
      <c r="C146" s="20"/>
      <c r="D146" s="20"/>
      <c r="E146" s="20"/>
      <c r="F146" s="21"/>
      <c r="G146" s="22"/>
      <c r="H146" s="18" t="s">
        <v>541</v>
      </c>
      <c r="I146" s="23" t="s">
        <v>904</v>
      </c>
      <c r="J146" s="24" t="s">
        <v>20</v>
      </c>
      <c r="K146" s="25" t="s">
        <v>905</v>
      </c>
      <c r="L146" s="25" t="s">
        <v>906</v>
      </c>
      <c r="M146" s="25" t="s">
        <v>23</v>
      </c>
      <c r="N146" s="25" t="s">
        <v>907</v>
      </c>
      <c r="O146" s="25" t="s">
        <v>908</v>
      </c>
    </row>
    <row r="147" spans="1:15" ht="21" x14ac:dyDescent="0.3">
      <c r="A147" s="19"/>
      <c r="B147" s="20"/>
      <c r="C147" s="20"/>
      <c r="D147" s="20"/>
      <c r="E147" s="20"/>
      <c r="F147" s="21"/>
      <c r="G147" s="22" t="s">
        <v>909</v>
      </c>
      <c r="H147" s="18" t="s">
        <v>910</v>
      </c>
      <c r="I147" s="23" t="s">
        <v>911</v>
      </c>
      <c r="J147" s="24" t="s">
        <v>28</v>
      </c>
      <c r="K147" s="25" t="s">
        <v>912</v>
      </c>
      <c r="L147" s="25" t="s">
        <v>913</v>
      </c>
      <c r="M147" s="25" t="s">
        <v>23</v>
      </c>
      <c r="N147" s="25" t="s">
        <v>914</v>
      </c>
      <c r="O147" s="25" t="s">
        <v>915</v>
      </c>
    </row>
    <row r="148" spans="1:15" ht="21" x14ac:dyDescent="0.3">
      <c r="A148" s="19"/>
      <c r="B148" s="20"/>
      <c r="C148" s="20"/>
      <c r="D148" s="20"/>
      <c r="E148" s="20"/>
      <c r="F148" s="21"/>
      <c r="G148" s="22"/>
      <c r="H148" s="18" t="s">
        <v>916</v>
      </c>
      <c r="I148" s="23" t="s">
        <v>917</v>
      </c>
      <c r="J148" s="24" t="s">
        <v>20</v>
      </c>
      <c r="K148" s="25" t="s">
        <v>918</v>
      </c>
      <c r="L148" s="25" t="s">
        <v>919</v>
      </c>
      <c r="M148" s="25" t="s">
        <v>23</v>
      </c>
      <c r="N148" s="25" t="s">
        <v>920</v>
      </c>
      <c r="O148" s="25" t="s">
        <v>921</v>
      </c>
    </row>
    <row r="149" spans="1:15" ht="21" x14ac:dyDescent="0.3">
      <c r="A149" s="19"/>
      <c r="B149" s="20"/>
      <c r="C149" s="20"/>
      <c r="D149" s="20"/>
      <c r="E149" s="20"/>
      <c r="F149" s="21"/>
      <c r="G149" s="22"/>
      <c r="H149" s="18" t="s">
        <v>922</v>
      </c>
      <c r="I149" s="23" t="s">
        <v>923</v>
      </c>
      <c r="J149" s="24" t="s">
        <v>20</v>
      </c>
      <c r="K149" s="25" t="s">
        <v>924</v>
      </c>
      <c r="L149" s="25" t="s">
        <v>925</v>
      </c>
      <c r="M149" s="25" t="s">
        <v>23</v>
      </c>
      <c r="N149" s="25" t="s">
        <v>926</v>
      </c>
      <c r="O149" s="25" t="s">
        <v>927</v>
      </c>
    </row>
    <row r="150" spans="1:15" ht="21" x14ac:dyDescent="0.3">
      <c r="A150" s="19"/>
      <c r="B150" s="20"/>
      <c r="C150" s="20"/>
      <c r="D150" s="20"/>
      <c r="E150" s="20"/>
      <c r="F150" s="21"/>
      <c r="G150" s="22"/>
      <c r="H150" s="18" t="s">
        <v>928</v>
      </c>
      <c r="I150" s="23" t="s">
        <v>929</v>
      </c>
      <c r="J150" s="24" t="s">
        <v>20</v>
      </c>
      <c r="K150" s="25" t="s">
        <v>930</v>
      </c>
      <c r="L150" s="25" t="s">
        <v>931</v>
      </c>
      <c r="M150" s="25" t="s">
        <v>23</v>
      </c>
      <c r="N150" s="25" t="s">
        <v>932</v>
      </c>
      <c r="O150" s="25" t="s">
        <v>933</v>
      </c>
    </row>
    <row r="151" spans="1:15" ht="21" x14ac:dyDescent="0.3">
      <c r="A151" s="19"/>
      <c r="B151" s="20"/>
      <c r="C151" s="20"/>
      <c r="D151" s="20"/>
      <c r="E151" s="20"/>
      <c r="F151" s="21"/>
      <c r="G151" s="22"/>
      <c r="H151" s="18" t="s">
        <v>934</v>
      </c>
      <c r="I151" s="23" t="s">
        <v>935</v>
      </c>
      <c r="J151" s="24" t="s">
        <v>20</v>
      </c>
      <c r="K151" s="25" t="s">
        <v>936</v>
      </c>
      <c r="L151" s="25" t="s">
        <v>937</v>
      </c>
      <c r="M151" s="25" t="s">
        <v>23</v>
      </c>
      <c r="N151" s="25" t="s">
        <v>938</v>
      </c>
      <c r="O151" s="25" t="s">
        <v>939</v>
      </c>
    </row>
    <row r="152" spans="1:15" ht="21" x14ac:dyDescent="0.3">
      <c r="A152" s="19"/>
      <c r="B152" s="20"/>
      <c r="C152" s="20"/>
      <c r="D152" s="20"/>
      <c r="E152" s="20"/>
      <c r="F152" s="21"/>
      <c r="G152" s="22" t="s">
        <v>940</v>
      </c>
      <c r="H152" s="18" t="s">
        <v>941</v>
      </c>
      <c r="I152" s="23" t="s">
        <v>942</v>
      </c>
      <c r="J152" s="24" t="s">
        <v>28</v>
      </c>
      <c r="K152" s="25" t="s">
        <v>943</v>
      </c>
      <c r="L152" s="25" t="s">
        <v>944</v>
      </c>
      <c r="M152" s="25" t="s">
        <v>23</v>
      </c>
      <c r="N152" s="25" t="s">
        <v>945</v>
      </c>
      <c r="O152" s="25" t="s">
        <v>946</v>
      </c>
    </row>
    <row r="153" spans="1:15" ht="21" x14ac:dyDescent="0.3">
      <c r="A153" s="19"/>
      <c r="B153" s="20"/>
      <c r="C153" s="20"/>
      <c r="D153" s="20"/>
      <c r="E153" s="20"/>
      <c r="F153" s="21"/>
      <c r="G153" s="22"/>
      <c r="H153" s="18" t="s">
        <v>947</v>
      </c>
      <c r="I153" s="23" t="s">
        <v>948</v>
      </c>
      <c r="J153" s="24" t="s">
        <v>20</v>
      </c>
      <c r="K153" s="25" t="s">
        <v>949</v>
      </c>
      <c r="L153" s="25" t="s">
        <v>950</v>
      </c>
      <c r="M153" s="25" t="s">
        <v>23</v>
      </c>
      <c r="N153" s="25" t="s">
        <v>951</v>
      </c>
      <c r="O153" s="25" t="s">
        <v>952</v>
      </c>
    </row>
    <row r="154" spans="1:15" ht="21" x14ac:dyDescent="0.3">
      <c r="A154" s="19"/>
      <c r="B154" s="20"/>
      <c r="C154" s="20"/>
      <c r="D154" s="20"/>
      <c r="E154" s="20"/>
      <c r="F154" s="21"/>
      <c r="G154" s="22"/>
      <c r="H154" s="18" t="s">
        <v>953</v>
      </c>
      <c r="I154" s="23" t="s">
        <v>954</v>
      </c>
      <c r="J154" s="24" t="s">
        <v>20</v>
      </c>
      <c r="K154" s="25" t="s">
        <v>955</v>
      </c>
      <c r="L154" s="25" t="s">
        <v>956</v>
      </c>
      <c r="M154" s="25" t="s">
        <v>23</v>
      </c>
      <c r="N154" s="25" t="s">
        <v>957</v>
      </c>
      <c r="O154" s="25" t="s">
        <v>958</v>
      </c>
    </row>
    <row r="155" spans="1:15" ht="21" x14ac:dyDescent="0.3">
      <c r="A155" s="19"/>
      <c r="B155" s="20"/>
      <c r="C155" s="20"/>
      <c r="D155" s="20"/>
      <c r="E155" s="20"/>
      <c r="F155" s="21"/>
      <c r="G155" s="22"/>
      <c r="H155" s="18" t="s">
        <v>959</v>
      </c>
      <c r="I155" s="23" t="s">
        <v>960</v>
      </c>
      <c r="J155" s="24" t="s">
        <v>20</v>
      </c>
      <c r="K155" s="25" t="s">
        <v>961</v>
      </c>
      <c r="L155" s="25" t="s">
        <v>962</v>
      </c>
      <c r="M155" s="25" t="s">
        <v>31</v>
      </c>
      <c r="N155" s="25" t="s">
        <v>963</v>
      </c>
      <c r="O155" s="25" t="s">
        <v>964</v>
      </c>
    </row>
    <row r="156" spans="1:15" ht="21" x14ac:dyDescent="0.3">
      <c r="A156" s="19"/>
      <c r="B156" s="20"/>
      <c r="C156" s="20"/>
      <c r="D156" s="20"/>
      <c r="E156" s="20"/>
      <c r="F156" s="21"/>
      <c r="G156" s="22"/>
      <c r="H156" s="18" t="s">
        <v>634</v>
      </c>
      <c r="I156" s="23" t="s">
        <v>635</v>
      </c>
      <c r="J156" s="24" t="s">
        <v>20</v>
      </c>
      <c r="K156" s="25" t="s">
        <v>965</v>
      </c>
      <c r="L156" s="25" t="s">
        <v>966</v>
      </c>
      <c r="M156" s="25" t="s">
        <v>23</v>
      </c>
      <c r="N156" s="25" t="s">
        <v>967</v>
      </c>
      <c r="O156" s="25" t="s">
        <v>968</v>
      </c>
    </row>
    <row r="157" spans="1:15" ht="21" x14ac:dyDescent="0.3">
      <c r="A157" s="19"/>
      <c r="B157" s="20"/>
      <c r="C157" s="20"/>
      <c r="D157" s="20"/>
      <c r="E157" s="20"/>
      <c r="F157" s="21"/>
      <c r="G157" s="22" t="s">
        <v>969</v>
      </c>
      <c r="H157" s="18" t="s">
        <v>970</v>
      </c>
      <c r="I157" s="23" t="s">
        <v>971</v>
      </c>
      <c r="J157" s="24" t="s">
        <v>28</v>
      </c>
      <c r="K157" s="25" t="s">
        <v>972</v>
      </c>
      <c r="L157" s="25" t="s">
        <v>973</v>
      </c>
      <c r="M157" s="25" t="s">
        <v>23</v>
      </c>
      <c r="N157" s="25" t="s">
        <v>974</v>
      </c>
      <c r="O157" s="25" t="s">
        <v>975</v>
      </c>
    </row>
    <row r="158" spans="1:15" ht="21" x14ac:dyDescent="0.3">
      <c r="A158" s="19"/>
      <c r="B158" s="20"/>
      <c r="C158" s="20"/>
      <c r="D158" s="20"/>
      <c r="E158" s="20"/>
      <c r="F158" s="21"/>
      <c r="G158" s="22"/>
      <c r="H158" s="18" t="s">
        <v>976</v>
      </c>
      <c r="I158" s="23" t="s">
        <v>977</v>
      </c>
      <c r="J158" s="24" t="s">
        <v>20</v>
      </c>
      <c r="K158" s="25" t="s">
        <v>978</v>
      </c>
      <c r="L158" s="25" t="s">
        <v>979</v>
      </c>
      <c r="M158" s="25" t="s">
        <v>23</v>
      </c>
      <c r="N158" s="25" t="s">
        <v>980</v>
      </c>
      <c r="O158" s="25" t="s">
        <v>981</v>
      </c>
    </row>
    <row r="159" spans="1:15" ht="21" x14ac:dyDescent="0.3">
      <c r="A159" s="19"/>
      <c r="B159" s="20"/>
      <c r="C159" s="20"/>
      <c r="D159" s="20"/>
      <c r="E159" s="20"/>
      <c r="F159" s="21"/>
      <c r="G159" s="22"/>
      <c r="H159" s="18" t="s">
        <v>982</v>
      </c>
      <c r="I159" s="23" t="s">
        <v>983</v>
      </c>
      <c r="J159" s="24" t="s">
        <v>20</v>
      </c>
      <c r="K159" s="25" t="s">
        <v>984</v>
      </c>
      <c r="L159" s="25" t="s">
        <v>985</v>
      </c>
      <c r="M159" s="25" t="s">
        <v>23</v>
      </c>
      <c r="N159" s="25" t="s">
        <v>986</v>
      </c>
      <c r="O159" s="25" t="s">
        <v>987</v>
      </c>
    </row>
    <row r="160" spans="1:15" ht="21" x14ac:dyDescent="0.3">
      <c r="A160" s="19"/>
      <c r="B160" s="20"/>
      <c r="C160" s="20"/>
      <c r="D160" s="20"/>
      <c r="E160" s="20"/>
      <c r="F160" s="21"/>
      <c r="G160" s="22"/>
      <c r="H160" s="18" t="s">
        <v>988</v>
      </c>
      <c r="I160" s="23" t="s">
        <v>989</v>
      </c>
      <c r="J160" s="24" t="s">
        <v>20</v>
      </c>
      <c r="K160" s="25" t="s">
        <v>990</v>
      </c>
      <c r="L160" s="25" t="s">
        <v>991</v>
      </c>
      <c r="M160" s="25" t="s">
        <v>23</v>
      </c>
      <c r="N160" s="25" t="s">
        <v>992</v>
      </c>
      <c r="O160" s="25" t="s">
        <v>993</v>
      </c>
    </row>
    <row r="161" spans="1:15" ht="21" x14ac:dyDescent="0.3">
      <c r="A161" s="19"/>
      <c r="B161" s="20"/>
      <c r="C161" s="20"/>
      <c r="D161" s="20"/>
      <c r="E161" s="20"/>
      <c r="F161" s="21"/>
      <c r="G161" s="22"/>
      <c r="H161" s="18" t="s">
        <v>634</v>
      </c>
      <c r="I161" s="23" t="s">
        <v>635</v>
      </c>
      <c r="J161" s="24" t="s">
        <v>20</v>
      </c>
      <c r="K161" s="25" t="s">
        <v>994</v>
      </c>
      <c r="L161" s="25" t="s">
        <v>995</v>
      </c>
      <c r="M161" s="25" t="s">
        <v>23</v>
      </c>
      <c r="N161" s="25" t="s">
        <v>996</v>
      </c>
      <c r="O161" s="25" t="s">
        <v>997</v>
      </c>
    </row>
    <row r="162" spans="1:15" ht="21" x14ac:dyDescent="0.3">
      <c r="A162" s="19"/>
      <c r="B162" s="20"/>
      <c r="C162" s="20"/>
      <c r="D162" s="20"/>
      <c r="E162" s="20"/>
      <c r="F162" s="21"/>
      <c r="G162" s="22" t="s">
        <v>998</v>
      </c>
      <c r="H162" s="18" t="s">
        <v>999</v>
      </c>
      <c r="I162" s="23" t="s">
        <v>1000</v>
      </c>
      <c r="J162" s="24" t="s">
        <v>28</v>
      </c>
      <c r="K162" s="25" t="s">
        <v>1001</v>
      </c>
      <c r="L162" s="25" t="s">
        <v>1002</v>
      </c>
      <c r="M162" s="25" t="s">
        <v>23</v>
      </c>
      <c r="N162" s="25" t="s">
        <v>1003</v>
      </c>
      <c r="O162" s="25" t="s">
        <v>1004</v>
      </c>
    </row>
    <row r="163" spans="1:15" ht="21" x14ac:dyDescent="0.3">
      <c r="A163" s="19"/>
      <c r="B163" s="20"/>
      <c r="C163" s="20"/>
      <c r="D163" s="20"/>
      <c r="E163" s="20"/>
      <c r="F163" s="21"/>
      <c r="G163" s="22"/>
      <c r="H163" s="18" t="s">
        <v>1005</v>
      </c>
      <c r="I163" s="23" t="s">
        <v>1006</v>
      </c>
      <c r="J163" s="24" t="s">
        <v>20</v>
      </c>
      <c r="K163" s="25" t="s">
        <v>1007</v>
      </c>
      <c r="L163" s="25" t="s">
        <v>1008</v>
      </c>
      <c r="M163" s="25" t="s">
        <v>23</v>
      </c>
      <c r="N163" s="25" t="s">
        <v>1009</v>
      </c>
      <c r="O163" s="25" t="s">
        <v>1010</v>
      </c>
    </row>
    <row r="164" spans="1:15" ht="21" x14ac:dyDescent="0.3">
      <c r="A164" s="19"/>
      <c r="B164" s="20"/>
      <c r="C164" s="20"/>
      <c r="D164" s="20"/>
      <c r="E164" s="20"/>
      <c r="F164" s="21"/>
      <c r="G164" s="22"/>
      <c r="H164" s="18" t="s">
        <v>1011</v>
      </c>
      <c r="I164" s="23" t="s">
        <v>1012</v>
      </c>
      <c r="J164" s="24" t="s">
        <v>20</v>
      </c>
      <c r="K164" s="25" t="s">
        <v>1013</v>
      </c>
      <c r="L164" s="25" t="s">
        <v>1014</v>
      </c>
      <c r="M164" s="25" t="s">
        <v>23</v>
      </c>
      <c r="N164" s="25" t="s">
        <v>1015</v>
      </c>
      <c r="O164" s="25" t="s">
        <v>1016</v>
      </c>
    </row>
    <row r="165" spans="1:15" ht="21" x14ac:dyDescent="0.3">
      <c r="A165" s="19"/>
      <c r="B165" s="20"/>
      <c r="C165" s="20"/>
      <c r="D165" s="20"/>
      <c r="E165" s="20"/>
      <c r="F165" s="21"/>
      <c r="G165" s="22"/>
      <c r="H165" s="18" t="s">
        <v>1017</v>
      </c>
      <c r="I165" s="23" t="s">
        <v>1018</v>
      </c>
      <c r="J165" s="24" t="s">
        <v>20</v>
      </c>
      <c r="K165" s="25" t="s">
        <v>1019</v>
      </c>
      <c r="L165" s="25" t="s">
        <v>1020</v>
      </c>
      <c r="M165" s="25" t="s">
        <v>23</v>
      </c>
      <c r="N165" s="25" t="s">
        <v>1021</v>
      </c>
      <c r="O165" s="25" t="s">
        <v>1022</v>
      </c>
    </row>
    <row r="166" spans="1:15" ht="21" x14ac:dyDescent="0.3">
      <c r="A166" s="19"/>
      <c r="B166" s="20"/>
      <c r="C166" s="20"/>
      <c r="D166" s="20"/>
      <c r="E166" s="20"/>
      <c r="F166" s="21"/>
      <c r="G166" s="22"/>
      <c r="H166" s="18" t="s">
        <v>634</v>
      </c>
      <c r="I166" s="23" t="s">
        <v>635</v>
      </c>
      <c r="J166" s="24" t="s">
        <v>20</v>
      </c>
      <c r="K166" s="25" t="s">
        <v>1023</v>
      </c>
      <c r="L166" s="25" t="s">
        <v>1024</v>
      </c>
      <c r="M166" s="25" t="s">
        <v>23</v>
      </c>
      <c r="N166" s="25" t="s">
        <v>1025</v>
      </c>
      <c r="O166" s="25" t="s">
        <v>1026</v>
      </c>
    </row>
    <row r="167" spans="1:15" ht="21" x14ac:dyDescent="0.3">
      <c r="A167" s="19"/>
      <c r="B167" s="20"/>
      <c r="C167" s="20"/>
      <c r="D167" s="20"/>
      <c r="E167" s="20"/>
      <c r="F167" s="21"/>
      <c r="G167" s="22" t="s">
        <v>1027</v>
      </c>
      <c r="H167" s="18" t="s">
        <v>1028</v>
      </c>
      <c r="I167" s="23" t="s">
        <v>1029</v>
      </c>
      <c r="J167" s="24" t="s">
        <v>28</v>
      </c>
      <c r="K167" s="25" t="s">
        <v>1030</v>
      </c>
      <c r="L167" s="25" t="s">
        <v>1031</v>
      </c>
      <c r="M167" s="25" t="s">
        <v>23</v>
      </c>
      <c r="N167" s="25" t="s">
        <v>1032</v>
      </c>
      <c r="O167" s="25" t="s">
        <v>1033</v>
      </c>
    </row>
    <row r="168" spans="1:15" ht="21" x14ac:dyDescent="0.3">
      <c r="A168" s="19"/>
      <c r="B168" s="20"/>
      <c r="C168" s="20"/>
      <c r="D168" s="20"/>
      <c r="E168" s="20"/>
      <c r="F168" s="21"/>
      <c r="G168" s="22"/>
      <c r="H168" s="18" t="s">
        <v>947</v>
      </c>
      <c r="I168" s="23" t="s">
        <v>1034</v>
      </c>
      <c r="J168" s="24" t="s">
        <v>20</v>
      </c>
      <c r="K168" s="25" t="s">
        <v>1035</v>
      </c>
      <c r="L168" s="25" t="s">
        <v>1036</v>
      </c>
      <c r="M168" s="25" t="s">
        <v>23</v>
      </c>
      <c r="N168" s="25" t="s">
        <v>1037</v>
      </c>
      <c r="O168" s="25" t="s">
        <v>1038</v>
      </c>
    </row>
    <row r="169" spans="1:15" ht="21" x14ac:dyDescent="0.3">
      <c r="A169" s="19"/>
      <c r="B169" s="20"/>
      <c r="C169" s="20"/>
      <c r="D169" s="20"/>
      <c r="E169" s="20"/>
      <c r="F169" s="21"/>
      <c r="G169" s="22"/>
      <c r="H169" s="18" t="s">
        <v>953</v>
      </c>
      <c r="I169" s="23" t="s">
        <v>954</v>
      </c>
      <c r="J169" s="24" t="s">
        <v>20</v>
      </c>
      <c r="K169" s="25" t="s">
        <v>1039</v>
      </c>
      <c r="L169" s="25" t="s">
        <v>1040</v>
      </c>
      <c r="M169" s="25" t="s">
        <v>23</v>
      </c>
      <c r="N169" s="25" t="s">
        <v>1041</v>
      </c>
      <c r="O169" s="25" t="s">
        <v>1042</v>
      </c>
    </row>
    <row r="170" spans="1:15" ht="21" x14ac:dyDescent="0.3">
      <c r="A170" s="19"/>
      <c r="B170" s="20"/>
      <c r="C170" s="20"/>
      <c r="D170" s="20"/>
      <c r="E170" s="20"/>
      <c r="F170" s="21"/>
      <c r="G170" s="22"/>
      <c r="H170" s="18" t="s">
        <v>959</v>
      </c>
      <c r="I170" s="23" t="s">
        <v>960</v>
      </c>
      <c r="J170" s="24" t="s">
        <v>20</v>
      </c>
      <c r="K170" s="25" t="s">
        <v>1043</v>
      </c>
      <c r="L170" s="25" t="s">
        <v>1044</v>
      </c>
      <c r="M170" s="25" t="s">
        <v>23</v>
      </c>
      <c r="N170" s="25" t="s">
        <v>1045</v>
      </c>
      <c r="O170" s="25" t="s">
        <v>1046</v>
      </c>
    </row>
    <row r="171" spans="1:15" ht="21" x14ac:dyDescent="0.3">
      <c r="A171" s="19"/>
      <c r="B171" s="20"/>
      <c r="C171" s="20"/>
      <c r="D171" s="20"/>
      <c r="E171" s="20"/>
      <c r="F171" s="21"/>
      <c r="G171" s="22"/>
      <c r="H171" s="18" t="s">
        <v>634</v>
      </c>
      <c r="I171" s="23" t="s">
        <v>635</v>
      </c>
      <c r="J171" s="24" t="s">
        <v>20</v>
      </c>
      <c r="K171" s="25" t="s">
        <v>1047</v>
      </c>
      <c r="L171" s="25" t="s">
        <v>1048</v>
      </c>
      <c r="M171" s="25" t="s">
        <v>23</v>
      </c>
      <c r="N171" s="25" t="s">
        <v>1049</v>
      </c>
      <c r="O171" s="25" t="s">
        <v>1050</v>
      </c>
    </row>
    <row r="172" spans="1:15" ht="21" x14ac:dyDescent="0.3">
      <c r="A172" s="19"/>
      <c r="B172" s="20"/>
      <c r="C172" s="20"/>
      <c r="D172" s="20"/>
      <c r="E172" s="20"/>
      <c r="F172" s="21"/>
      <c r="G172" s="22" t="s">
        <v>1051</v>
      </c>
      <c r="H172" s="18" t="s">
        <v>1052</v>
      </c>
      <c r="I172" s="23" t="s">
        <v>1053</v>
      </c>
      <c r="J172" s="24" t="s">
        <v>28</v>
      </c>
      <c r="K172" s="25" t="s">
        <v>1054</v>
      </c>
      <c r="L172" s="25" t="s">
        <v>1055</v>
      </c>
      <c r="M172" s="25" t="s">
        <v>23</v>
      </c>
      <c r="N172" s="25" t="s">
        <v>1056</v>
      </c>
      <c r="O172" s="25" t="s">
        <v>1057</v>
      </c>
    </row>
    <row r="173" spans="1:15" ht="21" x14ac:dyDescent="0.3">
      <c r="A173" s="19"/>
      <c r="B173" s="20"/>
      <c r="C173" s="20"/>
      <c r="D173" s="20"/>
      <c r="E173" s="20"/>
      <c r="F173" s="21"/>
      <c r="G173" s="22"/>
      <c r="H173" s="18" t="s">
        <v>1058</v>
      </c>
      <c r="I173" s="23" t="s">
        <v>1059</v>
      </c>
      <c r="J173" s="24" t="s">
        <v>20</v>
      </c>
      <c r="K173" s="25" t="s">
        <v>1060</v>
      </c>
      <c r="L173" s="25" t="s">
        <v>1061</v>
      </c>
      <c r="M173" s="25" t="s">
        <v>23</v>
      </c>
      <c r="N173" s="25" t="s">
        <v>1062</v>
      </c>
      <c r="O173" s="25" t="s">
        <v>1063</v>
      </c>
    </row>
    <row r="174" spans="1:15" ht="21" x14ac:dyDescent="0.3">
      <c r="A174" s="19"/>
      <c r="B174" s="20"/>
      <c r="C174" s="20"/>
      <c r="D174" s="20"/>
      <c r="E174" s="20"/>
      <c r="F174" s="21"/>
      <c r="G174" s="22"/>
      <c r="H174" s="18" t="s">
        <v>1064</v>
      </c>
      <c r="I174" s="23" t="s">
        <v>1065</v>
      </c>
      <c r="J174" s="24" t="s">
        <v>20</v>
      </c>
      <c r="K174" s="25" t="s">
        <v>1066</v>
      </c>
      <c r="L174" s="25" t="s">
        <v>1067</v>
      </c>
      <c r="M174" s="25" t="s">
        <v>23</v>
      </c>
      <c r="N174" s="25" t="s">
        <v>1068</v>
      </c>
      <c r="O174" s="25" t="s">
        <v>1069</v>
      </c>
    </row>
    <row r="175" spans="1:15" ht="21" x14ac:dyDescent="0.3">
      <c r="A175" s="19"/>
      <c r="B175" s="20"/>
      <c r="C175" s="20"/>
      <c r="D175" s="20"/>
      <c r="E175" s="20"/>
      <c r="F175" s="21"/>
      <c r="G175" s="22"/>
      <c r="H175" s="18" t="s">
        <v>988</v>
      </c>
      <c r="I175" s="23" t="s">
        <v>989</v>
      </c>
      <c r="J175" s="24" t="s">
        <v>20</v>
      </c>
      <c r="K175" s="25" t="s">
        <v>1070</v>
      </c>
      <c r="L175" s="25" t="s">
        <v>1071</v>
      </c>
      <c r="M175" s="25" t="s">
        <v>23</v>
      </c>
      <c r="N175" s="25" t="s">
        <v>1072</v>
      </c>
      <c r="O175" s="25" t="s">
        <v>1073</v>
      </c>
    </row>
    <row r="176" spans="1:15" ht="21" x14ac:dyDescent="0.3">
      <c r="A176" s="19"/>
      <c r="B176" s="20"/>
      <c r="C176" s="20"/>
      <c r="D176" s="20"/>
      <c r="E176" s="20"/>
      <c r="F176" s="21"/>
      <c r="G176" s="22"/>
      <c r="H176" s="18" t="s">
        <v>634</v>
      </c>
      <c r="I176" s="23" t="s">
        <v>635</v>
      </c>
      <c r="J176" s="24" t="s">
        <v>20</v>
      </c>
      <c r="K176" s="25" t="s">
        <v>1074</v>
      </c>
      <c r="L176" s="25" t="s">
        <v>1075</v>
      </c>
      <c r="M176" s="25" t="s">
        <v>23</v>
      </c>
      <c r="N176" s="25" t="s">
        <v>1076</v>
      </c>
      <c r="O176" s="25" t="s">
        <v>1077</v>
      </c>
    </row>
    <row r="177" spans="1:15" ht="21" x14ac:dyDescent="0.3">
      <c r="A177" s="19"/>
      <c r="B177" s="20"/>
      <c r="C177" s="20"/>
      <c r="D177" s="20"/>
      <c r="E177" s="20"/>
      <c r="F177" s="21"/>
      <c r="G177" s="22" t="s">
        <v>1078</v>
      </c>
      <c r="H177" s="18" t="s">
        <v>1079</v>
      </c>
      <c r="I177" s="23" t="s">
        <v>1080</v>
      </c>
      <c r="J177" s="24" t="s">
        <v>28</v>
      </c>
      <c r="K177" s="25" t="s">
        <v>1081</v>
      </c>
      <c r="L177" s="25" t="s">
        <v>1082</v>
      </c>
      <c r="M177" s="25" t="s">
        <v>23</v>
      </c>
      <c r="N177" s="25" t="s">
        <v>1083</v>
      </c>
      <c r="O177" s="25" t="s">
        <v>1084</v>
      </c>
    </row>
    <row r="178" spans="1:15" ht="21" x14ac:dyDescent="0.3">
      <c r="A178" s="19"/>
      <c r="B178" s="20"/>
      <c r="C178" s="20"/>
      <c r="D178" s="20"/>
      <c r="E178" s="20"/>
      <c r="F178" s="21"/>
      <c r="G178" s="22"/>
      <c r="H178" s="18" t="s">
        <v>1085</v>
      </c>
      <c r="I178" s="23" t="s">
        <v>1086</v>
      </c>
      <c r="J178" s="24" t="s">
        <v>20</v>
      </c>
      <c r="K178" s="25" t="s">
        <v>1087</v>
      </c>
      <c r="L178" s="25" t="s">
        <v>1088</v>
      </c>
      <c r="M178" s="25" t="s">
        <v>23</v>
      </c>
      <c r="N178" s="25" t="s">
        <v>1089</v>
      </c>
      <c r="O178" s="25" t="s">
        <v>1090</v>
      </c>
    </row>
    <row r="179" spans="1:15" ht="21" x14ac:dyDescent="0.3">
      <c r="A179" s="19"/>
      <c r="B179" s="20"/>
      <c r="C179" s="20"/>
      <c r="D179" s="20"/>
      <c r="E179" s="20"/>
      <c r="F179" s="21"/>
      <c r="G179" s="22"/>
      <c r="H179" s="18" t="s">
        <v>1091</v>
      </c>
      <c r="I179" s="23" t="s">
        <v>1092</v>
      </c>
      <c r="J179" s="24" t="s">
        <v>20</v>
      </c>
      <c r="K179" s="25" t="s">
        <v>1093</v>
      </c>
      <c r="L179" s="25" t="s">
        <v>1094</v>
      </c>
      <c r="M179" s="25" t="s">
        <v>23</v>
      </c>
      <c r="N179" s="25" t="s">
        <v>1095</v>
      </c>
      <c r="O179" s="25" t="s">
        <v>1096</v>
      </c>
    </row>
    <row r="180" spans="1:15" ht="21" x14ac:dyDescent="0.3">
      <c r="A180" s="19"/>
      <c r="B180" s="20"/>
      <c r="C180" s="20"/>
      <c r="D180" s="20"/>
      <c r="E180" s="20"/>
      <c r="F180" s="21"/>
      <c r="G180" s="22"/>
      <c r="H180" s="18" t="s">
        <v>1097</v>
      </c>
      <c r="I180" s="23" t="s">
        <v>1098</v>
      </c>
      <c r="J180" s="24" t="s">
        <v>20</v>
      </c>
      <c r="K180" s="25" t="s">
        <v>1099</v>
      </c>
      <c r="L180" s="25" t="s">
        <v>1100</v>
      </c>
      <c r="M180" s="25" t="s">
        <v>23</v>
      </c>
      <c r="N180" s="25" t="s">
        <v>1101</v>
      </c>
      <c r="O180" s="25" t="s">
        <v>1102</v>
      </c>
    </row>
    <row r="181" spans="1:15" ht="21" x14ac:dyDescent="0.3">
      <c r="A181" s="19"/>
      <c r="B181" s="20"/>
      <c r="C181" s="20"/>
      <c r="D181" s="20"/>
      <c r="E181" s="20"/>
      <c r="F181" s="21"/>
      <c r="G181" s="22"/>
      <c r="H181" s="18" t="s">
        <v>634</v>
      </c>
      <c r="I181" s="23" t="s">
        <v>635</v>
      </c>
      <c r="J181" s="24" t="s">
        <v>20</v>
      </c>
      <c r="K181" s="25" t="s">
        <v>1103</v>
      </c>
      <c r="L181" s="25" t="s">
        <v>1104</v>
      </c>
      <c r="M181" s="25" t="s">
        <v>23</v>
      </c>
      <c r="N181" s="25" t="s">
        <v>1105</v>
      </c>
      <c r="O181" s="25" t="s">
        <v>1106</v>
      </c>
    </row>
    <row r="182" spans="1:15" ht="21" x14ac:dyDescent="0.3">
      <c r="A182" s="19"/>
      <c r="B182" s="20"/>
      <c r="C182" s="20"/>
      <c r="D182" s="20"/>
      <c r="E182" s="20"/>
      <c r="F182" s="21"/>
      <c r="G182" s="22" t="s">
        <v>1107</v>
      </c>
      <c r="H182" s="18" t="s">
        <v>1108</v>
      </c>
      <c r="I182" s="23" t="s">
        <v>1109</v>
      </c>
      <c r="J182" s="24" t="s">
        <v>28</v>
      </c>
      <c r="K182" s="25" t="s">
        <v>1110</v>
      </c>
      <c r="L182" s="25" t="s">
        <v>1111</v>
      </c>
      <c r="M182" s="25" t="s">
        <v>23</v>
      </c>
      <c r="N182" s="25" t="s">
        <v>1112</v>
      </c>
      <c r="O182" s="25" t="s">
        <v>1113</v>
      </c>
    </row>
    <row r="183" spans="1:15" ht="21" x14ac:dyDescent="0.3">
      <c r="A183" s="19"/>
      <c r="B183" s="20"/>
      <c r="C183" s="20"/>
      <c r="D183" s="20"/>
      <c r="E183" s="20"/>
      <c r="F183" s="21"/>
      <c r="G183" s="22"/>
      <c r="H183" s="18" t="s">
        <v>1114</v>
      </c>
      <c r="I183" s="23" t="s">
        <v>1115</v>
      </c>
      <c r="J183" s="24" t="s">
        <v>20</v>
      </c>
      <c r="K183" s="25" t="s">
        <v>1116</v>
      </c>
      <c r="L183" s="25" t="s">
        <v>1117</v>
      </c>
      <c r="M183" s="25" t="s">
        <v>23</v>
      </c>
      <c r="N183" s="25" t="s">
        <v>1118</v>
      </c>
      <c r="O183" s="25" t="s">
        <v>1119</v>
      </c>
    </row>
    <row r="184" spans="1:15" ht="21" x14ac:dyDescent="0.3">
      <c r="A184" s="19"/>
      <c r="B184" s="20"/>
      <c r="C184" s="20"/>
      <c r="D184" s="20"/>
      <c r="E184" s="20"/>
      <c r="F184" s="21"/>
      <c r="G184" s="22"/>
      <c r="H184" s="18" t="s">
        <v>1120</v>
      </c>
      <c r="I184" s="23" t="s">
        <v>1121</v>
      </c>
      <c r="J184" s="24" t="s">
        <v>20</v>
      </c>
      <c r="K184" s="25" t="s">
        <v>1122</v>
      </c>
      <c r="L184" s="25" t="s">
        <v>1123</v>
      </c>
      <c r="M184" s="25" t="s">
        <v>23</v>
      </c>
      <c r="N184" s="25" t="s">
        <v>1124</v>
      </c>
      <c r="O184" s="25" t="s">
        <v>1125</v>
      </c>
    </row>
    <row r="185" spans="1:15" ht="21" x14ac:dyDescent="0.3">
      <c r="A185" s="19"/>
      <c r="B185" s="20"/>
      <c r="C185" s="20"/>
      <c r="D185" s="20"/>
      <c r="E185" s="20"/>
      <c r="F185" s="21"/>
      <c r="G185" s="22"/>
      <c r="H185" s="18" t="s">
        <v>1126</v>
      </c>
      <c r="I185" s="23" t="s">
        <v>1127</v>
      </c>
      <c r="J185" s="24" t="s">
        <v>20</v>
      </c>
      <c r="K185" s="25" t="s">
        <v>1128</v>
      </c>
      <c r="L185" s="25" t="s">
        <v>1129</v>
      </c>
      <c r="M185" s="25" t="s">
        <v>23</v>
      </c>
      <c r="N185" s="25" t="s">
        <v>1130</v>
      </c>
      <c r="O185" s="25" t="s">
        <v>1131</v>
      </c>
    </row>
    <row r="186" spans="1:15" ht="21" x14ac:dyDescent="0.3">
      <c r="A186" s="19"/>
      <c r="B186" s="20"/>
      <c r="C186" s="20"/>
      <c r="D186" s="20"/>
      <c r="E186" s="20"/>
      <c r="F186" s="21"/>
      <c r="G186" s="22"/>
      <c r="H186" s="18" t="s">
        <v>634</v>
      </c>
      <c r="I186" s="23" t="s">
        <v>635</v>
      </c>
      <c r="J186" s="24" t="s">
        <v>20</v>
      </c>
      <c r="K186" s="25" t="s">
        <v>1132</v>
      </c>
      <c r="L186" s="25" t="s">
        <v>1133</v>
      </c>
      <c r="M186" s="25" t="s">
        <v>23</v>
      </c>
      <c r="N186" s="25" t="s">
        <v>1134</v>
      </c>
      <c r="O186" s="25" t="s">
        <v>1135</v>
      </c>
    </row>
    <row r="187" spans="1:15" ht="21" x14ac:dyDescent="0.3">
      <c r="A187" s="19"/>
      <c r="B187" s="20"/>
      <c r="C187" s="20"/>
      <c r="D187" s="20"/>
      <c r="E187" s="20"/>
      <c r="F187" s="21"/>
      <c r="G187" s="22" t="s">
        <v>1136</v>
      </c>
      <c r="H187" s="18" t="s">
        <v>1137</v>
      </c>
      <c r="I187" s="23" t="s">
        <v>1138</v>
      </c>
      <c r="J187" s="24" t="s">
        <v>28</v>
      </c>
      <c r="K187" s="25" t="s">
        <v>1139</v>
      </c>
      <c r="L187" s="25" t="s">
        <v>1140</v>
      </c>
      <c r="M187" s="25" t="s">
        <v>23</v>
      </c>
      <c r="N187" s="25" t="s">
        <v>1141</v>
      </c>
      <c r="O187" s="25" t="s">
        <v>1142</v>
      </c>
    </row>
    <row r="188" spans="1:15" ht="21" x14ac:dyDescent="0.3">
      <c r="A188" s="19"/>
      <c r="B188" s="20"/>
      <c r="C188" s="20"/>
      <c r="D188" s="20"/>
      <c r="E188" s="20"/>
      <c r="F188" s="21"/>
      <c r="G188" s="22"/>
      <c r="H188" s="18" t="s">
        <v>1143</v>
      </c>
      <c r="I188" s="23" t="s">
        <v>1144</v>
      </c>
      <c r="J188" s="24" t="s">
        <v>20</v>
      </c>
      <c r="K188" s="25" t="s">
        <v>1145</v>
      </c>
      <c r="L188" s="25" t="s">
        <v>1146</v>
      </c>
      <c r="M188" s="25" t="s">
        <v>23</v>
      </c>
      <c r="N188" s="25" t="s">
        <v>1147</v>
      </c>
      <c r="O188" s="25" t="s">
        <v>1148</v>
      </c>
    </row>
    <row r="189" spans="1:15" ht="21" x14ac:dyDescent="0.3">
      <c r="A189" s="19"/>
      <c r="B189" s="20"/>
      <c r="C189" s="20"/>
      <c r="D189" s="20"/>
      <c r="E189" s="20"/>
      <c r="F189" s="21"/>
      <c r="G189" s="22"/>
      <c r="H189" s="18" t="s">
        <v>1149</v>
      </c>
      <c r="I189" s="23" t="s">
        <v>1150</v>
      </c>
      <c r="J189" s="24" t="s">
        <v>20</v>
      </c>
      <c r="K189" s="25" t="s">
        <v>1151</v>
      </c>
      <c r="L189" s="25" t="s">
        <v>1152</v>
      </c>
      <c r="M189" s="25" t="s">
        <v>23</v>
      </c>
      <c r="N189" s="25" t="s">
        <v>1153</v>
      </c>
      <c r="O189" s="25" t="s">
        <v>1154</v>
      </c>
    </row>
    <row r="190" spans="1:15" ht="21" x14ac:dyDescent="0.3">
      <c r="A190" s="19"/>
      <c r="B190" s="20"/>
      <c r="C190" s="20"/>
      <c r="D190" s="20"/>
      <c r="E190" s="20"/>
      <c r="F190" s="21"/>
      <c r="G190" s="22"/>
      <c r="H190" s="18" t="s">
        <v>1155</v>
      </c>
      <c r="I190" s="23" t="s">
        <v>1156</v>
      </c>
      <c r="J190" s="24" t="s">
        <v>20</v>
      </c>
      <c r="K190" s="25" t="s">
        <v>1157</v>
      </c>
      <c r="L190" s="25" t="s">
        <v>1158</v>
      </c>
      <c r="M190" s="25" t="s">
        <v>23</v>
      </c>
      <c r="N190" s="25" t="s">
        <v>1159</v>
      </c>
      <c r="O190" s="25" t="s">
        <v>1160</v>
      </c>
    </row>
    <row r="191" spans="1:15" ht="21" x14ac:dyDescent="0.3">
      <c r="A191" s="19"/>
      <c r="B191" s="20"/>
      <c r="C191" s="20"/>
      <c r="D191" s="20"/>
      <c r="E191" s="20"/>
      <c r="F191" s="21"/>
      <c r="G191" s="22"/>
      <c r="H191" s="18" t="s">
        <v>634</v>
      </c>
      <c r="I191" s="23" t="s">
        <v>635</v>
      </c>
      <c r="J191" s="24" t="s">
        <v>20</v>
      </c>
      <c r="K191" s="25" t="s">
        <v>1161</v>
      </c>
      <c r="L191" s="25" t="s">
        <v>1162</v>
      </c>
      <c r="M191" s="25" t="s">
        <v>23</v>
      </c>
      <c r="N191" s="25" t="s">
        <v>1163</v>
      </c>
      <c r="O191" s="25" t="s">
        <v>1164</v>
      </c>
    </row>
    <row r="192" spans="1:15" ht="21" x14ac:dyDescent="0.3">
      <c r="A192" s="19"/>
      <c r="B192" s="20"/>
      <c r="C192" s="20"/>
      <c r="D192" s="20"/>
      <c r="E192" s="20"/>
      <c r="F192" s="21" t="s">
        <v>1165</v>
      </c>
      <c r="G192" s="22" t="s">
        <v>1166</v>
      </c>
      <c r="H192" s="18" t="s">
        <v>1167</v>
      </c>
      <c r="I192" s="23" t="s">
        <v>1168</v>
      </c>
      <c r="J192" s="24" t="s">
        <v>28</v>
      </c>
      <c r="K192" s="25" t="s">
        <v>1169</v>
      </c>
      <c r="L192" s="25" t="s">
        <v>1170</v>
      </c>
      <c r="M192" s="25" t="s">
        <v>23</v>
      </c>
      <c r="N192" s="25" t="s">
        <v>1171</v>
      </c>
      <c r="O192" s="25" t="s">
        <v>1172</v>
      </c>
    </row>
    <row r="193" spans="1:15" ht="21" x14ac:dyDescent="0.3">
      <c r="A193" s="19"/>
      <c r="B193" s="20"/>
      <c r="C193" s="20"/>
      <c r="D193" s="20"/>
      <c r="E193" s="20"/>
      <c r="F193" s="21"/>
      <c r="G193" s="22"/>
      <c r="H193" s="18" t="s">
        <v>1173</v>
      </c>
      <c r="I193" s="23" t="s">
        <v>1174</v>
      </c>
      <c r="J193" s="24" t="s">
        <v>20</v>
      </c>
      <c r="K193" s="25" t="s">
        <v>1175</v>
      </c>
      <c r="L193" s="25" t="s">
        <v>1176</v>
      </c>
      <c r="M193" s="25" t="s">
        <v>23</v>
      </c>
      <c r="N193" s="25" t="s">
        <v>1177</v>
      </c>
      <c r="O193" s="25" t="s">
        <v>1178</v>
      </c>
    </row>
    <row r="194" spans="1:15" ht="21" x14ac:dyDescent="0.3">
      <c r="A194" s="19"/>
      <c r="B194" s="20"/>
      <c r="C194" s="20"/>
      <c r="D194" s="20"/>
      <c r="E194" s="20"/>
      <c r="F194" s="21"/>
      <c r="G194" s="22"/>
      <c r="H194" s="18" t="s">
        <v>1179</v>
      </c>
      <c r="I194" s="23" t="s">
        <v>1180</v>
      </c>
      <c r="J194" s="24" t="s">
        <v>20</v>
      </c>
      <c r="K194" s="25" t="s">
        <v>1181</v>
      </c>
      <c r="L194" s="25" t="s">
        <v>1182</v>
      </c>
      <c r="M194" s="25" t="s">
        <v>23</v>
      </c>
      <c r="N194" s="25" t="s">
        <v>1183</v>
      </c>
      <c r="O194" s="25" t="s">
        <v>1184</v>
      </c>
    </row>
    <row r="195" spans="1:15" ht="21" x14ac:dyDescent="0.3">
      <c r="A195" s="19"/>
      <c r="B195" s="20"/>
      <c r="C195" s="20"/>
      <c r="D195" s="20"/>
      <c r="E195" s="20"/>
      <c r="F195" s="21"/>
      <c r="G195" s="22"/>
      <c r="H195" s="18" t="s">
        <v>1185</v>
      </c>
      <c r="I195" s="23" t="s">
        <v>1186</v>
      </c>
      <c r="J195" s="24" t="s">
        <v>20</v>
      </c>
      <c r="K195" s="25" t="s">
        <v>1187</v>
      </c>
      <c r="L195" s="25" t="s">
        <v>1188</v>
      </c>
      <c r="M195" s="25" t="s">
        <v>23</v>
      </c>
      <c r="N195" s="25" t="s">
        <v>1189</v>
      </c>
      <c r="O195" s="25" t="s">
        <v>1190</v>
      </c>
    </row>
    <row r="196" spans="1:15" ht="21" x14ac:dyDescent="0.3">
      <c r="A196" s="19"/>
      <c r="B196" s="20"/>
      <c r="C196" s="20"/>
      <c r="D196" s="20"/>
      <c r="E196" s="20"/>
      <c r="F196" s="21"/>
      <c r="G196" s="22"/>
      <c r="H196" s="18" t="s">
        <v>1191</v>
      </c>
      <c r="I196" s="23" t="s">
        <v>1192</v>
      </c>
      <c r="J196" s="24" t="s">
        <v>20</v>
      </c>
      <c r="K196" s="25" t="s">
        <v>1193</v>
      </c>
      <c r="L196" s="25" t="s">
        <v>1194</v>
      </c>
      <c r="M196" s="25" t="s">
        <v>23</v>
      </c>
      <c r="N196" s="25" t="s">
        <v>1195</v>
      </c>
      <c r="O196" s="25" t="s">
        <v>1196</v>
      </c>
    </row>
    <row r="197" spans="1:15" ht="21" x14ac:dyDescent="0.3">
      <c r="A197" s="19"/>
      <c r="B197" s="20"/>
      <c r="C197" s="20"/>
      <c r="D197" s="20"/>
      <c r="E197" s="20"/>
      <c r="F197" s="21"/>
      <c r="G197" s="22" t="s">
        <v>1197</v>
      </c>
      <c r="H197" s="18" t="s">
        <v>1198</v>
      </c>
      <c r="I197" s="23" t="s">
        <v>1199</v>
      </c>
      <c r="J197" s="24" t="s">
        <v>28</v>
      </c>
      <c r="K197" s="25" t="s">
        <v>1200</v>
      </c>
      <c r="L197" s="25" t="s">
        <v>1201</v>
      </c>
      <c r="M197" s="25" t="s">
        <v>23</v>
      </c>
      <c r="N197" s="25" t="s">
        <v>1202</v>
      </c>
      <c r="O197" s="25" t="s">
        <v>1203</v>
      </c>
    </row>
    <row r="198" spans="1:15" ht="21" x14ac:dyDescent="0.3">
      <c r="A198" s="19"/>
      <c r="B198" s="20"/>
      <c r="C198" s="20"/>
      <c r="D198" s="20"/>
      <c r="E198" s="20"/>
      <c r="F198" s="21"/>
      <c r="G198" s="22"/>
      <c r="H198" s="18" t="s">
        <v>1204</v>
      </c>
      <c r="I198" s="23" t="s">
        <v>1205</v>
      </c>
      <c r="J198" s="24" t="s">
        <v>20</v>
      </c>
      <c r="K198" s="25" t="s">
        <v>1206</v>
      </c>
      <c r="L198" s="25" t="s">
        <v>1207</v>
      </c>
      <c r="M198" s="25" t="s">
        <v>23</v>
      </c>
      <c r="N198" s="25" t="s">
        <v>1208</v>
      </c>
      <c r="O198" s="25" t="s">
        <v>1209</v>
      </c>
    </row>
    <row r="199" spans="1:15" ht="21" x14ac:dyDescent="0.3">
      <c r="A199" s="19"/>
      <c r="B199" s="20"/>
      <c r="C199" s="20"/>
      <c r="D199" s="20"/>
      <c r="E199" s="20"/>
      <c r="F199" s="21"/>
      <c r="G199" s="22"/>
      <c r="H199" s="18" t="s">
        <v>1210</v>
      </c>
      <c r="I199" s="23" t="s">
        <v>1211</v>
      </c>
      <c r="J199" s="24" t="s">
        <v>20</v>
      </c>
      <c r="K199" s="25" t="s">
        <v>1212</v>
      </c>
      <c r="L199" s="25" t="s">
        <v>1213</v>
      </c>
      <c r="M199" s="25" t="s">
        <v>23</v>
      </c>
      <c r="N199" s="25" t="s">
        <v>1214</v>
      </c>
      <c r="O199" s="25" t="s">
        <v>1215</v>
      </c>
    </row>
    <row r="200" spans="1:15" ht="21" x14ac:dyDescent="0.3">
      <c r="A200" s="19"/>
      <c r="B200" s="20"/>
      <c r="C200" s="20"/>
      <c r="D200" s="20"/>
      <c r="E200" s="20"/>
      <c r="F200" s="21"/>
      <c r="G200" s="22"/>
      <c r="H200" s="18" t="s">
        <v>1216</v>
      </c>
      <c r="I200" s="23" t="s">
        <v>1217</v>
      </c>
      <c r="J200" s="24" t="s">
        <v>20</v>
      </c>
      <c r="K200" s="25" t="s">
        <v>1218</v>
      </c>
      <c r="L200" s="25" t="s">
        <v>1219</v>
      </c>
      <c r="M200" s="25" t="s">
        <v>23</v>
      </c>
      <c r="N200" s="25" t="s">
        <v>1220</v>
      </c>
      <c r="O200" s="25" t="s">
        <v>1221</v>
      </c>
    </row>
    <row r="201" spans="1:15" ht="21" x14ac:dyDescent="0.3">
      <c r="A201" s="19"/>
      <c r="B201" s="20"/>
      <c r="C201" s="20"/>
      <c r="D201" s="20"/>
      <c r="E201" s="20"/>
      <c r="F201" s="21"/>
      <c r="G201" s="22"/>
      <c r="H201" s="18" t="s">
        <v>1222</v>
      </c>
      <c r="I201" s="23" t="s">
        <v>1223</v>
      </c>
      <c r="J201" s="24" t="s">
        <v>20</v>
      </c>
      <c r="K201" s="25" t="s">
        <v>1224</v>
      </c>
      <c r="L201" s="25" t="s">
        <v>1225</v>
      </c>
      <c r="M201" s="25" t="s">
        <v>23</v>
      </c>
      <c r="N201" s="25" t="s">
        <v>1226</v>
      </c>
      <c r="O201" s="25" t="s">
        <v>1227</v>
      </c>
    </row>
    <row r="202" spans="1:15" ht="21" x14ac:dyDescent="0.3">
      <c r="A202" s="19"/>
      <c r="B202" s="20"/>
      <c r="C202" s="20"/>
      <c r="D202" s="20"/>
      <c r="E202" s="20"/>
      <c r="F202" s="21"/>
      <c r="G202" s="22" t="s">
        <v>1228</v>
      </c>
      <c r="H202" s="18" t="s">
        <v>1229</v>
      </c>
      <c r="I202" s="23" t="s">
        <v>1230</v>
      </c>
      <c r="J202" s="24" t="s">
        <v>28</v>
      </c>
      <c r="K202" s="25" t="s">
        <v>1231</v>
      </c>
      <c r="L202" s="25" t="s">
        <v>1232</v>
      </c>
      <c r="M202" s="25" t="s">
        <v>23</v>
      </c>
      <c r="N202" s="25" t="s">
        <v>1233</v>
      </c>
      <c r="O202" s="25" t="s">
        <v>1234</v>
      </c>
    </row>
    <row r="203" spans="1:15" ht="21" x14ac:dyDescent="0.3">
      <c r="A203" s="19"/>
      <c r="B203" s="20"/>
      <c r="C203" s="20"/>
      <c r="D203" s="20"/>
      <c r="E203" s="20"/>
      <c r="F203" s="21"/>
      <c r="G203" s="22"/>
      <c r="H203" s="18" t="s">
        <v>1235</v>
      </c>
      <c r="I203" s="23" t="s">
        <v>1236</v>
      </c>
      <c r="J203" s="24" t="s">
        <v>20</v>
      </c>
      <c r="K203" s="25" t="s">
        <v>1237</v>
      </c>
      <c r="L203" s="25" t="s">
        <v>1238</v>
      </c>
      <c r="M203" s="25" t="s">
        <v>23</v>
      </c>
      <c r="N203" s="25" t="s">
        <v>1239</v>
      </c>
      <c r="O203" s="25" t="s">
        <v>1240</v>
      </c>
    </row>
    <row r="204" spans="1:15" ht="21" x14ac:dyDescent="0.3">
      <c r="A204" s="19"/>
      <c r="B204" s="20"/>
      <c r="C204" s="20"/>
      <c r="D204" s="20"/>
      <c r="E204" s="20"/>
      <c r="F204" s="21"/>
      <c r="G204" s="22"/>
      <c r="H204" s="18" t="s">
        <v>1241</v>
      </c>
      <c r="I204" s="23" t="s">
        <v>1242</v>
      </c>
      <c r="J204" s="24" t="s">
        <v>20</v>
      </c>
      <c r="K204" s="25" t="s">
        <v>1243</v>
      </c>
      <c r="L204" s="25" t="s">
        <v>1244</v>
      </c>
      <c r="M204" s="25" t="s">
        <v>23</v>
      </c>
      <c r="N204" s="25" t="s">
        <v>1245</v>
      </c>
      <c r="O204" s="25" t="s">
        <v>1246</v>
      </c>
    </row>
    <row r="205" spans="1:15" ht="21" x14ac:dyDescent="0.3">
      <c r="A205" s="19"/>
      <c r="B205" s="20"/>
      <c r="C205" s="20"/>
      <c r="D205" s="20"/>
      <c r="E205" s="20"/>
      <c r="F205" s="21"/>
      <c r="G205" s="22"/>
      <c r="H205" s="18" t="s">
        <v>1247</v>
      </c>
      <c r="I205" s="23" t="s">
        <v>1248</v>
      </c>
      <c r="J205" s="24" t="s">
        <v>20</v>
      </c>
      <c r="K205" s="25" t="s">
        <v>1249</v>
      </c>
      <c r="L205" s="25" t="s">
        <v>1250</v>
      </c>
      <c r="M205" s="25" t="s">
        <v>23</v>
      </c>
      <c r="N205" s="25" t="s">
        <v>1251</v>
      </c>
      <c r="O205" s="25" t="s">
        <v>1252</v>
      </c>
    </row>
    <row r="206" spans="1:15" ht="21" x14ac:dyDescent="0.3">
      <c r="A206" s="19"/>
      <c r="B206" s="20"/>
      <c r="C206" s="20"/>
      <c r="D206" s="20"/>
      <c r="E206" s="20"/>
      <c r="F206" s="21"/>
      <c r="G206" s="22"/>
      <c r="H206" s="18" t="s">
        <v>1253</v>
      </c>
      <c r="I206" s="23" t="s">
        <v>1254</v>
      </c>
      <c r="J206" s="24" t="s">
        <v>20</v>
      </c>
      <c r="K206" s="25" t="s">
        <v>1255</v>
      </c>
      <c r="L206" s="25" t="s">
        <v>1256</v>
      </c>
      <c r="M206" s="25" t="s">
        <v>23</v>
      </c>
      <c r="N206" s="25" t="s">
        <v>1257</v>
      </c>
      <c r="O206" s="25" t="s">
        <v>1258</v>
      </c>
    </row>
    <row r="207" spans="1:15" ht="21" x14ac:dyDescent="0.3">
      <c r="A207" s="19"/>
      <c r="B207" s="20"/>
      <c r="C207" s="20"/>
      <c r="D207" s="20"/>
      <c r="E207" s="20"/>
      <c r="F207" s="21"/>
      <c r="G207" s="22" t="s">
        <v>1259</v>
      </c>
      <c r="H207" s="18" t="s">
        <v>1260</v>
      </c>
      <c r="I207" s="23" t="s">
        <v>1261</v>
      </c>
      <c r="J207" s="24" t="s">
        <v>28</v>
      </c>
      <c r="K207" s="25" t="s">
        <v>1262</v>
      </c>
      <c r="L207" s="25" t="s">
        <v>1263</v>
      </c>
      <c r="M207" s="25" t="s">
        <v>23</v>
      </c>
      <c r="N207" s="25" t="s">
        <v>1264</v>
      </c>
      <c r="O207" s="25" t="s">
        <v>1265</v>
      </c>
    </row>
    <row r="208" spans="1:15" ht="21" x14ac:dyDescent="0.3">
      <c r="A208" s="19"/>
      <c r="B208" s="20"/>
      <c r="C208" s="20"/>
      <c r="D208" s="20"/>
      <c r="E208" s="20"/>
      <c r="F208" s="21"/>
      <c r="G208" s="22"/>
      <c r="H208" s="18" t="s">
        <v>1266</v>
      </c>
      <c r="I208" s="23" t="s">
        <v>1267</v>
      </c>
      <c r="J208" s="24" t="s">
        <v>20</v>
      </c>
      <c r="K208" s="25" t="s">
        <v>1268</v>
      </c>
      <c r="L208" s="25" t="s">
        <v>1269</v>
      </c>
      <c r="M208" s="25" t="s">
        <v>23</v>
      </c>
      <c r="N208" s="25" t="s">
        <v>1270</v>
      </c>
      <c r="O208" s="25" t="s">
        <v>1271</v>
      </c>
    </row>
    <row r="209" spans="1:15" ht="21" x14ac:dyDescent="0.3">
      <c r="A209" s="19"/>
      <c r="B209" s="20"/>
      <c r="C209" s="20"/>
      <c r="D209" s="20"/>
      <c r="E209" s="20"/>
      <c r="F209" s="21"/>
      <c r="G209" s="22"/>
      <c r="H209" s="18" t="s">
        <v>1272</v>
      </c>
      <c r="I209" s="23" t="s">
        <v>1273</v>
      </c>
      <c r="J209" s="24" t="s">
        <v>20</v>
      </c>
      <c r="K209" s="25" t="s">
        <v>1274</v>
      </c>
      <c r="L209" s="25" t="s">
        <v>1275</v>
      </c>
      <c r="M209" s="25" t="s">
        <v>23</v>
      </c>
      <c r="N209" s="25" t="s">
        <v>1276</v>
      </c>
      <c r="O209" s="25" t="s">
        <v>1277</v>
      </c>
    </row>
    <row r="210" spans="1:15" ht="21" x14ac:dyDescent="0.3">
      <c r="A210" s="19"/>
      <c r="B210" s="20"/>
      <c r="C210" s="20"/>
      <c r="D210" s="20"/>
      <c r="E210" s="20"/>
      <c r="F210" s="21"/>
      <c r="G210" s="22"/>
      <c r="H210" s="18" t="s">
        <v>1278</v>
      </c>
      <c r="I210" s="23" t="s">
        <v>1279</v>
      </c>
      <c r="J210" s="24" t="s">
        <v>20</v>
      </c>
      <c r="K210" s="25" t="s">
        <v>1280</v>
      </c>
      <c r="L210" s="25" t="s">
        <v>1281</v>
      </c>
      <c r="M210" s="25" t="s">
        <v>23</v>
      </c>
      <c r="N210" s="25" t="s">
        <v>1282</v>
      </c>
      <c r="O210" s="25" t="s">
        <v>1283</v>
      </c>
    </row>
    <row r="211" spans="1:15" ht="21" x14ac:dyDescent="0.3">
      <c r="A211" s="19"/>
      <c r="B211" s="20"/>
      <c r="C211" s="20"/>
      <c r="D211" s="20"/>
      <c r="E211" s="20"/>
      <c r="F211" s="21"/>
      <c r="G211" s="22"/>
      <c r="H211" s="18" t="s">
        <v>1284</v>
      </c>
      <c r="I211" s="23" t="s">
        <v>1285</v>
      </c>
      <c r="J211" s="24" t="s">
        <v>20</v>
      </c>
      <c r="K211" s="25" t="s">
        <v>1286</v>
      </c>
      <c r="L211" s="25" t="s">
        <v>1287</v>
      </c>
      <c r="M211" s="25" t="s">
        <v>23</v>
      </c>
      <c r="N211" s="25" t="s">
        <v>1288</v>
      </c>
      <c r="O211" s="25" t="s">
        <v>1289</v>
      </c>
    </row>
    <row r="212" spans="1:15" ht="21" x14ac:dyDescent="0.3">
      <c r="A212" s="19"/>
      <c r="B212" s="20"/>
      <c r="C212" s="20"/>
      <c r="D212" s="20"/>
      <c r="E212" s="20"/>
      <c r="F212" s="21"/>
      <c r="G212" s="22" t="s">
        <v>1290</v>
      </c>
      <c r="H212" s="18" t="s">
        <v>1291</v>
      </c>
      <c r="I212" s="23" t="s">
        <v>1292</v>
      </c>
      <c r="J212" s="24" t="s">
        <v>28</v>
      </c>
      <c r="K212" s="25" t="s">
        <v>1293</v>
      </c>
      <c r="L212" s="25" t="s">
        <v>1294</v>
      </c>
      <c r="M212" s="25" t="s">
        <v>23</v>
      </c>
      <c r="N212" s="25" t="s">
        <v>1295</v>
      </c>
      <c r="O212" s="25" t="s">
        <v>1296</v>
      </c>
    </row>
    <row r="213" spans="1:15" ht="21" x14ac:dyDescent="0.3">
      <c r="A213" s="19"/>
      <c r="B213" s="20"/>
      <c r="C213" s="20"/>
      <c r="D213" s="20"/>
      <c r="E213" s="20"/>
      <c r="F213" s="21"/>
      <c r="G213" s="22"/>
      <c r="H213" s="18" t="s">
        <v>1297</v>
      </c>
      <c r="I213" s="23" t="s">
        <v>1298</v>
      </c>
      <c r="J213" s="24" t="s">
        <v>20</v>
      </c>
      <c r="K213" s="25" t="s">
        <v>1299</v>
      </c>
      <c r="L213" s="25" t="s">
        <v>1300</v>
      </c>
      <c r="M213" s="25" t="s">
        <v>23</v>
      </c>
      <c r="N213" s="25" t="s">
        <v>1301</v>
      </c>
      <c r="O213" s="25" t="s">
        <v>1302</v>
      </c>
    </row>
    <row r="214" spans="1:15" ht="21" x14ac:dyDescent="0.3">
      <c r="A214" s="19"/>
      <c r="B214" s="20"/>
      <c r="C214" s="20"/>
      <c r="D214" s="20"/>
      <c r="E214" s="20"/>
      <c r="F214" s="21"/>
      <c r="G214" s="22"/>
      <c r="H214" s="18" t="s">
        <v>1303</v>
      </c>
      <c r="I214" s="23" t="s">
        <v>1304</v>
      </c>
      <c r="J214" s="24" t="s">
        <v>20</v>
      </c>
      <c r="K214" s="25" t="s">
        <v>1305</v>
      </c>
      <c r="L214" s="25" t="s">
        <v>1306</v>
      </c>
      <c r="M214" s="25" t="s">
        <v>23</v>
      </c>
      <c r="N214" s="25" t="s">
        <v>1307</v>
      </c>
      <c r="O214" s="25" t="s">
        <v>1308</v>
      </c>
    </row>
    <row r="215" spans="1:15" ht="21" x14ac:dyDescent="0.3">
      <c r="A215" s="19"/>
      <c r="B215" s="20"/>
      <c r="C215" s="20"/>
      <c r="D215" s="20"/>
      <c r="E215" s="20"/>
      <c r="F215" s="21"/>
      <c r="G215" s="22"/>
      <c r="H215" s="18" t="s">
        <v>1309</v>
      </c>
      <c r="I215" s="23" t="s">
        <v>1310</v>
      </c>
      <c r="J215" s="24" t="s">
        <v>20</v>
      </c>
      <c r="K215" s="25" t="s">
        <v>1311</v>
      </c>
      <c r="L215" s="25" t="s">
        <v>1312</v>
      </c>
      <c r="M215" s="25" t="s">
        <v>23</v>
      </c>
      <c r="N215" s="25" t="s">
        <v>329</v>
      </c>
      <c r="O215" s="25" t="s">
        <v>1313</v>
      </c>
    </row>
    <row r="216" spans="1:15" ht="21" x14ac:dyDescent="0.3">
      <c r="A216" s="19"/>
      <c r="B216" s="20"/>
      <c r="C216" s="20"/>
      <c r="D216" s="20"/>
      <c r="E216" s="20"/>
      <c r="F216" s="21"/>
      <c r="G216" s="22"/>
      <c r="H216" s="18" t="s">
        <v>1314</v>
      </c>
      <c r="I216" s="23" t="s">
        <v>1315</v>
      </c>
      <c r="J216" s="24" t="s">
        <v>20</v>
      </c>
      <c r="K216" s="25" t="s">
        <v>1316</v>
      </c>
      <c r="L216" s="25" t="s">
        <v>1317</v>
      </c>
      <c r="M216" s="25" t="s">
        <v>23</v>
      </c>
      <c r="N216" s="25" t="s">
        <v>1318</v>
      </c>
      <c r="O216" s="25" t="s">
        <v>1319</v>
      </c>
    </row>
    <row r="217" spans="1:15" ht="21" x14ac:dyDescent="0.3">
      <c r="A217" s="19"/>
      <c r="B217" s="20"/>
      <c r="C217" s="20"/>
      <c r="D217" s="20"/>
      <c r="E217" s="20"/>
      <c r="F217" s="21"/>
      <c r="G217" s="22" t="s">
        <v>1320</v>
      </c>
      <c r="H217" s="18" t="s">
        <v>1321</v>
      </c>
      <c r="I217" s="23" t="s">
        <v>1322</v>
      </c>
      <c r="J217" s="24" t="s">
        <v>28</v>
      </c>
      <c r="K217" s="25" t="s">
        <v>1323</v>
      </c>
      <c r="L217" s="25" t="s">
        <v>1324</v>
      </c>
      <c r="M217" s="25" t="s">
        <v>23</v>
      </c>
      <c r="N217" s="25" t="s">
        <v>1325</v>
      </c>
      <c r="O217" s="25" t="s">
        <v>1326</v>
      </c>
    </row>
    <row r="218" spans="1:15" ht="21" x14ac:dyDescent="0.3">
      <c r="A218" s="19"/>
      <c r="B218" s="20"/>
      <c r="C218" s="20"/>
      <c r="D218" s="20"/>
      <c r="E218" s="20"/>
      <c r="F218" s="21"/>
      <c r="G218" s="22"/>
      <c r="H218" s="18" t="s">
        <v>1327</v>
      </c>
      <c r="I218" s="23" t="s">
        <v>1328</v>
      </c>
      <c r="J218" s="24" t="s">
        <v>20</v>
      </c>
      <c r="K218" s="25" t="s">
        <v>1329</v>
      </c>
      <c r="L218" s="25" t="s">
        <v>1330</v>
      </c>
      <c r="M218" s="25" t="s">
        <v>23</v>
      </c>
      <c r="N218" s="25" t="s">
        <v>1331</v>
      </c>
      <c r="O218" s="25" t="s">
        <v>1332</v>
      </c>
    </row>
    <row r="219" spans="1:15" ht="21" x14ac:dyDescent="0.3">
      <c r="A219" s="19"/>
      <c r="B219" s="20"/>
      <c r="C219" s="20"/>
      <c r="D219" s="20"/>
      <c r="E219" s="20"/>
      <c r="F219" s="21"/>
      <c r="G219" s="22"/>
      <c r="H219" s="18" t="s">
        <v>1333</v>
      </c>
      <c r="I219" s="23" t="s">
        <v>1334</v>
      </c>
      <c r="J219" s="24" t="s">
        <v>20</v>
      </c>
      <c r="K219" s="25" t="s">
        <v>1335</v>
      </c>
      <c r="L219" s="25" t="s">
        <v>1336</v>
      </c>
      <c r="M219" s="25" t="s">
        <v>23</v>
      </c>
      <c r="N219" s="25" t="s">
        <v>1337</v>
      </c>
      <c r="O219" s="25" t="s">
        <v>1338</v>
      </c>
    </row>
    <row r="220" spans="1:15" ht="21" x14ac:dyDescent="0.3">
      <c r="A220" s="19"/>
      <c r="B220" s="20"/>
      <c r="C220" s="20"/>
      <c r="D220" s="20"/>
      <c r="E220" s="20"/>
      <c r="F220" s="21"/>
      <c r="G220" s="22"/>
      <c r="H220" s="18" t="s">
        <v>1339</v>
      </c>
      <c r="I220" s="23" t="s">
        <v>1340</v>
      </c>
      <c r="J220" s="24" t="s">
        <v>20</v>
      </c>
      <c r="K220" s="25" t="s">
        <v>1341</v>
      </c>
      <c r="L220" s="25" t="s">
        <v>1342</v>
      </c>
      <c r="M220" s="25" t="s">
        <v>23</v>
      </c>
      <c r="N220" s="25" t="s">
        <v>1343</v>
      </c>
      <c r="O220" s="25" t="s">
        <v>1344</v>
      </c>
    </row>
    <row r="221" spans="1:15" ht="21" x14ac:dyDescent="0.3">
      <c r="A221" s="19"/>
      <c r="B221" s="20"/>
      <c r="C221" s="20"/>
      <c r="D221" s="20"/>
      <c r="E221" s="20"/>
      <c r="F221" s="21"/>
      <c r="G221" s="22"/>
      <c r="H221" s="18" t="s">
        <v>1345</v>
      </c>
      <c r="I221" s="23" t="s">
        <v>1346</v>
      </c>
      <c r="J221" s="24" t="s">
        <v>20</v>
      </c>
      <c r="K221" s="25" t="s">
        <v>1347</v>
      </c>
      <c r="L221" s="25" t="s">
        <v>1348</v>
      </c>
      <c r="M221" s="25" t="s">
        <v>23</v>
      </c>
      <c r="N221" s="25" t="s">
        <v>1349</v>
      </c>
      <c r="O221" s="25" t="s">
        <v>1350</v>
      </c>
    </row>
    <row r="222" spans="1:15" ht="21" x14ac:dyDescent="0.3">
      <c r="A222" s="19"/>
      <c r="B222" s="20"/>
      <c r="C222" s="20"/>
      <c r="D222" s="20"/>
      <c r="E222" s="20"/>
      <c r="F222" s="21"/>
      <c r="G222" s="22" t="s">
        <v>1351</v>
      </c>
      <c r="H222" s="18" t="s">
        <v>1352</v>
      </c>
      <c r="I222" s="23" t="s">
        <v>1353</v>
      </c>
      <c r="J222" s="24" t="s">
        <v>28</v>
      </c>
      <c r="K222" s="25" t="s">
        <v>1354</v>
      </c>
      <c r="L222" s="25" t="s">
        <v>1355</v>
      </c>
      <c r="M222" s="25" t="s">
        <v>23</v>
      </c>
      <c r="N222" s="25" t="s">
        <v>1356</v>
      </c>
      <c r="O222" s="25" t="s">
        <v>1357</v>
      </c>
    </row>
    <row r="223" spans="1:15" ht="21" x14ac:dyDescent="0.3">
      <c r="A223" s="19"/>
      <c r="B223" s="20"/>
      <c r="C223" s="20"/>
      <c r="D223" s="20"/>
      <c r="E223" s="20"/>
      <c r="F223" s="21"/>
      <c r="G223" s="22"/>
      <c r="H223" s="18" t="s">
        <v>1358</v>
      </c>
      <c r="I223" s="23" t="s">
        <v>1359</v>
      </c>
      <c r="J223" s="24" t="s">
        <v>20</v>
      </c>
      <c r="K223" s="25" t="s">
        <v>1360</v>
      </c>
      <c r="L223" s="25" t="s">
        <v>1361</v>
      </c>
      <c r="M223" s="25" t="s">
        <v>23</v>
      </c>
      <c r="N223" s="25" t="s">
        <v>1362</v>
      </c>
      <c r="O223" s="25" t="s">
        <v>1363</v>
      </c>
    </row>
    <row r="224" spans="1:15" ht="21" x14ac:dyDescent="0.3">
      <c r="A224" s="19"/>
      <c r="B224" s="20"/>
      <c r="C224" s="20"/>
      <c r="D224" s="20"/>
      <c r="E224" s="20"/>
      <c r="F224" s="21"/>
      <c r="G224" s="22"/>
      <c r="H224" s="18" t="s">
        <v>1364</v>
      </c>
      <c r="I224" s="23" t="s">
        <v>1365</v>
      </c>
      <c r="J224" s="24" t="s">
        <v>20</v>
      </c>
      <c r="K224" s="25" t="s">
        <v>1366</v>
      </c>
      <c r="L224" s="25" t="s">
        <v>1367</v>
      </c>
      <c r="M224" s="25" t="s">
        <v>23</v>
      </c>
      <c r="N224" s="25" t="s">
        <v>1368</v>
      </c>
      <c r="O224" s="25" t="s">
        <v>1369</v>
      </c>
    </row>
    <row r="225" spans="1:15" ht="21" x14ac:dyDescent="0.3">
      <c r="A225" s="19"/>
      <c r="B225" s="20"/>
      <c r="C225" s="20"/>
      <c r="D225" s="20"/>
      <c r="E225" s="20"/>
      <c r="F225" s="21"/>
      <c r="G225" s="22"/>
      <c r="H225" s="18" t="s">
        <v>1370</v>
      </c>
      <c r="I225" s="23" t="s">
        <v>1371</v>
      </c>
      <c r="J225" s="24" t="s">
        <v>20</v>
      </c>
      <c r="K225" s="25" t="s">
        <v>1372</v>
      </c>
      <c r="L225" s="25" t="s">
        <v>1373</v>
      </c>
      <c r="M225" s="25" t="s">
        <v>23</v>
      </c>
      <c r="N225" s="25" t="s">
        <v>1374</v>
      </c>
      <c r="O225" s="25" t="s">
        <v>1375</v>
      </c>
    </row>
    <row r="226" spans="1:15" ht="21" x14ac:dyDescent="0.3">
      <c r="A226" s="19"/>
      <c r="B226" s="20"/>
      <c r="C226" s="20"/>
      <c r="D226" s="20"/>
      <c r="E226" s="20"/>
      <c r="F226" s="21"/>
      <c r="G226" s="22"/>
      <c r="H226" s="18" t="s">
        <v>1376</v>
      </c>
      <c r="I226" s="23" t="s">
        <v>1377</v>
      </c>
      <c r="J226" s="24" t="s">
        <v>20</v>
      </c>
      <c r="K226" s="25" t="s">
        <v>1378</v>
      </c>
      <c r="L226" s="25" t="s">
        <v>1379</v>
      </c>
      <c r="M226" s="25" t="s">
        <v>23</v>
      </c>
      <c r="N226" s="25" t="s">
        <v>1380</v>
      </c>
      <c r="O226" s="25" t="s">
        <v>1381</v>
      </c>
    </row>
    <row r="227" spans="1:15" ht="21" x14ac:dyDescent="0.3">
      <c r="A227" s="19"/>
      <c r="B227" s="20"/>
      <c r="C227" s="20"/>
      <c r="D227" s="20"/>
      <c r="E227" s="20"/>
      <c r="F227" s="21"/>
      <c r="G227" s="22" t="s">
        <v>1382</v>
      </c>
      <c r="H227" s="18" t="s">
        <v>1383</v>
      </c>
      <c r="I227" s="23" t="s">
        <v>1384</v>
      </c>
      <c r="J227" s="24" t="s">
        <v>28</v>
      </c>
      <c r="K227" s="25" t="s">
        <v>1385</v>
      </c>
      <c r="L227" s="25" t="s">
        <v>1386</v>
      </c>
      <c r="M227" s="25" t="s">
        <v>23</v>
      </c>
      <c r="N227" s="25" t="s">
        <v>1387</v>
      </c>
      <c r="O227" s="25" t="s">
        <v>1388</v>
      </c>
    </row>
    <row r="228" spans="1:15" ht="21" x14ac:dyDescent="0.3">
      <c r="A228" s="19"/>
      <c r="B228" s="20"/>
      <c r="C228" s="20"/>
      <c r="D228" s="20"/>
      <c r="E228" s="20"/>
      <c r="F228" s="21"/>
      <c r="G228" s="22"/>
      <c r="H228" s="18" t="s">
        <v>1389</v>
      </c>
      <c r="I228" s="23" t="s">
        <v>1390</v>
      </c>
      <c r="J228" s="24" t="s">
        <v>20</v>
      </c>
      <c r="K228" s="25" t="s">
        <v>1391</v>
      </c>
      <c r="L228" s="25" t="s">
        <v>1392</v>
      </c>
      <c r="M228" s="25" t="s">
        <v>23</v>
      </c>
      <c r="N228" s="25" t="s">
        <v>1393</v>
      </c>
      <c r="O228" s="25" t="s">
        <v>1394</v>
      </c>
    </row>
    <row r="229" spans="1:15" ht="21" x14ac:dyDescent="0.3">
      <c r="A229" s="19"/>
      <c r="B229" s="20"/>
      <c r="C229" s="20"/>
      <c r="D229" s="20"/>
      <c r="E229" s="20"/>
      <c r="F229" s="21"/>
      <c r="G229" s="22"/>
      <c r="H229" s="18" t="s">
        <v>1395</v>
      </c>
      <c r="I229" s="23" t="s">
        <v>1396</v>
      </c>
      <c r="J229" s="24" t="s">
        <v>20</v>
      </c>
      <c r="K229" s="25" t="s">
        <v>1397</v>
      </c>
      <c r="L229" s="25" t="s">
        <v>1398</v>
      </c>
      <c r="M229" s="25" t="s">
        <v>23</v>
      </c>
      <c r="N229" s="25" t="s">
        <v>1399</v>
      </c>
      <c r="O229" s="25" t="s">
        <v>1400</v>
      </c>
    </row>
    <row r="230" spans="1:15" ht="21" x14ac:dyDescent="0.3">
      <c r="A230" s="19"/>
      <c r="B230" s="20"/>
      <c r="C230" s="20"/>
      <c r="D230" s="20"/>
      <c r="E230" s="20"/>
      <c r="F230" s="21"/>
      <c r="G230" s="22"/>
      <c r="H230" s="18" t="s">
        <v>1401</v>
      </c>
      <c r="I230" s="23" t="s">
        <v>1402</v>
      </c>
      <c r="J230" s="24" t="s">
        <v>20</v>
      </c>
      <c r="K230" s="25" t="s">
        <v>1403</v>
      </c>
      <c r="L230" s="25" t="s">
        <v>1404</v>
      </c>
      <c r="M230" s="25" t="s">
        <v>23</v>
      </c>
      <c r="N230" s="25" t="s">
        <v>1405</v>
      </c>
      <c r="O230" s="25" t="s">
        <v>1406</v>
      </c>
    </row>
    <row r="231" spans="1:15" ht="21" x14ac:dyDescent="0.3">
      <c r="A231" s="19"/>
      <c r="B231" s="20"/>
      <c r="C231" s="20"/>
      <c r="D231" s="20"/>
      <c r="E231" s="20"/>
      <c r="F231" s="21"/>
      <c r="G231" s="22"/>
      <c r="H231" s="18" t="s">
        <v>1407</v>
      </c>
      <c r="I231" s="23" t="s">
        <v>1408</v>
      </c>
      <c r="J231" s="24" t="s">
        <v>20</v>
      </c>
      <c r="K231" s="25" t="s">
        <v>1409</v>
      </c>
      <c r="L231" s="25" t="s">
        <v>1410</v>
      </c>
      <c r="M231" s="25" t="s">
        <v>23</v>
      </c>
      <c r="N231" s="25" t="s">
        <v>1411</v>
      </c>
      <c r="O231" s="25" t="s">
        <v>1412</v>
      </c>
    </row>
    <row r="232" spans="1:15" ht="21" x14ac:dyDescent="0.3">
      <c r="A232" s="19"/>
      <c r="B232" s="20"/>
      <c r="C232" s="20"/>
      <c r="D232" s="20"/>
      <c r="E232" s="20"/>
      <c r="F232" s="21"/>
      <c r="G232" s="22" t="s">
        <v>1413</v>
      </c>
      <c r="H232" s="18" t="s">
        <v>1414</v>
      </c>
      <c r="I232" s="23" t="s">
        <v>1415</v>
      </c>
      <c r="J232" s="24" t="s">
        <v>28</v>
      </c>
      <c r="K232" s="25" t="s">
        <v>1416</v>
      </c>
      <c r="L232" s="25" t="s">
        <v>1417</v>
      </c>
      <c r="M232" s="25" t="s">
        <v>23</v>
      </c>
      <c r="N232" s="25" t="s">
        <v>1418</v>
      </c>
      <c r="O232" s="25" t="s">
        <v>1419</v>
      </c>
    </row>
    <row r="233" spans="1:15" ht="21" x14ac:dyDescent="0.3">
      <c r="A233" s="19"/>
      <c r="B233" s="20"/>
      <c r="C233" s="20"/>
      <c r="D233" s="20"/>
      <c r="E233" s="20"/>
      <c r="F233" s="21"/>
      <c r="G233" s="22"/>
      <c r="H233" s="18" t="s">
        <v>829</v>
      </c>
      <c r="I233" s="23" t="s">
        <v>1420</v>
      </c>
      <c r="J233" s="24" t="s">
        <v>20</v>
      </c>
      <c r="K233" s="25" t="s">
        <v>1421</v>
      </c>
      <c r="L233" s="25" t="s">
        <v>1422</v>
      </c>
      <c r="M233" s="25" t="s">
        <v>23</v>
      </c>
      <c r="N233" s="25" t="s">
        <v>1423</v>
      </c>
      <c r="O233" s="25" t="s">
        <v>1424</v>
      </c>
    </row>
    <row r="234" spans="1:15" ht="21" x14ac:dyDescent="0.3">
      <c r="A234" s="19"/>
      <c r="B234" s="20"/>
      <c r="C234" s="20"/>
      <c r="D234" s="20"/>
      <c r="E234" s="20"/>
      <c r="F234" s="21"/>
      <c r="G234" s="22"/>
      <c r="H234" s="18" t="s">
        <v>1425</v>
      </c>
      <c r="I234" s="23" t="s">
        <v>1426</v>
      </c>
      <c r="J234" s="24" t="s">
        <v>20</v>
      </c>
      <c r="K234" s="25" t="s">
        <v>1427</v>
      </c>
      <c r="L234" s="25" t="s">
        <v>1428</v>
      </c>
      <c r="M234" s="25" t="s">
        <v>23</v>
      </c>
      <c r="N234" s="25" t="s">
        <v>1429</v>
      </c>
      <c r="O234" s="25" t="s">
        <v>1430</v>
      </c>
    </row>
    <row r="235" spans="1:15" ht="21" x14ac:dyDescent="0.3">
      <c r="A235" s="19"/>
      <c r="B235" s="20"/>
      <c r="C235" s="20"/>
      <c r="D235" s="20"/>
      <c r="E235" s="20"/>
      <c r="F235" s="21"/>
      <c r="G235" s="22"/>
      <c r="H235" s="18" t="s">
        <v>1431</v>
      </c>
      <c r="I235" s="23" t="s">
        <v>1432</v>
      </c>
      <c r="J235" s="24" t="s">
        <v>20</v>
      </c>
      <c r="K235" s="25" t="s">
        <v>1433</v>
      </c>
      <c r="L235" s="25" t="s">
        <v>1434</v>
      </c>
      <c r="M235" s="25" t="s">
        <v>31</v>
      </c>
      <c r="N235" s="25" t="s">
        <v>1435</v>
      </c>
      <c r="O235" s="25" t="s">
        <v>1436</v>
      </c>
    </row>
    <row r="236" spans="1:15" ht="21" x14ac:dyDescent="0.3">
      <c r="A236" s="19"/>
      <c r="B236" s="20"/>
      <c r="C236" s="20"/>
      <c r="D236" s="20"/>
      <c r="E236" s="20"/>
      <c r="F236" s="21"/>
      <c r="G236" s="22"/>
      <c r="H236" s="18" t="s">
        <v>1437</v>
      </c>
      <c r="I236" s="23" t="s">
        <v>1438</v>
      </c>
      <c r="J236" s="24" t="s">
        <v>20</v>
      </c>
      <c r="K236" s="25" t="s">
        <v>1439</v>
      </c>
      <c r="L236" s="25" t="s">
        <v>1440</v>
      </c>
      <c r="M236" s="25" t="s">
        <v>31</v>
      </c>
      <c r="N236" s="25" t="s">
        <v>1441</v>
      </c>
      <c r="O236" s="25" t="s">
        <v>1442</v>
      </c>
    </row>
    <row r="237" spans="1:15" ht="21" x14ac:dyDescent="0.3">
      <c r="A237" s="19"/>
      <c r="B237" s="20"/>
      <c r="C237" s="20"/>
      <c r="D237" s="20"/>
      <c r="E237" s="20"/>
      <c r="F237" s="21"/>
      <c r="G237" s="22" t="s">
        <v>1443</v>
      </c>
      <c r="H237" s="18" t="s">
        <v>1444</v>
      </c>
      <c r="I237" s="23" t="s">
        <v>1445</v>
      </c>
      <c r="J237" s="24" t="s">
        <v>28</v>
      </c>
      <c r="K237" s="25" t="s">
        <v>1446</v>
      </c>
      <c r="L237" s="25" t="s">
        <v>1447</v>
      </c>
      <c r="M237" s="25" t="s">
        <v>31</v>
      </c>
      <c r="N237" s="25" t="s">
        <v>1448</v>
      </c>
      <c r="O237" s="25" t="s">
        <v>1449</v>
      </c>
    </row>
    <row r="238" spans="1:15" ht="21" x14ac:dyDescent="0.3">
      <c r="A238" s="19"/>
      <c r="B238" s="20"/>
      <c r="C238" s="20"/>
      <c r="D238" s="20"/>
      <c r="E238" s="20"/>
      <c r="F238" s="21"/>
      <c r="G238" s="22"/>
      <c r="H238" s="18" t="s">
        <v>1450</v>
      </c>
      <c r="I238" s="23" t="s">
        <v>1451</v>
      </c>
      <c r="J238" s="24" t="s">
        <v>20</v>
      </c>
      <c r="K238" s="25" t="s">
        <v>1452</v>
      </c>
      <c r="L238" s="25" t="s">
        <v>1453</v>
      </c>
      <c r="M238" s="25" t="s">
        <v>193</v>
      </c>
      <c r="N238" s="25" t="s">
        <v>1454</v>
      </c>
      <c r="O238" s="25" t="s">
        <v>1455</v>
      </c>
    </row>
    <row r="239" spans="1:15" ht="21" x14ac:dyDescent="0.3">
      <c r="A239" s="19"/>
      <c r="B239" s="20"/>
      <c r="C239" s="20"/>
      <c r="D239" s="20"/>
      <c r="E239" s="20"/>
      <c r="F239" s="21"/>
      <c r="G239" s="22"/>
      <c r="H239" s="18" t="s">
        <v>1456</v>
      </c>
      <c r="I239" s="23" t="s">
        <v>1457</v>
      </c>
      <c r="J239" s="24" t="s">
        <v>20</v>
      </c>
      <c r="K239" s="25" t="s">
        <v>1458</v>
      </c>
      <c r="L239" s="25" t="s">
        <v>1459</v>
      </c>
      <c r="M239" s="25" t="s">
        <v>31</v>
      </c>
      <c r="N239" s="25" t="s">
        <v>1460</v>
      </c>
      <c r="O239" s="25" t="s">
        <v>1461</v>
      </c>
    </row>
    <row r="240" spans="1:15" ht="21" x14ac:dyDescent="0.3">
      <c r="A240" s="19"/>
      <c r="B240" s="20"/>
      <c r="C240" s="20"/>
      <c r="D240" s="20"/>
      <c r="E240" s="20"/>
      <c r="F240" s="21"/>
      <c r="G240" s="22"/>
      <c r="H240" s="18" t="s">
        <v>928</v>
      </c>
      <c r="I240" s="23" t="s">
        <v>929</v>
      </c>
      <c r="J240" s="24" t="s">
        <v>20</v>
      </c>
      <c r="K240" s="25" t="s">
        <v>1462</v>
      </c>
      <c r="L240" s="25" t="s">
        <v>1463</v>
      </c>
      <c r="M240" s="25" t="s">
        <v>193</v>
      </c>
      <c r="N240" s="25" t="s">
        <v>1464</v>
      </c>
      <c r="O240" s="25" t="s">
        <v>1465</v>
      </c>
    </row>
    <row r="241" spans="1:15" ht="21" x14ac:dyDescent="0.3">
      <c r="A241" s="19"/>
      <c r="B241" s="20"/>
      <c r="C241" s="20"/>
      <c r="D241" s="20"/>
      <c r="E241" s="20"/>
      <c r="F241" s="21"/>
      <c r="G241" s="22"/>
      <c r="H241" s="18" t="s">
        <v>934</v>
      </c>
      <c r="I241" s="23" t="s">
        <v>1466</v>
      </c>
      <c r="J241" s="24" t="s">
        <v>20</v>
      </c>
      <c r="K241" s="25" t="s">
        <v>1467</v>
      </c>
      <c r="L241" s="25" t="s">
        <v>1468</v>
      </c>
      <c r="M241" s="25" t="s">
        <v>23</v>
      </c>
      <c r="N241" s="25" t="s">
        <v>1469</v>
      </c>
      <c r="O241" s="25" t="s">
        <v>1470</v>
      </c>
    </row>
    <row r="242" spans="1:15" ht="21" x14ac:dyDescent="0.3">
      <c r="A242" s="19"/>
      <c r="B242" s="20"/>
      <c r="C242" s="20"/>
      <c r="D242" s="20"/>
      <c r="E242" s="20"/>
      <c r="F242" s="21"/>
      <c r="G242" s="22" t="s">
        <v>1471</v>
      </c>
      <c r="H242" s="18" t="s">
        <v>1472</v>
      </c>
      <c r="I242" s="23" t="s">
        <v>1473</v>
      </c>
      <c r="J242" s="24" t="s">
        <v>28</v>
      </c>
      <c r="K242" s="25" t="s">
        <v>1474</v>
      </c>
      <c r="L242" s="25" t="s">
        <v>1475</v>
      </c>
      <c r="M242" s="25" t="s">
        <v>23</v>
      </c>
      <c r="N242" s="25" t="s">
        <v>1476</v>
      </c>
      <c r="O242" s="25" t="s">
        <v>1477</v>
      </c>
    </row>
    <row r="243" spans="1:15" ht="21" x14ac:dyDescent="0.3">
      <c r="A243" s="19"/>
      <c r="B243" s="20"/>
      <c r="C243" s="20"/>
      <c r="D243" s="20"/>
      <c r="E243" s="20"/>
      <c r="F243" s="21"/>
      <c r="G243" s="22"/>
      <c r="H243" s="18" t="s">
        <v>1478</v>
      </c>
      <c r="I243" s="23" t="s">
        <v>1479</v>
      </c>
      <c r="J243" s="24" t="s">
        <v>20</v>
      </c>
      <c r="K243" s="25" t="s">
        <v>1480</v>
      </c>
      <c r="L243" s="25" t="s">
        <v>1481</v>
      </c>
      <c r="M243" s="25" t="s">
        <v>23</v>
      </c>
      <c r="N243" s="25" t="s">
        <v>1482</v>
      </c>
      <c r="O243" s="25" t="s">
        <v>1483</v>
      </c>
    </row>
    <row r="244" spans="1:15" ht="21" x14ac:dyDescent="0.3">
      <c r="A244" s="19"/>
      <c r="B244" s="20"/>
      <c r="C244" s="20"/>
      <c r="D244" s="20"/>
      <c r="E244" s="20"/>
      <c r="F244" s="21"/>
      <c r="G244" s="22"/>
      <c r="H244" s="18" t="s">
        <v>1484</v>
      </c>
      <c r="I244" s="23" t="s">
        <v>1485</v>
      </c>
      <c r="J244" s="24" t="s">
        <v>20</v>
      </c>
      <c r="K244" s="25" t="s">
        <v>1486</v>
      </c>
      <c r="L244" s="25" t="s">
        <v>1487</v>
      </c>
      <c r="M244" s="25" t="s">
        <v>23</v>
      </c>
      <c r="N244" s="25" t="s">
        <v>1488</v>
      </c>
      <c r="O244" s="25" t="s">
        <v>1489</v>
      </c>
    </row>
    <row r="245" spans="1:15" ht="21" x14ac:dyDescent="0.3">
      <c r="A245" s="19"/>
      <c r="B245" s="20"/>
      <c r="C245" s="20"/>
      <c r="D245" s="20"/>
      <c r="E245" s="20"/>
      <c r="F245" s="21"/>
      <c r="G245" s="22"/>
      <c r="H245" s="18" t="s">
        <v>1490</v>
      </c>
      <c r="I245" s="23" t="s">
        <v>1491</v>
      </c>
      <c r="J245" s="24" t="s">
        <v>20</v>
      </c>
      <c r="K245" s="25" t="s">
        <v>1492</v>
      </c>
      <c r="L245" s="25" t="s">
        <v>1493</v>
      </c>
      <c r="M245" s="25" t="s">
        <v>23</v>
      </c>
      <c r="N245" s="25" t="s">
        <v>1494</v>
      </c>
      <c r="O245" s="25" t="s">
        <v>1495</v>
      </c>
    </row>
    <row r="246" spans="1:15" ht="21" x14ac:dyDescent="0.3">
      <c r="A246" s="19"/>
      <c r="B246" s="20"/>
      <c r="C246" s="20"/>
      <c r="D246" s="20"/>
      <c r="E246" s="20"/>
      <c r="F246" s="21"/>
      <c r="G246" s="22"/>
      <c r="H246" s="18" t="s">
        <v>634</v>
      </c>
      <c r="I246" s="23" t="s">
        <v>1496</v>
      </c>
      <c r="J246" s="24" t="s">
        <v>20</v>
      </c>
      <c r="K246" s="25" t="s">
        <v>1497</v>
      </c>
      <c r="L246" s="25" t="s">
        <v>1498</v>
      </c>
      <c r="M246" s="25" t="s">
        <v>23</v>
      </c>
      <c r="N246" s="25" t="s">
        <v>1499</v>
      </c>
      <c r="O246" s="25" t="s">
        <v>1500</v>
      </c>
    </row>
    <row r="247" spans="1:15" ht="21" x14ac:dyDescent="0.3">
      <c r="A247" s="19"/>
      <c r="B247" s="20"/>
      <c r="C247" s="20"/>
      <c r="D247" s="20"/>
      <c r="E247" s="20"/>
      <c r="F247" s="21"/>
      <c r="G247" s="22" t="s">
        <v>1501</v>
      </c>
      <c r="H247" s="18" t="s">
        <v>1502</v>
      </c>
      <c r="I247" s="23" t="s">
        <v>1503</v>
      </c>
      <c r="J247" s="24" t="s">
        <v>28</v>
      </c>
      <c r="K247" s="25" t="s">
        <v>1504</v>
      </c>
      <c r="L247" s="25" t="s">
        <v>1505</v>
      </c>
      <c r="M247" s="25" t="s">
        <v>23</v>
      </c>
      <c r="N247" s="25" t="s">
        <v>1506</v>
      </c>
      <c r="O247" s="25" t="s">
        <v>1507</v>
      </c>
    </row>
    <row r="248" spans="1:15" ht="21" x14ac:dyDescent="0.3">
      <c r="A248" s="19"/>
      <c r="B248" s="20"/>
      <c r="C248" s="20"/>
      <c r="D248" s="20"/>
      <c r="E248" s="20"/>
      <c r="F248" s="21"/>
      <c r="G248" s="22"/>
      <c r="H248" s="18" t="s">
        <v>767</v>
      </c>
      <c r="I248" s="23" t="s">
        <v>1508</v>
      </c>
      <c r="J248" s="24" t="s">
        <v>20</v>
      </c>
      <c r="K248" s="25" t="s">
        <v>1509</v>
      </c>
      <c r="L248" s="25" t="s">
        <v>1510</v>
      </c>
      <c r="M248" s="25" t="s">
        <v>23</v>
      </c>
      <c r="N248" s="25" t="s">
        <v>1511</v>
      </c>
      <c r="O248" s="25" t="s">
        <v>1512</v>
      </c>
    </row>
    <row r="249" spans="1:15" ht="21" x14ac:dyDescent="0.3">
      <c r="A249" s="19"/>
      <c r="B249" s="20"/>
      <c r="C249" s="20"/>
      <c r="D249" s="20"/>
      <c r="E249" s="20"/>
      <c r="F249" s="21"/>
      <c r="G249" s="22"/>
      <c r="H249" s="18" t="s">
        <v>1513</v>
      </c>
      <c r="I249" s="27" t="s">
        <v>1514</v>
      </c>
      <c r="J249" s="24" t="s">
        <v>20</v>
      </c>
      <c r="K249" s="25" t="s">
        <v>1515</v>
      </c>
      <c r="L249" s="25" t="s">
        <v>1516</v>
      </c>
      <c r="M249" s="25" t="s">
        <v>23</v>
      </c>
      <c r="N249" s="25" t="s">
        <v>1517</v>
      </c>
      <c r="O249" s="25" t="s">
        <v>1518</v>
      </c>
    </row>
    <row r="250" spans="1:15" ht="21" x14ac:dyDescent="0.3">
      <c r="A250" s="19"/>
      <c r="B250" s="20"/>
      <c r="C250" s="20"/>
      <c r="D250" s="20"/>
      <c r="E250" s="20"/>
      <c r="F250" s="21"/>
      <c r="G250" s="22"/>
      <c r="H250" s="18" t="s">
        <v>1519</v>
      </c>
      <c r="I250" s="23" t="s">
        <v>1520</v>
      </c>
      <c r="J250" s="24" t="s">
        <v>20</v>
      </c>
      <c r="K250" s="25" t="s">
        <v>1521</v>
      </c>
      <c r="L250" s="25" t="s">
        <v>1522</v>
      </c>
      <c r="M250" s="25" t="s">
        <v>23</v>
      </c>
      <c r="N250" s="25" t="s">
        <v>1523</v>
      </c>
      <c r="O250" s="25" t="s">
        <v>1524</v>
      </c>
    </row>
    <row r="251" spans="1:15" ht="21" x14ac:dyDescent="0.3">
      <c r="A251" s="19"/>
      <c r="B251" s="20"/>
      <c r="C251" s="20"/>
      <c r="D251" s="20"/>
      <c r="E251" s="20"/>
      <c r="F251" s="21"/>
      <c r="G251" s="22"/>
      <c r="H251" s="18" t="s">
        <v>785</v>
      </c>
      <c r="I251" s="23" t="s">
        <v>1525</v>
      </c>
      <c r="J251" s="24" t="s">
        <v>20</v>
      </c>
      <c r="K251" s="25" t="s">
        <v>1526</v>
      </c>
      <c r="L251" s="25" t="s">
        <v>1527</v>
      </c>
      <c r="M251" s="25" t="s">
        <v>23</v>
      </c>
      <c r="N251" s="25" t="s">
        <v>1528</v>
      </c>
      <c r="O251" s="25" t="s">
        <v>1529</v>
      </c>
    </row>
    <row r="252" spans="1:15" ht="21" x14ac:dyDescent="0.3">
      <c r="A252" s="19"/>
      <c r="B252" s="20"/>
      <c r="C252" s="20"/>
      <c r="D252" s="20"/>
      <c r="E252" s="20"/>
      <c r="F252" s="21"/>
      <c r="G252" s="22" t="s">
        <v>1530</v>
      </c>
      <c r="H252" s="18" t="s">
        <v>1531</v>
      </c>
      <c r="I252" s="23" t="s">
        <v>1532</v>
      </c>
      <c r="J252" s="24" t="s">
        <v>28</v>
      </c>
      <c r="K252" s="25" t="s">
        <v>1533</v>
      </c>
      <c r="L252" s="25" t="s">
        <v>1534</v>
      </c>
      <c r="M252" s="25" t="s">
        <v>23</v>
      </c>
      <c r="N252" s="25" t="s">
        <v>1535</v>
      </c>
      <c r="O252" s="25" t="s">
        <v>1536</v>
      </c>
    </row>
    <row r="253" spans="1:15" ht="21" x14ac:dyDescent="0.3">
      <c r="A253" s="19"/>
      <c r="B253" s="20"/>
      <c r="C253" s="20"/>
      <c r="D253" s="20"/>
      <c r="E253" s="20"/>
      <c r="F253" s="21"/>
      <c r="G253" s="22"/>
      <c r="H253" s="18" t="s">
        <v>1537</v>
      </c>
      <c r="I253" s="23" t="s">
        <v>1538</v>
      </c>
      <c r="J253" s="24" t="s">
        <v>20</v>
      </c>
      <c r="K253" s="25" t="s">
        <v>1539</v>
      </c>
      <c r="L253" s="25" t="s">
        <v>1540</v>
      </c>
      <c r="M253" s="25" t="s">
        <v>23</v>
      </c>
      <c r="N253" s="25" t="s">
        <v>1541</v>
      </c>
      <c r="O253" s="25" t="s">
        <v>1542</v>
      </c>
    </row>
    <row r="254" spans="1:15" ht="21" x14ac:dyDescent="0.3">
      <c r="A254" s="19"/>
      <c r="B254" s="20"/>
      <c r="C254" s="20"/>
      <c r="D254" s="20"/>
      <c r="E254" s="20"/>
      <c r="F254" s="21"/>
      <c r="G254" s="22"/>
      <c r="H254" s="18" t="s">
        <v>1543</v>
      </c>
      <c r="I254" s="23" t="s">
        <v>1544</v>
      </c>
      <c r="J254" s="24" t="s">
        <v>20</v>
      </c>
      <c r="K254" s="25" t="s">
        <v>1545</v>
      </c>
      <c r="L254" s="25" t="s">
        <v>1546</v>
      </c>
      <c r="M254" s="25" t="s">
        <v>23</v>
      </c>
      <c r="N254" s="25" t="s">
        <v>1547</v>
      </c>
      <c r="O254" s="25" t="s">
        <v>1548</v>
      </c>
    </row>
    <row r="255" spans="1:15" ht="21" x14ac:dyDescent="0.3">
      <c r="A255" s="19"/>
      <c r="B255" s="20"/>
      <c r="C255" s="20"/>
      <c r="D255" s="20"/>
      <c r="E255" s="20"/>
      <c r="F255" s="21"/>
      <c r="G255" s="22"/>
      <c r="H255" s="18" t="s">
        <v>1549</v>
      </c>
      <c r="I255" s="23" t="s">
        <v>1550</v>
      </c>
      <c r="J255" s="24" t="s">
        <v>20</v>
      </c>
      <c r="K255" s="25" t="s">
        <v>1551</v>
      </c>
      <c r="L255" s="25" t="s">
        <v>1552</v>
      </c>
      <c r="M255" s="25" t="s">
        <v>23</v>
      </c>
      <c r="N255" s="25" t="s">
        <v>1553</v>
      </c>
      <c r="O255" s="25" t="s">
        <v>1554</v>
      </c>
    </row>
    <row r="256" spans="1:15" ht="21" x14ac:dyDescent="0.3">
      <c r="A256" s="19"/>
      <c r="B256" s="20"/>
      <c r="C256" s="20"/>
      <c r="D256" s="20"/>
      <c r="E256" s="20"/>
      <c r="F256" s="21"/>
      <c r="G256" s="22"/>
      <c r="H256" s="18" t="s">
        <v>1555</v>
      </c>
      <c r="I256" s="23" t="s">
        <v>1556</v>
      </c>
      <c r="J256" s="24" t="s">
        <v>20</v>
      </c>
      <c r="K256" s="25" t="s">
        <v>1557</v>
      </c>
      <c r="L256" s="25" t="s">
        <v>1558</v>
      </c>
      <c r="M256" s="25" t="s">
        <v>23</v>
      </c>
      <c r="N256" s="25" t="s">
        <v>1559</v>
      </c>
      <c r="O256" s="25" t="s">
        <v>1560</v>
      </c>
    </row>
    <row r="257" spans="1:15" ht="21" x14ac:dyDescent="0.3">
      <c r="A257" s="19"/>
      <c r="B257" s="20"/>
      <c r="C257" s="20"/>
      <c r="D257" s="20"/>
      <c r="E257" s="20"/>
      <c r="F257" s="21"/>
      <c r="G257" s="22" t="s">
        <v>1561</v>
      </c>
      <c r="H257" s="18" t="s">
        <v>1562</v>
      </c>
      <c r="I257" s="23" t="s">
        <v>1563</v>
      </c>
      <c r="J257" s="24" t="s">
        <v>28</v>
      </c>
      <c r="K257" s="25" t="s">
        <v>1564</v>
      </c>
      <c r="L257" s="25" t="s">
        <v>1565</v>
      </c>
      <c r="M257" s="25" t="s">
        <v>23</v>
      </c>
      <c r="N257" s="25" t="s">
        <v>1566</v>
      </c>
      <c r="O257" s="25" t="s">
        <v>1567</v>
      </c>
    </row>
    <row r="258" spans="1:15" ht="21" x14ac:dyDescent="0.3">
      <c r="A258" s="19"/>
      <c r="B258" s="20"/>
      <c r="C258" s="20"/>
      <c r="D258" s="20"/>
      <c r="E258" s="20"/>
      <c r="F258" s="21"/>
      <c r="G258" s="22"/>
      <c r="H258" s="18" t="s">
        <v>1389</v>
      </c>
      <c r="I258" s="23" t="s">
        <v>1568</v>
      </c>
      <c r="J258" s="24" t="s">
        <v>20</v>
      </c>
      <c r="K258" s="25" t="s">
        <v>1569</v>
      </c>
      <c r="L258" s="25" t="s">
        <v>1570</v>
      </c>
      <c r="M258" s="25" t="s">
        <v>23</v>
      </c>
      <c r="N258" s="25" t="s">
        <v>1571</v>
      </c>
      <c r="O258" s="25" t="s">
        <v>1572</v>
      </c>
    </row>
    <row r="259" spans="1:15" ht="21" x14ac:dyDescent="0.3">
      <c r="A259" s="19"/>
      <c r="B259" s="20"/>
      <c r="C259" s="20"/>
      <c r="D259" s="20"/>
      <c r="E259" s="20"/>
      <c r="F259" s="21"/>
      <c r="G259" s="22"/>
      <c r="H259" s="18" t="s">
        <v>1395</v>
      </c>
      <c r="I259" s="23" t="s">
        <v>1573</v>
      </c>
      <c r="J259" s="24" t="s">
        <v>20</v>
      </c>
      <c r="K259" s="25" t="s">
        <v>1574</v>
      </c>
      <c r="L259" s="25" t="s">
        <v>1575</v>
      </c>
      <c r="M259" s="25" t="s">
        <v>23</v>
      </c>
      <c r="N259" s="25" t="s">
        <v>1576</v>
      </c>
      <c r="O259" s="25" t="s">
        <v>1577</v>
      </c>
    </row>
    <row r="260" spans="1:15" ht="21" x14ac:dyDescent="0.3">
      <c r="A260" s="19"/>
      <c r="B260" s="20"/>
      <c r="C260" s="20"/>
      <c r="D260" s="20"/>
      <c r="E260" s="20"/>
      <c r="F260" s="21"/>
      <c r="G260" s="22"/>
      <c r="H260" s="18" t="s">
        <v>1578</v>
      </c>
      <c r="I260" s="23" t="s">
        <v>1579</v>
      </c>
      <c r="J260" s="24" t="s">
        <v>20</v>
      </c>
      <c r="K260" s="25" t="s">
        <v>1580</v>
      </c>
      <c r="L260" s="25" t="s">
        <v>1581</v>
      </c>
      <c r="M260" s="25" t="s">
        <v>23</v>
      </c>
      <c r="N260" s="25" t="s">
        <v>1582</v>
      </c>
      <c r="O260" s="25" t="s">
        <v>1583</v>
      </c>
    </row>
    <row r="261" spans="1:15" ht="21" x14ac:dyDescent="0.3">
      <c r="A261" s="19"/>
      <c r="B261" s="20"/>
      <c r="C261" s="20"/>
      <c r="D261" s="20"/>
      <c r="E261" s="20"/>
      <c r="F261" s="21"/>
      <c r="G261" s="22"/>
      <c r="H261" s="18" t="s">
        <v>1407</v>
      </c>
      <c r="I261" s="23" t="s">
        <v>1584</v>
      </c>
      <c r="J261" s="24" t="s">
        <v>20</v>
      </c>
      <c r="K261" s="25" t="s">
        <v>1585</v>
      </c>
      <c r="L261" s="25" t="s">
        <v>1586</v>
      </c>
      <c r="M261" s="25" t="s">
        <v>23</v>
      </c>
      <c r="N261" s="25" t="s">
        <v>1587</v>
      </c>
      <c r="O261" s="25" t="s">
        <v>1588</v>
      </c>
    </row>
    <row r="262" spans="1:15" ht="21" x14ac:dyDescent="0.3">
      <c r="A262" s="19"/>
      <c r="B262" s="20"/>
      <c r="C262" s="20"/>
      <c r="D262" s="20"/>
      <c r="E262" s="20"/>
      <c r="F262" s="21"/>
      <c r="G262" s="22" t="s">
        <v>1589</v>
      </c>
      <c r="H262" s="18" t="s">
        <v>1590</v>
      </c>
      <c r="I262" s="23" t="s">
        <v>1591</v>
      </c>
      <c r="J262" s="24" t="s">
        <v>28</v>
      </c>
      <c r="K262" s="25" t="s">
        <v>1592</v>
      </c>
      <c r="L262" s="25" t="s">
        <v>1593</v>
      </c>
      <c r="M262" s="25" t="s">
        <v>23</v>
      </c>
      <c r="N262" s="25" t="s">
        <v>1594</v>
      </c>
      <c r="O262" s="25" t="s">
        <v>1595</v>
      </c>
    </row>
    <row r="263" spans="1:15" ht="21" x14ac:dyDescent="0.3">
      <c r="A263" s="19"/>
      <c r="B263" s="20"/>
      <c r="C263" s="20"/>
      <c r="D263" s="20"/>
      <c r="E263" s="20"/>
      <c r="F263" s="21"/>
      <c r="G263" s="22"/>
      <c r="H263" s="18" t="s">
        <v>1596</v>
      </c>
      <c r="I263" s="23" t="s">
        <v>1597</v>
      </c>
      <c r="J263" s="24" t="s">
        <v>20</v>
      </c>
      <c r="K263" s="25" t="s">
        <v>1598</v>
      </c>
      <c r="L263" s="25" t="s">
        <v>1599</v>
      </c>
      <c r="M263" s="25" t="s">
        <v>23</v>
      </c>
      <c r="N263" s="25" t="s">
        <v>1600</v>
      </c>
      <c r="O263" s="25" t="s">
        <v>1601</v>
      </c>
    </row>
    <row r="264" spans="1:15" ht="21" x14ac:dyDescent="0.3">
      <c r="A264" s="19"/>
      <c r="B264" s="20"/>
      <c r="C264" s="20"/>
      <c r="D264" s="20"/>
      <c r="E264" s="20"/>
      <c r="F264" s="21"/>
      <c r="G264" s="22"/>
      <c r="H264" s="18" t="s">
        <v>1602</v>
      </c>
      <c r="I264" s="23" t="s">
        <v>1603</v>
      </c>
      <c r="J264" s="24" t="s">
        <v>20</v>
      </c>
      <c r="K264" s="25" t="s">
        <v>148</v>
      </c>
      <c r="L264" s="25" t="s">
        <v>1604</v>
      </c>
      <c r="M264" s="25" t="s">
        <v>23</v>
      </c>
      <c r="N264" s="25" t="s">
        <v>1605</v>
      </c>
      <c r="O264" s="25" t="s">
        <v>1606</v>
      </c>
    </row>
    <row r="265" spans="1:15" ht="21" x14ac:dyDescent="0.3">
      <c r="A265" s="19"/>
      <c r="B265" s="20"/>
      <c r="C265" s="20"/>
      <c r="D265" s="20"/>
      <c r="E265" s="20"/>
      <c r="F265" s="21"/>
      <c r="G265" s="22"/>
      <c r="H265" s="18" t="s">
        <v>1607</v>
      </c>
      <c r="I265" s="23" t="s">
        <v>1608</v>
      </c>
      <c r="J265" s="24" t="s">
        <v>20</v>
      </c>
      <c r="K265" s="25" t="s">
        <v>1609</v>
      </c>
      <c r="L265" s="25" t="s">
        <v>1610</v>
      </c>
      <c r="M265" s="25" t="s">
        <v>23</v>
      </c>
      <c r="N265" s="25" t="s">
        <v>1611</v>
      </c>
      <c r="O265" s="25" t="s">
        <v>1612</v>
      </c>
    </row>
    <row r="266" spans="1:15" ht="21" x14ac:dyDescent="0.3">
      <c r="A266" s="19"/>
      <c r="B266" s="20"/>
      <c r="C266" s="20"/>
      <c r="D266" s="20"/>
      <c r="E266" s="20"/>
      <c r="F266" s="21"/>
      <c r="G266" s="22"/>
      <c r="H266" s="18" t="s">
        <v>1613</v>
      </c>
      <c r="I266" s="23" t="s">
        <v>1273</v>
      </c>
      <c r="J266" s="24" t="s">
        <v>20</v>
      </c>
      <c r="K266" s="25" t="s">
        <v>1614</v>
      </c>
      <c r="L266" s="25" t="s">
        <v>1615</v>
      </c>
      <c r="M266" s="25" t="s">
        <v>23</v>
      </c>
      <c r="N266" s="25" t="s">
        <v>1616</v>
      </c>
      <c r="O266" s="25" t="s">
        <v>1617</v>
      </c>
    </row>
    <row r="267" spans="1:15" ht="21" x14ac:dyDescent="0.3">
      <c r="A267" s="19"/>
      <c r="B267" s="20"/>
      <c r="C267" s="20"/>
      <c r="D267" s="20"/>
      <c r="E267" s="20"/>
      <c r="F267" s="21"/>
      <c r="G267" s="22" t="s">
        <v>1618</v>
      </c>
      <c r="H267" s="18" t="s">
        <v>1619</v>
      </c>
      <c r="I267" s="23" t="s">
        <v>1620</v>
      </c>
      <c r="J267" s="24" t="s">
        <v>28</v>
      </c>
      <c r="K267" s="25" t="s">
        <v>1621</v>
      </c>
      <c r="L267" s="25" t="s">
        <v>1622</v>
      </c>
      <c r="M267" s="25" t="s">
        <v>23</v>
      </c>
      <c r="N267" s="25" t="s">
        <v>1623</v>
      </c>
      <c r="O267" s="25" t="s">
        <v>1624</v>
      </c>
    </row>
    <row r="268" spans="1:15" ht="21" x14ac:dyDescent="0.3">
      <c r="A268" s="19"/>
      <c r="B268" s="20"/>
      <c r="C268" s="20"/>
      <c r="D268" s="20"/>
      <c r="E268" s="20"/>
      <c r="F268" s="21"/>
      <c r="G268" s="22"/>
      <c r="H268" s="18" t="s">
        <v>1625</v>
      </c>
      <c r="I268" s="23" t="s">
        <v>1626</v>
      </c>
      <c r="J268" s="24" t="s">
        <v>20</v>
      </c>
      <c r="K268" s="25" t="s">
        <v>1627</v>
      </c>
      <c r="L268" s="25" t="s">
        <v>1628</v>
      </c>
      <c r="M268" s="25" t="s">
        <v>23</v>
      </c>
      <c r="N268" s="25" t="s">
        <v>1629</v>
      </c>
      <c r="O268" s="25" t="s">
        <v>1630</v>
      </c>
    </row>
    <row r="269" spans="1:15" ht="21" x14ac:dyDescent="0.3">
      <c r="A269" s="19"/>
      <c r="B269" s="20"/>
      <c r="C269" s="20"/>
      <c r="D269" s="20"/>
      <c r="E269" s="20"/>
      <c r="F269" s="21"/>
      <c r="G269" s="22"/>
      <c r="H269" s="18" t="s">
        <v>1631</v>
      </c>
      <c r="I269" s="23" t="s">
        <v>1632</v>
      </c>
      <c r="J269" s="24" t="s">
        <v>20</v>
      </c>
      <c r="K269" s="25" t="s">
        <v>1633</v>
      </c>
      <c r="L269" s="25" t="s">
        <v>1634</v>
      </c>
      <c r="M269" s="25" t="s">
        <v>23</v>
      </c>
      <c r="N269" s="25" t="s">
        <v>1635</v>
      </c>
      <c r="O269" s="25" t="s">
        <v>1636</v>
      </c>
    </row>
    <row r="270" spans="1:15" ht="21" x14ac:dyDescent="0.3">
      <c r="A270" s="19"/>
      <c r="B270" s="20"/>
      <c r="C270" s="20"/>
      <c r="D270" s="20"/>
      <c r="E270" s="20"/>
      <c r="F270" s="21"/>
      <c r="G270" s="22"/>
      <c r="H270" s="18" t="s">
        <v>1637</v>
      </c>
      <c r="I270" s="23" t="s">
        <v>1638</v>
      </c>
      <c r="J270" s="24" t="s">
        <v>20</v>
      </c>
      <c r="K270" s="25" t="s">
        <v>1639</v>
      </c>
      <c r="L270" s="25" t="s">
        <v>1640</v>
      </c>
      <c r="M270" s="25" t="s">
        <v>23</v>
      </c>
      <c r="N270" s="25" t="s">
        <v>1641</v>
      </c>
      <c r="O270" s="25" t="s">
        <v>1642</v>
      </c>
    </row>
    <row r="271" spans="1:15" ht="21" x14ac:dyDescent="0.3">
      <c r="A271" s="19"/>
      <c r="B271" s="20"/>
      <c r="C271" s="20"/>
      <c r="D271" s="20"/>
      <c r="E271" s="20"/>
      <c r="F271" s="21"/>
      <c r="G271" s="22"/>
      <c r="H271" s="18" t="s">
        <v>1643</v>
      </c>
      <c r="I271" s="23" t="s">
        <v>1644</v>
      </c>
      <c r="J271" s="24" t="s">
        <v>20</v>
      </c>
      <c r="K271" s="25" t="s">
        <v>160</v>
      </c>
      <c r="L271" s="25" t="s">
        <v>1645</v>
      </c>
      <c r="M271" s="25" t="s">
        <v>23</v>
      </c>
      <c r="N271" s="25" t="s">
        <v>1646</v>
      </c>
      <c r="O271" s="25" t="s">
        <v>1647</v>
      </c>
    </row>
    <row r="272" spans="1:15" ht="21" x14ac:dyDescent="0.3">
      <c r="A272" s="19"/>
      <c r="B272" s="20"/>
      <c r="C272" s="20"/>
      <c r="D272" s="20"/>
      <c r="E272" s="20"/>
      <c r="F272" s="21"/>
      <c r="G272" s="22" t="s">
        <v>1648</v>
      </c>
      <c r="H272" s="18" t="s">
        <v>1649</v>
      </c>
      <c r="I272" s="23" t="s">
        <v>1650</v>
      </c>
      <c r="J272" s="24" t="s">
        <v>28</v>
      </c>
      <c r="K272" s="25" t="s">
        <v>1651</v>
      </c>
      <c r="L272" s="25" t="s">
        <v>1652</v>
      </c>
      <c r="M272" s="25" t="s">
        <v>23</v>
      </c>
      <c r="N272" s="25" t="s">
        <v>1653</v>
      </c>
      <c r="O272" s="25" t="s">
        <v>1654</v>
      </c>
    </row>
    <row r="273" spans="1:15" ht="21" x14ac:dyDescent="0.3">
      <c r="A273" s="19"/>
      <c r="B273" s="20"/>
      <c r="C273" s="20"/>
      <c r="D273" s="20"/>
      <c r="E273" s="20"/>
      <c r="F273" s="21"/>
      <c r="G273" s="22"/>
      <c r="H273" s="18" t="s">
        <v>1625</v>
      </c>
      <c r="I273" s="23" t="s">
        <v>1655</v>
      </c>
      <c r="J273" s="24" t="s">
        <v>20</v>
      </c>
      <c r="K273" s="25" t="s">
        <v>1656</v>
      </c>
      <c r="L273" s="25" t="s">
        <v>1657</v>
      </c>
      <c r="M273" s="25" t="s">
        <v>23</v>
      </c>
      <c r="N273" s="25" t="s">
        <v>1658</v>
      </c>
      <c r="O273" s="25" t="s">
        <v>1659</v>
      </c>
    </row>
    <row r="274" spans="1:15" ht="21" x14ac:dyDescent="0.3">
      <c r="A274" s="19"/>
      <c r="B274" s="20"/>
      <c r="C274" s="20"/>
      <c r="D274" s="20"/>
      <c r="E274" s="20"/>
      <c r="F274" s="21"/>
      <c r="G274" s="22"/>
      <c r="H274" s="18" t="s">
        <v>1660</v>
      </c>
      <c r="I274" s="23" t="s">
        <v>1661</v>
      </c>
      <c r="J274" s="24" t="s">
        <v>20</v>
      </c>
      <c r="K274" s="25" t="s">
        <v>1662</v>
      </c>
      <c r="L274" s="25" t="s">
        <v>1663</v>
      </c>
      <c r="M274" s="25" t="s">
        <v>23</v>
      </c>
      <c r="N274" s="25" t="s">
        <v>1664</v>
      </c>
      <c r="O274" s="25" t="s">
        <v>1665</v>
      </c>
    </row>
    <row r="275" spans="1:15" ht="21" x14ac:dyDescent="0.3">
      <c r="A275" s="19"/>
      <c r="B275" s="20"/>
      <c r="C275" s="20"/>
      <c r="D275" s="20"/>
      <c r="E275" s="20"/>
      <c r="F275" s="21"/>
      <c r="G275" s="22"/>
      <c r="H275" s="18" t="s">
        <v>1666</v>
      </c>
      <c r="I275" s="23" t="s">
        <v>1667</v>
      </c>
      <c r="J275" s="24" t="s">
        <v>20</v>
      </c>
      <c r="K275" s="25" t="s">
        <v>1668</v>
      </c>
      <c r="L275" s="25" t="s">
        <v>1669</v>
      </c>
      <c r="M275" s="25" t="s">
        <v>23</v>
      </c>
      <c r="N275" s="25" t="s">
        <v>1670</v>
      </c>
      <c r="O275" s="25" t="s">
        <v>1671</v>
      </c>
    </row>
    <row r="276" spans="1:15" ht="21" x14ac:dyDescent="0.3">
      <c r="A276" s="19"/>
      <c r="B276" s="20"/>
      <c r="C276" s="20"/>
      <c r="D276" s="20"/>
      <c r="E276" s="20"/>
      <c r="F276" s="21"/>
      <c r="G276" s="22"/>
      <c r="H276" s="18" t="s">
        <v>1672</v>
      </c>
      <c r="I276" s="23" t="s">
        <v>1673</v>
      </c>
      <c r="J276" s="24" t="s">
        <v>20</v>
      </c>
      <c r="K276" s="25" t="s">
        <v>1674</v>
      </c>
      <c r="L276" s="25" t="s">
        <v>1675</v>
      </c>
      <c r="M276" s="25" t="s">
        <v>23</v>
      </c>
      <c r="N276" s="25" t="s">
        <v>1676</v>
      </c>
      <c r="O276" s="25" t="s">
        <v>1677</v>
      </c>
    </row>
    <row r="277" spans="1:15" ht="21" x14ac:dyDescent="0.3">
      <c r="A277" s="19"/>
      <c r="B277" s="20"/>
      <c r="C277" s="20"/>
      <c r="D277" s="20"/>
      <c r="E277" s="20"/>
      <c r="F277" s="21"/>
      <c r="G277" s="22" t="s">
        <v>1678</v>
      </c>
      <c r="H277" s="18" t="s">
        <v>1679</v>
      </c>
      <c r="I277" s="23" t="s">
        <v>1680</v>
      </c>
      <c r="J277" s="24" t="s">
        <v>28</v>
      </c>
      <c r="K277" s="25" t="s">
        <v>1681</v>
      </c>
      <c r="L277" s="25" t="s">
        <v>1682</v>
      </c>
      <c r="M277" s="25" t="s">
        <v>23</v>
      </c>
      <c r="N277" s="25" t="s">
        <v>1683</v>
      </c>
      <c r="O277" s="25" t="s">
        <v>1684</v>
      </c>
    </row>
    <row r="278" spans="1:15" ht="21" x14ac:dyDescent="0.3">
      <c r="A278" s="19"/>
      <c r="B278" s="20"/>
      <c r="C278" s="20"/>
      <c r="D278" s="20"/>
      <c r="E278" s="20"/>
      <c r="F278" s="21"/>
      <c r="G278" s="22"/>
      <c r="H278" s="18" t="s">
        <v>1685</v>
      </c>
      <c r="I278" s="23" t="s">
        <v>1686</v>
      </c>
      <c r="J278" s="24" t="s">
        <v>20</v>
      </c>
      <c r="K278" s="25" t="s">
        <v>1687</v>
      </c>
      <c r="L278" s="25" t="s">
        <v>1688</v>
      </c>
      <c r="M278" s="25" t="s">
        <v>23</v>
      </c>
      <c r="N278" s="25" t="s">
        <v>1689</v>
      </c>
      <c r="O278" s="25" t="s">
        <v>1690</v>
      </c>
    </row>
    <row r="279" spans="1:15" ht="21" x14ac:dyDescent="0.3">
      <c r="A279" s="19"/>
      <c r="B279" s="20"/>
      <c r="C279" s="20"/>
      <c r="D279" s="20"/>
      <c r="E279" s="20"/>
      <c r="F279" s="21"/>
      <c r="G279" s="22"/>
      <c r="H279" s="18" t="s">
        <v>1691</v>
      </c>
      <c r="I279" s="23" t="s">
        <v>1692</v>
      </c>
      <c r="J279" s="24" t="s">
        <v>20</v>
      </c>
      <c r="K279" s="25" t="s">
        <v>372</v>
      </c>
      <c r="L279" s="25" t="s">
        <v>1693</v>
      </c>
      <c r="M279" s="25" t="s">
        <v>23</v>
      </c>
      <c r="N279" s="25" t="s">
        <v>1694</v>
      </c>
      <c r="O279" s="25" t="s">
        <v>1695</v>
      </c>
    </row>
    <row r="280" spans="1:15" ht="21" x14ac:dyDescent="0.3">
      <c r="A280" s="19"/>
      <c r="B280" s="20"/>
      <c r="C280" s="20"/>
      <c r="D280" s="20"/>
      <c r="E280" s="20"/>
      <c r="F280" s="21"/>
      <c r="G280" s="22"/>
      <c r="H280" s="18" t="s">
        <v>1696</v>
      </c>
      <c r="I280" s="23" t="s">
        <v>1697</v>
      </c>
      <c r="J280" s="24" t="s">
        <v>20</v>
      </c>
      <c r="K280" s="25" t="s">
        <v>1698</v>
      </c>
      <c r="L280" s="25" t="s">
        <v>1699</v>
      </c>
      <c r="M280" s="25" t="s">
        <v>23</v>
      </c>
      <c r="N280" s="25" t="s">
        <v>1700</v>
      </c>
      <c r="O280" s="25" t="s">
        <v>1701</v>
      </c>
    </row>
    <row r="281" spans="1:15" ht="21" x14ac:dyDescent="0.3">
      <c r="A281" s="19"/>
      <c r="B281" s="20"/>
      <c r="C281" s="20"/>
      <c r="D281" s="20"/>
      <c r="E281" s="20"/>
      <c r="F281" s="21"/>
      <c r="G281" s="22"/>
      <c r="H281" s="18" t="s">
        <v>1702</v>
      </c>
      <c r="I281" s="23" t="s">
        <v>1703</v>
      </c>
      <c r="J281" s="24" t="s">
        <v>20</v>
      </c>
      <c r="K281" s="25" t="s">
        <v>1704</v>
      </c>
      <c r="L281" s="25" t="s">
        <v>1705</v>
      </c>
      <c r="M281" s="25" t="s">
        <v>23</v>
      </c>
      <c r="N281" s="25" t="s">
        <v>1706</v>
      </c>
      <c r="O281" s="25" t="s">
        <v>1707</v>
      </c>
    </row>
    <row r="282" spans="1:15" ht="21" x14ac:dyDescent="0.3">
      <c r="A282" s="19"/>
      <c r="B282" s="20"/>
      <c r="C282" s="20"/>
      <c r="D282" s="20"/>
      <c r="E282" s="20"/>
      <c r="F282" s="21"/>
      <c r="G282" s="22" t="s">
        <v>1708</v>
      </c>
      <c r="H282" s="18" t="s">
        <v>1679</v>
      </c>
      <c r="I282" s="23" t="s">
        <v>1709</v>
      </c>
      <c r="J282" s="24" t="s">
        <v>28</v>
      </c>
      <c r="K282" s="25" t="s">
        <v>1710</v>
      </c>
      <c r="L282" s="25" t="s">
        <v>1711</v>
      </c>
      <c r="M282" s="25" t="s">
        <v>23</v>
      </c>
      <c r="N282" s="25" t="s">
        <v>1712</v>
      </c>
      <c r="O282" s="25" t="s">
        <v>1713</v>
      </c>
    </row>
    <row r="283" spans="1:15" ht="21" x14ac:dyDescent="0.3">
      <c r="A283" s="19"/>
      <c r="B283" s="20"/>
      <c r="C283" s="20"/>
      <c r="D283" s="20"/>
      <c r="E283" s="20"/>
      <c r="F283" s="21"/>
      <c r="G283" s="22"/>
      <c r="H283" s="18" t="s">
        <v>1714</v>
      </c>
      <c r="I283" s="23" t="s">
        <v>1715</v>
      </c>
      <c r="J283" s="24" t="s">
        <v>20</v>
      </c>
      <c r="K283" s="25" t="s">
        <v>531</v>
      </c>
      <c r="L283" s="25" t="s">
        <v>1716</v>
      </c>
      <c r="M283" s="25" t="s">
        <v>23</v>
      </c>
      <c r="N283" s="25" t="s">
        <v>1717</v>
      </c>
      <c r="O283" s="25" t="s">
        <v>1718</v>
      </c>
    </row>
    <row r="284" spans="1:15" ht="21" x14ac:dyDescent="0.3">
      <c r="A284" s="19"/>
      <c r="B284" s="20"/>
      <c r="C284" s="20"/>
      <c r="D284" s="20"/>
      <c r="E284" s="20"/>
      <c r="F284" s="21"/>
      <c r="G284" s="22"/>
      <c r="H284" s="18" t="s">
        <v>1691</v>
      </c>
      <c r="I284" s="23" t="s">
        <v>1719</v>
      </c>
      <c r="J284" s="24" t="s">
        <v>20</v>
      </c>
      <c r="K284" s="25" t="s">
        <v>1720</v>
      </c>
      <c r="L284" s="25" t="s">
        <v>1721</v>
      </c>
      <c r="M284" s="25" t="s">
        <v>23</v>
      </c>
      <c r="N284" s="25" t="s">
        <v>1722</v>
      </c>
      <c r="O284" s="25" t="s">
        <v>1723</v>
      </c>
    </row>
    <row r="285" spans="1:15" ht="21" x14ac:dyDescent="0.3">
      <c r="A285" s="19"/>
      <c r="B285" s="20"/>
      <c r="C285" s="20"/>
      <c r="D285" s="20"/>
      <c r="E285" s="20"/>
      <c r="F285" s="21"/>
      <c r="G285" s="22"/>
      <c r="H285" s="18" t="s">
        <v>1696</v>
      </c>
      <c r="I285" s="23" t="s">
        <v>1724</v>
      </c>
      <c r="J285" s="24" t="s">
        <v>20</v>
      </c>
      <c r="K285" s="25" t="s">
        <v>1725</v>
      </c>
      <c r="L285" s="25" t="s">
        <v>1726</v>
      </c>
      <c r="M285" s="25" t="s">
        <v>23</v>
      </c>
      <c r="N285" s="25" t="s">
        <v>1727</v>
      </c>
      <c r="O285" s="25" t="s">
        <v>1728</v>
      </c>
    </row>
    <row r="286" spans="1:15" ht="21" x14ac:dyDescent="0.3">
      <c r="A286" s="19"/>
      <c r="B286" s="20"/>
      <c r="C286" s="20"/>
      <c r="D286" s="20"/>
      <c r="E286" s="20"/>
      <c r="F286" s="21"/>
      <c r="G286" s="22"/>
      <c r="H286" s="18" t="s">
        <v>1729</v>
      </c>
      <c r="I286" s="23" t="s">
        <v>1730</v>
      </c>
      <c r="J286" s="24" t="s">
        <v>20</v>
      </c>
      <c r="K286" s="25" t="s">
        <v>1731</v>
      </c>
      <c r="L286" s="25" t="s">
        <v>1732</v>
      </c>
      <c r="M286" s="25" t="s">
        <v>23</v>
      </c>
      <c r="N286" s="25" t="s">
        <v>1733</v>
      </c>
      <c r="O286" s="25" t="s">
        <v>1734</v>
      </c>
    </row>
    <row r="287" spans="1:15" ht="21" x14ac:dyDescent="0.3">
      <c r="A287" s="19"/>
      <c r="B287" s="20"/>
      <c r="C287" s="20"/>
      <c r="D287" s="20"/>
      <c r="E287" s="20"/>
      <c r="F287" s="21"/>
      <c r="G287" s="22" t="s">
        <v>1735</v>
      </c>
      <c r="H287" s="18" t="s">
        <v>1736</v>
      </c>
      <c r="I287" s="23" t="s">
        <v>1737</v>
      </c>
      <c r="J287" s="24" t="s">
        <v>28</v>
      </c>
      <c r="K287" s="25" t="s">
        <v>1738</v>
      </c>
      <c r="L287" s="25" t="s">
        <v>1739</v>
      </c>
      <c r="M287" s="25" t="s">
        <v>23</v>
      </c>
      <c r="N287" s="25" t="s">
        <v>1740</v>
      </c>
      <c r="O287" s="25" t="s">
        <v>1741</v>
      </c>
    </row>
    <row r="288" spans="1:15" ht="21" x14ac:dyDescent="0.3">
      <c r="A288" s="19"/>
      <c r="B288" s="20"/>
      <c r="C288" s="20"/>
      <c r="D288" s="20"/>
      <c r="E288" s="20"/>
      <c r="F288" s="21"/>
      <c r="G288" s="22"/>
      <c r="H288" s="18" t="s">
        <v>1742</v>
      </c>
      <c r="I288" s="23" t="s">
        <v>1743</v>
      </c>
      <c r="J288" s="24" t="s">
        <v>20</v>
      </c>
      <c r="K288" s="25" t="s">
        <v>1744</v>
      </c>
      <c r="L288" s="25" t="s">
        <v>1745</v>
      </c>
      <c r="M288" s="25" t="s">
        <v>23</v>
      </c>
      <c r="N288" s="25" t="s">
        <v>1746</v>
      </c>
      <c r="O288" s="25" t="s">
        <v>1747</v>
      </c>
    </row>
    <row r="289" spans="1:15" ht="21" x14ac:dyDescent="0.3">
      <c r="A289" s="19"/>
      <c r="B289" s="20"/>
      <c r="C289" s="20"/>
      <c r="D289" s="20"/>
      <c r="E289" s="20"/>
      <c r="F289" s="21"/>
      <c r="G289" s="22"/>
      <c r="H289" s="18" t="s">
        <v>1748</v>
      </c>
      <c r="I289" s="23" t="s">
        <v>1749</v>
      </c>
      <c r="J289" s="24" t="s">
        <v>20</v>
      </c>
      <c r="K289" s="25" t="s">
        <v>1750</v>
      </c>
      <c r="L289" s="25" t="s">
        <v>1751</v>
      </c>
      <c r="M289" s="25" t="s">
        <v>23</v>
      </c>
      <c r="N289" s="25" t="s">
        <v>1752</v>
      </c>
      <c r="O289" s="25" t="s">
        <v>1753</v>
      </c>
    </row>
    <row r="290" spans="1:15" ht="21" x14ac:dyDescent="0.3">
      <c r="A290" s="19"/>
      <c r="B290" s="20"/>
      <c r="C290" s="20"/>
      <c r="D290" s="20"/>
      <c r="E290" s="20"/>
      <c r="F290" s="21"/>
      <c r="G290" s="22"/>
      <c r="H290" s="18" t="s">
        <v>1754</v>
      </c>
      <c r="I290" s="23" t="s">
        <v>1755</v>
      </c>
      <c r="J290" s="24" t="s">
        <v>20</v>
      </c>
      <c r="K290" s="25" t="s">
        <v>341</v>
      </c>
      <c r="L290" s="25" t="s">
        <v>1756</v>
      </c>
      <c r="M290" s="25" t="s">
        <v>23</v>
      </c>
      <c r="N290" s="25" t="s">
        <v>1757</v>
      </c>
      <c r="O290" s="25" t="s">
        <v>1758</v>
      </c>
    </row>
    <row r="291" spans="1:15" ht="21" x14ac:dyDescent="0.3">
      <c r="A291" s="19"/>
      <c r="B291" s="20"/>
      <c r="C291" s="20"/>
      <c r="D291" s="20"/>
      <c r="E291" s="20"/>
      <c r="F291" s="21"/>
      <c r="G291" s="22"/>
      <c r="H291" s="18" t="s">
        <v>1672</v>
      </c>
      <c r="I291" s="23" t="s">
        <v>1759</v>
      </c>
      <c r="J291" s="24" t="s">
        <v>20</v>
      </c>
      <c r="K291" s="25" t="s">
        <v>1760</v>
      </c>
      <c r="L291" s="25" t="s">
        <v>1761</v>
      </c>
      <c r="M291" s="25" t="s">
        <v>23</v>
      </c>
      <c r="N291" s="25" t="s">
        <v>1762</v>
      </c>
      <c r="O291" s="25" t="s">
        <v>1763</v>
      </c>
    </row>
    <row r="292" spans="1:15" ht="21" x14ac:dyDescent="0.3">
      <c r="A292" s="19"/>
      <c r="B292" s="20"/>
      <c r="C292" s="20"/>
      <c r="D292" s="20"/>
      <c r="E292" s="20"/>
      <c r="F292" s="21"/>
      <c r="G292" s="22" t="s">
        <v>1764</v>
      </c>
      <c r="H292" s="18" t="s">
        <v>1765</v>
      </c>
      <c r="I292" s="23" t="s">
        <v>1766</v>
      </c>
      <c r="J292" s="24" t="s">
        <v>28</v>
      </c>
      <c r="K292" s="25" t="s">
        <v>1767</v>
      </c>
      <c r="L292" s="25" t="s">
        <v>1768</v>
      </c>
      <c r="M292" s="25" t="s">
        <v>31</v>
      </c>
      <c r="N292" s="25" t="s">
        <v>1769</v>
      </c>
      <c r="O292" s="25" t="s">
        <v>1770</v>
      </c>
    </row>
    <row r="293" spans="1:15" ht="21" x14ac:dyDescent="0.3">
      <c r="A293" s="19"/>
      <c r="B293" s="20"/>
      <c r="C293" s="20"/>
      <c r="D293" s="20"/>
      <c r="E293" s="20"/>
      <c r="F293" s="21"/>
      <c r="G293" s="22"/>
      <c r="H293" s="18" t="s">
        <v>1771</v>
      </c>
      <c r="I293" s="23" t="s">
        <v>1772</v>
      </c>
      <c r="J293" s="24" t="s">
        <v>20</v>
      </c>
      <c r="K293" s="25" t="s">
        <v>248</v>
      </c>
      <c r="L293" s="25" t="s">
        <v>1773</v>
      </c>
      <c r="M293" s="25" t="s">
        <v>23</v>
      </c>
      <c r="N293" s="25" t="s">
        <v>1774</v>
      </c>
      <c r="O293" s="25" t="s">
        <v>1775</v>
      </c>
    </row>
    <row r="294" spans="1:15" ht="21" x14ac:dyDescent="0.3">
      <c r="A294" s="19"/>
      <c r="B294" s="20"/>
      <c r="C294" s="20"/>
      <c r="D294" s="20"/>
      <c r="E294" s="20"/>
      <c r="F294" s="21"/>
      <c r="G294" s="22"/>
      <c r="H294" s="18" t="s">
        <v>1776</v>
      </c>
      <c r="I294" s="23" t="s">
        <v>1777</v>
      </c>
      <c r="J294" s="24" t="s">
        <v>20</v>
      </c>
      <c r="K294" s="25" t="s">
        <v>1778</v>
      </c>
      <c r="L294" s="25" t="s">
        <v>1779</v>
      </c>
      <c r="M294" s="25" t="s">
        <v>23</v>
      </c>
      <c r="N294" s="25" t="s">
        <v>1780</v>
      </c>
      <c r="O294" s="25" t="s">
        <v>1781</v>
      </c>
    </row>
    <row r="295" spans="1:15" ht="21" x14ac:dyDescent="0.3">
      <c r="A295" s="19"/>
      <c r="B295" s="20"/>
      <c r="C295" s="20"/>
      <c r="D295" s="20"/>
      <c r="E295" s="20"/>
      <c r="F295" s="21"/>
      <c r="G295" s="22"/>
      <c r="H295" s="18" t="s">
        <v>1754</v>
      </c>
      <c r="I295" s="23" t="s">
        <v>1782</v>
      </c>
      <c r="J295" s="24" t="s">
        <v>20</v>
      </c>
      <c r="K295" s="25" t="s">
        <v>1783</v>
      </c>
      <c r="L295" s="25" t="s">
        <v>1784</v>
      </c>
      <c r="M295" s="25" t="s">
        <v>23</v>
      </c>
      <c r="N295" s="25" t="s">
        <v>1785</v>
      </c>
      <c r="O295" s="25" t="s">
        <v>1786</v>
      </c>
    </row>
    <row r="296" spans="1:15" ht="21" x14ac:dyDescent="0.3">
      <c r="A296" s="19"/>
      <c r="B296" s="20"/>
      <c r="C296" s="20"/>
      <c r="D296" s="20"/>
      <c r="E296" s="20"/>
      <c r="F296" s="21"/>
      <c r="G296" s="22"/>
      <c r="H296" s="18" t="s">
        <v>1787</v>
      </c>
      <c r="I296" s="23" t="s">
        <v>1788</v>
      </c>
      <c r="J296" s="24" t="s">
        <v>20</v>
      </c>
      <c r="K296" s="25" t="s">
        <v>1789</v>
      </c>
      <c r="L296" s="25" t="s">
        <v>1790</v>
      </c>
      <c r="M296" s="25" t="s">
        <v>23</v>
      </c>
      <c r="N296" s="25" t="s">
        <v>1791</v>
      </c>
      <c r="O296" s="25" t="s">
        <v>1792</v>
      </c>
    </row>
    <row r="297" spans="1:15" ht="21" x14ac:dyDescent="0.3">
      <c r="A297" s="19"/>
      <c r="B297" s="20"/>
      <c r="C297" s="20"/>
      <c r="D297" s="20"/>
      <c r="E297" s="20"/>
      <c r="F297" s="21"/>
      <c r="G297" s="22" t="s">
        <v>1793</v>
      </c>
      <c r="H297" s="18" t="s">
        <v>1794</v>
      </c>
      <c r="I297" s="23" t="s">
        <v>1795</v>
      </c>
      <c r="J297" s="24" t="s">
        <v>28</v>
      </c>
      <c r="K297" s="25" t="s">
        <v>1796</v>
      </c>
      <c r="L297" s="25" t="s">
        <v>1797</v>
      </c>
      <c r="M297" s="25" t="s">
        <v>23</v>
      </c>
      <c r="N297" s="25" t="s">
        <v>1798</v>
      </c>
      <c r="O297" s="25" t="s">
        <v>1799</v>
      </c>
    </row>
    <row r="298" spans="1:15" ht="21" x14ac:dyDescent="0.3">
      <c r="A298" s="19"/>
      <c r="B298" s="20"/>
      <c r="C298" s="20"/>
      <c r="D298" s="20"/>
      <c r="E298" s="20"/>
      <c r="F298" s="21"/>
      <c r="G298" s="22"/>
      <c r="H298" s="18" t="s">
        <v>1800</v>
      </c>
      <c r="I298" s="23" t="s">
        <v>1801</v>
      </c>
      <c r="J298" s="24" t="s">
        <v>20</v>
      </c>
      <c r="K298" s="25" t="s">
        <v>291</v>
      </c>
      <c r="L298" s="25" t="s">
        <v>1802</v>
      </c>
      <c r="M298" s="25" t="s">
        <v>23</v>
      </c>
      <c r="N298" s="25" t="s">
        <v>1803</v>
      </c>
      <c r="O298" s="25" t="s">
        <v>1804</v>
      </c>
    </row>
    <row r="299" spans="1:15" ht="21" x14ac:dyDescent="0.3">
      <c r="A299" s="19"/>
      <c r="B299" s="20"/>
      <c r="C299" s="20"/>
      <c r="D299" s="20"/>
      <c r="E299" s="20"/>
      <c r="F299" s="21"/>
      <c r="G299" s="22"/>
      <c r="H299" s="18" t="s">
        <v>1805</v>
      </c>
      <c r="I299" s="23" t="s">
        <v>1806</v>
      </c>
      <c r="J299" s="24" t="s">
        <v>20</v>
      </c>
      <c r="K299" s="25" t="s">
        <v>1807</v>
      </c>
      <c r="L299" s="25" t="s">
        <v>1808</v>
      </c>
      <c r="M299" s="25" t="s">
        <v>23</v>
      </c>
      <c r="N299" s="25" t="s">
        <v>1809</v>
      </c>
      <c r="O299" s="25" t="s">
        <v>1810</v>
      </c>
    </row>
    <row r="300" spans="1:15" ht="21" x14ac:dyDescent="0.3">
      <c r="A300" s="19"/>
      <c r="B300" s="20"/>
      <c r="C300" s="20"/>
      <c r="D300" s="20"/>
      <c r="E300" s="20"/>
      <c r="F300" s="21"/>
      <c r="G300" s="22"/>
      <c r="H300" s="18" t="s">
        <v>1811</v>
      </c>
      <c r="I300" s="23" t="s">
        <v>1812</v>
      </c>
      <c r="J300" s="24" t="s">
        <v>20</v>
      </c>
      <c r="K300" s="25" t="s">
        <v>390</v>
      </c>
      <c r="L300" s="25" t="s">
        <v>1813</v>
      </c>
      <c r="M300" s="25" t="s">
        <v>23</v>
      </c>
      <c r="N300" s="25" t="s">
        <v>1814</v>
      </c>
      <c r="O300" s="25" t="s">
        <v>1815</v>
      </c>
    </row>
    <row r="301" spans="1:15" ht="21" x14ac:dyDescent="0.3">
      <c r="A301" s="19"/>
      <c r="B301" s="20"/>
      <c r="C301" s="20"/>
      <c r="D301" s="20"/>
      <c r="E301" s="20"/>
      <c r="F301" s="21"/>
      <c r="G301" s="22"/>
      <c r="H301" s="18" t="s">
        <v>1816</v>
      </c>
      <c r="I301" s="23" t="s">
        <v>1817</v>
      </c>
      <c r="J301" s="24" t="s">
        <v>20</v>
      </c>
      <c r="K301" s="25" t="s">
        <v>1818</v>
      </c>
      <c r="L301" s="25" t="s">
        <v>1819</v>
      </c>
      <c r="M301" s="25" t="s">
        <v>23</v>
      </c>
      <c r="N301" s="25" t="s">
        <v>1820</v>
      </c>
      <c r="O301" s="25" t="s">
        <v>1821</v>
      </c>
    </row>
    <row r="302" spans="1:15" ht="21" x14ac:dyDescent="0.3">
      <c r="A302" s="19"/>
      <c r="B302" s="20"/>
      <c r="C302" s="20"/>
      <c r="D302" s="20"/>
      <c r="E302" s="20"/>
      <c r="F302" s="21"/>
      <c r="G302" s="22" t="s">
        <v>1822</v>
      </c>
      <c r="H302" s="18" t="s">
        <v>1823</v>
      </c>
      <c r="I302" s="23" t="s">
        <v>1824</v>
      </c>
      <c r="J302" s="24" t="s">
        <v>28</v>
      </c>
      <c r="K302" s="25" t="s">
        <v>1825</v>
      </c>
      <c r="L302" s="25" t="s">
        <v>1826</v>
      </c>
      <c r="M302" s="25" t="s">
        <v>23</v>
      </c>
      <c r="N302" s="25" t="s">
        <v>1827</v>
      </c>
      <c r="O302" s="25" t="s">
        <v>1828</v>
      </c>
    </row>
    <row r="303" spans="1:15" ht="21" x14ac:dyDescent="0.3">
      <c r="A303" s="19"/>
      <c r="B303" s="20"/>
      <c r="C303" s="20"/>
      <c r="D303" s="20"/>
      <c r="E303" s="20"/>
      <c r="F303" s="21"/>
      <c r="G303" s="22"/>
      <c r="H303" s="18" t="s">
        <v>1829</v>
      </c>
      <c r="I303" s="23" t="s">
        <v>1830</v>
      </c>
      <c r="J303" s="24" t="s">
        <v>20</v>
      </c>
      <c r="K303" s="25" t="s">
        <v>1831</v>
      </c>
      <c r="L303" s="25" t="s">
        <v>1832</v>
      </c>
      <c r="M303" s="25" t="s">
        <v>23</v>
      </c>
      <c r="N303" s="25" t="s">
        <v>1833</v>
      </c>
      <c r="O303" s="25" t="s">
        <v>1834</v>
      </c>
    </row>
    <row r="304" spans="1:15" ht="21" x14ac:dyDescent="0.3">
      <c r="A304" s="19"/>
      <c r="B304" s="20"/>
      <c r="C304" s="20"/>
      <c r="D304" s="20"/>
      <c r="E304" s="20"/>
      <c r="F304" s="21"/>
      <c r="G304" s="22"/>
      <c r="H304" s="18" t="s">
        <v>1835</v>
      </c>
      <c r="I304" s="23" t="s">
        <v>1836</v>
      </c>
      <c r="J304" s="24" t="s">
        <v>20</v>
      </c>
      <c r="K304" s="25" t="s">
        <v>1837</v>
      </c>
      <c r="L304" s="25" t="s">
        <v>1838</v>
      </c>
      <c r="M304" s="25" t="s">
        <v>23</v>
      </c>
      <c r="N304" s="25" t="s">
        <v>1839</v>
      </c>
      <c r="O304" s="25" t="s">
        <v>1840</v>
      </c>
    </row>
    <row r="305" spans="1:15" ht="21" x14ac:dyDescent="0.3">
      <c r="A305" s="19"/>
      <c r="B305" s="20"/>
      <c r="C305" s="20"/>
      <c r="D305" s="20"/>
      <c r="E305" s="20"/>
      <c r="F305" s="21"/>
      <c r="G305" s="22"/>
      <c r="H305" s="18" t="s">
        <v>1841</v>
      </c>
      <c r="I305" s="23" t="s">
        <v>1842</v>
      </c>
      <c r="J305" s="24" t="s">
        <v>20</v>
      </c>
      <c r="K305" s="25" t="s">
        <v>1843</v>
      </c>
      <c r="L305" s="25" t="s">
        <v>1844</v>
      </c>
      <c r="M305" s="25" t="s">
        <v>23</v>
      </c>
      <c r="N305" s="25" t="s">
        <v>1845</v>
      </c>
      <c r="O305" s="25" t="s">
        <v>1846</v>
      </c>
    </row>
    <row r="306" spans="1:15" ht="21" x14ac:dyDescent="0.3">
      <c r="A306" s="19"/>
      <c r="B306" s="20"/>
      <c r="C306" s="20"/>
      <c r="D306" s="20"/>
      <c r="E306" s="20"/>
      <c r="F306" s="21"/>
      <c r="G306" s="22"/>
      <c r="H306" s="18" t="s">
        <v>1847</v>
      </c>
      <c r="I306" s="23" t="s">
        <v>1848</v>
      </c>
      <c r="J306" s="24" t="s">
        <v>20</v>
      </c>
      <c r="K306" s="25" t="s">
        <v>1849</v>
      </c>
      <c r="L306" s="25" t="s">
        <v>1850</v>
      </c>
      <c r="M306" s="25" t="s">
        <v>23</v>
      </c>
      <c r="N306" s="25" t="s">
        <v>1851</v>
      </c>
      <c r="O306" s="25" t="s">
        <v>1852</v>
      </c>
    </row>
    <row r="307" spans="1:15" ht="21" x14ac:dyDescent="0.3">
      <c r="A307" s="19"/>
      <c r="B307" s="20"/>
      <c r="C307" s="20"/>
      <c r="D307" s="20"/>
      <c r="E307" s="20"/>
      <c r="F307" s="21"/>
      <c r="G307" s="22" t="s">
        <v>1853</v>
      </c>
      <c r="H307" s="18" t="s">
        <v>1854</v>
      </c>
      <c r="I307" s="23" t="s">
        <v>1855</v>
      </c>
      <c r="J307" s="24" t="s">
        <v>28</v>
      </c>
      <c r="K307" s="25" t="s">
        <v>1856</v>
      </c>
      <c r="L307" s="25" t="s">
        <v>1857</v>
      </c>
      <c r="M307" s="25" t="s">
        <v>23</v>
      </c>
      <c r="N307" s="25" t="s">
        <v>1858</v>
      </c>
      <c r="O307" s="25" t="s">
        <v>1859</v>
      </c>
    </row>
    <row r="308" spans="1:15" ht="21" x14ac:dyDescent="0.3">
      <c r="A308" s="19"/>
      <c r="B308" s="20"/>
      <c r="C308" s="20"/>
      <c r="D308" s="20"/>
      <c r="E308" s="20"/>
      <c r="F308" s="21"/>
      <c r="G308" s="22"/>
      <c r="H308" s="18" t="s">
        <v>1829</v>
      </c>
      <c r="I308" s="23" t="s">
        <v>1466</v>
      </c>
      <c r="J308" s="24" t="s">
        <v>20</v>
      </c>
      <c r="K308" s="25" t="s">
        <v>1860</v>
      </c>
      <c r="L308" s="25" t="s">
        <v>1861</v>
      </c>
      <c r="M308" s="25" t="s">
        <v>23</v>
      </c>
      <c r="N308" s="25" t="s">
        <v>1862</v>
      </c>
      <c r="O308" s="25" t="s">
        <v>1863</v>
      </c>
    </row>
    <row r="309" spans="1:15" ht="21" x14ac:dyDescent="0.3">
      <c r="A309" s="19"/>
      <c r="B309" s="20"/>
      <c r="C309" s="20"/>
      <c r="D309" s="20"/>
      <c r="E309" s="20"/>
      <c r="F309" s="21"/>
      <c r="G309" s="22"/>
      <c r="H309" s="18" t="s">
        <v>1835</v>
      </c>
      <c r="I309" s="23" t="s">
        <v>1864</v>
      </c>
      <c r="J309" s="24" t="s">
        <v>20</v>
      </c>
      <c r="K309" s="25" t="s">
        <v>1865</v>
      </c>
      <c r="L309" s="25" t="s">
        <v>1866</v>
      </c>
      <c r="M309" s="25" t="s">
        <v>23</v>
      </c>
      <c r="N309" s="25" t="s">
        <v>1867</v>
      </c>
      <c r="O309" s="25" t="s">
        <v>1868</v>
      </c>
    </row>
    <row r="310" spans="1:15" ht="21" x14ac:dyDescent="0.3">
      <c r="A310" s="19"/>
      <c r="B310" s="20"/>
      <c r="C310" s="20"/>
      <c r="D310" s="20"/>
      <c r="E310" s="20"/>
      <c r="F310" s="21"/>
      <c r="G310" s="22"/>
      <c r="H310" s="18" t="s">
        <v>1841</v>
      </c>
      <c r="I310" s="23" t="s">
        <v>1869</v>
      </c>
      <c r="J310" s="24" t="s">
        <v>20</v>
      </c>
      <c r="K310" s="25" t="s">
        <v>1870</v>
      </c>
      <c r="L310" s="25" t="s">
        <v>1871</v>
      </c>
      <c r="M310" s="25" t="s">
        <v>193</v>
      </c>
      <c r="N310" s="25" t="s">
        <v>1872</v>
      </c>
      <c r="O310" s="25" t="s">
        <v>1873</v>
      </c>
    </row>
    <row r="311" spans="1:15" ht="21" x14ac:dyDescent="0.3">
      <c r="A311" s="19"/>
      <c r="B311" s="20"/>
      <c r="C311" s="20"/>
      <c r="D311" s="20"/>
      <c r="E311" s="20"/>
      <c r="F311" s="21"/>
      <c r="G311" s="22"/>
      <c r="H311" s="18" t="s">
        <v>1847</v>
      </c>
      <c r="I311" s="23" t="s">
        <v>1874</v>
      </c>
      <c r="J311" s="24" t="s">
        <v>20</v>
      </c>
      <c r="K311" s="25" t="s">
        <v>1875</v>
      </c>
      <c r="L311" s="25" t="s">
        <v>1876</v>
      </c>
      <c r="M311" s="25" t="s">
        <v>23</v>
      </c>
      <c r="N311" s="25" t="s">
        <v>1877</v>
      </c>
      <c r="O311" s="25" t="s">
        <v>1878</v>
      </c>
    </row>
    <row r="312" spans="1:15" ht="21" x14ac:dyDescent="0.3">
      <c r="A312" s="19"/>
      <c r="B312" s="20"/>
      <c r="C312" s="20"/>
      <c r="D312" s="20"/>
      <c r="E312" s="20"/>
      <c r="F312" s="21"/>
      <c r="G312" s="22" t="s">
        <v>1879</v>
      </c>
      <c r="H312" s="18" t="s">
        <v>1880</v>
      </c>
      <c r="I312" s="23" t="s">
        <v>1881</v>
      </c>
      <c r="J312" s="24" t="s">
        <v>28</v>
      </c>
      <c r="K312" s="25" t="s">
        <v>1882</v>
      </c>
      <c r="L312" s="25" t="s">
        <v>1883</v>
      </c>
      <c r="M312" s="25" t="s">
        <v>23</v>
      </c>
      <c r="N312" s="25" t="s">
        <v>1884</v>
      </c>
      <c r="O312" s="25" t="s">
        <v>1885</v>
      </c>
    </row>
    <row r="313" spans="1:15" ht="21" x14ac:dyDescent="0.3">
      <c r="A313" s="19"/>
      <c r="B313" s="20"/>
      <c r="C313" s="20"/>
      <c r="D313" s="20"/>
      <c r="E313" s="20"/>
      <c r="F313" s="21"/>
      <c r="G313" s="22"/>
      <c r="H313" s="18" t="s">
        <v>1886</v>
      </c>
      <c r="I313" s="23" t="s">
        <v>1887</v>
      </c>
      <c r="J313" s="24" t="s">
        <v>20</v>
      </c>
      <c r="K313" s="25" t="s">
        <v>29</v>
      </c>
      <c r="L313" s="25" t="s">
        <v>1888</v>
      </c>
      <c r="M313" s="25" t="s">
        <v>23</v>
      </c>
      <c r="N313" s="25" t="s">
        <v>1889</v>
      </c>
      <c r="O313" s="25" t="s">
        <v>1890</v>
      </c>
    </row>
    <row r="314" spans="1:15" ht="21" x14ac:dyDescent="0.3">
      <c r="A314" s="19"/>
      <c r="B314" s="20"/>
      <c r="C314" s="20"/>
      <c r="D314" s="20"/>
      <c r="E314" s="20"/>
      <c r="F314" s="21"/>
      <c r="G314" s="22"/>
      <c r="H314" s="18" t="s">
        <v>1891</v>
      </c>
      <c r="I314" s="23" t="s">
        <v>1892</v>
      </c>
      <c r="J314" s="24" t="s">
        <v>20</v>
      </c>
      <c r="K314" s="25" t="s">
        <v>1893</v>
      </c>
      <c r="L314" s="25" t="s">
        <v>1894</v>
      </c>
      <c r="M314" s="25" t="s">
        <v>23</v>
      </c>
      <c r="N314" s="25" t="s">
        <v>1895</v>
      </c>
      <c r="O314" s="25" t="s">
        <v>1896</v>
      </c>
    </row>
    <row r="315" spans="1:15" ht="21" x14ac:dyDescent="0.3">
      <c r="A315" s="19"/>
      <c r="B315" s="20"/>
      <c r="C315" s="20"/>
      <c r="D315" s="20"/>
      <c r="E315" s="20"/>
      <c r="F315" s="21"/>
      <c r="G315" s="22"/>
      <c r="H315" s="18" t="s">
        <v>928</v>
      </c>
      <c r="I315" s="23" t="s">
        <v>1897</v>
      </c>
      <c r="J315" s="24" t="s">
        <v>20</v>
      </c>
      <c r="K315" s="25" t="s">
        <v>1898</v>
      </c>
      <c r="L315" s="25" t="s">
        <v>1899</v>
      </c>
      <c r="M315" s="25" t="s">
        <v>23</v>
      </c>
      <c r="N315" s="25" t="s">
        <v>1900</v>
      </c>
      <c r="O315" s="25" t="s">
        <v>1901</v>
      </c>
    </row>
    <row r="316" spans="1:15" ht="21" x14ac:dyDescent="0.3">
      <c r="A316" s="19"/>
      <c r="B316" s="20"/>
      <c r="C316" s="20"/>
      <c r="D316" s="20"/>
      <c r="E316" s="20"/>
      <c r="F316" s="21"/>
      <c r="G316" s="22"/>
      <c r="H316" s="18" t="s">
        <v>934</v>
      </c>
      <c r="I316" s="23" t="s">
        <v>1902</v>
      </c>
      <c r="J316" s="24" t="s">
        <v>20</v>
      </c>
      <c r="K316" s="25" t="s">
        <v>61</v>
      </c>
      <c r="L316" s="25" t="s">
        <v>1903</v>
      </c>
      <c r="M316" s="25" t="s">
        <v>23</v>
      </c>
      <c r="N316" s="25" t="s">
        <v>1904</v>
      </c>
      <c r="O316" s="25" t="s">
        <v>1905</v>
      </c>
    </row>
    <row r="317" spans="1:15" ht="21" x14ac:dyDescent="0.3">
      <c r="A317" s="19"/>
      <c r="B317" s="20"/>
      <c r="C317" s="20"/>
      <c r="D317" s="20"/>
      <c r="E317" s="20"/>
      <c r="F317" s="21" t="s">
        <v>1906</v>
      </c>
      <c r="G317" s="22" t="s">
        <v>1907</v>
      </c>
      <c r="H317" s="18" t="s">
        <v>1908</v>
      </c>
      <c r="I317" s="23" t="s">
        <v>1909</v>
      </c>
      <c r="J317" s="24" t="s">
        <v>28</v>
      </c>
      <c r="K317" s="25" t="s">
        <v>1910</v>
      </c>
      <c r="L317" s="25" t="s">
        <v>1911</v>
      </c>
      <c r="M317" s="25" t="s">
        <v>23</v>
      </c>
      <c r="N317" s="25" t="s">
        <v>1912</v>
      </c>
      <c r="O317" s="25" t="s">
        <v>1913</v>
      </c>
    </row>
    <row r="318" spans="1:15" ht="21" x14ac:dyDescent="0.3">
      <c r="A318" s="19"/>
      <c r="B318" s="20"/>
      <c r="C318" s="20"/>
      <c r="D318" s="20"/>
      <c r="E318" s="20"/>
      <c r="F318" s="21"/>
      <c r="G318" s="22"/>
      <c r="H318" s="18" t="s">
        <v>1914</v>
      </c>
      <c r="I318" s="23" t="s">
        <v>1667</v>
      </c>
      <c r="J318" s="24" t="s">
        <v>20</v>
      </c>
      <c r="K318" s="25" t="s">
        <v>1915</v>
      </c>
      <c r="L318" s="25" t="s">
        <v>1916</v>
      </c>
      <c r="M318" s="25" t="s">
        <v>23</v>
      </c>
      <c r="N318" s="25" t="s">
        <v>1917</v>
      </c>
      <c r="O318" s="25" t="s">
        <v>1918</v>
      </c>
    </row>
    <row r="319" spans="1:15" ht="21" x14ac:dyDescent="0.3">
      <c r="A319" s="19"/>
      <c r="B319" s="20"/>
      <c r="C319" s="20"/>
      <c r="D319" s="20"/>
      <c r="E319" s="20"/>
      <c r="F319" s="21"/>
      <c r="G319" s="22"/>
      <c r="H319" s="18" t="s">
        <v>1919</v>
      </c>
      <c r="I319" s="23" t="s">
        <v>1920</v>
      </c>
      <c r="J319" s="24" t="s">
        <v>20</v>
      </c>
      <c r="K319" s="25" t="s">
        <v>1921</v>
      </c>
      <c r="L319" s="25" t="s">
        <v>1922</v>
      </c>
      <c r="M319" s="25" t="s">
        <v>23</v>
      </c>
      <c r="N319" s="25" t="s">
        <v>1511</v>
      </c>
      <c r="O319" s="25" t="s">
        <v>1923</v>
      </c>
    </row>
    <row r="320" spans="1:15" ht="21" x14ac:dyDescent="0.3">
      <c r="A320" s="19"/>
      <c r="B320" s="20"/>
      <c r="C320" s="20"/>
      <c r="D320" s="20"/>
      <c r="E320" s="20"/>
      <c r="F320" s="21"/>
      <c r="G320" s="22"/>
      <c r="H320" s="18" t="s">
        <v>1924</v>
      </c>
      <c r="I320" s="23" t="s">
        <v>1925</v>
      </c>
      <c r="J320" s="24" t="s">
        <v>20</v>
      </c>
      <c r="K320" s="25" t="s">
        <v>1926</v>
      </c>
      <c r="L320" s="25" t="s">
        <v>1927</v>
      </c>
      <c r="M320" s="25" t="s">
        <v>23</v>
      </c>
      <c r="N320" s="25" t="s">
        <v>1928</v>
      </c>
      <c r="O320" s="25" t="s">
        <v>1929</v>
      </c>
    </row>
    <row r="321" spans="1:15" ht="21" x14ac:dyDescent="0.3">
      <c r="A321" s="19"/>
      <c r="B321" s="20"/>
      <c r="C321" s="20"/>
      <c r="D321" s="20"/>
      <c r="E321" s="20"/>
      <c r="F321" s="21"/>
      <c r="G321" s="22"/>
      <c r="H321" s="18" t="s">
        <v>1930</v>
      </c>
      <c r="I321" s="23" t="s">
        <v>1931</v>
      </c>
      <c r="J321" s="24" t="s">
        <v>20</v>
      </c>
      <c r="K321" s="25" t="s">
        <v>1932</v>
      </c>
      <c r="L321" s="25" t="s">
        <v>1933</v>
      </c>
      <c r="M321" s="25" t="s">
        <v>23</v>
      </c>
      <c r="N321" s="25" t="s">
        <v>1934</v>
      </c>
      <c r="O321" s="25" t="s">
        <v>1935</v>
      </c>
    </row>
    <row r="322" spans="1:15" ht="21" x14ac:dyDescent="0.3">
      <c r="A322" s="19"/>
      <c r="B322" s="20"/>
      <c r="C322" s="20"/>
      <c r="D322" s="20"/>
      <c r="E322" s="20"/>
      <c r="F322" s="21"/>
      <c r="G322" s="22" t="s">
        <v>1936</v>
      </c>
      <c r="H322" s="18" t="s">
        <v>1937</v>
      </c>
      <c r="I322" s="23" t="s">
        <v>1938</v>
      </c>
      <c r="J322" s="24" t="s">
        <v>28</v>
      </c>
      <c r="K322" s="25" t="s">
        <v>1939</v>
      </c>
      <c r="L322" s="25" t="s">
        <v>1940</v>
      </c>
      <c r="M322" s="25" t="s">
        <v>23</v>
      </c>
      <c r="N322" s="25" t="s">
        <v>1941</v>
      </c>
      <c r="O322" s="25" t="s">
        <v>1942</v>
      </c>
    </row>
    <row r="323" spans="1:15" ht="21" x14ac:dyDescent="0.3">
      <c r="A323" s="19"/>
      <c r="B323" s="20"/>
      <c r="C323" s="20"/>
      <c r="D323" s="20"/>
      <c r="E323" s="20"/>
      <c r="F323" s="21"/>
      <c r="G323" s="22"/>
      <c r="H323" s="18" t="s">
        <v>1943</v>
      </c>
      <c r="I323" s="23" t="s">
        <v>1944</v>
      </c>
      <c r="J323" s="24" t="s">
        <v>20</v>
      </c>
      <c r="K323" s="25" t="s">
        <v>123</v>
      </c>
      <c r="L323" s="25" t="s">
        <v>1945</v>
      </c>
      <c r="M323" s="25" t="s">
        <v>23</v>
      </c>
      <c r="N323" s="25" t="s">
        <v>1946</v>
      </c>
      <c r="O323" s="25" t="s">
        <v>1947</v>
      </c>
    </row>
    <row r="324" spans="1:15" ht="21" x14ac:dyDescent="0.3">
      <c r="A324" s="19"/>
      <c r="B324" s="20"/>
      <c r="C324" s="20"/>
      <c r="D324" s="20"/>
      <c r="E324" s="20"/>
      <c r="F324" s="21"/>
      <c r="G324" s="22"/>
      <c r="H324" s="18" t="s">
        <v>1948</v>
      </c>
      <c r="I324" s="23" t="s">
        <v>1949</v>
      </c>
      <c r="J324" s="24" t="s">
        <v>20</v>
      </c>
      <c r="K324" s="25" t="s">
        <v>1950</v>
      </c>
      <c r="L324" s="25" t="s">
        <v>1951</v>
      </c>
      <c r="M324" s="25" t="s">
        <v>23</v>
      </c>
      <c r="N324" s="25" t="s">
        <v>1952</v>
      </c>
      <c r="O324" s="25" t="s">
        <v>1953</v>
      </c>
    </row>
    <row r="325" spans="1:15" ht="21" x14ac:dyDescent="0.3">
      <c r="A325" s="19"/>
      <c r="B325" s="20"/>
      <c r="C325" s="20"/>
      <c r="D325" s="20"/>
      <c r="E325" s="20"/>
      <c r="F325" s="21"/>
      <c r="G325" s="22"/>
      <c r="H325" s="18" t="s">
        <v>1954</v>
      </c>
      <c r="I325" s="23" t="s">
        <v>1955</v>
      </c>
      <c r="J325" s="24" t="s">
        <v>20</v>
      </c>
      <c r="K325" s="25" t="s">
        <v>1956</v>
      </c>
      <c r="L325" s="25" t="s">
        <v>1957</v>
      </c>
      <c r="M325" s="25" t="s">
        <v>23</v>
      </c>
      <c r="N325" s="25" t="s">
        <v>1958</v>
      </c>
      <c r="O325" s="25" t="s">
        <v>1959</v>
      </c>
    </row>
    <row r="326" spans="1:15" ht="21" x14ac:dyDescent="0.3">
      <c r="A326" s="19"/>
      <c r="B326" s="20"/>
      <c r="C326" s="20"/>
      <c r="D326" s="20"/>
      <c r="E326" s="20"/>
      <c r="F326" s="21"/>
      <c r="G326" s="22"/>
      <c r="H326" s="18" t="s">
        <v>1960</v>
      </c>
      <c r="I326" s="23" t="s">
        <v>1961</v>
      </c>
      <c r="J326" s="24" t="s">
        <v>20</v>
      </c>
      <c r="K326" s="25" t="s">
        <v>1962</v>
      </c>
      <c r="L326" s="25" t="s">
        <v>1963</v>
      </c>
      <c r="M326" s="25" t="s">
        <v>23</v>
      </c>
      <c r="N326" s="25" t="s">
        <v>1964</v>
      </c>
      <c r="O326" s="25" t="s">
        <v>1965</v>
      </c>
    </row>
    <row r="327" spans="1:15" ht="21" x14ac:dyDescent="0.3">
      <c r="A327" s="19"/>
      <c r="B327" s="20"/>
      <c r="C327" s="20"/>
      <c r="D327" s="20"/>
      <c r="E327" s="20"/>
      <c r="F327" s="21"/>
      <c r="G327" s="22" t="s">
        <v>1966</v>
      </c>
      <c r="H327" s="18" t="s">
        <v>1967</v>
      </c>
      <c r="I327" s="23" t="s">
        <v>1968</v>
      </c>
      <c r="J327" s="24" t="s">
        <v>28</v>
      </c>
      <c r="K327" s="25" t="s">
        <v>1969</v>
      </c>
      <c r="L327" s="25" t="s">
        <v>1970</v>
      </c>
      <c r="M327" s="25" t="s">
        <v>23</v>
      </c>
      <c r="N327" s="25" t="s">
        <v>1971</v>
      </c>
      <c r="O327" s="25" t="s">
        <v>1972</v>
      </c>
    </row>
    <row r="328" spans="1:15" ht="21" x14ac:dyDescent="0.3">
      <c r="A328" s="19"/>
      <c r="B328" s="20"/>
      <c r="C328" s="20"/>
      <c r="D328" s="20"/>
      <c r="E328" s="20"/>
      <c r="F328" s="21"/>
      <c r="G328" s="22"/>
      <c r="H328" s="18" t="s">
        <v>1973</v>
      </c>
      <c r="I328" s="23" t="s">
        <v>1974</v>
      </c>
      <c r="J328" s="24" t="s">
        <v>20</v>
      </c>
      <c r="K328" s="25" t="s">
        <v>1975</v>
      </c>
      <c r="L328" s="25" t="s">
        <v>1976</v>
      </c>
      <c r="M328" s="25" t="s">
        <v>23</v>
      </c>
      <c r="N328" s="25" t="s">
        <v>1977</v>
      </c>
      <c r="O328" s="25" t="s">
        <v>1978</v>
      </c>
    </row>
    <row r="329" spans="1:15" ht="21" x14ac:dyDescent="0.3">
      <c r="A329" s="19"/>
      <c r="B329" s="20"/>
      <c r="C329" s="20"/>
      <c r="D329" s="20"/>
      <c r="E329" s="20"/>
      <c r="F329" s="21"/>
      <c r="G329" s="22"/>
      <c r="H329" s="18" t="s">
        <v>1979</v>
      </c>
      <c r="I329" s="23" t="s">
        <v>1980</v>
      </c>
      <c r="J329" s="24" t="s">
        <v>20</v>
      </c>
      <c r="K329" s="25" t="s">
        <v>1981</v>
      </c>
      <c r="L329" s="25" t="s">
        <v>1982</v>
      </c>
      <c r="M329" s="25" t="s">
        <v>23</v>
      </c>
      <c r="N329" s="25" t="s">
        <v>1983</v>
      </c>
      <c r="O329" s="25" t="s">
        <v>1984</v>
      </c>
    </row>
    <row r="330" spans="1:15" ht="21" x14ac:dyDescent="0.3">
      <c r="A330" s="19"/>
      <c r="B330" s="20"/>
      <c r="C330" s="20"/>
      <c r="D330" s="20"/>
      <c r="E330" s="20"/>
      <c r="F330" s="21"/>
      <c r="G330" s="22"/>
      <c r="H330" s="18" t="s">
        <v>1985</v>
      </c>
      <c r="I330" s="23" t="s">
        <v>1986</v>
      </c>
      <c r="J330" s="24" t="s">
        <v>20</v>
      </c>
      <c r="K330" s="25" t="s">
        <v>1987</v>
      </c>
      <c r="L330" s="25" t="s">
        <v>1988</v>
      </c>
      <c r="M330" s="25" t="s">
        <v>23</v>
      </c>
      <c r="N330" s="25" t="s">
        <v>1989</v>
      </c>
      <c r="O330" s="25" t="s">
        <v>1990</v>
      </c>
    </row>
    <row r="331" spans="1:15" ht="21" x14ac:dyDescent="0.3">
      <c r="A331" s="19"/>
      <c r="B331" s="20"/>
      <c r="C331" s="20"/>
      <c r="D331" s="20"/>
      <c r="E331" s="20"/>
      <c r="F331" s="21"/>
      <c r="G331" s="22"/>
      <c r="H331" s="18" t="s">
        <v>1991</v>
      </c>
      <c r="I331" s="23" t="s">
        <v>1992</v>
      </c>
      <c r="J331" s="24" t="s">
        <v>20</v>
      </c>
      <c r="K331" s="25" t="s">
        <v>1993</v>
      </c>
      <c r="L331" s="25" t="s">
        <v>1994</v>
      </c>
      <c r="M331" s="25" t="s">
        <v>23</v>
      </c>
      <c r="N331" s="25" t="s">
        <v>1995</v>
      </c>
      <c r="O331" s="25" t="s">
        <v>1996</v>
      </c>
    </row>
    <row r="332" spans="1:15" ht="21" x14ac:dyDescent="0.3">
      <c r="A332" s="19"/>
      <c r="B332" s="20"/>
      <c r="C332" s="20"/>
      <c r="D332" s="20"/>
      <c r="E332" s="20"/>
      <c r="F332" s="21"/>
      <c r="G332" s="22" t="s">
        <v>1997</v>
      </c>
      <c r="H332" s="18" t="s">
        <v>1998</v>
      </c>
      <c r="I332" s="23" t="s">
        <v>1999</v>
      </c>
      <c r="J332" s="24" t="s">
        <v>28</v>
      </c>
      <c r="K332" s="25" t="s">
        <v>223</v>
      </c>
      <c r="L332" s="25" t="s">
        <v>2000</v>
      </c>
      <c r="M332" s="25" t="s">
        <v>23</v>
      </c>
      <c r="N332" s="25" t="s">
        <v>2001</v>
      </c>
      <c r="O332" s="25" t="s">
        <v>2002</v>
      </c>
    </row>
    <row r="333" spans="1:15" ht="21" x14ac:dyDescent="0.3">
      <c r="A333" s="19"/>
      <c r="B333" s="20"/>
      <c r="C333" s="20"/>
      <c r="D333" s="20"/>
      <c r="E333" s="20"/>
      <c r="F333" s="21"/>
      <c r="G333" s="22"/>
      <c r="H333" s="18" t="s">
        <v>2003</v>
      </c>
      <c r="I333" s="23" t="s">
        <v>2004</v>
      </c>
      <c r="J333" s="24" t="s">
        <v>20</v>
      </c>
      <c r="K333" s="25" t="s">
        <v>2005</v>
      </c>
      <c r="L333" s="25" t="s">
        <v>2006</v>
      </c>
      <c r="M333" s="25" t="s">
        <v>23</v>
      </c>
      <c r="N333" s="25" t="s">
        <v>2007</v>
      </c>
      <c r="O333" s="25" t="s">
        <v>2008</v>
      </c>
    </row>
    <row r="334" spans="1:15" ht="21" x14ac:dyDescent="0.3">
      <c r="A334" s="19"/>
      <c r="B334" s="20"/>
      <c r="C334" s="20"/>
      <c r="D334" s="20"/>
      <c r="E334" s="20"/>
      <c r="F334" s="21"/>
      <c r="G334" s="22"/>
      <c r="H334" s="18" t="s">
        <v>2009</v>
      </c>
      <c r="I334" s="23" t="s">
        <v>2010</v>
      </c>
      <c r="J334" s="24" t="s">
        <v>20</v>
      </c>
      <c r="K334" s="25" t="s">
        <v>2011</v>
      </c>
      <c r="L334" s="25" t="s">
        <v>2012</v>
      </c>
      <c r="M334" s="25" t="s">
        <v>23</v>
      </c>
      <c r="N334" s="25" t="s">
        <v>2013</v>
      </c>
      <c r="O334" s="25" t="s">
        <v>2014</v>
      </c>
    </row>
    <row r="335" spans="1:15" ht="21" x14ac:dyDescent="0.3">
      <c r="A335" s="19"/>
      <c r="B335" s="20"/>
      <c r="C335" s="20"/>
      <c r="D335" s="20"/>
      <c r="E335" s="20"/>
      <c r="F335" s="21"/>
      <c r="G335" s="22"/>
      <c r="H335" s="18" t="s">
        <v>2015</v>
      </c>
      <c r="I335" s="23" t="s">
        <v>2016</v>
      </c>
      <c r="J335" s="24" t="s">
        <v>20</v>
      </c>
      <c r="K335" s="25" t="s">
        <v>2017</v>
      </c>
      <c r="L335" s="25" t="s">
        <v>2018</v>
      </c>
      <c r="M335" s="25" t="s">
        <v>23</v>
      </c>
      <c r="N335" s="25" t="s">
        <v>2019</v>
      </c>
      <c r="O335" s="25" t="s">
        <v>2020</v>
      </c>
    </row>
    <row r="336" spans="1:15" ht="21" x14ac:dyDescent="0.3">
      <c r="A336" s="19"/>
      <c r="B336" s="20"/>
      <c r="C336" s="20"/>
      <c r="D336" s="20"/>
      <c r="E336" s="20"/>
      <c r="F336" s="21"/>
      <c r="G336" s="22"/>
      <c r="H336" s="18" t="s">
        <v>2021</v>
      </c>
      <c r="I336" s="23" t="s">
        <v>2022</v>
      </c>
      <c r="J336" s="24" t="s">
        <v>20</v>
      </c>
      <c r="K336" s="25" t="s">
        <v>2023</v>
      </c>
      <c r="L336" s="25" t="s">
        <v>2024</v>
      </c>
      <c r="M336" s="25" t="s">
        <v>31</v>
      </c>
      <c r="N336" s="25" t="s">
        <v>2025</v>
      </c>
      <c r="O336" s="25" t="s">
        <v>2026</v>
      </c>
    </row>
    <row r="337" spans="1:15" ht="21" x14ac:dyDescent="0.3">
      <c r="A337" s="19"/>
      <c r="B337" s="20"/>
      <c r="C337" s="20"/>
      <c r="D337" s="20"/>
      <c r="E337" s="20"/>
      <c r="F337" s="21"/>
      <c r="G337" s="22" t="s">
        <v>2027</v>
      </c>
      <c r="H337" s="18" t="s">
        <v>2028</v>
      </c>
      <c r="I337" s="23" t="s">
        <v>2029</v>
      </c>
      <c r="J337" s="24" t="s">
        <v>28</v>
      </c>
      <c r="K337" s="25" t="s">
        <v>2030</v>
      </c>
      <c r="L337" s="25" t="s">
        <v>2031</v>
      </c>
      <c r="M337" s="25" t="s">
        <v>23</v>
      </c>
      <c r="N337" s="25" t="s">
        <v>2032</v>
      </c>
      <c r="O337" s="25" t="s">
        <v>2033</v>
      </c>
    </row>
    <row r="338" spans="1:15" ht="21" x14ac:dyDescent="0.3">
      <c r="A338" s="19"/>
      <c r="B338" s="20"/>
      <c r="C338" s="20"/>
      <c r="D338" s="20"/>
      <c r="E338" s="20"/>
      <c r="F338" s="21"/>
      <c r="G338" s="22"/>
      <c r="H338" s="18" t="s">
        <v>2034</v>
      </c>
      <c r="I338" s="23" t="s">
        <v>2035</v>
      </c>
      <c r="J338" s="24" t="s">
        <v>20</v>
      </c>
      <c r="K338" s="25" t="s">
        <v>2036</v>
      </c>
      <c r="L338" s="25" t="s">
        <v>2037</v>
      </c>
      <c r="M338" s="25" t="s">
        <v>31</v>
      </c>
      <c r="N338" s="25" t="s">
        <v>2038</v>
      </c>
      <c r="O338" s="25" t="s">
        <v>2039</v>
      </c>
    </row>
    <row r="339" spans="1:15" ht="21" x14ac:dyDescent="0.3">
      <c r="A339" s="19"/>
      <c r="B339" s="20"/>
      <c r="C339" s="20"/>
      <c r="D339" s="20"/>
      <c r="E339" s="20"/>
      <c r="F339" s="21"/>
      <c r="G339" s="22"/>
      <c r="H339" s="18" t="s">
        <v>2040</v>
      </c>
      <c r="I339" s="23" t="s">
        <v>2041</v>
      </c>
      <c r="J339" s="24" t="s">
        <v>20</v>
      </c>
      <c r="K339" s="25" t="s">
        <v>2042</v>
      </c>
      <c r="L339" s="25" t="s">
        <v>2043</v>
      </c>
      <c r="M339" s="25" t="s">
        <v>23</v>
      </c>
      <c r="N339" s="25" t="s">
        <v>2044</v>
      </c>
      <c r="O339" s="25" t="s">
        <v>2045</v>
      </c>
    </row>
    <row r="340" spans="1:15" ht="21" x14ac:dyDescent="0.3">
      <c r="A340" s="19"/>
      <c r="B340" s="20"/>
      <c r="C340" s="20"/>
      <c r="D340" s="20"/>
      <c r="E340" s="20"/>
      <c r="F340" s="21"/>
      <c r="G340" s="22"/>
      <c r="H340" s="18" t="s">
        <v>2046</v>
      </c>
      <c r="I340" s="23" t="s">
        <v>2047</v>
      </c>
      <c r="J340" s="24" t="s">
        <v>20</v>
      </c>
      <c r="K340" s="25" t="s">
        <v>2048</v>
      </c>
      <c r="L340" s="25" t="s">
        <v>2049</v>
      </c>
      <c r="M340" s="25" t="s">
        <v>31</v>
      </c>
      <c r="N340" s="25" t="s">
        <v>2050</v>
      </c>
      <c r="O340" s="25" t="s">
        <v>2051</v>
      </c>
    </row>
    <row r="341" spans="1:15" ht="21" x14ac:dyDescent="0.3">
      <c r="A341" s="19"/>
      <c r="B341" s="20"/>
      <c r="C341" s="20"/>
      <c r="D341" s="20"/>
      <c r="E341" s="20"/>
      <c r="F341" s="21"/>
      <c r="G341" s="22"/>
      <c r="H341" s="18" t="s">
        <v>2052</v>
      </c>
      <c r="I341" s="23" t="s">
        <v>2053</v>
      </c>
      <c r="J341" s="24" t="s">
        <v>20</v>
      </c>
      <c r="K341" s="25" t="s">
        <v>2054</v>
      </c>
      <c r="L341" s="25" t="s">
        <v>2055</v>
      </c>
      <c r="M341" s="25" t="s">
        <v>23</v>
      </c>
      <c r="N341" s="25" t="s">
        <v>2056</v>
      </c>
      <c r="O341" s="25" t="s">
        <v>2057</v>
      </c>
    </row>
    <row r="342" spans="1:15" ht="21" x14ac:dyDescent="0.3">
      <c r="A342" s="19"/>
      <c r="B342" s="20"/>
      <c r="C342" s="20"/>
      <c r="D342" s="20"/>
      <c r="E342" s="20"/>
      <c r="F342" s="21"/>
      <c r="G342" s="22" t="s">
        <v>2058</v>
      </c>
      <c r="H342" s="18" t="s">
        <v>2059</v>
      </c>
      <c r="I342" s="23" t="s">
        <v>2060</v>
      </c>
      <c r="J342" s="24" t="s">
        <v>28</v>
      </c>
      <c r="K342" s="25" t="s">
        <v>2061</v>
      </c>
      <c r="L342" s="25" t="s">
        <v>2062</v>
      </c>
      <c r="M342" s="25" t="s">
        <v>23</v>
      </c>
      <c r="N342" s="25" t="s">
        <v>2063</v>
      </c>
      <c r="O342" s="25" t="s">
        <v>2064</v>
      </c>
    </row>
    <row r="343" spans="1:15" ht="21" x14ac:dyDescent="0.3">
      <c r="A343" s="19"/>
      <c r="B343" s="20"/>
      <c r="C343" s="20"/>
      <c r="D343" s="20"/>
      <c r="E343" s="20"/>
      <c r="F343" s="21"/>
      <c r="G343" s="22"/>
      <c r="H343" s="18" t="s">
        <v>2065</v>
      </c>
      <c r="I343" s="23" t="s">
        <v>2066</v>
      </c>
      <c r="J343" s="24" t="s">
        <v>20</v>
      </c>
      <c r="K343" s="25" t="s">
        <v>2067</v>
      </c>
      <c r="L343" s="25" t="s">
        <v>2068</v>
      </c>
      <c r="M343" s="25" t="s">
        <v>23</v>
      </c>
      <c r="N343" s="25" t="s">
        <v>2069</v>
      </c>
      <c r="O343" s="25" t="s">
        <v>2070</v>
      </c>
    </row>
    <row r="344" spans="1:15" ht="21" x14ac:dyDescent="0.3">
      <c r="A344" s="19"/>
      <c r="B344" s="20"/>
      <c r="C344" s="20"/>
      <c r="D344" s="20"/>
      <c r="E344" s="20"/>
      <c r="F344" s="21"/>
      <c r="G344" s="22"/>
      <c r="H344" s="18" t="s">
        <v>2071</v>
      </c>
      <c r="I344" s="23" t="s">
        <v>2072</v>
      </c>
      <c r="J344" s="24" t="s">
        <v>20</v>
      </c>
      <c r="K344" s="25" t="s">
        <v>2073</v>
      </c>
      <c r="L344" s="25" t="s">
        <v>2074</v>
      </c>
      <c r="M344" s="25" t="s">
        <v>23</v>
      </c>
      <c r="N344" s="25" t="s">
        <v>2075</v>
      </c>
      <c r="O344" s="25" t="s">
        <v>2076</v>
      </c>
    </row>
    <row r="345" spans="1:15" ht="21" x14ac:dyDescent="0.3">
      <c r="A345" s="19"/>
      <c r="B345" s="20"/>
      <c r="C345" s="20"/>
      <c r="D345" s="20"/>
      <c r="E345" s="20"/>
      <c r="F345" s="21"/>
      <c r="G345" s="22"/>
      <c r="H345" s="18" t="s">
        <v>2077</v>
      </c>
      <c r="I345" s="23" t="s">
        <v>2078</v>
      </c>
      <c r="J345" s="24" t="s">
        <v>20</v>
      </c>
      <c r="K345" s="25" t="s">
        <v>2079</v>
      </c>
      <c r="L345" s="25" t="s">
        <v>2080</v>
      </c>
      <c r="M345" s="25" t="s">
        <v>23</v>
      </c>
      <c r="N345" s="25" t="s">
        <v>2081</v>
      </c>
      <c r="O345" s="25" t="s">
        <v>2082</v>
      </c>
    </row>
    <row r="346" spans="1:15" ht="21" x14ac:dyDescent="0.3">
      <c r="A346" s="19"/>
      <c r="B346" s="20"/>
      <c r="C346" s="20"/>
      <c r="D346" s="20"/>
      <c r="E346" s="20"/>
      <c r="F346" s="21"/>
      <c r="G346" s="22"/>
      <c r="H346" s="18" t="s">
        <v>1960</v>
      </c>
      <c r="I346" s="23" t="s">
        <v>2083</v>
      </c>
      <c r="J346" s="24" t="s">
        <v>20</v>
      </c>
      <c r="K346" s="25" t="s">
        <v>2084</v>
      </c>
      <c r="L346" s="25" t="s">
        <v>2085</v>
      </c>
      <c r="M346" s="25" t="s">
        <v>23</v>
      </c>
      <c r="N346" s="25" t="s">
        <v>2086</v>
      </c>
      <c r="O346" s="25" t="s">
        <v>2087</v>
      </c>
    </row>
    <row r="347" spans="1:15" ht="21" x14ac:dyDescent="0.3">
      <c r="A347" s="19"/>
      <c r="B347" s="20"/>
      <c r="C347" s="20"/>
      <c r="D347" s="20"/>
      <c r="E347" s="20"/>
      <c r="F347" s="21" t="s">
        <v>2088</v>
      </c>
      <c r="G347" s="22" t="s">
        <v>2089</v>
      </c>
      <c r="H347" s="18" t="s">
        <v>2090</v>
      </c>
      <c r="I347" s="23" t="s">
        <v>2091</v>
      </c>
      <c r="J347" s="24" t="s">
        <v>28</v>
      </c>
      <c r="K347" s="25" t="s">
        <v>2092</v>
      </c>
      <c r="L347" s="25" t="s">
        <v>2093</v>
      </c>
      <c r="M347" s="25" t="s">
        <v>23</v>
      </c>
      <c r="N347" s="25" t="s">
        <v>2094</v>
      </c>
      <c r="O347" s="25" t="s">
        <v>2095</v>
      </c>
    </row>
    <row r="348" spans="1:15" ht="21" x14ac:dyDescent="0.3">
      <c r="A348" s="19"/>
      <c r="B348" s="20"/>
      <c r="C348" s="20"/>
      <c r="D348" s="20"/>
      <c r="E348" s="20"/>
      <c r="F348" s="21"/>
      <c r="G348" s="22"/>
      <c r="H348" s="18" t="s">
        <v>2096</v>
      </c>
      <c r="I348" s="23" t="s">
        <v>2097</v>
      </c>
      <c r="J348" s="24" t="s">
        <v>20</v>
      </c>
      <c r="K348" s="25" t="s">
        <v>2098</v>
      </c>
      <c r="L348" s="25" t="s">
        <v>2099</v>
      </c>
      <c r="M348" s="25" t="s">
        <v>23</v>
      </c>
      <c r="N348" s="25" t="s">
        <v>2100</v>
      </c>
      <c r="O348" s="25" t="s">
        <v>2101</v>
      </c>
    </row>
    <row r="349" spans="1:15" ht="21" x14ac:dyDescent="0.3">
      <c r="A349" s="19"/>
      <c r="B349" s="20"/>
      <c r="C349" s="20"/>
      <c r="D349" s="20"/>
      <c r="E349" s="20"/>
      <c r="F349" s="21"/>
      <c r="G349" s="22"/>
      <c r="H349" s="18" t="s">
        <v>2102</v>
      </c>
      <c r="I349" s="23" t="s">
        <v>2103</v>
      </c>
      <c r="J349" s="24" t="s">
        <v>20</v>
      </c>
      <c r="K349" s="25" t="s">
        <v>2104</v>
      </c>
      <c r="L349" s="25" t="s">
        <v>2105</v>
      </c>
      <c r="M349" s="25" t="s">
        <v>23</v>
      </c>
      <c r="N349" s="25" t="s">
        <v>2106</v>
      </c>
      <c r="O349" s="25" t="s">
        <v>2107</v>
      </c>
    </row>
    <row r="350" spans="1:15" ht="21" x14ac:dyDescent="0.3">
      <c r="A350" s="19"/>
      <c r="B350" s="20"/>
      <c r="C350" s="20"/>
      <c r="D350" s="20"/>
      <c r="E350" s="20"/>
      <c r="F350" s="21"/>
      <c r="G350" s="22"/>
      <c r="H350" s="18" t="s">
        <v>2108</v>
      </c>
      <c r="I350" s="23" t="s">
        <v>2109</v>
      </c>
      <c r="J350" s="24" t="s">
        <v>20</v>
      </c>
      <c r="K350" s="25" t="s">
        <v>703</v>
      </c>
      <c r="L350" s="25" t="s">
        <v>2110</v>
      </c>
      <c r="M350" s="25" t="s">
        <v>23</v>
      </c>
      <c r="N350" s="25" t="s">
        <v>2111</v>
      </c>
      <c r="O350" s="25" t="s">
        <v>2112</v>
      </c>
    </row>
    <row r="351" spans="1:15" ht="21" x14ac:dyDescent="0.3">
      <c r="A351" s="19"/>
      <c r="B351" s="20"/>
      <c r="C351" s="20"/>
      <c r="D351" s="20"/>
      <c r="E351" s="20"/>
      <c r="F351" s="21"/>
      <c r="G351" s="22"/>
      <c r="H351" s="18" t="s">
        <v>2113</v>
      </c>
      <c r="I351" s="23" t="s">
        <v>2114</v>
      </c>
      <c r="J351" s="24" t="s">
        <v>20</v>
      </c>
      <c r="K351" s="25" t="s">
        <v>709</v>
      </c>
      <c r="L351" s="25" t="s">
        <v>2115</v>
      </c>
      <c r="M351" s="25" t="s">
        <v>23</v>
      </c>
      <c r="N351" s="25" t="s">
        <v>2116</v>
      </c>
      <c r="O351" s="25" t="s">
        <v>2117</v>
      </c>
    </row>
    <row r="352" spans="1:15" ht="21" x14ac:dyDescent="0.3">
      <c r="A352" s="19"/>
      <c r="B352" s="20"/>
      <c r="C352" s="20"/>
      <c r="D352" s="20"/>
      <c r="E352" s="20"/>
      <c r="F352" s="21"/>
      <c r="G352" s="22" t="s">
        <v>2118</v>
      </c>
      <c r="H352" s="18" t="s">
        <v>2119</v>
      </c>
      <c r="I352" s="23" t="s">
        <v>2120</v>
      </c>
      <c r="J352" s="24" t="s">
        <v>28</v>
      </c>
      <c r="K352" s="25" t="s">
        <v>2121</v>
      </c>
      <c r="L352" s="25" t="s">
        <v>2122</v>
      </c>
      <c r="M352" s="25" t="s">
        <v>23</v>
      </c>
      <c r="N352" s="25" t="s">
        <v>2123</v>
      </c>
      <c r="O352" s="25" t="s">
        <v>2124</v>
      </c>
    </row>
    <row r="353" spans="1:15" ht="21" x14ac:dyDescent="0.3">
      <c r="A353" s="19"/>
      <c r="B353" s="20"/>
      <c r="C353" s="20"/>
      <c r="D353" s="20"/>
      <c r="E353" s="20"/>
      <c r="F353" s="21"/>
      <c r="G353" s="22"/>
      <c r="H353" s="18" t="s">
        <v>2125</v>
      </c>
      <c r="I353" s="23" t="s">
        <v>2126</v>
      </c>
      <c r="J353" s="24" t="s">
        <v>20</v>
      </c>
      <c r="K353" s="25" t="s">
        <v>531</v>
      </c>
      <c r="L353" s="25" t="s">
        <v>2127</v>
      </c>
      <c r="M353" s="25" t="s">
        <v>23</v>
      </c>
      <c r="N353" s="25" t="s">
        <v>2128</v>
      </c>
      <c r="O353" s="25" t="s">
        <v>2129</v>
      </c>
    </row>
    <row r="354" spans="1:15" ht="21" x14ac:dyDescent="0.3">
      <c r="A354" s="19"/>
      <c r="B354" s="20"/>
      <c r="C354" s="20"/>
      <c r="D354" s="20"/>
      <c r="E354" s="20"/>
      <c r="F354" s="21"/>
      <c r="G354" s="22"/>
      <c r="H354" s="18" t="s">
        <v>2130</v>
      </c>
      <c r="I354" s="23" t="s">
        <v>2131</v>
      </c>
      <c r="J354" s="24" t="s">
        <v>20</v>
      </c>
      <c r="K354" s="25" t="s">
        <v>2132</v>
      </c>
      <c r="L354" s="25" t="s">
        <v>2133</v>
      </c>
      <c r="M354" s="25" t="s">
        <v>23</v>
      </c>
      <c r="N354" s="25" t="s">
        <v>1646</v>
      </c>
      <c r="O354" s="25" t="s">
        <v>2134</v>
      </c>
    </row>
    <row r="355" spans="1:15" ht="21" x14ac:dyDescent="0.3">
      <c r="A355" s="19"/>
      <c r="B355" s="20"/>
      <c r="C355" s="20"/>
      <c r="D355" s="20"/>
      <c r="E355" s="20"/>
      <c r="F355" s="21"/>
      <c r="G355" s="22"/>
      <c r="H355" s="18" t="s">
        <v>2135</v>
      </c>
      <c r="I355" s="23" t="s">
        <v>2136</v>
      </c>
      <c r="J355" s="24" t="s">
        <v>20</v>
      </c>
      <c r="K355" s="25" t="s">
        <v>2137</v>
      </c>
      <c r="L355" s="25" t="s">
        <v>2138</v>
      </c>
      <c r="M355" s="25" t="s">
        <v>23</v>
      </c>
      <c r="N355" s="25" t="s">
        <v>2139</v>
      </c>
      <c r="O355" s="25" t="s">
        <v>2140</v>
      </c>
    </row>
    <row r="356" spans="1:15" ht="21" x14ac:dyDescent="0.3">
      <c r="A356" s="19"/>
      <c r="B356" s="20"/>
      <c r="C356" s="20"/>
      <c r="D356" s="20"/>
      <c r="E356" s="20"/>
      <c r="F356" s="21"/>
      <c r="G356" s="22"/>
      <c r="H356" s="18" t="s">
        <v>2141</v>
      </c>
      <c r="I356" s="23" t="s">
        <v>2142</v>
      </c>
      <c r="J356" s="24" t="s">
        <v>20</v>
      </c>
      <c r="K356" s="25" t="s">
        <v>2143</v>
      </c>
      <c r="L356" s="25" t="s">
        <v>2144</v>
      </c>
      <c r="M356" s="25" t="s">
        <v>23</v>
      </c>
      <c r="N356" s="25" t="s">
        <v>2145</v>
      </c>
      <c r="O356" s="25" t="s">
        <v>2146</v>
      </c>
    </row>
    <row r="357" spans="1:15" ht="21" x14ac:dyDescent="0.3">
      <c r="A357" s="19"/>
      <c r="B357" s="20"/>
      <c r="C357" s="20"/>
      <c r="D357" s="20"/>
      <c r="E357" s="20"/>
      <c r="F357" s="21"/>
      <c r="G357" s="22" t="s">
        <v>2147</v>
      </c>
      <c r="H357" s="18" t="s">
        <v>2148</v>
      </c>
      <c r="I357" s="23" t="s">
        <v>2149</v>
      </c>
      <c r="J357" s="24" t="s">
        <v>28</v>
      </c>
      <c r="K357" s="25" t="s">
        <v>2150</v>
      </c>
      <c r="L357" s="25" t="s">
        <v>2151</v>
      </c>
      <c r="M357" s="25" t="s">
        <v>23</v>
      </c>
      <c r="N357" s="25" t="s">
        <v>2152</v>
      </c>
      <c r="O357" s="25" t="s">
        <v>2153</v>
      </c>
    </row>
    <row r="358" spans="1:15" ht="21" x14ac:dyDescent="0.3">
      <c r="A358" s="19"/>
      <c r="B358" s="20"/>
      <c r="C358" s="20"/>
      <c r="D358" s="20"/>
      <c r="E358" s="20"/>
      <c r="F358" s="21"/>
      <c r="G358" s="22"/>
      <c r="H358" s="18" t="s">
        <v>2154</v>
      </c>
      <c r="I358" s="23" t="s">
        <v>2155</v>
      </c>
      <c r="J358" s="24" t="s">
        <v>20</v>
      </c>
      <c r="K358" s="25" t="s">
        <v>378</v>
      </c>
      <c r="L358" s="25" t="s">
        <v>2156</v>
      </c>
      <c r="M358" s="25" t="s">
        <v>23</v>
      </c>
      <c r="N358" s="25" t="s">
        <v>2157</v>
      </c>
      <c r="O358" s="25" t="s">
        <v>2158</v>
      </c>
    </row>
    <row r="359" spans="1:15" ht="21" x14ac:dyDescent="0.3">
      <c r="A359" s="19"/>
      <c r="B359" s="20"/>
      <c r="C359" s="20"/>
      <c r="D359" s="20"/>
      <c r="E359" s="20"/>
      <c r="F359" s="21"/>
      <c r="G359" s="22"/>
      <c r="H359" s="18" t="s">
        <v>2159</v>
      </c>
      <c r="I359" s="23" t="s">
        <v>2160</v>
      </c>
      <c r="J359" s="24" t="s">
        <v>20</v>
      </c>
      <c r="K359" s="25" t="s">
        <v>2161</v>
      </c>
      <c r="L359" s="25" t="s">
        <v>2162</v>
      </c>
      <c r="M359" s="25" t="s">
        <v>23</v>
      </c>
      <c r="N359" s="25" t="s">
        <v>2163</v>
      </c>
      <c r="O359" s="25" t="s">
        <v>2164</v>
      </c>
    </row>
    <row r="360" spans="1:15" ht="21" x14ac:dyDescent="0.3">
      <c r="A360" s="19"/>
      <c r="B360" s="20"/>
      <c r="C360" s="20"/>
      <c r="D360" s="20"/>
      <c r="E360" s="20"/>
      <c r="F360" s="21"/>
      <c r="G360" s="22"/>
      <c r="H360" s="18" t="s">
        <v>2165</v>
      </c>
      <c r="I360" s="23" t="s">
        <v>2166</v>
      </c>
      <c r="J360" s="24" t="s">
        <v>20</v>
      </c>
      <c r="K360" s="25" t="s">
        <v>2167</v>
      </c>
      <c r="L360" s="25" t="s">
        <v>2168</v>
      </c>
      <c r="M360" s="25" t="s">
        <v>23</v>
      </c>
      <c r="N360" s="25" t="s">
        <v>2169</v>
      </c>
      <c r="O360" s="25" t="s">
        <v>2170</v>
      </c>
    </row>
    <row r="361" spans="1:15" ht="21" x14ac:dyDescent="0.3">
      <c r="A361" s="19"/>
      <c r="B361" s="20"/>
      <c r="C361" s="20"/>
      <c r="D361" s="20"/>
      <c r="E361" s="20"/>
      <c r="F361" s="21"/>
      <c r="G361" s="22"/>
      <c r="H361" s="18" t="s">
        <v>2171</v>
      </c>
      <c r="I361" s="23" t="s">
        <v>2172</v>
      </c>
      <c r="J361" s="24" t="s">
        <v>20</v>
      </c>
      <c r="K361" s="25" t="s">
        <v>2173</v>
      </c>
      <c r="L361" s="25" t="s">
        <v>2174</v>
      </c>
      <c r="M361" s="25" t="s">
        <v>23</v>
      </c>
      <c r="N361" s="25" t="s">
        <v>2175</v>
      </c>
      <c r="O361" s="25" t="s">
        <v>2176</v>
      </c>
    </row>
    <row r="362" spans="1:15" ht="21" x14ac:dyDescent="0.3">
      <c r="A362" s="19"/>
      <c r="B362" s="20"/>
      <c r="C362" s="20"/>
      <c r="D362" s="20"/>
      <c r="E362" s="20"/>
      <c r="F362" s="21"/>
      <c r="G362" s="22" t="s">
        <v>2177</v>
      </c>
      <c r="H362" s="18" t="s">
        <v>2178</v>
      </c>
      <c r="I362" s="23" t="s">
        <v>2179</v>
      </c>
      <c r="J362" s="24" t="s">
        <v>28</v>
      </c>
      <c r="K362" s="25" t="s">
        <v>2180</v>
      </c>
      <c r="L362" s="25" t="s">
        <v>2181</v>
      </c>
      <c r="M362" s="25" t="s">
        <v>23</v>
      </c>
      <c r="N362" s="25" t="s">
        <v>2182</v>
      </c>
      <c r="O362" s="25" t="s">
        <v>2183</v>
      </c>
    </row>
    <row r="363" spans="1:15" ht="21" x14ac:dyDescent="0.3">
      <c r="A363" s="19"/>
      <c r="B363" s="20"/>
      <c r="C363" s="20"/>
      <c r="D363" s="20"/>
      <c r="E363" s="20"/>
      <c r="F363" s="21"/>
      <c r="G363" s="22"/>
      <c r="H363" s="18" t="s">
        <v>2184</v>
      </c>
      <c r="I363" s="23" t="s">
        <v>2185</v>
      </c>
      <c r="J363" s="24" t="s">
        <v>20</v>
      </c>
      <c r="K363" s="25" t="s">
        <v>2186</v>
      </c>
      <c r="L363" s="25" t="s">
        <v>2187</v>
      </c>
      <c r="M363" s="25" t="s">
        <v>23</v>
      </c>
      <c r="N363" s="25" t="s">
        <v>2188</v>
      </c>
      <c r="O363" s="25" t="s">
        <v>2189</v>
      </c>
    </row>
    <row r="364" spans="1:15" ht="21" x14ac:dyDescent="0.3">
      <c r="A364" s="19"/>
      <c r="B364" s="20"/>
      <c r="C364" s="20"/>
      <c r="D364" s="20"/>
      <c r="E364" s="20"/>
      <c r="F364" s="21"/>
      <c r="G364" s="22"/>
      <c r="H364" s="18" t="s">
        <v>2190</v>
      </c>
      <c r="I364" s="23" t="s">
        <v>2191</v>
      </c>
      <c r="J364" s="24" t="s">
        <v>20</v>
      </c>
      <c r="K364" s="25" t="s">
        <v>2192</v>
      </c>
      <c r="L364" s="25" t="s">
        <v>2193</v>
      </c>
      <c r="M364" s="25" t="s">
        <v>23</v>
      </c>
      <c r="N364" s="25" t="s">
        <v>2194</v>
      </c>
      <c r="O364" s="25" t="s">
        <v>2195</v>
      </c>
    </row>
    <row r="365" spans="1:15" ht="21" x14ac:dyDescent="0.3">
      <c r="A365" s="19"/>
      <c r="B365" s="20"/>
      <c r="C365" s="20"/>
      <c r="D365" s="20"/>
      <c r="E365" s="20"/>
      <c r="F365" s="21"/>
      <c r="G365" s="22"/>
      <c r="H365" s="18" t="s">
        <v>2196</v>
      </c>
      <c r="I365" s="23" t="s">
        <v>2197</v>
      </c>
      <c r="J365" s="24" t="s">
        <v>20</v>
      </c>
      <c r="K365" s="25" t="s">
        <v>2198</v>
      </c>
      <c r="L365" s="25" t="s">
        <v>2199</v>
      </c>
      <c r="M365" s="25" t="s">
        <v>23</v>
      </c>
      <c r="N365" s="25" t="s">
        <v>2200</v>
      </c>
      <c r="O365" s="25" t="s">
        <v>2201</v>
      </c>
    </row>
    <row r="366" spans="1:15" ht="21" x14ac:dyDescent="0.3">
      <c r="A366" s="19"/>
      <c r="B366" s="20"/>
      <c r="C366" s="20"/>
      <c r="D366" s="20"/>
      <c r="E366" s="20"/>
      <c r="F366" s="21"/>
      <c r="G366" s="22"/>
      <c r="H366" s="18" t="s">
        <v>2202</v>
      </c>
      <c r="I366" s="23" t="s">
        <v>2203</v>
      </c>
      <c r="J366" s="24" t="s">
        <v>20</v>
      </c>
      <c r="K366" s="25" t="s">
        <v>2204</v>
      </c>
      <c r="L366" s="25" t="s">
        <v>2205</v>
      </c>
      <c r="M366" s="25" t="s">
        <v>23</v>
      </c>
      <c r="N366" s="25" t="s">
        <v>2206</v>
      </c>
      <c r="O366" s="25" t="s">
        <v>2207</v>
      </c>
    </row>
    <row r="367" spans="1:15" ht="21" x14ac:dyDescent="0.3">
      <c r="A367" s="19"/>
      <c r="B367" s="20"/>
      <c r="C367" s="20"/>
      <c r="D367" s="20"/>
      <c r="E367" s="20"/>
      <c r="F367" s="21"/>
      <c r="G367" s="22" t="s">
        <v>2208</v>
      </c>
      <c r="H367" s="18" t="s">
        <v>2209</v>
      </c>
      <c r="I367" s="23" t="s">
        <v>2210</v>
      </c>
      <c r="J367" s="24" t="s">
        <v>28</v>
      </c>
      <c r="K367" s="25" t="s">
        <v>2211</v>
      </c>
      <c r="L367" s="25" t="s">
        <v>2212</v>
      </c>
      <c r="M367" s="25" t="s">
        <v>23</v>
      </c>
      <c r="N367" s="25" t="s">
        <v>2213</v>
      </c>
      <c r="O367" s="25" t="s">
        <v>2214</v>
      </c>
    </row>
    <row r="368" spans="1:15" ht="21" x14ac:dyDescent="0.3">
      <c r="A368" s="19"/>
      <c r="B368" s="20"/>
      <c r="C368" s="20"/>
      <c r="D368" s="20"/>
      <c r="E368" s="20"/>
      <c r="F368" s="21"/>
      <c r="G368" s="22"/>
      <c r="H368" s="18" t="s">
        <v>2215</v>
      </c>
      <c r="I368" s="23" t="s">
        <v>2216</v>
      </c>
      <c r="J368" s="24" t="s">
        <v>20</v>
      </c>
      <c r="K368" s="25" t="s">
        <v>2217</v>
      </c>
      <c r="L368" s="25" t="s">
        <v>2218</v>
      </c>
      <c r="M368" s="25" t="s">
        <v>23</v>
      </c>
      <c r="N368" s="25" t="s">
        <v>2219</v>
      </c>
      <c r="O368" s="25" t="s">
        <v>2220</v>
      </c>
    </row>
    <row r="369" spans="1:15" ht="21" x14ac:dyDescent="0.3">
      <c r="A369" s="19"/>
      <c r="B369" s="20"/>
      <c r="C369" s="20"/>
      <c r="D369" s="20"/>
      <c r="E369" s="20"/>
      <c r="F369" s="21"/>
      <c r="G369" s="22"/>
      <c r="H369" s="18" t="s">
        <v>2221</v>
      </c>
      <c r="I369" s="23" t="s">
        <v>2222</v>
      </c>
      <c r="J369" s="24" t="s">
        <v>20</v>
      </c>
      <c r="K369" s="25" t="s">
        <v>2223</v>
      </c>
      <c r="L369" s="25" t="s">
        <v>2224</v>
      </c>
      <c r="M369" s="25" t="s">
        <v>23</v>
      </c>
      <c r="N369" s="25" t="s">
        <v>2225</v>
      </c>
      <c r="O369" s="25" t="s">
        <v>2226</v>
      </c>
    </row>
    <row r="370" spans="1:15" ht="21" x14ac:dyDescent="0.3">
      <c r="A370" s="19"/>
      <c r="B370" s="20"/>
      <c r="C370" s="20"/>
      <c r="D370" s="20"/>
      <c r="E370" s="20"/>
      <c r="F370" s="21"/>
      <c r="G370" s="22"/>
      <c r="H370" s="18" t="s">
        <v>2227</v>
      </c>
      <c r="I370" s="23" t="s">
        <v>2228</v>
      </c>
      <c r="J370" s="24" t="s">
        <v>20</v>
      </c>
      <c r="K370" s="25" t="s">
        <v>2229</v>
      </c>
      <c r="L370" s="25" t="s">
        <v>2230</v>
      </c>
      <c r="M370" s="25" t="s">
        <v>23</v>
      </c>
      <c r="N370" s="25" t="s">
        <v>2231</v>
      </c>
      <c r="O370" s="25" t="s">
        <v>2232</v>
      </c>
    </row>
    <row r="371" spans="1:15" ht="21" x14ac:dyDescent="0.3">
      <c r="A371" s="19"/>
      <c r="B371" s="20"/>
      <c r="C371" s="20"/>
      <c r="D371" s="20"/>
      <c r="E371" s="20"/>
      <c r="F371" s="21"/>
      <c r="G371" s="22"/>
      <c r="H371" s="18" t="s">
        <v>2233</v>
      </c>
      <c r="I371" s="23" t="s">
        <v>2234</v>
      </c>
      <c r="J371" s="24" t="s">
        <v>20</v>
      </c>
      <c r="K371" s="25" t="s">
        <v>2235</v>
      </c>
      <c r="L371" s="25" t="s">
        <v>2236</v>
      </c>
      <c r="M371" s="25" t="s">
        <v>193</v>
      </c>
      <c r="N371" s="25" t="s">
        <v>2237</v>
      </c>
      <c r="O371" s="25" t="s">
        <v>2238</v>
      </c>
    </row>
    <row r="372" spans="1:15" ht="21" x14ac:dyDescent="0.3">
      <c r="A372" s="19"/>
      <c r="B372" s="20"/>
      <c r="C372" s="20"/>
      <c r="D372" s="20"/>
      <c r="E372" s="20"/>
      <c r="F372" s="21"/>
      <c r="G372" s="22" t="s">
        <v>2239</v>
      </c>
      <c r="H372" s="18" t="s">
        <v>2240</v>
      </c>
      <c r="I372" s="23" t="s">
        <v>2241</v>
      </c>
      <c r="J372" s="24" t="s">
        <v>28</v>
      </c>
      <c r="K372" s="25" t="s">
        <v>366</v>
      </c>
      <c r="L372" s="25" t="s">
        <v>2242</v>
      </c>
      <c r="M372" s="25" t="s">
        <v>23</v>
      </c>
      <c r="N372" s="25" t="s">
        <v>2243</v>
      </c>
      <c r="O372" s="25" t="s">
        <v>2244</v>
      </c>
    </row>
    <row r="373" spans="1:15" ht="21" x14ac:dyDescent="0.3">
      <c r="A373" s="19"/>
      <c r="B373" s="20"/>
      <c r="C373" s="20"/>
      <c r="D373" s="20"/>
      <c r="E373" s="20"/>
      <c r="F373" s="21"/>
      <c r="G373" s="22"/>
      <c r="H373" s="18" t="s">
        <v>2245</v>
      </c>
      <c r="I373" s="23" t="s">
        <v>2246</v>
      </c>
      <c r="J373" s="24" t="s">
        <v>20</v>
      </c>
      <c r="K373" s="25" t="s">
        <v>2247</v>
      </c>
      <c r="L373" s="25" t="s">
        <v>2248</v>
      </c>
      <c r="M373" s="25" t="s">
        <v>23</v>
      </c>
      <c r="N373" s="25" t="s">
        <v>2249</v>
      </c>
      <c r="O373" s="25" t="s">
        <v>2250</v>
      </c>
    </row>
    <row r="374" spans="1:15" ht="21" x14ac:dyDescent="0.3">
      <c r="A374" s="19"/>
      <c r="B374" s="20"/>
      <c r="C374" s="20"/>
      <c r="D374" s="20"/>
      <c r="E374" s="20"/>
      <c r="F374" s="21"/>
      <c r="G374" s="22"/>
      <c r="H374" s="18" t="s">
        <v>2251</v>
      </c>
      <c r="I374" s="23" t="s">
        <v>2252</v>
      </c>
      <c r="J374" s="24" t="s">
        <v>20</v>
      </c>
      <c r="K374" s="25" t="s">
        <v>2253</v>
      </c>
      <c r="L374" s="25" t="s">
        <v>2254</v>
      </c>
      <c r="M374" s="25" t="s">
        <v>23</v>
      </c>
      <c r="N374" s="25" t="s">
        <v>2255</v>
      </c>
      <c r="O374" s="25" t="s">
        <v>2256</v>
      </c>
    </row>
    <row r="375" spans="1:15" ht="21" x14ac:dyDescent="0.3">
      <c r="A375" s="19"/>
      <c r="B375" s="20"/>
      <c r="C375" s="20"/>
      <c r="D375" s="20"/>
      <c r="E375" s="20"/>
      <c r="F375" s="21"/>
      <c r="G375" s="22"/>
      <c r="H375" s="18" t="s">
        <v>2257</v>
      </c>
      <c r="I375" s="23" t="s">
        <v>2258</v>
      </c>
      <c r="J375" s="24" t="s">
        <v>20</v>
      </c>
      <c r="K375" s="25" t="s">
        <v>2259</v>
      </c>
      <c r="L375" s="25" t="s">
        <v>2260</v>
      </c>
      <c r="M375" s="25" t="s">
        <v>23</v>
      </c>
      <c r="N375" s="25" t="s">
        <v>2261</v>
      </c>
      <c r="O375" s="25" t="s">
        <v>2262</v>
      </c>
    </row>
    <row r="376" spans="1:15" ht="21" x14ac:dyDescent="0.3">
      <c r="A376" s="19"/>
      <c r="B376" s="20"/>
      <c r="C376" s="20"/>
      <c r="D376" s="20"/>
      <c r="E376" s="20"/>
      <c r="F376" s="21"/>
      <c r="G376" s="22"/>
      <c r="H376" s="18" t="s">
        <v>2263</v>
      </c>
      <c r="I376" s="23" t="s">
        <v>2264</v>
      </c>
      <c r="J376" s="24" t="s">
        <v>20</v>
      </c>
      <c r="K376" s="25" t="s">
        <v>235</v>
      </c>
      <c r="L376" s="25" t="s">
        <v>2265</v>
      </c>
      <c r="M376" s="25" t="s">
        <v>23</v>
      </c>
      <c r="N376" s="25" t="s">
        <v>2266</v>
      </c>
      <c r="O376" s="25" t="s">
        <v>2267</v>
      </c>
    </row>
    <row r="377" spans="1:15" ht="21" x14ac:dyDescent="0.3">
      <c r="A377" s="19"/>
      <c r="B377" s="20"/>
      <c r="C377" s="20"/>
      <c r="D377" s="20"/>
      <c r="E377" s="20"/>
      <c r="F377" s="21"/>
      <c r="G377" s="22" t="s">
        <v>2268</v>
      </c>
      <c r="H377" s="18" t="s">
        <v>2269</v>
      </c>
      <c r="I377" s="23" t="s">
        <v>2270</v>
      </c>
      <c r="J377" s="24" t="s">
        <v>28</v>
      </c>
      <c r="K377" s="25" t="s">
        <v>2271</v>
      </c>
      <c r="L377" s="25" t="s">
        <v>2272</v>
      </c>
      <c r="M377" s="25" t="s">
        <v>23</v>
      </c>
      <c r="N377" s="25" t="s">
        <v>2273</v>
      </c>
      <c r="O377" s="25" t="s">
        <v>2274</v>
      </c>
    </row>
    <row r="378" spans="1:15" ht="21" x14ac:dyDescent="0.3">
      <c r="A378" s="19"/>
      <c r="B378" s="20"/>
      <c r="C378" s="20"/>
      <c r="D378" s="20"/>
      <c r="E378" s="20"/>
      <c r="F378" s="21"/>
      <c r="G378" s="22"/>
      <c r="H378" s="18" t="s">
        <v>2275</v>
      </c>
      <c r="I378" s="23" t="s">
        <v>2276</v>
      </c>
      <c r="J378" s="24" t="s">
        <v>20</v>
      </c>
      <c r="K378" s="25" t="s">
        <v>2277</v>
      </c>
      <c r="L378" s="25" t="s">
        <v>2278</v>
      </c>
      <c r="M378" s="25" t="s">
        <v>23</v>
      </c>
      <c r="N378" s="25" t="s">
        <v>2279</v>
      </c>
      <c r="O378" s="25" t="s">
        <v>2280</v>
      </c>
    </row>
    <row r="379" spans="1:15" ht="21" x14ac:dyDescent="0.3">
      <c r="A379" s="19"/>
      <c r="B379" s="20"/>
      <c r="C379" s="20"/>
      <c r="D379" s="20"/>
      <c r="E379" s="20"/>
      <c r="F379" s="21"/>
      <c r="G379" s="22"/>
      <c r="H379" s="18" t="s">
        <v>2281</v>
      </c>
      <c r="I379" s="23" t="s">
        <v>2282</v>
      </c>
      <c r="J379" s="24" t="s">
        <v>20</v>
      </c>
      <c r="K379" s="25" t="s">
        <v>2283</v>
      </c>
      <c r="L379" s="25" t="s">
        <v>2284</v>
      </c>
      <c r="M379" s="25" t="s">
        <v>23</v>
      </c>
      <c r="N379" s="25" t="s">
        <v>2285</v>
      </c>
      <c r="O379" s="25" t="s">
        <v>2286</v>
      </c>
    </row>
    <row r="380" spans="1:15" ht="21" x14ac:dyDescent="0.3">
      <c r="A380" s="19"/>
      <c r="B380" s="20"/>
      <c r="C380" s="20"/>
      <c r="D380" s="20"/>
      <c r="E380" s="20"/>
      <c r="F380" s="21"/>
      <c r="G380" s="22"/>
      <c r="H380" s="18" t="s">
        <v>2287</v>
      </c>
      <c r="I380" s="23" t="s">
        <v>2288</v>
      </c>
      <c r="J380" s="24" t="s">
        <v>20</v>
      </c>
      <c r="K380" s="25" t="s">
        <v>2289</v>
      </c>
      <c r="L380" s="25" t="s">
        <v>2290</v>
      </c>
      <c r="M380" s="25" t="s">
        <v>23</v>
      </c>
      <c r="N380" s="25" t="s">
        <v>2291</v>
      </c>
      <c r="O380" s="25" t="s">
        <v>2292</v>
      </c>
    </row>
    <row r="381" spans="1:15" ht="21" x14ac:dyDescent="0.3">
      <c r="A381" s="19"/>
      <c r="B381" s="20"/>
      <c r="C381" s="20"/>
      <c r="D381" s="20"/>
      <c r="E381" s="20"/>
      <c r="F381" s="21"/>
      <c r="G381" s="22"/>
      <c r="H381" s="18" t="s">
        <v>2293</v>
      </c>
      <c r="I381" s="23" t="s">
        <v>2294</v>
      </c>
      <c r="J381" s="24" t="s">
        <v>20</v>
      </c>
      <c r="K381" s="25" t="s">
        <v>2295</v>
      </c>
      <c r="L381" s="25" t="s">
        <v>2296</v>
      </c>
      <c r="M381" s="25" t="s">
        <v>23</v>
      </c>
      <c r="N381" s="25" t="s">
        <v>2297</v>
      </c>
      <c r="O381" s="25" t="s">
        <v>2298</v>
      </c>
    </row>
    <row r="382" spans="1:15" ht="21" x14ac:dyDescent="0.3">
      <c r="A382" s="19"/>
      <c r="B382" s="20"/>
      <c r="C382" s="20"/>
      <c r="D382" s="20"/>
      <c r="E382" s="20"/>
      <c r="F382" s="21"/>
      <c r="G382" s="22" t="s">
        <v>2299</v>
      </c>
      <c r="H382" s="18" t="s">
        <v>2300</v>
      </c>
      <c r="I382" s="23" t="s">
        <v>2301</v>
      </c>
      <c r="J382" s="24" t="s">
        <v>28</v>
      </c>
      <c r="K382" s="25" t="s">
        <v>2302</v>
      </c>
      <c r="L382" s="25" t="s">
        <v>2303</v>
      </c>
      <c r="M382" s="25" t="s">
        <v>23</v>
      </c>
      <c r="N382" s="25" t="s">
        <v>2304</v>
      </c>
      <c r="O382" s="25" t="s">
        <v>2305</v>
      </c>
    </row>
    <row r="383" spans="1:15" ht="21" x14ac:dyDescent="0.3">
      <c r="A383" s="19"/>
      <c r="B383" s="20"/>
      <c r="C383" s="20"/>
      <c r="D383" s="20"/>
      <c r="E383" s="20"/>
      <c r="F383" s="21"/>
      <c r="G383" s="22"/>
      <c r="H383" s="18" t="s">
        <v>2306</v>
      </c>
      <c r="I383" s="23" t="s">
        <v>2307</v>
      </c>
      <c r="J383" s="24" t="s">
        <v>20</v>
      </c>
      <c r="K383" s="25" t="s">
        <v>543</v>
      </c>
      <c r="L383" s="25" t="s">
        <v>2308</v>
      </c>
      <c r="M383" s="25" t="s">
        <v>23</v>
      </c>
      <c r="N383" s="25" t="s">
        <v>2309</v>
      </c>
      <c r="O383" s="25" t="s">
        <v>2310</v>
      </c>
    </row>
    <row r="384" spans="1:15" ht="21" x14ac:dyDescent="0.3">
      <c r="A384" s="19"/>
      <c r="B384" s="20"/>
      <c r="C384" s="20"/>
      <c r="D384" s="20"/>
      <c r="E384" s="20"/>
      <c r="F384" s="21"/>
      <c r="G384" s="22"/>
      <c r="H384" s="18" t="s">
        <v>2311</v>
      </c>
      <c r="I384" s="23" t="s">
        <v>2312</v>
      </c>
      <c r="J384" s="24" t="s">
        <v>20</v>
      </c>
      <c r="K384" s="25" t="s">
        <v>2313</v>
      </c>
      <c r="L384" s="25" t="s">
        <v>2314</v>
      </c>
      <c r="M384" s="25" t="s">
        <v>23</v>
      </c>
      <c r="N384" s="25" t="s">
        <v>2315</v>
      </c>
      <c r="O384" s="25" t="s">
        <v>2316</v>
      </c>
    </row>
    <row r="385" spans="1:15" ht="21" x14ac:dyDescent="0.3">
      <c r="A385" s="19"/>
      <c r="B385" s="20"/>
      <c r="C385" s="20"/>
      <c r="D385" s="20"/>
      <c r="E385" s="20"/>
      <c r="F385" s="21"/>
      <c r="G385" s="22"/>
      <c r="H385" s="18" t="s">
        <v>2317</v>
      </c>
      <c r="I385" s="23" t="s">
        <v>2318</v>
      </c>
      <c r="J385" s="24" t="s">
        <v>20</v>
      </c>
      <c r="K385" s="25" t="s">
        <v>2319</v>
      </c>
      <c r="L385" s="25" t="s">
        <v>2320</v>
      </c>
      <c r="M385" s="25" t="s">
        <v>23</v>
      </c>
      <c r="N385" s="25" t="s">
        <v>2321</v>
      </c>
      <c r="O385" s="25" t="s">
        <v>2322</v>
      </c>
    </row>
    <row r="386" spans="1:15" ht="21" x14ac:dyDescent="0.3">
      <c r="A386" s="19"/>
      <c r="B386" s="20"/>
      <c r="C386" s="20"/>
      <c r="D386" s="20"/>
      <c r="E386" s="20"/>
      <c r="F386" s="21"/>
      <c r="G386" s="22"/>
      <c r="H386" s="18" t="s">
        <v>2323</v>
      </c>
      <c r="I386" s="23" t="s">
        <v>2324</v>
      </c>
      <c r="J386" s="24" t="s">
        <v>20</v>
      </c>
      <c r="K386" s="25" t="s">
        <v>2325</v>
      </c>
      <c r="L386" s="25" t="s">
        <v>2326</v>
      </c>
      <c r="M386" s="25" t="s">
        <v>23</v>
      </c>
      <c r="N386" s="25" t="s">
        <v>2327</v>
      </c>
      <c r="O386" s="25" t="s">
        <v>2328</v>
      </c>
    </row>
    <row r="387" spans="1:15" ht="21" x14ac:dyDescent="0.3">
      <c r="A387" s="19"/>
      <c r="B387" s="20"/>
      <c r="C387" s="20"/>
      <c r="D387" s="20"/>
      <c r="E387" s="20"/>
      <c r="F387" s="21"/>
      <c r="G387" s="22" t="s">
        <v>2329</v>
      </c>
      <c r="H387" s="18" t="s">
        <v>2330</v>
      </c>
      <c r="I387" s="23" t="s">
        <v>2331</v>
      </c>
      <c r="J387" s="24" t="s">
        <v>28</v>
      </c>
      <c r="K387" s="25" t="s">
        <v>2332</v>
      </c>
      <c r="L387" s="25" t="s">
        <v>2333</v>
      </c>
      <c r="M387" s="25" t="s">
        <v>23</v>
      </c>
      <c r="N387" s="25" t="s">
        <v>2334</v>
      </c>
      <c r="O387" s="25" t="s">
        <v>2335</v>
      </c>
    </row>
    <row r="388" spans="1:15" ht="21" x14ac:dyDescent="0.3">
      <c r="A388" s="19"/>
      <c r="B388" s="20"/>
      <c r="C388" s="20"/>
      <c r="D388" s="20"/>
      <c r="E388" s="20"/>
      <c r="F388" s="21"/>
      <c r="G388" s="22"/>
      <c r="H388" s="18" t="s">
        <v>2336</v>
      </c>
      <c r="I388" s="23" t="s">
        <v>2337</v>
      </c>
      <c r="J388" s="24" t="s">
        <v>20</v>
      </c>
      <c r="K388" s="25" t="s">
        <v>2338</v>
      </c>
      <c r="L388" s="25" t="s">
        <v>2339</v>
      </c>
      <c r="M388" s="25" t="s">
        <v>23</v>
      </c>
      <c r="N388" s="25" t="s">
        <v>2340</v>
      </c>
      <c r="O388" s="25" t="s">
        <v>2341</v>
      </c>
    </row>
    <row r="389" spans="1:15" ht="21" x14ac:dyDescent="0.3">
      <c r="A389" s="19"/>
      <c r="B389" s="20"/>
      <c r="C389" s="20"/>
      <c r="D389" s="20"/>
      <c r="E389" s="20"/>
      <c r="F389" s="21"/>
      <c r="G389" s="22"/>
      <c r="H389" s="18" t="s">
        <v>2342</v>
      </c>
      <c r="I389" s="23" t="s">
        <v>2343</v>
      </c>
      <c r="J389" s="24" t="s">
        <v>20</v>
      </c>
      <c r="K389" s="25" t="s">
        <v>2344</v>
      </c>
      <c r="L389" s="25" t="s">
        <v>2345</v>
      </c>
      <c r="M389" s="25" t="s">
        <v>23</v>
      </c>
      <c r="N389" s="25" t="s">
        <v>2346</v>
      </c>
      <c r="O389" s="25" t="s">
        <v>2347</v>
      </c>
    </row>
    <row r="390" spans="1:15" ht="21" x14ac:dyDescent="0.3">
      <c r="A390" s="19"/>
      <c r="B390" s="20"/>
      <c r="C390" s="20"/>
      <c r="D390" s="20"/>
      <c r="E390" s="20"/>
      <c r="F390" s="21"/>
      <c r="G390" s="22"/>
      <c r="H390" s="18" t="s">
        <v>2348</v>
      </c>
      <c r="I390" s="23" t="s">
        <v>2349</v>
      </c>
      <c r="J390" s="24" t="s">
        <v>20</v>
      </c>
      <c r="K390" s="25" t="s">
        <v>2350</v>
      </c>
      <c r="L390" s="25" t="s">
        <v>2351</v>
      </c>
      <c r="M390" s="25" t="s">
        <v>23</v>
      </c>
      <c r="N390" s="25" t="s">
        <v>2352</v>
      </c>
      <c r="O390" s="25" t="s">
        <v>2353</v>
      </c>
    </row>
    <row r="391" spans="1:15" ht="21" x14ac:dyDescent="0.3">
      <c r="A391" s="19"/>
      <c r="B391" s="20"/>
      <c r="C391" s="20"/>
      <c r="D391" s="20"/>
      <c r="E391" s="20"/>
      <c r="F391" s="21"/>
      <c r="G391" s="22"/>
      <c r="H391" s="18" t="s">
        <v>2293</v>
      </c>
      <c r="I391" s="23" t="s">
        <v>2354</v>
      </c>
      <c r="J391" s="24" t="s">
        <v>20</v>
      </c>
      <c r="K391" s="25" t="s">
        <v>2355</v>
      </c>
      <c r="L391" s="25" t="s">
        <v>2356</v>
      </c>
      <c r="M391" s="25" t="s">
        <v>23</v>
      </c>
      <c r="N391" s="25" t="s">
        <v>2357</v>
      </c>
      <c r="O391" s="25" t="s">
        <v>2358</v>
      </c>
    </row>
    <row r="392" spans="1:15" ht="21" x14ac:dyDescent="0.3">
      <c r="A392" s="19"/>
      <c r="B392" s="20"/>
      <c r="C392" s="20"/>
      <c r="D392" s="20"/>
      <c r="E392" s="20"/>
      <c r="F392" s="21"/>
      <c r="G392" s="22" t="s">
        <v>2359</v>
      </c>
      <c r="H392" s="18" t="s">
        <v>2360</v>
      </c>
      <c r="I392" s="23" t="s">
        <v>2361</v>
      </c>
      <c r="J392" s="24" t="s">
        <v>28</v>
      </c>
      <c r="K392" s="25" t="s">
        <v>2362</v>
      </c>
      <c r="L392" s="25" t="s">
        <v>2363</v>
      </c>
      <c r="M392" s="25" t="s">
        <v>23</v>
      </c>
      <c r="N392" s="25" t="s">
        <v>2364</v>
      </c>
      <c r="O392" s="25" t="s">
        <v>2365</v>
      </c>
    </row>
    <row r="393" spans="1:15" ht="21" x14ac:dyDescent="0.3">
      <c r="A393" s="19"/>
      <c r="B393" s="20"/>
      <c r="C393" s="20"/>
      <c r="D393" s="20"/>
      <c r="E393" s="20"/>
      <c r="F393" s="21"/>
      <c r="G393" s="22"/>
      <c r="H393" s="18" t="s">
        <v>2366</v>
      </c>
      <c r="I393" s="23" t="s">
        <v>2367</v>
      </c>
      <c r="J393" s="24" t="s">
        <v>20</v>
      </c>
      <c r="K393" s="25" t="s">
        <v>2368</v>
      </c>
      <c r="L393" s="25" t="s">
        <v>2369</v>
      </c>
      <c r="M393" s="25" t="s">
        <v>23</v>
      </c>
      <c r="N393" s="25" t="s">
        <v>2370</v>
      </c>
      <c r="O393" s="25" t="s">
        <v>2371</v>
      </c>
    </row>
    <row r="394" spans="1:15" ht="21" x14ac:dyDescent="0.3">
      <c r="A394" s="19"/>
      <c r="B394" s="20"/>
      <c r="C394" s="20"/>
      <c r="D394" s="20"/>
      <c r="E394" s="20"/>
      <c r="F394" s="21"/>
      <c r="G394" s="22"/>
      <c r="H394" s="18" t="s">
        <v>2372</v>
      </c>
      <c r="I394" s="23" t="s">
        <v>2373</v>
      </c>
      <c r="J394" s="24" t="s">
        <v>20</v>
      </c>
      <c r="K394" s="25" t="s">
        <v>2374</v>
      </c>
      <c r="L394" s="25" t="s">
        <v>2375</v>
      </c>
      <c r="M394" s="25" t="s">
        <v>23</v>
      </c>
      <c r="N394" s="25" t="s">
        <v>2376</v>
      </c>
      <c r="O394" s="25" t="s">
        <v>2377</v>
      </c>
    </row>
    <row r="395" spans="1:15" ht="21" x14ac:dyDescent="0.3">
      <c r="A395" s="19"/>
      <c r="B395" s="20"/>
      <c r="C395" s="20"/>
      <c r="D395" s="20"/>
      <c r="E395" s="20"/>
      <c r="F395" s="21"/>
      <c r="G395" s="22"/>
      <c r="H395" s="18" t="s">
        <v>2378</v>
      </c>
      <c r="I395" s="23" t="s">
        <v>2379</v>
      </c>
      <c r="J395" s="24" t="s">
        <v>20</v>
      </c>
      <c r="K395" s="25" t="s">
        <v>2380</v>
      </c>
      <c r="L395" s="25" t="s">
        <v>2381</v>
      </c>
      <c r="M395" s="25" t="s">
        <v>31</v>
      </c>
      <c r="N395" s="25" t="s">
        <v>2382</v>
      </c>
      <c r="O395" s="25" t="s">
        <v>2383</v>
      </c>
    </row>
    <row r="396" spans="1:15" ht="21" x14ac:dyDescent="0.3">
      <c r="A396" s="19"/>
      <c r="B396" s="20"/>
      <c r="C396" s="20"/>
      <c r="D396" s="20"/>
      <c r="E396" s="20"/>
      <c r="F396" s="21"/>
      <c r="G396" s="22"/>
      <c r="H396" s="18" t="s">
        <v>2384</v>
      </c>
      <c r="I396" s="23" t="s">
        <v>2385</v>
      </c>
      <c r="J396" s="24" t="s">
        <v>20</v>
      </c>
      <c r="K396" s="25" t="s">
        <v>2386</v>
      </c>
      <c r="L396" s="25" t="s">
        <v>2387</v>
      </c>
      <c r="M396" s="25" t="s">
        <v>23</v>
      </c>
      <c r="N396" s="25" t="s">
        <v>2388</v>
      </c>
      <c r="O396" s="25" t="s">
        <v>2389</v>
      </c>
    </row>
    <row r="397" spans="1:15" ht="21" x14ac:dyDescent="0.3">
      <c r="A397" s="19"/>
      <c r="B397" s="20"/>
      <c r="C397" s="20"/>
      <c r="D397" s="20"/>
      <c r="E397" s="20"/>
      <c r="F397" s="21"/>
      <c r="G397" s="22" t="s">
        <v>2390</v>
      </c>
      <c r="H397" s="18" t="s">
        <v>2391</v>
      </c>
      <c r="I397" s="23" t="s">
        <v>2392</v>
      </c>
      <c r="J397" s="24" t="s">
        <v>28</v>
      </c>
      <c r="K397" s="25" t="s">
        <v>2393</v>
      </c>
      <c r="L397" s="25" t="s">
        <v>2394</v>
      </c>
      <c r="M397" s="25" t="s">
        <v>23</v>
      </c>
      <c r="N397" s="25" t="s">
        <v>2395</v>
      </c>
      <c r="O397" s="25" t="s">
        <v>2396</v>
      </c>
    </row>
    <row r="398" spans="1:15" ht="21" x14ac:dyDescent="0.3">
      <c r="A398" s="19"/>
      <c r="B398" s="20"/>
      <c r="C398" s="20"/>
      <c r="D398" s="20"/>
      <c r="E398" s="20"/>
      <c r="F398" s="21"/>
      <c r="G398" s="22"/>
      <c r="H398" s="18" t="s">
        <v>2397</v>
      </c>
      <c r="I398" s="23" t="s">
        <v>2398</v>
      </c>
      <c r="J398" s="24" t="s">
        <v>20</v>
      </c>
      <c r="K398" s="25" t="s">
        <v>2399</v>
      </c>
      <c r="L398" s="25" t="s">
        <v>2400</v>
      </c>
      <c r="M398" s="25" t="s">
        <v>31</v>
      </c>
      <c r="N398" s="25" t="s">
        <v>2401</v>
      </c>
      <c r="O398" s="25" t="s">
        <v>2402</v>
      </c>
    </row>
    <row r="399" spans="1:15" ht="21" x14ac:dyDescent="0.3">
      <c r="A399" s="19"/>
      <c r="B399" s="20"/>
      <c r="C399" s="20"/>
      <c r="D399" s="20"/>
      <c r="E399" s="20"/>
      <c r="F399" s="21"/>
      <c r="G399" s="22"/>
      <c r="H399" s="18" t="s">
        <v>2403</v>
      </c>
      <c r="I399" s="23" t="s">
        <v>2404</v>
      </c>
      <c r="J399" s="24" t="s">
        <v>20</v>
      </c>
      <c r="K399" s="25" t="s">
        <v>2405</v>
      </c>
      <c r="L399" s="25" t="s">
        <v>2406</v>
      </c>
      <c r="M399" s="25" t="s">
        <v>23</v>
      </c>
      <c r="N399" s="25" t="s">
        <v>2407</v>
      </c>
      <c r="O399" s="25" t="s">
        <v>2408</v>
      </c>
    </row>
    <row r="400" spans="1:15" ht="21" x14ac:dyDescent="0.3">
      <c r="A400" s="19"/>
      <c r="B400" s="20"/>
      <c r="C400" s="20"/>
      <c r="D400" s="20"/>
      <c r="E400" s="20"/>
      <c r="F400" s="21"/>
      <c r="G400" s="22"/>
      <c r="H400" s="18" t="s">
        <v>2409</v>
      </c>
      <c r="I400" s="23" t="s">
        <v>2410</v>
      </c>
      <c r="J400" s="24" t="s">
        <v>20</v>
      </c>
      <c r="K400" s="25" t="s">
        <v>2411</v>
      </c>
      <c r="L400" s="25" t="s">
        <v>2412</v>
      </c>
      <c r="M400" s="25" t="s">
        <v>23</v>
      </c>
      <c r="N400" s="25" t="s">
        <v>2413</v>
      </c>
      <c r="O400" s="25" t="s">
        <v>2414</v>
      </c>
    </row>
    <row r="401" spans="1:15" ht="21" x14ac:dyDescent="0.3">
      <c r="A401" s="19"/>
      <c r="B401" s="20"/>
      <c r="C401" s="20"/>
      <c r="D401" s="20"/>
      <c r="E401" s="20"/>
      <c r="F401" s="21"/>
      <c r="G401" s="22"/>
      <c r="H401" s="18" t="s">
        <v>2415</v>
      </c>
      <c r="I401" s="23" t="s">
        <v>2416</v>
      </c>
      <c r="J401" s="24" t="s">
        <v>20</v>
      </c>
      <c r="K401" s="25" t="s">
        <v>2417</v>
      </c>
      <c r="L401" s="25" t="s">
        <v>2418</v>
      </c>
      <c r="M401" s="25" t="s">
        <v>23</v>
      </c>
      <c r="N401" s="25" t="s">
        <v>2419</v>
      </c>
      <c r="O401" s="25" t="s">
        <v>2420</v>
      </c>
    </row>
    <row r="402" spans="1:15" ht="21" x14ac:dyDescent="0.3">
      <c r="A402" s="19"/>
      <c r="B402" s="20"/>
      <c r="C402" s="20"/>
      <c r="D402" s="20"/>
      <c r="E402" s="20"/>
      <c r="F402" s="21"/>
      <c r="G402" s="22" t="s">
        <v>2421</v>
      </c>
      <c r="H402" s="18" t="s">
        <v>2422</v>
      </c>
      <c r="I402" s="23" t="s">
        <v>2423</v>
      </c>
      <c r="J402" s="24" t="s">
        <v>28</v>
      </c>
      <c r="K402" s="25" t="s">
        <v>2424</v>
      </c>
      <c r="L402" s="25" t="s">
        <v>2425</v>
      </c>
      <c r="M402" s="25" t="s">
        <v>23</v>
      </c>
      <c r="N402" s="25" t="s">
        <v>2426</v>
      </c>
      <c r="O402" s="25" t="s">
        <v>2427</v>
      </c>
    </row>
    <row r="403" spans="1:15" ht="21" x14ac:dyDescent="0.3">
      <c r="A403" s="19"/>
      <c r="B403" s="20"/>
      <c r="C403" s="20"/>
      <c r="D403" s="20"/>
      <c r="E403" s="20"/>
      <c r="F403" s="21"/>
      <c r="G403" s="22"/>
      <c r="H403" s="18" t="s">
        <v>2428</v>
      </c>
      <c r="I403" s="23" t="s">
        <v>2429</v>
      </c>
      <c r="J403" s="24" t="s">
        <v>20</v>
      </c>
      <c r="K403" s="25" t="s">
        <v>2430</v>
      </c>
      <c r="L403" s="25" t="s">
        <v>2431</v>
      </c>
      <c r="M403" s="25" t="s">
        <v>23</v>
      </c>
      <c r="N403" s="25" t="s">
        <v>2432</v>
      </c>
      <c r="O403" s="25" t="s">
        <v>2433</v>
      </c>
    </row>
    <row r="404" spans="1:15" ht="21" x14ac:dyDescent="0.3">
      <c r="A404" s="19"/>
      <c r="B404" s="20"/>
      <c r="C404" s="20"/>
      <c r="D404" s="20"/>
      <c r="E404" s="20"/>
      <c r="F404" s="21"/>
      <c r="G404" s="22"/>
      <c r="H404" s="18" t="s">
        <v>2434</v>
      </c>
      <c r="I404" s="23" t="s">
        <v>2435</v>
      </c>
      <c r="J404" s="24" t="s">
        <v>20</v>
      </c>
      <c r="K404" s="25" t="s">
        <v>2436</v>
      </c>
      <c r="L404" s="25" t="s">
        <v>2437</v>
      </c>
      <c r="M404" s="25" t="s">
        <v>23</v>
      </c>
      <c r="N404" s="25" t="s">
        <v>2438</v>
      </c>
      <c r="O404" s="25" t="s">
        <v>2439</v>
      </c>
    </row>
    <row r="405" spans="1:15" ht="21" x14ac:dyDescent="0.3">
      <c r="A405" s="19"/>
      <c r="B405" s="20"/>
      <c r="C405" s="20"/>
      <c r="D405" s="20"/>
      <c r="E405" s="20"/>
      <c r="F405" s="21"/>
      <c r="G405" s="22"/>
      <c r="H405" s="18" t="s">
        <v>2440</v>
      </c>
      <c r="I405" s="23" t="s">
        <v>2441</v>
      </c>
      <c r="J405" s="24" t="s">
        <v>20</v>
      </c>
      <c r="K405" s="25" t="s">
        <v>2442</v>
      </c>
      <c r="L405" s="25" t="s">
        <v>2443</v>
      </c>
      <c r="M405" s="25" t="s">
        <v>31</v>
      </c>
      <c r="N405" s="25" t="s">
        <v>2444</v>
      </c>
      <c r="O405" s="25" t="s">
        <v>2445</v>
      </c>
    </row>
    <row r="406" spans="1:15" ht="21" x14ac:dyDescent="0.3">
      <c r="A406" s="19"/>
      <c r="B406" s="20"/>
      <c r="C406" s="20"/>
      <c r="D406" s="20"/>
      <c r="E406" s="20"/>
      <c r="F406" s="21"/>
      <c r="G406" s="22"/>
      <c r="H406" s="18" t="s">
        <v>2446</v>
      </c>
      <c r="I406" s="23" t="s">
        <v>2447</v>
      </c>
      <c r="J406" s="24" t="s">
        <v>20</v>
      </c>
      <c r="K406" s="25" t="s">
        <v>2448</v>
      </c>
      <c r="L406" s="25" t="s">
        <v>2449</v>
      </c>
      <c r="M406" s="25" t="s">
        <v>23</v>
      </c>
      <c r="N406" s="25" t="s">
        <v>2450</v>
      </c>
      <c r="O406" s="25" t="s">
        <v>2451</v>
      </c>
    </row>
    <row r="407" spans="1:15" ht="21" x14ac:dyDescent="0.3">
      <c r="A407" s="19"/>
      <c r="B407" s="20"/>
      <c r="C407" s="20"/>
      <c r="D407" s="20"/>
      <c r="E407" s="20"/>
      <c r="F407" s="21"/>
      <c r="G407" s="22" t="s">
        <v>2452</v>
      </c>
      <c r="H407" s="18" t="s">
        <v>2453</v>
      </c>
      <c r="I407" s="23" t="s">
        <v>2454</v>
      </c>
      <c r="J407" s="24" t="s">
        <v>28</v>
      </c>
      <c r="K407" s="25" t="s">
        <v>2455</v>
      </c>
      <c r="L407" s="25" t="s">
        <v>2456</v>
      </c>
      <c r="M407" s="25" t="s">
        <v>23</v>
      </c>
      <c r="N407" s="25" t="s">
        <v>2457</v>
      </c>
      <c r="O407" s="25" t="s">
        <v>2458</v>
      </c>
    </row>
    <row r="408" spans="1:15" ht="21" x14ac:dyDescent="0.3">
      <c r="A408" s="19"/>
      <c r="B408" s="20"/>
      <c r="C408" s="20"/>
      <c r="D408" s="20"/>
      <c r="E408" s="20"/>
      <c r="F408" s="21"/>
      <c r="G408" s="22"/>
      <c r="H408" s="18" t="s">
        <v>2459</v>
      </c>
      <c r="I408" s="23" t="s">
        <v>2460</v>
      </c>
      <c r="J408" s="24" t="s">
        <v>20</v>
      </c>
      <c r="K408" s="25" t="s">
        <v>2461</v>
      </c>
      <c r="L408" s="25" t="s">
        <v>2462</v>
      </c>
      <c r="M408" s="25" t="s">
        <v>23</v>
      </c>
      <c r="N408" s="25" t="s">
        <v>2463</v>
      </c>
      <c r="O408" s="25" t="s">
        <v>2464</v>
      </c>
    </row>
    <row r="409" spans="1:15" ht="21" x14ac:dyDescent="0.3">
      <c r="A409" s="19"/>
      <c r="B409" s="20"/>
      <c r="C409" s="20"/>
      <c r="D409" s="20"/>
      <c r="E409" s="20"/>
      <c r="F409" s="21"/>
      <c r="G409" s="22"/>
      <c r="H409" s="18" t="s">
        <v>2465</v>
      </c>
      <c r="I409" s="23" t="s">
        <v>2466</v>
      </c>
      <c r="J409" s="24" t="s">
        <v>20</v>
      </c>
      <c r="K409" s="25" t="s">
        <v>2467</v>
      </c>
      <c r="L409" s="25" t="s">
        <v>2468</v>
      </c>
      <c r="M409" s="25" t="s">
        <v>23</v>
      </c>
      <c r="N409" s="25" t="s">
        <v>2469</v>
      </c>
      <c r="O409" s="25" t="s">
        <v>2470</v>
      </c>
    </row>
    <row r="410" spans="1:15" ht="21" x14ac:dyDescent="0.3">
      <c r="A410" s="19"/>
      <c r="B410" s="20"/>
      <c r="C410" s="20"/>
      <c r="D410" s="20"/>
      <c r="E410" s="20"/>
      <c r="F410" s="21"/>
      <c r="G410" s="22"/>
      <c r="H410" s="18" t="s">
        <v>2471</v>
      </c>
      <c r="I410" s="23" t="s">
        <v>2472</v>
      </c>
      <c r="J410" s="24" t="s">
        <v>20</v>
      </c>
      <c r="K410" s="25" t="s">
        <v>2473</v>
      </c>
      <c r="L410" s="25" t="s">
        <v>2474</v>
      </c>
      <c r="M410" s="25" t="s">
        <v>23</v>
      </c>
      <c r="N410" s="25" t="s">
        <v>2475</v>
      </c>
      <c r="O410" s="25" t="s">
        <v>2476</v>
      </c>
    </row>
    <row r="411" spans="1:15" ht="21" x14ac:dyDescent="0.3">
      <c r="A411" s="19"/>
      <c r="B411" s="20"/>
      <c r="C411" s="20"/>
      <c r="D411" s="20"/>
      <c r="E411" s="20"/>
      <c r="F411" s="21"/>
      <c r="G411" s="22"/>
      <c r="H411" s="18" t="s">
        <v>2477</v>
      </c>
      <c r="I411" s="23" t="s">
        <v>2478</v>
      </c>
      <c r="J411" s="24" t="s">
        <v>20</v>
      </c>
      <c r="K411" s="25" t="s">
        <v>2479</v>
      </c>
      <c r="L411" s="25" t="s">
        <v>2480</v>
      </c>
      <c r="M411" s="25" t="s">
        <v>23</v>
      </c>
      <c r="N411" s="25" t="s">
        <v>2481</v>
      </c>
      <c r="O411" s="25" t="s">
        <v>2482</v>
      </c>
    </row>
    <row r="412" spans="1:15" ht="21" x14ac:dyDescent="0.3">
      <c r="A412" s="19"/>
      <c r="B412" s="20"/>
      <c r="C412" s="20"/>
      <c r="D412" s="20"/>
      <c r="E412" s="20"/>
      <c r="F412" s="21" t="s">
        <v>2483</v>
      </c>
      <c r="G412" s="22" t="s">
        <v>2484</v>
      </c>
      <c r="H412" s="18" t="s">
        <v>2485</v>
      </c>
      <c r="I412" s="23" t="s">
        <v>2486</v>
      </c>
      <c r="J412" s="24" t="s">
        <v>28</v>
      </c>
      <c r="K412" s="25" t="s">
        <v>61</v>
      </c>
      <c r="L412" s="25" t="s">
        <v>2487</v>
      </c>
      <c r="M412" s="25" t="s">
        <v>23</v>
      </c>
      <c r="N412" s="25" t="s">
        <v>2488</v>
      </c>
      <c r="O412" s="25" t="s">
        <v>2489</v>
      </c>
    </row>
    <row r="413" spans="1:15" ht="21" x14ac:dyDescent="0.3">
      <c r="A413" s="19"/>
      <c r="B413" s="20"/>
      <c r="C413" s="20"/>
      <c r="D413" s="20"/>
      <c r="E413" s="20"/>
      <c r="F413" s="21"/>
      <c r="G413" s="22"/>
      <c r="H413" s="18" t="s">
        <v>2490</v>
      </c>
      <c r="I413" s="23" t="s">
        <v>2491</v>
      </c>
      <c r="J413" s="24" t="s">
        <v>20</v>
      </c>
      <c r="K413" s="25" t="s">
        <v>2492</v>
      </c>
      <c r="L413" s="25" t="s">
        <v>2493</v>
      </c>
      <c r="M413" s="25" t="s">
        <v>23</v>
      </c>
      <c r="N413" s="25" t="s">
        <v>2494</v>
      </c>
      <c r="O413" s="25" t="s">
        <v>2495</v>
      </c>
    </row>
    <row r="414" spans="1:15" ht="21" x14ac:dyDescent="0.3">
      <c r="A414" s="19"/>
      <c r="B414" s="20"/>
      <c r="C414" s="20"/>
      <c r="D414" s="20"/>
      <c r="E414" s="20"/>
      <c r="F414" s="21"/>
      <c r="G414" s="22"/>
      <c r="H414" s="18" t="s">
        <v>2496</v>
      </c>
      <c r="I414" s="23" t="s">
        <v>2497</v>
      </c>
      <c r="J414" s="24" t="s">
        <v>20</v>
      </c>
      <c r="K414" s="25" t="s">
        <v>2498</v>
      </c>
      <c r="L414" s="25" t="s">
        <v>2499</v>
      </c>
      <c r="M414" s="25" t="s">
        <v>23</v>
      </c>
      <c r="N414" s="25" t="s">
        <v>2500</v>
      </c>
      <c r="O414" s="25" t="s">
        <v>2501</v>
      </c>
    </row>
    <row r="415" spans="1:15" ht="21" x14ac:dyDescent="0.3">
      <c r="A415" s="19"/>
      <c r="B415" s="20"/>
      <c r="C415" s="20"/>
      <c r="D415" s="20"/>
      <c r="E415" s="20"/>
      <c r="F415" s="21"/>
      <c r="G415" s="22"/>
      <c r="H415" s="18" t="s">
        <v>2502</v>
      </c>
      <c r="I415" s="23" t="s">
        <v>2503</v>
      </c>
      <c r="J415" s="24" t="s">
        <v>20</v>
      </c>
      <c r="K415" s="25" t="s">
        <v>2504</v>
      </c>
      <c r="L415" s="25" t="s">
        <v>2505</v>
      </c>
      <c r="M415" s="25" t="s">
        <v>23</v>
      </c>
      <c r="N415" s="25" t="s">
        <v>2506</v>
      </c>
      <c r="O415" s="25" t="s">
        <v>2507</v>
      </c>
    </row>
    <row r="416" spans="1:15" ht="21" x14ac:dyDescent="0.3">
      <c r="A416" s="19"/>
      <c r="B416" s="20"/>
      <c r="C416" s="20"/>
      <c r="D416" s="20"/>
      <c r="E416" s="20"/>
      <c r="F416" s="21"/>
      <c r="G416" s="22"/>
      <c r="H416" s="18" t="s">
        <v>2508</v>
      </c>
      <c r="I416" s="23" t="s">
        <v>2509</v>
      </c>
      <c r="J416" s="24" t="s">
        <v>20</v>
      </c>
      <c r="K416" s="25" t="s">
        <v>2510</v>
      </c>
      <c r="L416" s="25" t="s">
        <v>2511</v>
      </c>
      <c r="M416" s="25" t="s">
        <v>23</v>
      </c>
      <c r="N416" s="25" t="s">
        <v>2512</v>
      </c>
      <c r="O416" s="25" t="s">
        <v>2513</v>
      </c>
    </row>
    <row r="417" spans="1:15" ht="21" x14ac:dyDescent="0.3">
      <c r="A417" s="19"/>
      <c r="B417" s="20"/>
      <c r="C417" s="20"/>
      <c r="D417" s="20"/>
      <c r="E417" s="20"/>
      <c r="F417" s="21"/>
      <c r="G417" s="22" t="s">
        <v>2514</v>
      </c>
      <c r="H417" s="18" t="s">
        <v>2515</v>
      </c>
      <c r="I417" s="23" t="s">
        <v>2516</v>
      </c>
      <c r="J417" s="24" t="s">
        <v>28</v>
      </c>
      <c r="K417" s="25" t="s">
        <v>2517</v>
      </c>
      <c r="L417" s="25" t="s">
        <v>2518</v>
      </c>
      <c r="M417" s="25" t="s">
        <v>23</v>
      </c>
      <c r="N417" s="25" t="s">
        <v>2519</v>
      </c>
      <c r="O417" s="25" t="s">
        <v>2520</v>
      </c>
    </row>
    <row r="418" spans="1:15" ht="21" x14ac:dyDescent="0.3">
      <c r="A418" s="19"/>
      <c r="B418" s="20"/>
      <c r="C418" s="20"/>
      <c r="D418" s="20"/>
      <c r="E418" s="20"/>
      <c r="F418" s="21"/>
      <c r="G418" s="22"/>
      <c r="H418" s="18" t="s">
        <v>2521</v>
      </c>
      <c r="I418" s="23" t="s">
        <v>2522</v>
      </c>
      <c r="J418" s="24" t="s">
        <v>20</v>
      </c>
      <c r="K418" s="25" t="s">
        <v>2523</v>
      </c>
      <c r="L418" s="25" t="s">
        <v>2524</v>
      </c>
      <c r="M418" s="25" t="s">
        <v>23</v>
      </c>
      <c r="N418" s="25" t="s">
        <v>2525</v>
      </c>
      <c r="O418" s="25" t="s">
        <v>2526</v>
      </c>
    </row>
    <row r="419" spans="1:15" ht="21" x14ac:dyDescent="0.3">
      <c r="A419" s="19"/>
      <c r="B419" s="20"/>
      <c r="C419" s="20"/>
      <c r="D419" s="20"/>
      <c r="E419" s="20"/>
      <c r="F419" s="21"/>
      <c r="G419" s="22"/>
      <c r="H419" s="18" t="s">
        <v>2527</v>
      </c>
      <c r="I419" s="23" t="s">
        <v>2528</v>
      </c>
      <c r="J419" s="24" t="s">
        <v>20</v>
      </c>
      <c r="K419" s="25" t="s">
        <v>2529</v>
      </c>
      <c r="L419" s="25" t="s">
        <v>2530</v>
      </c>
      <c r="M419" s="25" t="s">
        <v>23</v>
      </c>
      <c r="N419" s="25" t="s">
        <v>2531</v>
      </c>
      <c r="O419" s="25" t="s">
        <v>2532</v>
      </c>
    </row>
    <row r="420" spans="1:15" ht="21" x14ac:dyDescent="0.3">
      <c r="A420" s="19"/>
      <c r="B420" s="20"/>
      <c r="C420" s="20"/>
      <c r="D420" s="20"/>
      <c r="E420" s="20"/>
      <c r="F420" s="21"/>
      <c r="G420" s="22"/>
      <c r="H420" s="18" t="s">
        <v>2533</v>
      </c>
      <c r="I420" s="23" t="s">
        <v>2534</v>
      </c>
      <c r="J420" s="24" t="s">
        <v>20</v>
      </c>
      <c r="K420" s="25" t="s">
        <v>2535</v>
      </c>
      <c r="L420" s="25" t="s">
        <v>2536</v>
      </c>
      <c r="M420" s="25" t="s">
        <v>23</v>
      </c>
      <c r="N420" s="25" t="s">
        <v>2537</v>
      </c>
      <c r="O420" s="25" t="s">
        <v>2538</v>
      </c>
    </row>
    <row r="421" spans="1:15" ht="21" x14ac:dyDescent="0.3">
      <c r="A421" s="19"/>
      <c r="B421" s="20"/>
      <c r="C421" s="20"/>
      <c r="D421" s="20"/>
      <c r="E421" s="20"/>
      <c r="F421" s="21"/>
      <c r="G421" s="22"/>
      <c r="H421" s="18" t="s">
        <v>2539</v>
      </c>
      <c r="I421" s="23" t="s">
        <v>2540</v>
      </c>
      <c r="J421" s="24" t="s">
        <v>20</v>
      </c>
      <c r="K421" s="25" t="s">
        <v>2541</v>
      </c>
      <c r="L421" s="25" t="s">
        <v>2542</v>
      </c>
      <c r="M421" s="25" t="s">
        <v>23</v>
      </c>
      <c r="N421" s="25" t="s">
        <v>2543</v>
      </c>
      <c r="O421" s="25" t="s">
        <v>2544</v>
      </c>
    </row>
    <row r="422" spans="1:15" ht="21" x14ac:dyDescent="0.3">
      <c r="A422" s="19"/>
      <c r="B422" s="20"/>
      <c r="C422" s="20"/>
      <c r="D422" s="20"/>
      <c r="E422" s="20"/>
      <c r="F422" s="21"/>
      <c r="G422" s="22" t="s">
        <v>2545</v>
      </c>
      <c r="H422" s="18" t="s">
        <v>2546</v>
      </c>
      <c r="I422" s="23" t="s">
        <v>2547</v>
      </c>
      <c r="J422" s="24" t="s">
        <v>28</v>
      </c>
      <c r="K422" s="25" t="s">
        <v>2548</v>
      </c>
      <c r="L422" s="25" t="s">
        <v>2549</v>
      </c>
      <c r="M422" s="25" t="s">
        <v>23</v>
      </c>
      <c r="N422" s="25" t="s">
        <v>2550</v>
      </c>
      <c r="O422" s="25" t="s">
        <v>2551</v>
      </c>
    </row>
    <row r="423" spans="1:15" ht="21" x14ac:dyDescent="0.3">
      <c r="A423" s="19"/>
      <c r="B423" s="20"/>
      <c r="C423" s="20"/>
      <c r="D423" s="20"/>
      <c r="E423" s="20"/>
      <c r="F423" s="21"/>
      <c r="G423" s="22"/>
      <c r="H423" s="18" t="s">
        <v>2552</v>
      </c>
      <c r="I423" s="23" t="s">
        <v>2553</v>
      </c>
      <c r="J423" s="24" t="s">
        <v>20</v>
      </c>
      <c r="K423" s="25" t="s">
        <v>2554</v>
      </c>
      <c r="L423" s="25" t="s">
        <v>2555</v>
      </c>
      <c r="M423" s="25" t="s">
        <v>23</v>
      </c>
      <c r="N423" s="25" t="s">
        <v>2556</v>
      </c>
      <c r="O423" s="25" t="s">
        <v>2557</v>
      </c>
    </row>
    <row r="424" spans="1:15" ht="21" x14ac:dyDescent="0.3">
      <c r="A424" s="19"/>
      <c r="B424" s="20"/>
      <c r="C424" s="20"/>
      <c r="D424" s="20"/>
      <c r="E424" s="20"/>
      <c r="F424" s="21"/>
      <c r="G424" s="22"/>
      <c r="H424" s="18" t="s">
        <v>2558</v>
      </c>
      <c r="I424" s="23" t="s">
        <v>2559</v>
      </c>
      <c r="J424" s="24" t="s">
        <v>20</v>
      </c>
      <c r="K424" s="25" t="s">
        <v>2560</v>
      </c>
      <c r="L424" s="25" t="s">
        <v>2561</v>
      </c>
      <c r="M424" s="25" t="s">
        <v>23</v>
      </c>
      <c r="N424" s="25" t="s">
        <v>2562</v>
      </c>
      <c r="O424" s="25" t="s">
        <v>2563</v>
      </c>
    </row>
    <row r="425" spans="1:15" ht="21" x14ac:dyDescent="0.3">
      <c r="A425" s="19"/>
      <c r="B425" s="20"/>
      <c r="C425" s="20"/>
      <c r="D425" s="20"/>
      <c r="E425" s="20"/>
      <c r="F425" s="21"/>
      <c r="G425" s="22"/>
      <c r="H425" s="18" t="s">
        <v>2564</v>
      </c>
      <c r="I425" s="23" t="s">
        <v>2565</v>
      </c>
      <c r="J425" s="24" t="s">
        <v>20</v>
      </c>
      <c r="K425" s="25" t="s">
        <v>2566</v>
      </c>
      <c r="L425" s="25" t="s">
        <v>2567</v>
      </c>
      <c r="M425" s="25" t="s">
        <v>31</v>
      </c>
      <c r="N425" s="25" t="s">
        <v>2568</v>
      </c>
      <c r="O425" s="25" t="s">
        <v>2569</v>
      </c>
    </row>
    <row r="426" spans="1:15" ht="21" x14ac:dyDescent="0.3">
      <c r="A426" s="19"/>
      <c r="B426" s="20"/>
      <c r="C426" s="20"/>
      <c r="D426" s="20"/>
      <c r="E426" s="20"/>
      <c r="F426" s="21"/>
      <c r="G426" s="22"/>
      <c r="H426" s="18" t="s">
        <v>2570</v>
      </c>
      <c r="I426" s="23" t="s">
        <v>2571</v>
      </c>
      <c r="J426" s="24" t="s">
        <v>20</v>
      </c>
      <c r="K426" s="25" t="s">
        <v>2054</v>
      </c>
      <c r="L426" s="25" t="s">
        <v>2572</v>
      </c>
      <c r="M426" s="25" t="s">
        <v>23</v>
      </c>
      <c r="N426" s="25" t="s">
        <v>2573</v>
      </c>
      <c r="O426" s="25" t="s">
        <v>2574</v>
      </c>
    </row>
    <row r="427" spans="1:15" ht="21" x14ac:dyDescent="0.3">
      <c r="A427" s="19"/>
      <c r="B427" s="20"/>
      <c r="C427" s="20"/>
      <c r="D427" s="20"/>
      <c r="E427" s="20"/>
      <c r="F427" s="21"/>
      <c r="G427" s="22" t="s">
        <v>2575</v>
      </c>
      <c r="H427" s="18" t="s">
        <v>2576</v>
      </c>
      <c r="I427" s="23" t="s">
        <v>2577</v>
      </c>
      <c r="J427" s="24" t="s">
        <v>28</v>
      </c>
      <c r="K427" s="25" t="s">
        <v>2578</v>
      </c>
      <c r="L427" s="25" t="s">
        <v>2579</v>
      </c>
      <c r="M427" s="25" t="s">
        <v>23</v>
      </c>
      <c r="N427" s="25" t="s">
        <v>2580</v>
      </c>
      <c r="O427" s="25" t="s">
        <v>2581</v>
      </c>
    </row>
    <row r="428" spans="1:15" ht="21" x14ac:dyDescent="0.3">
      <c r="A428" s="19"/>
      <c r="B428" s="20"/>
      <c r="C428" s="20"/>
      <c r="D428" s="20"/>
      <c r="E428" s="20"/>
      <c r="F428" s="21"/>
      <c r="G428" s="22"/>
      <c r="H428" s="18" t="s">
        <v>2582</v>
      </c>
      <c r="I428" s="23" t="s">
        <v>2583</v>
      </c>
      <c r="J428" s="24" t="s">
        <v>20</v>
      </c>
      <c r="K428" s="25" t="s">
        <v>1950</v>
      </c>
      <c r="L428" s="25" t="s">
        <v>2584</v>
      </c>
      <c r="M428" s="25" t="s">
        <v>31</v>
      </c>
      <c r="N428" s="25" t="s">
        <v>2585</v>
      </c>
      <c r="O428" s="25" t="s">
        <v>2586</v>
      </c>
    </row>
    <row r="429" spans="1:15" ht="21" x14ac:dyDescent="0.3">
      <c r="A429" s="19"/>
      <c r="B429" s="20"/>
      <c r="C429" s="20"/>
      <c r="D429" s="20"/>
      <c r="E429" s="20"/>
      <c r="F429" s="21"/>
      <c r="G429" s="22"/>
      <c r="H429" s="18" t="s">
        <v>2587</v>
      </c>
      <c r="I429" s="23" t="s">
        <v>2588</v>
      </c>
      <c r="J429" s="24" t="s">
        <v>20</v>
      </c>
      <c r="K429" s="25" t="s">
        <v>2589</v>
      </c>
      <c r="L429" s="25" t="s">
        <v>2590</v>
      </c>
      <c r="M429" s="25" t="s">
        <v>23</v>
      </c>
      <c r="N429" s="25" t="s">
        <v>2591</v>
      </c>
      <c r="O429" s="25" t="s">
        <v>2592</v>
      </c>
    </row>
    <row r="430" spans="1:15" ht="21" x14ac:dyDescent="0.3">
      <c r="A430" s="19"/>
      <c r="B430" s="20"/>
      <c r="C430" s="20"/>
      <c r="D430" s="20"/>
      <c r="E430" s="20"/>
      <c r="F430" s="21"/>
      <c r="G430" s="22"/>
      <c r="H430" s="18" t="s">
        <v>2593</v>
      </c>
      <c r="I430" s="23" t="s">
        <v>2594</v>
      </c>
      <c r="J430" s="24" t="s">
        <v>20</v>
      </c>
      <c r="K430" s="25" t="s">
        <v>2595</v>
      </c>
      <c r="L430" s="25" t="s">
        <v>2596</v>
      </c>
      <c r="M430" s="25" t="s">
        <v>23</v>
      </c>
      <c r="N430" s="25" t="s">
        <v>2597</v>
      </c>
      <c r="O430" s="25" t="s">
        <v>2598</v>
      </c>
    </row>
    <row r="431" spans="1:15" ht="21" x14ac:dyDescent="0.3">
      <c r="A431" s="19"/>
      <c r="B431" s="20"/>
      <c r="C431" s="20"/>
      <c r="D431" s="20"/>
      <c r="E431" s="20"/>
      <c r="F431" s="21"/>
      <c r="G431" s="22"/>
      <c r="H431" s="18" t="s">
        <v>2599</v>
      </c>
      <c r="I431" s="23" t="s">
        <v>2600</v>
      </c>
      <c r="J431" s="24" t="s">
        <v>20</v>
      </c>
      <c r="K431" s="25" t="s">
        <v>1962</v>
      </c>
      <c r="L431" s="25" t="s">
        <v>2601</v>
      </c>
      <c r="M431" s="25" t="s">
        <v>23</v>
      </c>
      <c r="N431" s="25" t="s">
        <v>2602</v>
      </c>
      <c r="O431" s="25" t="s">
        <v>2603</v>
      </c>
    </row>
    <row r="432" spans="1:15" ht="21" x14ac:dyDescent="0.3">
      <c r="A432" s="19"/>
      <c r="B432" s="20"/>
      <c r="C432" s="20"/>
      <c r="D432" s="20"/>
      <c r="E432" s="20"/>
      <c r="F432" s="21"/>
      <c r="G432" s="22" t="s">
        <v>2604</v>
      </c>
      <c r="H432" s="18" t="s">
        <v>2605</v>
      </c>
      <c r="I432" s="23" t="s">
        <v>2606</v>
      </c>
      <c r="J432" s="24" t="s">
        <v>28</v>
      </c>
      <c r="K432" s="25" t="s">
        <v>2607</v>
      </c>
      <c r="L432" s="25" t="s">
        <v>2608</v>
      </c>
      <c r="M432" s="25" t="s">
        <v>23</v>
      </c>
      <c r="N432" s="25" t="s">
        <v>2609</v>
      </c>
      <c r="O432" s="25" t="s">
        <v>2610</v>
      </c>
    </row>
    <row r="433" spans="1:15" ht="21" x14ac:dyDescent="0.3">
      <c r="A433" s="19"/>
      <c r="B433" s="20"/>
      <c r="C433" s="20"/>
      <c r="D433" s="20"/>
      <c r="E433" s="20"/>
      <c r="F433" s="21"/>
      <c r="G433" s="22"/>
      <c r="H433" s="18" t="s">
        <v>2611</v>
      </c>
      <c r="I433" s="23" t="s">
        <v>2612</v>
      </c>
      <c r="J433" s="24" t="s">
        <v>20</v>
      </c>
      <c r="K433" s="25" t="s">
        <v>2613</v>
      </c>
      <c r="L433" s="25" t="s">
        <v>2614</v>
      </c>
      <c r="M433" s="25" t="s">
        <v>23</v>
      </c>
      <c r="N433" s="25" t="s">
        <v>2615</v>
      </c>
      <c r="O433" s="25" t="s">
        <v>2616</v>
      </c>
    </row>
    <row r="434" spans="1:15" ht="21" x14ac:dyDescent="0.3">
      <c r="A434" s="19"/>
      <c r="B434" s="20"/>
      <c r="C434" s="20"/>
      <c r="D434" s="20"/>
      <c r="E434" s="20"/>
      <c r="F434" s="21"/>
      <c r="G434" s="22"/>
      <c r="H434" s="18" t="s">
        <v>2617</v>
      </c>
      <c r="I434" s="23" t="s">
        <v>2618</v>
      </c>
      <c r="J434" s="24" t="s">
        <v>20</v>
      </c>
      <c r="K434" s="25" t="s">
        <v>217</v>
      </c>
      <c r="L434" s="25" t="s">
        <v>2619</v>
      </c>
      <c r="M434" s="25" t="s">
        <v>23</v>
      </c>
      <c r="N434" s="25" t="s">
        <v>2620</v>
      </c>
      <c r="O434" s="25" t="s">
        <v>2621</v>
      </c>
    </row>
    <row r="435" spans="1:15" ht="21" x14ac:dyDescent="0.3">
      <c r="A435" s="19"/>
      <c r="B435" s="20"/>
      <c r="C435" s="20"/>
      <c r="D435" s="20"/>
      <c r="E435" s="20"/>
      <c r="F435" s="21"/>
      <c r="G435" s="22"/>
      <c r="H435" s="18" t="s">
        <v>2622</v>
      </c>
      <c r="I435" s="23" t="s">
        <v>2623</v>
      </c>
      <c r="J435" s="24" t="s">
        <v>20</v>
      </c>
      <c r="K435" s="25" t="s">
        <v>2624</v>
      </c>
      <c r="L435" s="25" t="s">
        <v>2625</v>
      </c>
      <c r="M435" s="25" t="s">
        <v>23</v>
      </c>
      <c r="N435" s="25" t="s">
        <v>2626</v>
      </c>
      <c r="O435" s="25" t="s">
        <v>2627</v>
      </c>
    </row>
    <row r="436" spans="1:15" ht="21" x14ac:dyDescent="0.3">
      <c r="A436" s="19"/>
      <c r="B436" s="20"/>
      <c r="C436" s="20"/>
      <c r="D436" s="20"/>
      <c r="E436" s="20"/>
      <c r="F436" s="21"/>
      <c r="G436" s="22"/>
      <c r="H436" s="18" t="s">
        <v>2628</v>
      </c>
      <c r="I436" s="23" t="s">
        <v>2629</v>
      </c>
      <c r="J436" s="24" t="s">
        <v>20</v>
      </c>
      <c r="K436" s="25" t="s">
        <v>2630</v>
      </c>
      <c r="L436" s="25" t="s">
        <v>2631</v>
      </c>
      <c r="M436" s="25" t="s">
        <v>23</v>
      </c>
      <c r="N436" s="25" t="s">
        <v>2632</v>
      </c>
      <c r="O436" s="25" t="s">
        <v>2633</v>
      </c>
    </row>
    <row r="437" spans="1:15" ht="21" x14ac:dyDescent="0.3">
      <c r="A437" s="19"/>
      <c r="B437" s="20"/>
      <c r="C437" s="20"/>
      <c r="D437" s="20"/>
      <c r="E437" s="20"/>
      <c r="F437" s="21"/>
      <c r="G437" s="22" t="s">
        <v>2634</v>
      </c>
      <c r="H437" s="18" t="s">
        <v>2635</v>
      </c>
      <c r="I437" s="23" t="s">
        <v>2636</v>
      </c>
      <c r="J437" s="24" t="s">
        <v>28</v>
      </c>
      <c r="K437" s="25" t="s">
        <v>2637</v>
      </c>
      <c r="L437" s="25" t="s">
        <v>2638</v>
      </c>
      <c r="M437" s="25" t="s">
        <v>23</v>
      </c>
      <c r="N437" s="25" t="s">
        <v>2639</v>
      </c>
      <c r="O437" s="25" t="s">
        <v>2640</v>
      </c>
    </row>
    <row r="438" spans="1:15" ht="21" x14ac:dyDescent="0.3">
      <c r="A438" s="19"/>
      <c r="B438" s="20"/>
      <c r="C438" s="20"/>
      <c r="D438" s="20"/>
      <c r="E438" s="20"/>
      <c r="F438" s="21"/>
      <c r="G438" s="22"/>
      <c r="H438" s="18" t="s">
        <v>2641</v>
      </c>
      <c r="I438" s="23" t="s">
        <v>2642</v>
      </c>
      <c r="J438" s="24" t="s">
        <v>20</v>
      </c>
      <c r="K438" s="25" t="s">
        <v>2643</v>
      </c>
      <c r="L438" s="25" t="s">
        <v>2644</v>
      </c>
      <c r="M438" s="25" t="s">
        <v>23</v>
      </c>
      <c r="N438" s="25" t="s">
        <v>2645</v>
      </c>
      <c r="O438" s="25" t="s">
        <v>2646</v>
      </c>
    </row>
    <row r="439" spans="1:15" ht="21" x14ac:dyDescent="0.3">
      <c r="A439" s="19"/>
      <c r="B439" s="20"/>
      <c r="C439" s="20"/>
      <c r="D439" s="20"/>
      <c r="E439" s="20"/>
      <c r="F439" s="21"/>
      <c r="G439" s="22"/>
      <c r="H439" s="18" t="s">
        <v>2647</v>
      </c>
      <c r="I439" s="23" t="s">
        <v>2648</v>
      </c>
      <c r="J439" s="24" t="s">
        <v>20</v>
      </c>
      <c r="K439" s="25" t="s">
        <v>2649</v>
      </c>
      <c r="L439" s="25" t="s">
        <v>2650</v>
      </c>
      <c r="M439" s="25" t="s">
        <v>23</v>
      </c>
      <c r="N439" s="25" t="s">
        <v>2651</v>
      </c>
      <c r="O439" s="25" t="s">
        <v>2652</v>
      </c>
    </row>
    <row r="440" spans="1:15" ht="21" x14ac:dyDescent="0.3">
      <c r="A440" s="19"/>
      <c r="B440" s="20"/>
      <c r="C440" s="20"/>
      <c r="D440" s="20"/>
      <c r="E440" s="20"/>
      <c r="F440" s="21"/>
      <c r="G440" s="22"/>
      <c r="H440" s="18" t="s">
        <v>2653</v>
      </c>
      <c r="I440" s="23" t="s">
        <v>2654</v>
      </c>
      <c r="J440" s="24" t="s">
        <v>20</v>
      </c>
      <c r="K440" s="25" t="s">
        <v>2655</v>
      </c>
      <c r="L440" s="25" t="s">
        <v>2656</v>
      </c>
      <c r="M440" s="25" t="s">
        <v>23</v>
      </c>
      <c r="N440" s="25" t="s">
        <v>2657</v>
      </c>
      <c r="O440" s="25" t="s">
        <v>2658</v>
      </c>
    </row>
    <row r="441" spans="1:15" ht="21" x14ac:dyDescent="0.3">
      <c r="A441" s="19"/>
      <c r="B441" s="20"/>
      <c r="C441" s="20"/>
      <c r="D441" s="20"/>
      <c r="E441" s="20"/>
      <c r="F441" s="21"/>
      <c r="G441" s="22"/>
      <c r="H441" s="18" t="s">
        <v>2659</v>
      </c>
      <c r="I441" s="23" t="s">
        <v>2660</v>
      </c>
      <c r="J441" s="24" t="s">
        <v>20</v>
      </c>
      <c r="K441" s="25" t="s">
        <v>2661</v>
      </c>
      <c r="L441" s="25" t="s">
        <v>2662</v>
      </c>
      <c r="M441" s="25" t="s">
        <v>23</v>
      </c>
      <c r="N441" s="25" t="s">
        <v>2663</v>
      </c>
      <c r="O441" s="25" t="s">
        <v>2664</v>
      </c>
    </row>
    <row r="442" spans="1:15" ht="21" x14ac:dyDescent="0.3">
      <c r="A442" s="19"/>
      <c r="B442" s="20"/>
      <c r="C442" s="20"/>
      <c r="D442" s="20"/>
      <c r="E442" s="20"/>
      <c r="F442" s="21"/>
      <c r="G442" s="22" t="s">
        <v>2665</v>
      </c>
      <c r="H442" s="18" t="s">
        <v>2666</v>
      </c>
      <c r="I442" s="23" t="s">
        <v>2667</v>
      </c>
      <c r="J442" s="24" t="s">
        <v>28</v>
      </c>
      <c r="K442" s="25" t="s">
        <v>2668</v>
      </c>
      <c r="L442" s="25" t="s">
        <v>2669</v>
      </c>
      <c r="M442" s="25" t="s">
        <v>23</v>
      </c>
      <c r="N442" s="25" t="s">
        <v>2670</v>
      </c>
      <c r="O442" s="25" t="s">
        <v>2671</v>
      </c>
    </row>
    <row r="443" spans="1:15" ht="21" x14ac:dyDescent="0.3">
      <c r="A443" s="19"/>
      <c r="B443" s="20"/>
      <c r="C443" s="20"/>
      <c r="D443" s="20"/>
      <c r="E443" s="20"/>
      <c r="F443" s="21"/>
      <c r="G443" s="22"/>
      <c r="H443" s="18" t="s">
        <v>2672</v>
      </c>
      <c r="I443" s="23" t="s">
        <v>2673</v>
      </c>
      <c r="J443" s="24" t="s">
        <v>20</v>
      </c>
      <c r="K443" s="25" t="s">
        <v>2674</v>
      </c>
      <c r="L443" s="25" t="s">
        <v>2675</v>
      </c>
      <c r="M443" s="25" t="s">
        <v>23</v>
      </c>
      <c r="N443" s="25" t="s">
        <v>2676</v>
      </c>
      <c r="O443" s="25" t="s">
        <v>2677</v>
      </c>
    </row>
    <row r="444" spans="1:15" ht="21" x14ac:dyDescent="0.3">
      <c r="A444" s="19"/>
      <c r="B444" s="20"/>
      <c r="C444" s="20"/>
      <c r="D444" s="20"/>
      <c r="E444" s="20"/>
      <c r="F444" s="21"/>
      <c r="G444" s="22"/>
      <c r="H444" s="18" t="s">
        <v>2678</v>
      </c>
      <c r="I444" s="23" t="s">
        <v>2679</v>
      </c>
      <c r="J444" s="24" t="s">
        <v>20</v>
      </c>
      <c r="K444" s="25" t="s">
        <v>2680</v>
      </c>
      <c r="L444" s="25" t="s">
        <v>2681</v>
      </c>
      <c r="M444" s="25" t="s">
        <v>23</v>
      </c>
      <c r="N444" s="25" t="s">
        <v>2682</v>
      </c>
      <c r="O444" s="25" t="s">
        <v>2683</v>
      </c>
    </row>
    <row r="445" spans="1:15" ht="21" x14ac:dyDescent="0.3">
      <c r="A445" s="19"/>
      <c r="B445" s="20"/>
      <c r="C445" s="20"/>
      <c r="D445" s="20"/>
      <c r="E445" s="20"/>
      <c r="F445" s="21"/>
      <c r="G445" s="22"/>
      <c r="H445" s="18" t="s">
        <v>2684</v>
      </c>
      <c r="I445" s="23" t="s">
        <v>2685</v>
      </c>
      <c r="J445" s="24" t="s">
        <v>20</v>
      </c>
      <c r="K445" s="25" t="s">
        <v>2686</v>
      </c>
      <c r="L445" s="25" t="s">
        <v>2687</v>
      </c>
      <c r="M445" s="25" t="s">
        <v>23</v>
      </c>
      <c r="N445" s="25" t="s">
        <v>2688</v>
      </c>
      <c r="O445" s="25" t="s">
        <v>2689</v>
      </c>
    </row>
    <row r="446" spans="1:15" ht="21" x14ac:dyDescent="0.3">
      <c r="A446" s="19"/>
      <c r="B446" s="20"/>
      <c r="C446" s="20"/>
      <c r="D446" s="20"/>
      <c r="E446" s="20"/>
      <c r="F446" s="21"/>
      <c r="G446" s="22"/>
      <c r="H446" s="18" t="s">
        <v>2690</v>
      </c>
      <c r="I446" s="23" t="s">
        <v>2691</v>
      </c>
      <c r="J446" s="24" t="s">
        <v>20</v>
      </c>
      <c r="K446" s="25" t="s">
        <v>2692</v>
      </c>
      <c r="L446" s="25" t="s">
        <v>2693</v>
      </c>
      <c r="M446" s="25" t="s">
        <v>23</v>
      </c>
      <c r="N446" s="25" t="s">
        <v>2694</v>
      </c>
      <c r="O446" s="25" t="s">
        <v>2695</v>
      </c>
    </row>
    <row r="447" spans="1:15" ht="21" x14ac:dyDescent="0.3">
      <c r="A447" s="19"/>
      <c r="B447" s="20"/>
      <c r="C447" s="20"/>
      <c r="D447" s="20"/>
      <c r="E447" s="20"/>
      <c r="F447" s="21"/>
      <c r="G447" s="22" t="s">
        <v>2696</v>
      </c>
      <c r="H447" s="18" t="s">
        <v>2697</v>
      </c>
      <c r="I447" s="23" t="s">
        <v>2698</v>
      </c>
      <c r="J447" s="24" t="s">
        <v>28</v>
      </c>
      <c r="K447" s="25" t="s">
        <v>2699</v>
      </c>
      <c r="L447" s="25" t="s">
        <v>2700</v>
      </c>
      <c r="M447" s="25" t="s">
        <v>23</v>
      </c>
      <c r="N447" s="25" t="s">
        <v>2701</v>
      </c>
      <c r="O447" s="25" t="s">
        <v>2702</v>
      </c>
    </row>
    <row r="448" spans="1:15" ht="21" x14ac:dyDescent="0.3">
      <c r="A448" s="19"/>
      <c r="B448" s="20"/>
      <c r="C448" s="20"/>
      <c r="D448" s="20"/>
      <c r="E448" s="20"/>
      <c r="F448" s="21"/>
      <c r="G448" s="22"/>
      <c r="H448" s="18" t="s">
        <v>2703</v>
      </c>
      <c r="I448" s="23" t="s">
        <v>2704</v>
      </c>
      <c r="J448" s="24" t="s">
        <v>20</v>
      </c>
      <c r="K448" s="25" t="s">
        <v>117</v>
      </c>
      <c r="L448" s="25" t="s">
        <v>2705</v>
      </c>
      <c r="M448" s="25" t="s">
        <v>23</v>
      </c>
      <c r="N448" s="25" t="s">
        <v>2706</v>
      </c>
      <c r="O448" s="25" t="s">
        <v>2707</v>
      </c>
    </row>
    <row r="449" spans="1:15" ht="21" x14ac:dyDescent="0.3">
      <c r="A449" s="19"/>
      <c r="B449" s="20"/>
      <c r="C449" s="20"/>
      <c r="D449" s="20"/>
      <c r="E449" s="20"/>
      <c r="F449" s="21"/>
      <c r="G449" s="22"/>
      <c r="H449" s="18" t="s">
        <v>2708</v>
      </c>
      <c r="I449" s="23" t="s">
        <v>2709</v>
      </c>
      <c r="J449" s="24" t="s">
        <v>20</v>
      </c>
      <c r="K449" s="25" t="s">
        <v>2710</v>
      </c>
      <c r="L449" s="25" t="s">
        <v>2711</v>
      </c>
      <c r="M449" s="25" t="s">
        <v>23</v>
      </c>
      <c r="N449" s="25" t="s">
        <v>2712</v>
      </c>
      <c r="O449" s="25" t="s">
        <v>2713</v>
      </c>
    </row>
    <row r="450" spans="1:15" ht="21" x14ac:dyDescent="0.3">
      <c r="A450" s="19"/>
      <c r="B450" s="20"/>
      <c r="C450" s="20"/>
      <c r="D450" s="20"/>
      <c r="E450" s="20"/>
      <c r="F450" s="21"/>
      <c r="G450" s="22"/>
      <c r="H450" s="18" t="s">
        <v>2714</v>
      </c>
      <c r="I450" s="23" t="s">
        <v>2715</v>
      </c>
      <c r="J450" s="24" t="s">
        <v>20</v>
      </c>
      <c r="K450" s="25" t="s">
        <v>2716</v>
      </c>
      <c r="L450" s="25" t="s">
        <v>2717</v>
      </c>
      <c r="M450" s="25" t="s">
        <v>23</v>
      </c>
      <c r="N450" s="25" t="s">
        <v>2718</v>
      </c>
      <c r="O450" s="25" t="s">
        <v>2719</v>
      </c>
    </row>
    <row r="451" spans="1:15" ht="21" x14ac:dyDescent="0.3">
      <c r="A451" s="19"/>
      <c r="B451" s="20"/>
      <c r="C451" s="20"/>
      <c r="D451" s="20"/>
      <c r="E451" s="20"/>
      <c r="F451" s="21"/>
      <c r="G451" s="22"/>
      <c r="H451" s="18" t="s">
        <v>2720</v>
      </c>
      <c r="I451" s="23" t="s">
        <v>2721</v>
      </c>
      <c r="J451" s="24" t="s">
        <v>20</v>
      </c>
      <c r="K451" s="25" t="s">
        <v>2722</v>
      </c>
      <c r="L451" s="25" t="s">
        <v>2723</v>
      </c>
      <c r="M451" s="25" t="s">
        <v>23</v>
      </c>
      <c r="N451" s="25" t="s">
        <v>2724</v>
      </c>
      <c r="O451" s="25" t="s">
        <v>2725</v>
      </c>
    </row>
    <row r="452" spans="1:15" ht="21" x14ac:dyDescent="0.3">
      <c r="A452" s="19"/>
      <c r="B452" s="20"/>
      <c r="C452" s="20"/>
      <c r="D452" s="20"/>
      <c r="E452" s="20"/>
      <c r="F452" s="21"/>
      <c r="G452" s="22" t="s">
        <v>2726</v>
      </c>
      <c r="H452" s="18" t="s">
        <v>1260</v>
      </c>
      <c r="I452" s="23" t="s">
        <v>2727</v>
      </c>
      <c r="J452" s="24" t="s">
        <v>28</v>
      </c>
      <c r="K452" s="25" t="s">
        <v>2728</v>
      </c>
      <c r="L452" s="25" t="s">
        <v>2729</v>
      </c>
      <c r="M452" s="25" t="s">
        <v>23</v>
      </c>
      <c r="N452" s="25" t="s">
        <v>2730</v>
      </c>
      <c r="O452" s="25" t="s">
        <v>2731</v>
      </c>
    </row>
    <row r="453" spans="1:15" ht="21" x14ac:dyDescent="0.3">
      <c r="A453" s="19"/>
      <c r="B453" s="20"/>
      <c r="C453" s="20"/>
      <c r="D453" s="20"/>
      <c r="E453" s="20"/>
      <c r="F453" s="21"/>
      <c r="G453" s="22"/>
      <c r="H453" s="18" t="s">
        <v>2732</v>
      </c>
      <c r="I453" s="23" t="s">
        <v>2733</v>
      </c>
      <c r="J453" s="24" t="s">
        <v>20</v>
      </c>
      <c r="K453" s="25" t="s">
        <v>2734</v>
      </c>
      <c r="L453" s="25" t="s">
        <v>2735</v>
      </c>
      <c r="M453" s="25" t="s">
        <v>23</v>
      </c>
      <c r="N453" s="25" t="s">
        <v>2736</v>
      </c>
      <c r="O453" s="25" t="s">
        <v>2737</v>
      </c>
    </row>
    <row r="454" spans="1:15" ht="21" x14ac:dyDescent="0.3">
      <c r="A454" s="19"/>
      <c r="B454" s="20"/>
      <c r="C454" s="20"/>
      <c r="D454" s="20"/>
      <c r="E454" s="20"/>
      <c r="F454" s="21"/>
      <c r="G454" s="22"/>
      <c r="H454" s="18" t="s">
        <v>2708</v>
      </c>
      <c r="I454" s="23" t="s">
        <v>2738</v>
      </c>
      <c r="J454" s="24" t="s">
        <v>20</v>
      </c>
      <c r="K454" s="25" t="s">
        <v>2595</v>
      </c>
      <c r="L454" s="25" t="s">
        <v>2739</v>
      </c>
      <c r="M454" s="25" t="s">
        <v>23</v>
      </c>
      <c r="N454" s="25" t="s">
        <v>2740</v>
      </c>
      <c r="O454" s="25" t="s">
        <v>2741</v>
      </c>
    </row>
    <row r="455" spans="1:15" ht="21" x14ac:dyDescent="0.3">
      <c r="A455" s="19"/>
      <c r="B455" s="20"/>
      <c r="C455" s="20"/>
      <c r="D455" s="20"/>
      <c r="E455" s="20"/>
      <c r="F455" s="21"/>
      <c r="G455" s="22"/>
      <c r="H455" s="18" t="s">
        <v>2742</v>
      </c>
      <c r="I455" s="23" t="s">
        <v>2743</v>
      </c>
      <c r="J455" s="24" t="s">
        <v>20</v>
      </c>
      <c r="K455" s="25" t="s">
        <v>2744</v>
      </c>
      <c r="L455" s="25" t="s">
        <v>2745</v>
      </c>
      <c r="M455" s="25" t="s">
        <v>23</v>
      </c>
      <c r="N455" s="25" t="s">
        <v>2746</v>
      </c>
      <c r="O455" s="25" t="s">
        <v>2747</v>
      </c>
    </row>
    <row r="456" spans="1:15" ht="21" x14ac:dyDescent="0.3">
      <c r="A456" s="19"/>
      <c r="B456" s="20"/>
      <c r="C456" s="20"/>
      <c r="D456" s="20"/>
      <c r="E456" s="20"/>
      <c r="F456" s="21"/>
      <c r="G456" s="22"/>
      <c r="H456" s="18" t="s">
        <v>2748</v>
      </c>
      <c r="I456" s="23" t="s">
        <v>2749</v>
      </c>
      <c r="J456" s="24" t="s">
        <v>20</v>
      </c>
      <c r="K456" s="25" t="s">
        <v>2750</v>
      </c>
      <c r="L456" s="25" t="s">
        <v>2751</v>
      </c>
      <c r="M456" s="25" t="s">
        <v>23</v>
      </c>
      <c r="N456" s="25" t="s">
        <v>2752</v>
      </c>
      <c r="O456" s="25" t="s">
        <v>2753</v>
      </c>
    </row>
    <row r="457" spans="1:15" ht="21" x14ac:dyDescent="0.3">
      <c r="A457" s="19"/>
      <c r="B457" s="20"/>
      <c r="C457" s="20"/>
      <c r="D457" s="20"/>
      <c r="E457" s="20"/>
      <c r="F457" s="21"/>
      <c r="G457" s="22" t="s">
        <v>2754</v>
      </c>
      <c r="H457" s="18" t="s">
        <v>2755</v>
      </c>
      <c r="I457" s="23" t="s">
        <v>2756</v>
      </c>
      <c r="J457" s="24" t="s">
        <v>28</v>
      </c>
      <c r="K457" s="25" t="s">
        <v>2757</v>
      </c>
      <c r="L457" s="25" t="s">
        <v>2758</v>
      </c>
      <c r="M457" s="25" t="s">
        <v>23</v>
      </c>
      <c r="N457" s="25" t="s">
        <v>2759</v>
      </c>
      <c r="O457" s="25" t="s">
        <v>2760</v>
      </c>
    </row>
    <row r="458" spans="1:15" ht="21" x14ac:dyDescent="0.3">
      <c r="A458" s="19"/>
      <c r="B458" s="20"/>
      <c r="C458" s="20"/>
      <c r="D458" s="20"/>
      <c r="E458" s="20"/>
      <c r="F458" s="21"/>
      <c r="G458" s="22"/>
      <c r="H458" s="18" t="s">
        <v>2761</v>
      </c>
      <c r="I458" s="23" t="s">
        <v>2762</v>
      </c>
      <c r="J458" s="24" t="s">
        <v>20</v>
      </c>
      <c r="K458" s="25" t="s">
        <v>2763</v>
      </c>
      <c r="L458" s="25" t="s">
        <v>2764</v>
      </c>
      <c r="M458" s="25" t="s">
        <v>23</v>
      </c>
      <c r="N458" s="25" t="s">
        <v>2765</v>
      </c>
      <c r="O458" s="25" t="s">
        <v>2766</v>
      </c>
    </row>
    <row r="459" spans="1:15" ht="21" x14ac:dyDescent="0.3">
      <c r="A459" s="19"/>
      <c r="B459" s="20"/>
      <c r="C459" s="20"/>
      <c r="D459" s="20"/>
      <c r="E459" s="20"/>
      <c r="F459" s="21"/>
      <c r="G459" s="22"/>
      <c r="H459" s="18" t="s">
        <v>2767</v>
      </c>
      <c r="I459" s="23" t="s">
        <v>2768</v>
      </c>
      <c r="J459" s="24" t="s">
        <v>20</v>
      </c>
      <c r="K459" s="25" t="s">
        <v>2769</v>
      </c>
      <c r="L459" s="25" t="s">
        <v>2770</v>
      </c>
      <c r="M459" s="25" t="s">
        <v>23</v>
      </c>
      <c r="N459" s="25" t="s">
        <v>2771</v>
      </c>
      <c r="O459" s="25" t="s">
        <v>2772</v>
      </c>
    </row>
    <row r="460" spans="1:15" ht="21" x14ac:dyDescent="0.3">
      <c r="A460" s="19"/>
      <c r="B460" s="20"/>
      <c r="C460" s="20"/>
      <c r="D460" s="20"/>
      <c r="E460" s="20"/>
      <c r="F460" s="21"/>
      <c r="G460" s="22"/>
      <c r="H460" s="18" t="s">
        <v>2773</v>
      </c>
      <c r="I460" s="23" t="s">
        <v>2774</v>
      </c>
      <c r="J460" s="24" t="s">
        <v>20</v>
      </c>
      <c r="K460" s="25" t="s">
        <v>2775</v>
      </c>
      <c r="L460" s="25" t="s">
        <v>2776</v>
      </c>
      <c r="M460" s="25" t="s">
        <v>23</v>
      </c>
      <c r="N460" s="25" t="s">
        <v>2777</v>
      </c>
      <c r="O460" s="25" t="s">
        <v>2778</v>
      </c>
    </row>
    <row r="461" spans="1:15" ht="21" x14ac:dyDescent="0.3">
      <c r="A461" s="19"/>
      <c r="B461" s="20"/>
      <c r="C461" s="20"/>
      <c r="D461" s="20"/>
      <c r="E461" s="20"/>
      <c r="F461" s="21"/>
      <c r="G461" s="22"/>
      <c r="H461" s="18" t="s">
        <v>2779</v>
      </c>
      <c r="I461" s="23" t="s">
        <v>2780</v>
      </c>
      <c r="J461" s="24" t="s">
        <v>20</v>
      </c>
      <c r="K461" s="25" t="s">
        <v>2781</v>
      </c>
      <c r="L461" s="25" t="s">
        <v>2782</v>
      </c>
      <c r="M461" s="25" t="s">
        <v>23</v>
      </c>
      <c r="N461" s="25" t="s">
        <v>2783</v>
      </c>
      <c r="O461" s="25" t="s">
        <v>2784</v>
      </c>
    </row>
    <row r="462" spans="1:15" ht="21" x14ac:dyDescent="0.3">
      <c r="A462" s="19"/>
      <c r="B462" s="20"/>
      <c r="C462" s="20"/>
      <c r="D462" s="20"/>
      <c r="E462" s="20"/>
      <c r="F462" s="21"/>
      <c r="G462" s="22" t="s">
        <v>2785</v>
      </c>
      <c r="H462" s="18" t="s">
        <v>2786</v>
      </c>
      <c r="I462" s="23" t="s">
        <v>2787</v>
      </c>
      <c r="J462" s="24" t="s">
        <v>28</v>
      </c>
      <c r="K462" s="25" t="s">
        <v>2788</v>
      </c>
      <c r="L462" s="25" t="s">
        <v>2789</v>
      </c>
      <c r="M462" s="25" t="s">
        <v>23</v>
      </c>
      <c r="N462" s="25" t="s">
        <v>2790</v>
      </c>
      <c r="O462" s="25" t="s">
        <v>2791</v>
      </c>
    </row>
    <row r="463" spans="1:15" ht="21" x14ac:dyDescent="0.3">
      <c r="A463" s="19"/>
      <c r="B463" s="20"/>
      <c r="C463" s="20"/>
      <c r="D463" s="20"/>
      <c r="E463" s="20"/>
      <c r="F463" s="21"/>
      <c r="G463" s="22"/>
      <c r="H463" s="18" t="s">
        <v>2792</v>
      </c>
      <c r="I463" s="23" t="s">
        <v>2793</v>
      </c>
      <c r="J463" s="24" t="s">
        <v>20</v>
      </c>
      <c r="K463" s="25" t="s">
        <v>2794</v>
      </c>
      <c r="L463" s="25" t="s">
        <v>2795</v>
      </c>
      <c r="M463" s="25" t="s">
        <v>23</v>
      </c>
      <c r="N463" s="25" t="s">
        <v>2796</v>
      </c>
      <c r="O463" s="25" t="s">
        <v>2797</v>
      </c>
    </row>
    <row r="464" spans="1:15" ht="21" x14ac:dyDescent="0.3">
      <c r="A464" s="19"/>
      <c r="B464" s="20"/>
      <c r="C464" s="20"/>
      <c r="D464" s="20"/>
      <c r="E464" s="20"/>
      <c r="F464" s="21"/>
      <c r="G464" s="22"/>
      <c r="H464" s="18" t="s">
        <v>2798</v>
      </c>
      <c r="I464" s="23" t="s">
        <v>2799</v>
      </c>
      <c r="J464" s="24" t="s">
        <v>20</v>
      </c>
      <c r="K464" s="25" t="s">
        <v>2800</v>
      </c>
      <c r="L464" s="25" t="s">
        <v>2801</v>
      </c>
      <c r="M464" s="25" t="s">
        <v>23</v>
      </c>
      <c r="N464" s="25" t="s">
        <v>2802</v>
      </c>
      <c r="O464" s="25" t="s">
        <v>2803</v>
      </c>
    </row>
    <row r="465" spans="1:15" ht="21" x14ac:dyDescent="0.3">
      <c r="A465" s="19"/>
      <c r="B465" s="20"/>
      <c r="C465" s="20"/>
      <c r="D465" s="20"/>
      <c r="E465" s="20"/>
      <c r="F465" s="21"/>
      <c r="G465" s="22"/>
      <c r="H465" s="18" t="s">
        <v>2804</v>
      </c>
      <c r="I465" s="23" t="s">
        <v>2805</v>
      </c>
      <c r="J465" s="24" t="s">
        <v>20</v>
      </c>
      <c r="K465" s="25" t="s">
        <v>2806</v>
      </c>
      <c r="L465" s="25" t="s">
        <v>2807</v>
      </c>
      <c r="M465" s="25" t="s">
        <v>23</v>
      </c>
      <c r="N465" s="25" t="s">
        <v>2808</v>
      </c>
      <c r="O465" s="25" t="s">
        <v>2809</v>
      </c>
    </row>
    <row r="466" spans="1:15" ht="21" x14ac:dyDescent="0.3">
      <c r="A466" s="19"/>
      <c r="B466" s="20"/>
      <c r="C466" s="20"/>
      <c r="D466" s="20"/>
      <c r="E466" s="20"/>
      <c r="F466" s="21"/>
      <c r="G466" s="22"/>
      <c r="H466" s="18" t="s">
        <v>2810</v>
      </c>
      <c r="I466" s="23" t="s">
        <v>2811</v>
      </c>
      <c r="J466" s="24" t="s">
        <v>20</v>
      </c>
      <c r="K466" s="25" t="s">
        <v>2812</v>
      </c>
      <c r="L466" s="25" t="s">
        <v>2813</v>
      </c>
      <c r="M466" s="25" t="s">
        <v>23</v>
      </c>
      <c r="N466" s="25" t="s">
        <v>2814</v>
      </c>
      <c r="O466" s="25" t="s">
        <v>2815</v>
      </c>
    </row>
    <row r="467" spans="1:15" ht="21" x14ac:dyDescent="0.3">
      <c r="A467" s="19"/>
      <c r="B467" s="20"/>
      <c r="C467" s="20"/>
      <c r="D467" s="20"/>
      <c r="E467" s="20"/>
      <c r="F467" s="21"/>
      <c r="G467" s="22" t="s">
        <v>2816</v>
      </c>
      <c r="H467" s="18" t="s">
        <v>2666</v>
      </c>
      <c r="I467" s="23" t="s">
        <v>2817</v>
      </c>
      <c r="J467" s="24" t="s">
        <v>28</v>
      </c>
      <c r="K467" s="25" t="s">
        <v>2818</v>
      </c>
      <c r="L467" s="25" t="s">
        <v>2819</v>
      </c>
      <c r="M467" s="25" t="s">
        <v>23</v>
      </c>
      <c r="N467" s="25" t="s">
        <v>2820</v>
      </c>
      <c r="O467" s="25" t="s">
        <v>2821</v>
      </c>
    </row>
    <row r="468" spans="1:15" ht="21" x14ac:dyDescent="0.3">
      <c r="A468" s="19"/>
      <c r="B468" s="20"/>
      <c r="C468" s="20"/>
      <c r="D468" s="20"/>
      <c r="E468" s="20"/>
      <c r="F468" s="21"/>
      <c r="G468" s="22"/>
      <c r="H468" s="18" t="s">
        <v>2822</v>
      </c>
      <c r="I468" s="23" t="s">
        <v>2823</v>
      </c>
      <c r="J468" s="24" t="s">
        <v>20</v>
      </c>
      <c r="K468" s="25" t="s">
        <v>2824</v>
      </c>
      <c r="L468" s="25" t="s">
        <v>2825</v>
      </c>
      <c r="M468" s="25" t="s">
        <v>23</v>
      </c>
      <c r="N468" s="25" t="s">
        <v>2826</v>
      </c>
      <c r="O468" s="25" t="s">
        <v>2827</v>
      </c>
    </row>
    <row r="469" spans="1:15" ht="21" x14ac:dyDescent="0.3">
      <c r="A469" s="19"/>
      <c r="B469" s="20"/>
      <c r="C469" s="20"/>
      <c r="D469" s="20"/>
      <c r="E469" s="20"/>
      <c r="F469" s="21"/>
      <c r="G469" s="22"/>
      <c r="H469" s="18" t="s">
        <v>2828</v>
      </c>
      <c r="I469" s="23" t="s">
        <v>2829</v>
      </c>
      <c r="J469" s="24" t="s">
        <v>20</v>
      </c>
      <c r="K469" s="25" t="s">
        <v>2830</v>
      </c>
      <c r="L469" s="25" t="s">
        <v>2831</v>
      </c>
      <c r="M469" s="25" t="s">
        <v>23</v>
      </c>
      <c r="N469" s="25" t="s">
        <v>2832</v>
      </c>
      <c r="O469" s="25" t="s">
        <v>2833</v>
      </c>
    </row>
    <row r="470" spans="1:15" ht="21" x14ac:dyDescent="0.3">
      <c r="A470" s="19"/>
      <c r="B470" s="20"/>
      <c r="C470" s="20"/>
      <c r="D470" s="20"/>
      <c r="E470" s="20"/>
      <c r="F470" s="21"/>
      <c r="G470" s="22"/>
      <c r="H470" s="18" t="s">
        <v>2834</v>
      </c>
      <c r="I470" s="23" t="s">
        <v>2835</v>
      </c>
      <c r="J470" s="24" t="s">
        <v>20</v>
      </c>
      <c r="K470" s="25" t="s">
        <v>2836</v>
      </c>
      <c r="L470" s="25" t="s">
        <v>2837</v>
      </c>
      <c r="M470" s="25" t="s">
        <v>23</v>
      </c>
      <c r="N470" s="25" t="s">
        <v>2838</v>
      </c>
      <c r="O470" s="25" t="s">
        <v>2839</v>
      </c>
    </row>
    <row r="471" spans="1:15" ht="21" x14ac:dyDescent="0.3">
      <c r="A471" s="19"/>
      <c r="B471" s="20"/>
      <c r="C471" s="20"/>
      <c r="D471" s="20"/>
      <c r="E471" s="20"/>
      <c r="F471" s="21"/>
      <c r="G471" s="22"/>
      <c r="H471" s="18" t="s">
        <v>2840</v>
      </c>
      <c r="I471" s="23" t="s">
        <v>2841</v>
      </c>
      <c r="J471" s="24" t="s">
        <v>20</v>
      </c>
      <c r="K471" s="25" t="s">
        <v>2842</v>
      </c>
      <c r="L471" s="25" t="s">
        <v>2843</v>
      </c>
      <c r="M471" s="25" t="s">
        <v>23</v>
      </c>
      <c r="N471" s="25" t="s">
        <v>2844</v>
      </c>
      <c r="O471" s="25" t="s">
        <v>2845</v>
      </c>
    </row>
    <row r="472" spans="1:15" ht="21" x14ac:dyDescent="0.3">
      <c r="A472" s="19"/>
      <c r="B472" s="20"/>
      <c r="C472" s="20"/>
      <c r="D472" s="20"/>
      <c r="E472" s="20"/>
      <c r="F472" s="21"/>
      <c r="G472" s="22" t="s">
        <v>2846</v>
      </c>
      <c r="H472" s="18" t="s">
        <v>2847</v>
      </c>
      <c r="I472" s="23" t="s">
        <v>2848</v>
      </c>
      <c r="J472" s="24" t="s">
        <v>28</v>
      </c>
      <c r="K472" s="25" t="s">
        <v>2849</v>
      </c>
      <c r="L472" s="25" t="s">
        <v>2850</v>
      </c>
      <c r="M472" s="25" t="s">
        <v>23</v>
      </c>
      <c r="N472" s="25" t="s">
        <v>2851</v>
      </c>
      <c r="O472" s="25" t="s">
        <v>2852</v>
      </c>
    </row>
    <row r="473" spans="1:15" ht="21" x14ac:dyDescent="0.3">
      <c r="A473" s="19"/>
      <c r="B473" s="20"/>
      <c r="C473" s="20"/>
      <c r="D473" s="20"/>
      <c r="E473" s="20"/>
      <c r="F473" s="21"/>
      <c r="G473" s="22"/>
      <c r="H473" s="18" t="s">
        <v>2853</v>
      </c>
      <c r="I473" s="23" t="s">
        <v>2854</v>
      </c>
      <c r="J473" s="24" t="s">
        <v>20</v>
      </c>
      <c r="K473" s="25" t="s">
        <v>2855</v>
      </c>
      <c r="L473" s="25" t="s">
        <v>2856</v>
      </c>
      <c r="M473" s="25" t="s">
        <v>23</v>
      </c>
      <c r="N473" s="25" t="s">
        <v>2857</v>
      </c>
      <c r="O473" s="25" t="s">
        <v>2858</v>
      </c>
    </row>
    <row r="474" spans="1:15" ht="21" x14ac:dyDescent="0.3">
      <c r="A474" s="19"/>
      <c r="B474" s="20"/>
      <c r="C474" s="20"/>
      <c r="D474" s="20"/>
      <c r="E474" s="20"/>
      <c r="F474" s="21"/>
      <c r="G474" s="22"/>
      <c r="H474" s="18" t="s">
        <v>2859</v>
      </c>
      <c r="I474" s="23" t="s">
        <v>2860</v>
      </c>
      <c r="J474" s="24" t="s">
        <v>20</v>
      </c>
      <c r="K474" s="25" t="s">
        <v>2861</v>
      </c>
      <c r="L474" s="25" t="s">
        <v>2862</v>
      </c>
      <c r="M474" s="25" t="s">
        <v>23</v>
      </c>
      <c r="N474" s="25" t="s">
        <v>2863</v>
      </c>
      <c r="O474" s="25" t="s">
        <v>2864</v>
      </c>
    </row>
    <row r="475" spans="1:15" ht="21" x14ac:dyDescent="0.3">
      <c r="A475" s="19"/>
      <c r="B475" s="20"/>
      <c r="C475" s="20"/>
      <c r="D475" s="20"/>
      <c r="E475" s="20"/>
      <c r="F475" s="21"/>
      <c r="G475" s="22"/>
      <c r="H475" s="18" t="s">
        <v>2865</v>
      </c>
      <c r="I475" s="23" t="s">
        <v>2866</v>
      </c>
      <c r="J475" s="24" t="s">
        <v>20</v>
      </c>
      <c r="K475" s="25" t="s">
        <v>2867</v>
      </c>
      <c r="L475" s="25" t="s">
        <v>2868</v>
      </c>
      <c r="M475" s="25" t="s">
        <v>23</v>
      </c>
      <c r="N475" s="25" t="s">
        <v>2869</v>
      </c>
      <c r="O475" s="25" t="s">
        <v>2870</v>
      </c>
    </row>
    <row r="476" spans="1:15" ht="21" x14ac:dyDescent="0.3">
      <c r="A476" s="19"/>
      <c r="B476" s="20"/>
      <c r="C476" s="20"/>
      <c r="D476" s="20"/>
      <c r="E476" s="20"/>
      <c r="F476" s="21"/>
      <c r="G476" s="22"/>
      <c r="H476" s="18" t="s">
        <v>2871</v>
      </c>
      <c r="I476" s="23" t="s">
        <v>2872</v>
      </c>
      <c r="J476" s="24" t="s">
        <v>20</v>
      </c>
      <c r="K476" s="25" t="s">
        <v>2873</v>
      </c>
      <c r="L476" s="25" t="s">
        <v>2874</v>
      </c>
      <c r="M476" s="25" t="s">
        <v>23</v>
      </c>
      <c r="N476" s="25" t="s">
        <v>2875</v>
      </c>
      <c r="O476" s="25" t="s">
        <v>2876</v>
      </c>
    </row>
    <row r="477" spans="1:15" ht="21" x14ac:dyDescent="0.3">
      <c r="A477" s="19"/>
      <c r="B477" s="20"/>
      <c r="C477" s="20"/>
      <c r="D477" s="20"/>
      <c r="E477" s="20"/>
      <c r="F477" s="21"/>
      <c r="G477" s="22" t="s">
        <v>2877</v>
      </c>
      <c r="H477" s="18" t="s">
        <v>2878</v>
      </c>
      <c r="I477" s="23" t="s">
        <v>2879</v>
      </c>
      <c r="J477" s="24" t="s">
        <v>28</v>
      </c>
      <c r="K477" s="25" t="s">
        <v>2880</v>
      </c>
      <c r="L477" s="25" t="s">
        <v>2881</v>
      </c>
      <c r="M477" s="25" t="s">
        <v>23</v>
      </c>
      <c r="N477" s="25" t="s">
        <v>2882</v>
      </c>
      <c r="O477" s="25" t="s">
        <v>2883</v>
      </c>
    </row>
    <row r="478" spans="1:15" ht="21" x14ac:dyDescent="0.3">
      <c r="A478" s="19"/>
      <c r="B478" s="20"/>
      <c r="C478" s="20"/>
      <c r="D478" s="20"/>
      <c r="E478" s="20"/>
      <c r="F478" s="21"/>
      <c r="G478" s="22"/>
      <c r="H478" s="18" t="s">
        <v>2884</v>
      </c>
      <c r="I478" s="23" t="s">
        <v>2885</v>
      </c>
      <c r="J478" s="24" t="s">
        <v>20</v>
      </c>
      <c r="K478" s="25" t="s">
        <v>2886</v>
      </c>
      <c r="L478" s="25" t="s">
        <v>2887</v>
      </c>
      <c r="M478" s="25" t="s">
        <v>23</v>
      </c>
      <c r="N478" s="25" t="s">
        <v>2888</v>
      </c>
      <c r="O478" s="25" t="s">
        <v>2889</v>
      </c>
    </row>
    <row r="479" spans="1:15" ht="21" x14ac:dyDescent="0.3">
      <c r="A479" s="19"/>
      <c r="B479" s="20"/>
      <c r="C479" s="20"/>
      <c r="D479" s="20"/>
      <c r="E479" s="20"/>
      <c r="F479" s="21"/>
      <c r="G479" s="22"/>
      <c r="H479" s="18" t="s">
        <v>2890</v>
      </c>
      <c r="I479" s="23" t="s">
        <v>2891</v>
      </c>
      <c r="J479" s="24" t="s">
        <v>20</v>
      </c>
      <c r="K479" s="25" t="s">
        <v>2892</v>
      </c>
      <c r="L479" s="25" t="s">
        <v>2893</v>
      </c>
      <c r="M479" s="25" t="s">
        <v>23</v>
      </c>
      <c r="N479" s="25" t="s">
        <v>2894</v>
      </c>
      <c r="O479" s="25" t="s">
        <v>2895</v>
      </c>
    </row>
    <row r="480" spans="1:15" ht="21" x14ac:dyDescent="0.3">
      <c r="A480" s="19"/>
      <c r="B480" s="20"/>
      <c r="C480" s="20"/>
      <c r="D480" s="20"/>
      <c r="E480" s="20"/>
      <c r="F480" s="21"/>
      <c r="G480" s="22"/>
      <c r="H480" s="18" t="s">
        <v>2896</v>
      </c>
      <c r="I480" s="23" t="s">
        <v>2897</v>
      </c>
      <c r="J480" s="24" t="s">
        <v>20</v>
      </c>
      <c r="K480" s="25" t="s">
        <v>2750</v>
      </c>
      <c r="L480" s="25" t="s">
        <v>2898</v>
      </c>
      <c r="M480" s="25" t="s">
        <v>23</v>
      </c>
      <c r="N480" s="25" t="s">
        <v>2899</v>
      </c>
      <c r="O480" s="25" t="s">
        <v>2900</v>
      </c>
    </row>
    <row r="481" spans="1:15" ht="21" x14ac:dyDescent="0.3">
      <c r="A481" s="19"/>
      <c r="B481" s="20"/>
      <c r="C481" s="20"/>
      <c r="D481" s="20"/>
      <c r="E481" s="20"/>
      <c r="F481" s="21"/>
      <c r="G481" s="22"/>
      <c r="H481" s="18" t="s">
        <v>2901</v>
      </c>
      <c r="I481" s="23" t="s">
        <v>2902</v>
      </c>
      <c r="J481" s="24" t="s">
        <v>20</v>
      </c>
      <c r="K481" s="25" t="s">
        <v>2903</v>
      </c>
      <c r="L481" s="25" t="s">
        <v>2904</v>
      </c>
      <c r="M481" s="25" t="s">
        <v>23</v>
      </c>
      <c r="N481" s="25" t="s">
        <v>2905</v>
      </c>
      <c r="O481" s="25" t="s">
        <v>2906</v>
      </c>
    </row>
    <row r="482" spans="1:15" ht="21" x14ac:dyDescent="0.3">
      <c r="A482" s="19"/>
      <c r="B482" s="20"/>
      <c r="C482" s="20"/>
      <c r="D482" s="20"/>
      <c r="E482" s="20"/>
      <c r="F482" s="21"/>
      <c r="G482" s="22" t="s">
        <v>2907</v>
      </c>
      <c r="H482" s="18" t="s">
        <v>2908</v>
      </c>
      <c r="I482" s="23" t="s">
        <v>2909</v>
      </c>
      <c r="J482" s="24" t="s">
        <v>28</v>
      </c>
      <c r="K482" s="25" t="s">
        <v>2910</v>
      </c>
      <c r="L482" s="25" t="s">
        <v>2911</v>
      </c>
      <c r="M482" s="25" t="s">
        <v>23</v>
      </c>
      <c r="N482" s="25" t="s">
        <v>2912</v>
      </c>
      <c r="O482" s="25" t="s">
        <v>2913</v>
      </c>
    </row>
    <row r="483" spans="1:15" ht="21" x14ac:dyDescent="0.3">
      <c r="A483" s="19"/>
      <c r="B483" s="20"/>
      <c r="C483" s="20"/>
      <c r="D483" s="20"/>
      <c r="E483" s="20"/>
      <c r="F483" s="21"/>
      <c r="G483" s="22"/>
      <c r="H483" s="18" t="s">
        <v>2914</v>
      </c>
      <c r="I483" s="23" t="s">
        <v>2915</v>
      </c>
      <c r="J483" s="24" t="s">
        <v>20</v>
      </c>
      <c r="K483" s="25" t="s">
        <v>2916</v>
      </c>
      <c r="L483" s="25" t="s">
        <v>2917</v>
      </c>
      <c r="M483" s="25" t="s">
        <v>23</v>
      </c>
      <c r="N483" s="25" t="s">
        <v>2918</v>
      </c>
      <c r="O483" s="25" t="s">
        <v>2919</v>
      </c>
    </row>
    <row r="484" spans="1:15" ht="21" x14ac:dyDescent="0.3">
      <c r="A484" s="19"/>
      <c r="B484" s="20"/>
      <c r="C484" s="20"/>
      <c r="D484" s="20"/>
      <c r="E484" s="20"/>
      <c r="F484" s="21"/>
      <c r="G484" s="22"/>
      <c r="H484" s="18" t="s">
        <v>2920</v>
      </c>
      <c r="I484" s="23" t="s">
        <v>2921</v>
      </c>
      <c r="J484" s="24" t="s">
        <v>20</v>
      </c>
      <c r="K484" s="25" t="s">
        <v>2922</v>
      </c>
      <c r="L484" s="25" t="s">
        <v>2923</v>
      </c>
      <c r="M484" s="25" t="s">
        <v>23</v>
      </c>
      <c r="N484" s="25" t="s">
        <v>2924</v>
      </c>
      <c r="O484" s="25" t="s">
        <v>2925</v>
      </c>
    </row>
    <row r="485" spans="1:15" ht="21" x14ac:dyDescent="0.3">
      <c r="A485" s="19"/>
      <c r="B485" s="20"/>
      <c r="C485" s="20"/>
      <c r="D485" s="20"/>
      <c r="E485" s="20"/>
      <c r="F485" s="21"/>
      <c r="G485" s="22"/>
      <c r="H485" s="18" t="s">
        <v>2926</v>
      </c>
      <c r="I485" s="23" t="s">
        <v>2927</v>
      </c>
      <c r="J485" s="24" t="s">
        <v>20</v>
      </c>
      <c r="K485" s="25" t="s">
        <v>2928</v>
      </c>
      <c r="L485" s="25" t="s">
        <v>2929</v>
      </c>
      <c r="M485" s="25" t="s">
        <v>23</v>
      </c>
      <c r="N485" s="25" t="s">
        <v>2930</v>
      </c>
      <c r="O485" s="25" t="s">
        <v>2931</v>
      </c>
    </row>
    <row r="486" spans="1:15" ht="21" x14ac:dyDescent="0.3">
      <c r="A486" s="19"/>
      <c r="B486" s="20"/>
      <c r="C486" s="20"/>
      <c r="D486" s="20"/>
      <c r="E486" s="20"/>
      <c r="F486" s="21"/>
      <c r="G486" s="22"/>
      <c r="H486" s="18" t="s">
        <v>2932</v>
      </c>
      <c r="I486" s="23" t="s">
        <v>2933</v>
      </c>
      <c r="J486" s="24" t="s">
        <v>20</v>
      </c>
      <c r="K486" s="25" t="s">
        <v>2934</v>
      </c>
      <c r="L486" s="25" t="s">
        <v>2935</v>
      </c>
      <c r="M486" s="25" t="s">
        <v>31</v>
      </c>
      <c r="N486" s="25" t="s">
        <v>2936</v>
      </c>
      <c r="O486" s="25" t="s">
        <v>2937</v>
      </c>
    </row>
    <row r="487" spans="1:15" ht="21" x14ac:dyDescent="0.3">
      <c r="A487" s="19"/>
      <c r="B487" s="20"/>
      <c r="C487" s="20"/>
      <c r="D487" s="20"/>
      <c r="E487" s="20"/>
      <c r="F487" s="21"/>
      <c r="G487" s="22" t="s">
        <v>2938</v>
      </c>
      <c r="H487" s="18" t="s">
        <v>2939</v>
      </c>
      <c r="I487" s="23" t="s">
        <v>2940</v>
      </c>
      <c r="J487" s="24" t="s">
        <v>28</v>
      </c>
      <c r="K487" s="25" t="s">
        <v>2941</v>
      </c>
      <c r="L487" s="25" t="s">
        <v>2942</v>
      </c>
      <c r="M487" s="25" t="s">
        <v>23</v>
      </c>
      <c r="N487" s="25" t="s">
        <v>2943</v>
      </c>
      <c r="O487" s="25" t="s">
        <v>2944</v>
      </c>
    </row>
    <row r="488" spans="1:15" ht="21" x14ac:dyDescent="0.3">
      <c r="A488" s="19"/>
      <c r="B488" s="20"/>
      <c r="C488" s="20"/>
      <c r="D488" s="20"/>
      <c r="E488" s="20"/>
      <c r="F488" s="21"/>
      <c r="G488" s="22"/>
      <c r="H488" s="18" t="s">
        <v>2945</v>
      </c>
      <c r="I488" s="23" t="s">
        <v>2946</v>
      </c>
      <c r="J488" s="24" t="s">
        <v>20</v>
      </c>
      <c r="K488" s="25" t="s">
        <v>2947</v>
      </c>
      <c r="L488" s="25" t="s">
        <v>2948</v>
      </c>
      <c r="M488" s="25" t="s">
        <v>23</v>
      </c>
      <c r="N488" s="25" t="s">
        <v>2949</v>
      </c>
      <c r="O488" s="25" t="s">
        <v>2950</v>
      </c>
    </row>
    <row r="489" spans="1:15" ht="21" x14ac:dyDescent="0.3">
      <c r="A489" s="19"/>
      <c r="B489" s="20"/>
      <c r="C489" s="20"/>
      <c r="D489" s="20"/>
      <c r="E489" s="20"/>
      <c r="F489" s="21"/>
      <c r="G489" s="22"/>
      <c r="H489" s="18" t="s">
        <v>2708</v>
      </c>
      <c r="I489" s="23" t="s">
        <v>2951</v>
      </c>
      <c r="J489" s="24" t="s">
        <v>20</v>
      </c>
      <c r="K489" s="25" t="s">
        <v>2952</v>
      </c>
      <c r="L489" s="25" t="s">
        <v>2953</v>
      </c>
      <c r="M489" s="25" t="s">
        <v>23</v>
      </c>
      <c r="N489" s="25" t="s">
        <v>2954</v>
      </c>
      <c r="O489" s="25" t="s">
        <v>2955</v>
      </c>
    </row>
    <row r="490" spans="1:15" ht="21" x14ac:dyDescent="0.3">
      <c r="A490" s="19"/>
      <c r="B490" s="20"/>
      <c r="C490" s="20"/>
      <c r="D490" s="20"/>
      <c r="E490" s="20"/>
      <c r="F490" s="21"/>
      <c r="G490" s="22"/>
      <c r="H490" s="18" t="s">
        <v>2956</v>
      </c>
      <c r="I490" s="23" t="s">
        <v>2774</v>
      </c>
      <c r="J490" s="24" t="s">
        <v>20</v>
      </c>
      <c r="K490" s="25" t="s">
        <v>2957</v>
      </c>
      <c r="L490" s="25" t="s">
        <v>2958</v>
      </c>
      <c r="M490" s="25" t="s">
        <v>23</v>
      </c>
      <c r="N490" s="25" t="s">
        <v>2959</v>
      </c>
      <c r="O490" s="25" t="s">
        <v>2960</v>
      </c>
    </row>
    <row r="491" spans="1:15" ht="21" x14ac:dyDescent="0.3">
      <c r="A491" s="19"/>
      <c r="B491" s="20"/>
      <c r="C491" s="20"/>
      <c r="D491" s="20"/>
      <c r="E491" s="20"/>
      <c r="F491" s="21"/>
      <c r="G491" s="22"/>
      <c r="H491" s="18" t="s">
        <v>2720</v>
      </c>
      <c r="I491" s="23" t="s">
        <v>2961</v>
      </c>
      <c r="J491" s="24" t="s">
        <v>20</v>
      </c>
      <c r="K491" s="25" t="s">
        <v>2962</v>
      </c>
      <c r="L491" s="25" t="s">
        <v>2963</v>
      </c>
      <c r="M491" s="25" t="s">
        <v>23</v>
      </c>
      <c r="N491" s="25" t="s">
        <v>2964</v>
      </c>
      <c r="O491" s="25" t="s">
        <v>2965</v>
      </c>
    </row>
    <row r="492" spans="1:15" ht="21" x14ac:dyDescent="0.3">
      <c r="A492" s="19"/>
      <c r="B492" s="20"/>
      <c r="C492" s="20"/>
      <c r="D492" s="20"/>
      <c r="E492" s="20"/>
      <c r="F492" s="21"/>
      <c r="G492" s="22" t="s">
        <v>2966</v>
      </c>
      <c r="H492" s="18" t="s">
        <v>2967</v>
      </c>
      <c r="I492" s="23" t="s">
        <v>2968</v>
      </c>
      <c r="J492" s="24" t="s">
        <v>28</v>
      </c>
      <c r="K492" s="25" t="s">
        <v>2969</v>
      </c>
      <c r="L492" s="25" t="s">
        <v>2970</v>
      </c>
      <c r="M492" s="25" t="s">
        <v>23</v>
      </c>
      <c r="N492" s="25" t="s">
        <v>2971</v>
      </c>
      <c r="O492" s="25" t="s">
        <v>2972</v>
      </c>
    </row>
    <row r="493" spans="1:15" ht="21" x14ac:dyDescent="0.3">
      <c r="A493" s="19"/>
      <c r="B493" s="20"/>
      <c r="C493" s="20"/>
      <c r="D493" s="20"/>
      <c r="E493" s="20"/>
      <c r="F493" s="21"/>
      <c r="G493" s="22"/>
      <c r="H493" s="18" t="s">
        <v>2973</v>
      </c>
      <c r="I493" s="23" t="s">
        <v>2974</v>
      </c>
      <c r="J493" s="24" t="s">
        <v>20</v>
      </c>
      <c r="K493" s="25" t="s">
        <v>2975</v>
      </c>
      <c r="L493" s="25" t="s">
        <v>2976</v>
      </c>
      <c r="M493" s="25" t="s">
        <v>23</v>
      </c>
      <c r="N493" s="25" t="s">
        <v>2977</v>
      </c>
      <c r="O493" s="25" t="s">
        <v>2978</v>
      </c>
    </row>
    <row r="494" spans="1:15" ht="21" x14ac:dyDescent="0.3">
      <c r="A494" s="19"/>
      <c r="B494" s="20"/>
      <c r="C494" s="20"/>
      <c r="D494" s="20"/>
      <c r="E494" s="20"/>
      <c r="F494" s="21"/>
      <c r="G494" s="22"/>
      <c r="H494" s="18" t="s">
        <v>2979</v>
      </c>
      <c r="I494" s="23" t="s">
        <v>2980</v>
      </c>
      <c r="J494" s="24" t="s">
        <v>20</v>
      </c>
      <c r="K494" s="25" t="s">
        <v>2981</v>
      </c>
      <c r="L494" s="25" t="s">
        <v>2982</v>
      </c>
      <c r="M494" s="25" t="s">
        <v>23</v>
      </c>
      <c r="N494" s="25" t="s">
        <v>2983</v>
      </c>
      <c r="O494" s="25" t="s">
        <v>2984</v>
      </c>
    </row>
    <row r="495" spans="1:15" ht="21" x14ac:dyDescent="0.3">
      <c r="A495" s="19"/>
      <c r="B495" s="20"/>
      <c r="C495" s="20"/>
      <c r="D495" s="20"/>
      <c r="E495" s="20"/>
      <c r="F495" s="21"/>
      <c r="G495" s="22"/>
      <c r="H495" s="18" t="s">
        <v>2985</v>
      </c>
      <c r="I495" s="23" t="s">
        <v>2986</v>
      </c>
      <c r="J495" s="24" t="s">
        <v>20</v>
      </c>
      <c r="K495" s="25" t="s">
        <v>2987</v>
      </c>
      <c r="L495" s="25" t="s">
        <v>2988</v>
      </c>
      <c r="M495" s="25" t="s">
        <v>23</v>
      </c>
      <c r="N495" s="25" t="s">
        <v>2989</v>
      </c>
      <c r="O495" s="25" t="s">
        <v>2990</v>
      </c>
    </row>
    <row r="496" spans="1:15" ht="21" x14ac:dyDescent="0.3">
      <c r="A496" s="19"/>
      <c r="B496" s="20"/>
      <c r="C496" s="20"/>
      <c r="D496" s="20"/>
      <c r="E496" s="20"/>
      <c r="F496" s="21"/>
      <c r="G496" s="22"/>
      <c r="H496" s="18" t="s">
        <v>2991</v>
      </c>
      <c r="I496" s="23" t="s">
        <v>2992</v>
      </c>
      <c r="J496" s="24" t="s">
        <v>20</v>
      </c>
      <c r="K496" s="25" t="s">
        <v>2993</v>
      </c>
      <c r="L496" s="25" t="s">
        <v>2994</v>
      </c>
      <c r="M496" s="25" t="s">
        <v>23</v>
      </c>
      <c r="N496" s="25" t="s">
        <v>2995</v>
      </c>
      <c r="O496" s="25" t="s">
        <v>2996</v>
      </c>
    </row>
    <row r="497" spans="1:15" ht="21" x14ac:dyDescent="0.3">
      <c r="A497" s="19"/>
      <c r="B497" s="20"/>
      <c r="C497" s="20"/>
      <c r="D497" s="20"/>
      <c r="E497" s="20"/>
      <c r="F497" s="21"/>
      <c r="G497" s="22" t="s">
        <v>2997</v>
      </c>
      <c r="H497" s="18" t="s">
        <v>2998</v>
      </c>
      <c r="I497" s="23" t="s">
        <v>2999</v>
      </c>
      <c r="J497" s="24" t="s">
        <v>28</v>
      </c>
      <c r="K497" s="25" t="s">
        <v>3000</v>
      </c>
      <c r="L497" s="25" t="s">
        <v>3001</v>
      </c>
      <c r="M497" s="25" t="s">
        <v>23</v>
      </c>
      <c r="N497" s="25" t="s">
        <v>3002</v>
      </c>
      <c r="O497" s="25" t="s">
        <v>3003</v>
      </c>
    </row>
    <row r="498" spans="1:15" ht="21" x14ac:dyDescent="0.3">
      <c r="A498" s="19"/>
      <c r="B498" s="20"/>
      <c r="C498" s="20"/>
      <c r="D498" s="20"/>
      <c r="E498" s="20"/>
      <c r="F498" s="21"/>
      <c r="G498" s="22"/>
      <c r="H498" s="18" t="s">
        <v>3004</v>
      </c>
      <c r="I498" s="25" t="s">
        <v>3005</v>
      </c>
      <c r="J498" s="24" t="s">
        <v>20</v>
      </c>
      <c r="K498" s="25" t="s">
        <v>3006</v>
      </c>
      <c r="L498" s="25" t="s">
        <v>3007</v>
      </c>
      <c r="M498" s="25" t="s">
        <v>23</v>
      </c>
      <c r="N498" s="25" t="s">
        <v>3008</v>
      </c>
      <c r="O498" s="25" t="s">
        <v>3009</v>
      </c>
    </row>
    <row r="499" spans="1:15" ht="21" x14ac:dyDescent="0.3">
      <c r="A499" s="19"/>
      <c r="B499" s="20"/>
      <c r="C499" s="20"/>
      <c r="D499" s="20"/>
      <c r="E499" s="20"/>
      <c r="F499" s="21"/>
      <c r="G499" s="22"/>
      <c r="H499" s="18" t="s">
        <v>3010</v>
      </c>
      <c r="I499" s="25" t="s">
        <v>3011</v>
      </c>
      <c r="J499" s="24" t="s">
        <v>20</v>
      </c>
      <c r="K499" s="25" t="s">
        <v>3012</v>
      </c>
      <c r="L499" s="25" t="s">
        <v>3013</v>
      </c>
      <c r="M499" s="25" t="s">
        <v>23</v>
      </c>
      <c r="N499" s="25" t="s">
        <v>3014</v>
      </c>
      <c r="O499" s="25" t="s">
        <v>3015</v>
      </c>
    </row>
    <row r="500" spans="1:15" ht="21" x14ac:dyDescent="0.3">
      <c r="A500" s="19"/>
      <c r="B500" s="20"/>
      <c r="C500" s="20"/>
      <c r="D500" s="20"/>
      <c r="E500" s="20"/>
      <c r="F500" s="21"/>
      <c r="G500" s="22"/>
      <c r="H500" s="18" t="s">
        <v>2684</v>
      </c>
      <c r="I500" s="25" t="s">
        <v>3016</v>
      </c>
      <c r="J500" s="24" t="s">
        <v>20</v>
      </c>
      <c r="K500" s="25" t="s">
        <v>3017</v>
      </c>
      <c r="L500" s="25" t="s">
        <v>3018</v>
      </c>
      <c r="M500" s="25" t="s">
        <v>23</v>
      </c>
      <c r="N500" s="25" t="s">
        <v>3019</v>
      </c>
      <c r="O500" s="25" t="s">
        <v>3020</v>
      </c>
    </row>
    <row r="501" spans="1:15" ht="21" x14ac:dyDescent="0.3">
      <c r="A501" s="19"/>
      <c r="B501" s="20"/>
      <c r="C501" s="20"/>
      <c r="D501" s="20"/>
      <c r="E501" s="20"/>
      <c r="F501" s="21"/>
      <c r="G501" s="22"/>
      <c r="H501" s="18" t="s">
        <v>3021</v>
      </c>
      <c r="I501" s="25" t="s">
        <v>3022</v>
      </c>
      <c r="J501" s="24" t="s">
        <v>20</v>
      </c>
      <c r="K501" s="25" t="s">
        <v>3023</v>
      </c>
      <c r="L501" s="25" t="s">
        <v>3024</v>
      </c>
      <c r="M501" s="25" t="s">
        <v>23</v>
      </c>
      <c r="N501" s="25" t="s">
        <v>3025</v>
      </c>
      <c r="O501" s="25" t="s">
        <v>3026</v>
      </c>
    </row>
    <row r="502" spans="1:15" ht="21" x14ac:dyDescent="0.3">
      <c r="A502" s="19"/>
      <c r="B502" s="20"/>
      <c r="C502" s="20"/>
      <c r="D502" s="20"/>
      <c r="E502" s="20"/>
      <c r="F502" s="21"/>
      <c r="G502" s="22" t="s">
        <v>3027</v>
      </c>
      <c r="H502" s="18" t="s">
        <v>3028</v>
      </c>
      <c r="I502" s="25" t="s">
        <v>3029</v>
      </c>
      <c r="J502" s="24" t="s">
        <v>20</v>
      </c>
      <c r="K502" s="25" t="s">
        <v>3030</v>
      </c>
      <c r="L502" s="25" t="s">
        <v>3031</v>
      </c>
      <c r="M502" s="25" t="s">
        <v>23</v>
      </c>
      <c r="N502" s="25" t="s">
        <v>3032</v>
      </c>
      <c r="O502" s="25" t="s">
        <v>3033</v>
      </c>
    </row>
    <row r="503" spans="1:15" ht="21" x14ac:dyDescent="0.3">
      <c r="A503" s="19"/>
      <c r="B503" s="20"/>
      <c r="C503" s="20"/>
      <c r="D503" s="20"/>
      <c r="E503" s="20"/>
      <c r="F503" s="21"/>
      <c r="G503" s="22"/>
      <c r="H503" s="18" t="s">
        <v>3034</v>
      </c>
      <c r="I503" s="25" t="s">
        <v>3035</v>
      </c>
      <c r="J503" s="24" t="s">
        <v>28</v>
      </c>
      <c r="K503" s="25" t="s">
        <v>3036</v>
      </c>
      <c r="L503" s="25" t="s">
        <v>3037</v>
      </c>
      <c r="M503" s="25" t="s">
        <v>31</v>
      </c>
      <c r="N503" s="25" t="s">
        <v>3038</v>
      </c>
      <c r="O503" s="25" t="s">
        <v>3039</v>
      </c>
    </row>
    <row r="504" spans="1:15" ht="21" x14ac:dyDescent="0.3">
      <c r="A504" s="19"/>
      <c r="B504" s="20"/>
      <c r="C504" s="20"/>
      <c r="D504" s="20"/>
      <c r="E504" s="20"/>
      <c r="F504" s="21"/>
      <c r="G504" s="22"/>
      <c r="H504" s="18" t="s">
        <v>3040</v>
      </c>
      <c r="I504" s="27" t="s">
        <v>3041</v>
      </c>
      <c r="J504" s="24" t="s">
        <v>20</v>
      </c>
      <c r="K504" s="25" t="s">
        <v>3042</v>
      </c>
      <c r="L504" s="25" t="s">
        <v>3043</v>
      </c>
      <c r="M504" s="25" t="s">
        <v>23</v>
      </c>
      <c r="N504" s="25" t="s">
        <v>3044</v>
      </c>
      <c r="O504" s="25" t="s">
        <v>3045</v>
      </c>
    </row>
    <row r="505" spans="1:15" ht="21" x14ac:dyDescent="0.3">
      <c r="A505" s="19"/>
      <c r="B505" s="20"/>
      <c r="C505" s="20"/>
      <c r="D505" s="20"/>
      <c r="E505" s="20"/>
      <c r="F505" s="21"/>
      <c r="G505" s="22"/>
      <c r="H505" s="18" t="s">
        <v>3046</v>
      </c>
      <c r="I505" s="27" t="s">
        <v>3047</v>
      </c>
      <c r="J505" s="24" t="s">
        <v>20</v>
      </c>
      <c r="K505" s="25" t="s">
        <v>3048</v>
      </c>
      <c r="L505" s="25" t="s">
        <v>3049</v>
      </c>
      <c r="M505" s="25" t="s">
        <v>23</v>
      </c>
      <c r="N505" s="25" t="s">
        <v>3050</v>
      </c>
      <c r="O505" s="25" t="s">
        <v>3051</v>
      </c>
    </row>
    <row r="506" spans="1:15" ht="21" x14ac:dyDescent="0.3">
      <c r="A506" s="19"/>
      <c r="B506" s="20"/>
      <c r="C506" s="20"/>
      <c r="D506" s="20"/>
      <c r="E506" s="20"/>
      <c r="F506" s="21"/>
      <c r="G506" s="22"/>
      <c r="H506" s="18" t="s">
        <v>3052</v>
      </c>
      <c r="I506" s="27" t="s">
        <v>3053</v>
      </c>
      <c r="J506" s="24" t="s">
        <v>20</v>
      </c>
      <c r="K506" s="25" t="s">
        <v>3054</v>
      </c>
      <c r="L506" s="25" t="s">
        <v>3055</v>
      </c>
      <c r="M506" s="25" t="s">
        <v>23</v>
      </c>
      <c r="N506" s="25" t="s">
        <v>3056</v>
      </c>
      <c r="O506" s="25" t="s">
        <v>3057</v>
      </c>
    </row>
  </sheetData>
  <mergeCells count="108">
    <mergeCell ref="G497:G501"/>
    <mergeCell ref="G502:G506"/>
    <mergeCell ref="G467:G471"/>
    <mergeCell ref="G472:G476"/>
    <mergeCell ref="G477:G481"/>
    <mergeCell ref="G482:G486"/>
    <mergeCell ref="G487:G491"/>
    <mergeCell ref="G492:G496"/>
    <mergeCell ref="G437:G441"/>
    <mergeCell ref="G442:G446"/>
    <mergeCell ref="G447:G451"/>
    <mergeCell ref="G452:G456"/>
    <mergeCell ref="G457:G461"/>
    <mergeCell ref="G462:G466"/>
    <mergeCell ref="G392:G396"/>
    <mergeCell ref="G397:G401"/>
    <mergeCell ref="G402:G406"/>
    <mergeCell ref="G407:G411"/>
    <mergeCell ref="F412:F506"/>
    <mergeCell ref="G412:G416"/>
    <mergeCell ref="G417:G421"/>
    <mergeCell ref="G422:G426"/>
    <mergeCell ref="G427:G431"/>
    <mergeCell ref="G432:G436"/>
    <mergeCell ref="F347:F411"/>
    <mergeCell ref="G347:G351"/>
    <mergeCell ref="G352:G356"/>
    <mergeCell ref="G357:G361"/>
    <mergeCell ref="G362:G366"/>
    <mergeCell ref="G367:G371"/>
    <mergeCell ref="G372:G376"/>
    <mergeCell ref="G377:G381"/>
    <mergeCell ref="G382:G386"/>
    <mergeCell ref="G387:G391"/>
    <mergeCell ref="G312:G316"/>
    <mergeCell ref="F317:F346"/>
    <mergeCell ref="G317:G321"/>
    <mergeCell ref="G322:G326"/>
    <mergeCell ref="G327:G331"/>
    <mergeCell ref="G332:G336"/>
    <mergeCell ref="G337:G341"/>
    <mergeCell ref="G342:G346"/>
    <mergeCell ref="G282:G286"/>
    <mergeCell ref="G287:G291"/>
    <mergeCell ref="G292:G296"/>
    <mergeCell ref="G297:G301"/>
    <mergeCell ref="G302:G306"/>
    <mergeCell ref="G307:G311"/>
    <mergeCell ref="G252:G256"/>
    <mergeCell ref="G257:G261"/>
    <mergeCell ref="G262:G266"/>
    <mergeCell ref="G267:G271"/>
    <mergeCell ref="G272:G276"/>
    <mergeCell ref="G277:G281"/>
    <mergeCell ref="G222:G226"/>
    <mergeCell ref="G227:G231"/>
    <mergeCell ref="G232:G236"/>
    <mergeCell ref="G237:G241"/>
    <mergeCell ref="G242:G246"/>
    <mergeCell ref="G247:G251"/>
    <mergeCell ref="G177:G181"/>
    <mergeCell ref="G182:G186"/>
    <mergeCell ref="G187:G191"/>
    <mergeCell ref="F192:F316"/>
    <mergeCell ref="G192:G196"/>
    <mergeCell ref="G197:G201"/>
    <mergeCell ref="G202:G206"/>
    <mergeCell ref="G207:G211"/>
    <mergeCell ref="G212:G216"/>
    <mergeCell ref="G217:G221"/>
    <mergeCell ref="G147:G151"/>
    <mergeCell ref="G152:G156"/>
    <mergeCell ref="G157:G161"/>
    <mergeCell ref="G162:G166"/>
    <mergeCell ref="G167:G171"/>
    <mergeCell ref="G172:G176"/>
    <mergeCell ref="G117:G121"/>
    <mergeCell ref="G122:G126"/>
    <mergeCell ref="G127:G131"/>
    <mergeCell ref="G132:G136"/>
    <mergeCell ref="G137:G141"/>
    <mergeCell ref="G142:G146"/>
    <mergeCell ref="G87:G91"/>
    <mergeCell ref="G92:G96"/>
    <mergeCell ref="G97:G101"/>
    <mergeCell ref="G102:G106"/>
    <mergeCell ref="G107:G111"/>
    <mergeCell ref="G112:G116"/>
    <mergeCell ref="G42:G46"/>
    <mergeCell ref="G47:G51"/>
    <mergeCell ref="F52:F191"/>
    <mergeCell ref="G52:G56"/>
    <mergeCell ref="G57:G61"/>
    <mergeCell ref="G62:G66"/>
    <mergeCell ref="G67:G71"/>
    <mergeCell ref="G72:G76"/>
    <mergeCell ref="G77:G81"/>
    <mergeCell ref="G82:G86"/>
    <mergeCell ref="A2:A506"/>
    <mergeCell ref="F2:F51"/>
    <mergeCell ref="G2:G6"/>
    <mergeCell ref="G7:G11"/>
    <mergeCell ref="G12:G16"/>
    <mergeCell ref="G17:G21"/>
    <mergeCell ref="G22:G26"/>
    <mergeCell ref="G27:G31"/>
    <mergeCell ref="G32:G36"/>
    <mergeCell ref="G37:G41"/>
  </mergeCells>
  <conditionalFormatting sqref="M2:M506">
    <cfRule type="expression" dxfId="4" priority="1">
      <formula>M2="Faible"</formula>
    </cfRule>
    <cfRule type="expression" dxfId="3" priority="2">
      <formula>M2="Moyenne"</formula>
    </cfRule>
    <cfRule type="expression" dxfId="2" priority="3">
      <formula>M2="Élevée"</formula>
    </cfRule>
    <cfRule type="expression" dxfId="1" priority="4">
      <formula>$M$2</formula>
    </cfRule>
    <cfRule type="expression" dxfId="0" priority="5">
      <formula>J2="Élevée"</formula>
    </cfRule>
  </conditionalFormatting>
  <dataValidations count="2">
    <dataValidation type="list" allowBlank="1" showInputMessage="1" showErrorMessage="1" sqref="J2:J506">
      <formula1>$J$461:$J$462</formula1>
    </dataValidation>
    <dataValidation type="list" allowBlank="1" showInputMessage="1" showErrorMessage="1" sqref="M2:M506">
      <formula1>"Élevée,Moyenne,Faible"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Views>
    <sheetView workbookViewId="0">
      <selection sqref="A1:K202"/>
    </sheetView>
  </sheetViews>
  <sheetFormatPr baseColWidth="10" defaultRowHeight="14.4" x14ac:dyDescent="0.3"/>
  <cols>
    <col min="1" max="1" width="46.109375" customWidth="1"/>
    <col min="2" max="2" width="69" customWidth="1"/>
    <col min="3" max="3" width="101.88671875" customWidth="1"/>
    <col min="4" max="4" width="105.21875" customWidth="1"/>
    <col min="5" max="5" width="85.44140625" customWidth="1"/>
    <col min="6" max="6" width="33.6640625" customWidth="1"/>
    <col min="7" max="7" width="88.44140625" customWidth="1"/>
    <col min="8" max="8" width="58.44140625" customWidth="1"/>
    <col min="9" max="9" width="68.6640625" customWidth="1"/>
    <col min="10" max="10" width="80.109375" customWidth="1"/>
    <col min="11" max="11" width="95.88671875" customWidth="1"/>
  </cols>
  <sheetData>
    <row r="1" spans="1:11" ht="18" x14ac:dyDescent="0.35">
      <c r="A1" s="28" t="s">
        <v>3058</v>
      </c>
      <c r="B1" s="28" t="s">
        <v>3059</v>
      </c>
      <c r="C1" s="28" t="s">
        <v>3060</v>
      </c>
      <c r="D1" s="28" t="s">
        <v>3061</v>
      </c>
      <c r="E1" s="28" t="s">
        <v>3062</v>
      </c>
      <c r="F1" s="28" t="s">
        <v>3063</v>
      </c>
      <c r="G1" s="28" t="s">
        <v>3064</v>
      </c>
      <c r="H1" s="28" t="s">
        <v>3065</v>
      </c>
      <c r="I1" s="29" t="s">
        <v>3066</v>
      </c>
      <c r="J1" s="29" t="s">
        <v>3067</v>
      </c>
      <c r="K1" s="29" t="s">
        <v>3068</v>
      </c>
    </row>
    <row r="2" spans="1:11" x14ac:dyDescent="0.3">
      <c r="A2" t="s">
        <v>3069</v>
      </c>
      <c r="B2" s="30" t="s">
        <v>3070</v>
      </c>
      <c r="C2" s="31" t="s">
        <v>3071</v>
      </c>
      <c r="D2" s="32" t="s">
        <v>3072</v>
      </c>
      <c r="E2" t="s">
        <v>3073</v>
      </c>
      <c r="F2" t="s">
        <v>3074</v>
      </c>
      <c r="G2" t="s">
        <v>3075</v>
      </c>
      <c r="H2" t="s">
        <v>3076</v>
      </c>
      <c r="I2" t="s">
        <v>23</v>
      </c>
      <c r="J2" t="s">
        <v>3077</v>
      </c>
      <c r="K2" t="s">
        <v>3078</v>
      </c>
    </row>
    <row r="3" spans="1:11" x14ac:dyDescent="0.3">
      <c r="B3" s="30"/>
      <c r="C3" s="31"/>
      <c r="D3" s="32" t="s">
        <v>3079</v>
      </c>
      <c r="E3" t="s">
        <v>3080</v>
      </c>
      <c r="F3" t="s">
        <v>3074</v>
      </c>
      <c r="G3" t="s">
        <v>3081</v>
      </c>
      <c r="H3" t="s">
        <v>3082</v>
      </c>
      <c r="I3" t="s">
        <v>23</v>
      </c>
      <c r="J3" t="s">
        <v>3083</v>
      </c>
      <c r="K3" t="s">
        <v>3084</v>
      </c>
    </row>
    <row r="4" spans="1:11" x14ac:dyDescent="0.3">
      <c r="B4" s="30"/>
      <c r="C4" s="31"/>
      <c r="D4" s="32" t="s">
        <v>3085</v>
      </c>
      <c r="E4" t="s">
        <v>3086</v>
      </c>
      <c r="F4" t="s">
        <v>3074</v>
      </c>
      <c r="G4" t="s">
        <v>3087</v>
      </c>
      <c r="H4" t="s">
        <v>3088</v>
      </c>
      <c r="I4" t="s">
        <v>31</v>
      </c>
      <c r="J4" t="s">
        <v>3089</v>
      </c>
      <c r="K4" t="s">
        <v>3090</v>
      </c>
    </row>
    <row r="5" spans="1:11" x14ac:dyDescent="0.3">
      <c r="B5" s="30"/>
      <c r="C5" s="31"/>
      <c r="D5" s="32" t="s">
        <v>3091</v>
      </c>
      <c r="E5" t="s">
        <v>3092</v>
      </c>
      <c r="F5" t="s">
        <v>3074</v>
      </c>
      <c r="G5" t="s">
        <v>3093</v>
      </c>
      <c r="H5" t="s">
        <v>3094</v>
      </c>
      <c r="I5" t="s">
        <v>31</v>
      </c>
      <c r="J5" t="s">
        <v>3095</v>
      </c>
      <c r="K5" t="s">
        <v>3096</v>
      </c>
    </row>
    <row r="6" spans="1:11" x14ac:dyDescent="0.3">
      <c r="B6" s="30"/>
      <c r="C6" s="31"/>
      <c r="D6" s="32" t="s">
        <v>3097</v>
      </c>
      <c r="E6" t="s">
        <v>3098</v>
      </c>
      <c r="F6" t="s">
        <v>3074</v>
      </c>
      <c r="G6" t="s">
        <v>3099</v>
      </c>
      <c r="H6" t="s">
        <v>3100</v>
      </c>
      <c r="I6" t="s">
        <v>23</v>
      </c>
      <c r="J6" t="s">
        <v>3101</v>
      </c>
      <c r="K6" t="s">
        <v>3102</v>
      </c>
    </row>
    <row r="7" spans="1:11" x14ac:dyDescent="0.3">
      <c r="B7" s="30"/>
      <c r="C7" s="31" t="s">
        <v>3103</v>
      </c>
      <c r="D7" s="33" t="s">
        <v>3104</v>
      </c>
      <c r="E7" t="s">
        <v>3105</v>
      </c>
      <c r="F7" t="s">
        <v>3106</v>
      </c>
      <c r="G7" t="s">
        <v>3099</v>
      </c>
      <c r="H7" t="s">
        <v>3107</v>
      </c>
      <c r="I7" t="s">
        <v>23</v>
      </c>
      <c r="J7" t="s">
        <v>3108</v>
      </c>
      <c r="K7" t="s">
        <v>3109</v>
      </c>
    </row>
    <row r="8" spans="1:11" x14ac:dyDescent="0.3">
      <c r="B8" s="30"/>
      <c r="C8" s="31"/>
      <c r="D8" s="33" t="s">
        <v>3110</v>
      </c>
      <c r="E8" t="s">
        <v>3111</v>
      </c>
      <c r="F8" t="s">
        <v>3106</v>
      </c>
      <c r="G8" t="s">
        <v>3112</v>
      </c>
      <c r="H8" t="s">
        <v>3113</v>
      </c>
      <c r="I8" t="s">
        <v>23</v>
      </c>
      <c r="J8" t="s">
        <v>3114</v>
      </c>
      <c r="K8" t="s">
        <v>3115</v>
      </c>
    </row>
    <row r="9" spans="1:11" x14ac:dyDescent="0.3">
      <c r="B9" s="30"/>
      <c r="C9" s="31"/>
      <c r="D9" s="33" t="s">
        <v>3116</v>
      </c>
      <c r="E9" t="s">
        <v>3117</v>
      </c>
      <c r="F9" t="s">
        <v>3106</v>
      </c>
      <c r="G9" t="s">
        <v>3118</v>
      </c>
      <c r="H9" t="s">
        <v>3119</v>
      </c>
      <c r="I9" t="s">
        <v>31</v>
      </c>
      <c r="J9" t="s">
        <v>3120</v>
      </c>
      <c r="K9" t="s">
        <v>3121</v>
      </c>
    </row>
    <row r="10" spans="1:11" x14ac:dyDescent="0.3">
      <c r="B10" s="30"/>
      <c r="C10" s="31"/>
      <c r="D10" s="33" t="s">
        <v>3122</v>
      </c>
      <c r="E10" t="s">
        <v>3123</v>
      </c>
      <c r="F10" t="s">
        <v>3106</v>
      </c>
      <c r="G10" t="s">
        <v>3124</v>
      </c>
      <c r="H10" t="s">
        <v>3125</v>
      </c>
      <c r="I10" t="s">
        <v>31</v>
      </c>
      <c r="J10" t="s">
        <v>3126</v>
      </c>
      <c r="K10" t="s">
        <v>3127</v>
      </c>
    </row>
    <row r="11" spans="1:11" x14ac:dyDescent="0.3">
      <c r="B11" s="30"/>
      <c r="C11" s="31"/>
      <c r="D11" s="33" t="s">
        <v>3128</v>
      </c>
      <c r="E11" t="s">
        <v>3129</v>
      </c>
      <c r="F11" t="s">
        <v>3106</v>
      </c>
      <c r="G11" t="s">
        <v>3130</v>
      </c>
      <c r="H11" t="s">
        <v>3131</v>
      </c>
      <c r="I11" t="s">
        <v>23</v>
      </c>
      <c r="J11" t="s">
        <v>3132</v>
      </c>
      <c r="K11" t="s">
        <v>3133</v>
      </c>
    </row>
    <row r="12" spans="1:11" ht="15" x14ac:dyDescent="0.3">
      <c r="B12" s="30"/>
      <c r="C12" s="30" t="s">
        <v>3134</v>
      </c>
      <c r="D12" s="34" t="s">
        <v>3135</v>
      </c>
      <c r="E12" t="s">
        <v>3136</v>
      </c>
      <c r="F12" t="s">
        <v>3106</v>
      </c>
      <c r="G12" t="s">
        <v>3137</v>
      </c>
      <c r="H12" t="s">
        <v>3138</v>
      </c>
      <c r="I12" t="s">
        <v>3139</v>
      </c>
      <c r="J12" t="s">
        <v>3140</v>
      </c>
      <c r="K12" t="s">
        <v>3141</v>
      </c>
    </row>
    <row r="13" spans="1:11" ht="15" x14ac:dyDescent="0.3">
      <c r="B13" s="30"/>
      <c r="C13" s="30"/>
      <c r="D13" s="34" t="s">
        <v>3142</v>
      </c>
      <c r="E13" t="s">
        <v>3143</v>
      </c>
      <c r="F13" t="s">
        <v>3106</v>
      </c>
      <c r="G13" t="s">
        <v>3144</v>
      </c>
      <c r="H13" t="s">
        <v>3145</v>
      </c>
      <c r="I13" t="s">
        <v>23</v>
      </c>
      <c r="J13" t="s">
        <v>3146</v>
      </c>
      <c r="K13" t="s">
        <v>3147</v>
      </c>
    </row>
    <row r="14" spans="1:11" ht="15" x14ac:dyDescent="0.3">
      <c r="B14" s="30"/>
      <c r="C14" s="30"/>
      <c r="D14" s="34" t="s">
        <v>3148</v>
      </c>
      <c r="E14" t="s">
        <v>3149</v>
      </c>
      <c r="F14" t="s">
        <v>3106</v>
      </c>
      <c r="G14" t="s">
        <v>3150</v>
      </c>
      <c r="H14" t="s">
        <v>3151</v>
      </c>
      <c r="I14" t="s">
        <v>3139</v>
      </c>
      <c r="J14" t="s">
        <v>3152</v>
      </c>
      <c r="K14" t="s">
        <v>3153</v>
      </c>
    </row>
    <row r="15" spans="1:11" ht="15" x14ac:dyDescent="0.3">
      <c r="B15" s="30"/>
      <c r="C15" s="30"/>
      <c r="D15" s="34" t="s">
        <v>3154</v>
      </c>
      <c r="E15" t="s">
        <v>3155</v>
      </c>
      <c r="F15" t="s">
        <v>3106</v>
      </c>
      <c r="G15" t="s">
        <v>3156</v>
      </c>
      <c r="H15" t="s">
        <v>3157</v>
      </c>
      <c r="I15" t="s">
        <v>23</v>
      </c>
      <c r="J15" t="s">
        <v>3158</v>
      </c>
      <c r="K15" t="s">
        <v>3159</v>
      </c>
    </row>
    <row r="16" spans="1:11" ht="15" x14ac:dyDescent="0.3">
      <c r="B16" s="30"/>
      <c r="C16" s="30"/>
      <c r="D16" s="34" t="s">
        <v>3160</v>
      </c>
      <c r="E16" t="s">
        <v>3161</v>
      </c>
      <c r="F16" t="s">
        <v>3106</v>
      </c>
      <c r="G16" t="s">
        <v>3162</v>
      </c>
      <c r="H16" t="s">
        <v>3163</v>
      </c>
      <c r="I16" t="s">
        <v>31</v>
      </c>
      <c r="J16" t="s">
        <v>3164</v>
      </c>
      <c r="K16" t="s">
        <v>3165</v>
      </c>
    </row>
    <row r="17" spans="2:11" ht="15" x14ac:dyDescent="0.3">
      <c r="B17" s="30"/>
      <c r="C17" s="30" t="s">
        <v>3166</v>
      </c>
      <c r="D17" s="34" t="s">
        <v>3167</v>
      </c>
      <c r="E17" t="s">
        <v>3168</v>
      </c>
      <c r="F17" t="s">
        <v>3106</v>
      </c>
      <c r="G17" t="s">
        <v>3169</v>
      </c>
      <c r="H17" t="s">
        <v>3170</v>
      </c>
      <c r="I17" t="s">
        <v>23</v>
      </c>
      <c r="J17" t="s">
        <v>3171</v>
      </c>
      <c r="K17" t="s">
        <v>3172</v>
      </c>
    </row>
    <row r="18" spans="2:11" ht="15" x14ac:dyDescent="0.3">
      <c r="B18" s="30"/>
      <c r="C18" s="30"/>
      <c r="D18" s="34" t="s">
        <v>3173</v>
      </c>
      <c r="E18" t="s">
        <v>3174</v>
      </c>
      <c r="F18" t="s">
        <v>3106</v>
      </c>
      <c r="G18" t="s">
        <v>3175</v>
      </c>
      <c r="H18" t="s">
        <v>3176</v>
      </c>
      <c r="I18" t="s">
        <v>23</v>
      </c>
      <c r="J18" t="s">
        <v>3177</v>
      </c>
      <c r="K18" t="s">
        <v>3178</v>
      </c>
    </row>
    <row r="19" spans="2:11" ht="15" x14ac:dyDescent="0.3">
      <c r="B19" s="30"/>
      <c r="C19" s="30"/>
      <c r="D19" s="34" t="s">
        <v>3179</v>
      </c>
      <c r="E19" t="s">
        <v>3180</v>
      </c>
      <c r="F19" t="s">
        <v>3106</v>
      </c>
      <c r="G19" t="s">
        <v>3181</v>
      </c>
      <c r="H19" t="s">
        <v>3182</v>
      </c>
      <c r="I19" t="s">
        <v>3139</v>
      </c>
      <c r="J19" t="s">
        <v>3183</v>
      </c>
      <c r="K19" t="s">
        <v>3184</v>
      </c>
    </row>
    <row r="20" spans="2:11" ht="15" x14ac:dyDescent="0.3">
      <c r="B20" s="30"/>
      <c r="C20" s="30"/>
      <c r="D20" s="34" t="s">
        <v>3185</v>
      </c>
      <c r="E20" t="s">
        <v>3186</v>
      </c>
      <c r="F20" t="s">
        <v>3106</v>
      </c>
      <c r="G20" t="s">
        <v>3187</v>
      </c>
      <c r="H20" t="s">
        <v>3188</v>
      </c>
      <c r="I20" t="s">
        <v>3139</v>
      </c>
      <c r="J20" t="s">
        <v>3189</v>
      </c>
      <c r="K20" t="s">
        <v>3190</v>
      </c>
    </row>
    <row r="21" spans="2:11" x14ac:dyDescent="0.3">
      <c r="B21" s="30"/>
      <c r="C21" s="30"/>
      <c r="D21" s="33" t="s">
        <v>3104</v>
      </c>
      <c r="E21" t="s">
        <v>3191</v>
      </c>
      <c r="F21" t="s">
        <v>3106</v>
      </c>
      <c r="G21" t="s">
        <v>3099</v>
      </c>
      <c r="H21" t="s">
        <v>3107</v>
      </c>
      <c r="I21" t="s">
        <v>23</v>
      </c>
      <c r="J21" t="s">
        <v>3108</v>
      </c>
      <c r="K21" t="s">
        <v>3109</v>
      </c>
    </row>
    <row r="22" spans="2:11" ht="15" x14ac:dyDescent="0.3">
      <c r="B22" s="30"/>
      <c r="C22" s="30" t="s">
        <v>3192</v>
      </c>
      <c r="D22" s="34" t="s">
        <v>3193</v>
      </c>
      <c r="E22" t="s">
        <v>3194</v>
      </c>
      <c r="F22" t="s">
        <v>3195</v>
      </c>
      <c r="G22" t="s">
        <v>3196</v>
      </c>
      <c r="H22" t="s">
        <v>3197</v>
      </c>
      <c r="I22" t="s">
        <v>23</v>
      </c>
      <c r="J22" t="s">
        <v>3198</v>
      </c>
      <c r="K22" t="s">
        <v>3199</v>
      </c>
    </row>
    <row r="23" spans="2:11" ht="15" x14ac:dyDescent="0.3">
      <c r="B23" s="30"/>
      <c r="C23" s="30"/>
      <c r="D23" s="34" t="s">
        <v>3200</v>
      </c>
      <c r="E23" t="s">
        <v>3201</v>
      </c>
      <c r="F23" t="s">
        <v>3202</v>
      </c>
      <c r="G23" t="s">
        <v>3203</v>
      </c>
      <c r="H23" t="s">
        <v>3204</v>
      </c>
      <c r="I23" t="s">
        <v>23</v>
      </c>
      <c r="J23" t="s">
        <v>3205</v>
      </c>
      <c r="K23" t="s">
        <v>3206</v>
      </c>
    </row>
    <row r="24" spans="2:11" ht="15" x14ac:dyDescent="0.3">
      <c r="B24" s="30"/>
      <c r="C24" s="30"/>
      <c r="D24" s="34" t="s">
        <v>3207</v>
      </c>
      <c r="E24" t="s">
        <v>3208</v>
      </c>
      <c r="F24" t="s">
        <v>3195</v>
      </c>
      <c r="G24" t="s">
        <v>3209</v>
      </c>
      <c r="H24" t="s">
        <v>3210</v>
      </c>
      <c r="I24" t="s">
        <v>23</v>
      </c>
      <c r="J24" t="s">
        <v>3211</v>
      </c>
      <c r="K24" t="s">
        <v>3212</v>
      </c>
    </row>
    <row r="25" spans="2:11" ht="15" x14ac:dyDescent="0.3">
      <c r="B25" s="30"/>
      <c r="C25" s="30"/>
      <c r="D25" s="34" t="s">
        <v>3213</v>
      </c>
      <c r="E25" t="s">
        <v>3214</v>
      </c>
      <c r="F25" t="s">
        <v>3202</v>
      </c>
      <c r="G25" t="s">
        <v>3215</v>
      </c>
      <c r="H25" t="s">
        <v>3216</v>
      </c>
      <c r="I25" t="s">
        <v>31</v>
      </c>
      <c r="J25" t="s">
        <v>3217</v>
      </c>
      <c r="K25" t="s">
        <v>3218</v>
      </c>
    </row>
    <row r="26" spans="2:11" ht="15" x14ac:dyDescent="0.3">
      <c r="B26" s="30"/>
      <c r="C26" s="30"/>
      <c r="D26" s="34" t="s">
        <v>3219</v>
      </c>
      <c r="E26" t="s">
        <v>3220</v>
      </c>
      <c r="F26" t="s">
        <v>3195</v>
      </c>
      <c r="G26" t="s">
        <v>3221</v>
      </c>
      <c r="H26" t="s">
        <v>3222</v>
      </c>
      <c r="I26" t="s">
        <v>23</v>
      </c>
      <c r="J26" t="s">
        <v>3223</v>
      </c>
      <c r="K26" t="s">
        <v>3224</v>
      </c>
    </row>
    <row r="27" spans="2:11" x14ac:dyDescent="0.3">
      <c r="B27" s="30" t="s">
        <v>3225</v>
      </c>
      <c r="C27" s="30" t="s">
        <v>3226</v>
      </c>
      <c r="D27" s="32" t="s">
        <v>3227</v>
      </c>
      <c r="E27" t="s">
        <v>3228</v>
      </c>
      <c r="F27" t="s">
        <v>3202</v>
      </c>
      <c r="G27" t="s">
        <v>3229</v>
      </c>
      <c r="H27" t="s">
        <v>3230</v>
      </c>
      <c r="I27" t="s">
        <v>23</v>
      </c>
      <c r="J27" t="s">
        <v>3231</v>
      </c>
      <c r="K27" t="s">
        <v>3232</v>
      </c>
    </row>
    <row r="28" spans="2:11" x14ac:dyDescent="0.3">
      <c r="B28" s="30"/>
      <c r="C28" s="30"/>
      <c r="D28" s="32" t="s">
        <v>3233</v>
      </c>
      <c r="E28" t="s">
        <v>3234</v>
      </c>
      <c r="F28" t="s">
        <v>3195</v>
      </c>
      <c r="G28" t="s">
        <v>3235</v>
      </c>
      <c r="H28" t="s">
        <v>3236</v>
      </c>
      <c r="I28" t="s">
        <v>31</v>
      </c>
      <c r="J28" t="s">
        <v>3237</v>
      </c>
      <c r="K28" t="s">
        <v>3238</v>
      </c>
    </row>
    <row r="29" spans="2:11" x14ac:dyDescent="0.3">
      <c r="B29" s="30"/>
      <c r="C29" s="30"/>
      <c r="D29" s="32" t="s">
        <v>3239</v>
      </c>
      <c r="E29" t="s">
        <v>3240</v>
      </c>
      <c r="F29" t="s">
        <v>3202</v>
      </c>
      <c r="G29" t="s">
        <v>3241</v>
      </c>
      <c r="H29" t="s">
        <v>3242</v>
      </c>
      <c r="I29" t="s">
        <v>3243</v>
      </c>
      <c r="J29" t="s">
        <v>3244</v>
      </c>
      <c r="K29" t="s">
        <v>3245</v>
      </c>
    </row>
    <row r="30" spans="2:11" x14ac:dyDescent="0.3">
      <c r="B30" s="30"/>
      <c r="C30" s="30"/>
      <c r="D30" s="32" t="s">
        <v>3246</v>
      </c>
      <c r="E30" t="s">
        <v>3247</v>
      </c>
      <c r="F30" t="s">
        <v>3195</v>
      </c>
      <c r="G30" t="s">
        <v>3248</v>
      </c>
      <c r="H30" t="s">
        <v>3249</v>
      </c>
      <c r="I30" t="s">
        <v>23</v>
      </c>
      <c r="J30" t="s">
        <v>3250</v>
      </c>
      <c r="K30" t="s">
        <v>3251</v>
      </c>
    </row>
    <row r="31" spans="2:11" x14ac:dyDescent="0.3">
      <c r="B31" s="30"/>
      <c r="C31" s="30"/>
      <c r="D31" s="32" t="s">
        <v>3252</v>
      </c>
      <c r="E31" t="s">
        <v>3253</v>
      </c>
      <c r="F31" t="s">
        <v>3202</v>
      </c>
      <c r="G31" t="s">
        <v>3254</v>
      </c>
      <c r="H31" t="s">
        <v>3255</v>
      </c>
      <c r="I31" t="s">
        <v>31</v>
      </c>
      <c r="J31" t="s">
        <v>3256</v>
      </c>
      <c r="K31" t="s">
        <v>3257</v>
      </c>
    </row>
    <row r="32" spans="2:11" x14ac:dyDescent="0.3">
      <c r="B32" s="30"/>
      <c r="C32" s="30" t="s">
        <v>3258</v>
      </c>
      <c r="D32" t="s">
        <v>3259</v>
      </c>
      <c r="E32" t="s">
        <v>3260</v>
      </c>
      <c r="F32" t="s">
        <v>3195</v>
      </c>
      <c r="G32" t="s">
        <v>3261</v>
      </c>
      <c r="H32" t="s">
        <v>3262</v>
      </c>
      <c r="I32" t="s">
        <v>31</v>
      </c>
      <c r="J32" t="s">
        <v>3263</v>
      </c>
      <c r="K32" t="s">
        <v>3264</v>
      </c>
    </row>
    <row r="33" spans="2:11" x14ac:dyDescent="0.3">
      <c r="B33" s="30"/>
      <c r="C33" s="30"/>
      <c r="D33" t="s">
        <v>3265</v>
      </c>
      <c r="E33" t="s">
        <v>3266</v>
      </c>
      <c r="F33" t="s">
        <v>3202</v>
      </c>
      <c r="G33" t="s">
        <v>3267</v>
      </c>
      <c r="H33" t="s">
        <v>3268</v>
      </c>
      <c r="I33" t="s">
        <v>23</v>
      </c>
      <c r="J33" t="s">
        <v>3269</v>
      </c>
      <c r="K33" t="s">
        <v>3270</v>
      </c>
    </row>
    <row r="34" spans="2:11" x14ac:dyDescent="0.3">
      <c r="B34" s="30"/>
      <c r="C34" s="30"/>
      <c r="D34" t="s">
        <v>3271</v>
      </c>
      <c r="E34" t="s">
        <v>3272</v>
      </c>
      <c r="F34" t="s">
        <v>3195</v>
      </c>
      <c r="G34" t="s">
        <v>3273</v>
      </c>
      <c r="H34" t="s">
        <v>3274</v>
      </c>
      <c r="I34" t="s">
        <v>3139</v>
      </c>
      <c r="J34" t="s">
        <v>3275</v>
      </c>
      <c r="K34" t="s">
        <v>3276</v>
      </c>
    </row>
    <row r="35" spans="2:11" x14ac:dyDescent="0.3">
      <c r="B35" s="30"/>
      <c r="C35" s="30"/>
      <c r="D35" t="s">
        <v>3277</v>
      </c>
      <c r="E35" t="s">
        <v>3278</v>
      </c>
      <c r="F35" t="s">
        <v>3202</v>
      </c>
      <c r="G35" t="s">
        <v>3279</v>
      </c>
      <c r="H35" t="s">
        <v>3280</v>
      </c>
      <c r="I35" t="s">
        <v>23</v>
      </c>
      <c r="J35" t="s">
        <v>3281</v>
      </c>
      <c r="K35" t="s">
        <v>3282</v>
      </c>
    </row>
    <row r="36" spans="2:11" x14ac:dyDescent="0.3">
      <c r="B36" s="30"/>
      <c r="C36" s="30"/>
      <c r="D36" t="s">
        <v>3283</v>
      </c>
      <c r="E36" t="s">
        <v>3284</v>
      </c>
      <c r="F36" t="s">
        <v>3195</v>
      </c>
      <c r="G36" t="s">
        <v>3285</v>
      </c>
      <c r="H36" t="s">
        <v>3286</v>
      </c>
      <c r="I36" t="s">
        <v>3139</v>
      </c>
      <c r="J36" t="s">
        <v>3287</v>
      </c>
      <c r="K36" t="s">
        <v>3288</v>
      </c>
    </row>
    <row r="37" spans="2:11" x14ac:dyDescent="0.3">
      <c r="B37" s="30"/>
      <c r="C37" s="30" t="s">
        <v>3289</v>
      </c>
      <c r="D37" t="s">
        <v>3290</v>
      </c>
      <c r="E37" t="s">
        <v>3291</v>
      </c>
      <c r="F37" t="s">
        <v>3202</v>
      </c>
      <c r="G37" t="s">
        <v>3292</v>
      </c>
      <c r="H37" t="s">
        <v>3293</v>
      </c>
      <c r="I37" t="s">
        <v>23</v>
      </c>
      <c r="J37" t="s">
        <v>3294</v>
      </c>
      <c r="K37" t="s">
        <v>3295</v>
      </c>
    </row>
    <row r="38" spans="2:11" x14ac:dyDescent="0.3">
      <c r="B38" s="30"/>
      <c r="C38" s="30"/>
      <c r="D38" t="s">
        <v>3296</v>
      </c>
      <c r="E38" t="s">
        <v>3297</v>
      </c>
      <c r="F38" t="s">
        <v>3195</v>
      </c>
      <c r="G38" t="s">
        <v>3298</v>
      </c>
      <c r="H38" t="s">
        <v>3299</v>
      </c>
      <c r="I38" t="s">
        <v>3139</v>
      </c>
      <c r="J38" t="s">
        <v>3300</v>
      </c>
      <c r="K38" t="s">
        <v>3301</v>
      </c>
    </row>
    <row r="39" spans="2:11" x14ac:dyDescent="0.3">
      <c r="B39" s="30"/>
      <c r="C39" s="30"/>
      <c r="D39" t="s">
        <v>3302</v>
      </c>
      <c r="E39" t="s">
        <v>3303</v>
      </c>
      <c r="F39" t="s">
        <v>3202</v>
      </c>
      <c r="G39" t="s">
        <v>3304</v>
      </c>
      <c r="H39" t="s">
        <v>3305</v>
      </c>
      <c r="I39" t="s">
        <v>3139</v>
      </c>
      <c r="J39" t="s">
        <v>3306</v>
      </c>
      <c r="K39" t="s">
        <v>3307</v>
      </c>
    </row>
    <row r="40" spans="2:11" x14ac:dyDescent="0.3">
      <c r="B40" s="30"/>
      <c r="C40" s="30"/>
      <c r="D40" t="s">
        <v>3308</v>
      </c>
      <c r="E40" t="s">
        <v>3309</v>
      </c>
      <c r="F40" t="s">
        <v>3195</v>
      </c>
      <c r="G40" t="s">
        <v>3310</v>
      </c>
      <c r="H40" t="s">
        <v>3311</v>
      </c>
      <c r="I40" t="s">
        <v>23</v>
      </c>
      <c r="J40" t="s">
        <v>3312</v>
      </c>
      <c r="K40" t="s">
        <v>3313</v>
      </c>
    </row>
    <row r="41" spans="2:11" x14ac:dyDescent="0.3">
      <c r="B41" s="30"/>
      <c r="C41" s="30"/>
      <c r="D41" t="s">
        <v>3314</v>
      </c>
      <c r="E41" t="s">
        <v>3315</v>
      </c>
      <c r="F41" t="s">
        <v>3202</v>
      </c>
      <c r="G41" t="s">
        <v>3316</v>
      </c>
      <c r="H41" t="s">
        <v>3317</v>
      </c>
      <c r="I41" t="s">
        <v>31</v>
      </c>
      <c r="J41" t="s">
        <v>3318</v>
      </c>
      <c r="K41" t="s">
        <v>3319</v>
      </c>
    </row>
    <row r="42" spans="2:11" x14ac:dyDescent="0.3">
      <c r="B42" s="30"/>
      <c r="C42" s="30" t="s">
        <v>3320</v>
      </c>
      <c r="D42" t="s">
        <v>3321</v>
      </c>
      <c r="E42" t="s">
        <v>3322</v>
      </c>
      <c r="F42" t="s">
        <v>3195</v>
      </c>
      <c r="G42" t="s">
        <v>3323</v>
      </c>
      <c r="H42" t="s">
        <v>3324</v>
      </c>
      <c r="I42" t="s">
        <v>31</v>
      </c>
      <c r="J42" t="s">
        <v>3325</v>
      </c>
      <c r="K42" t="s">
        <v>3326</v>
      </c>
    </row>
    <row r="43" spans="2:11" x14ac:dyDescent="0.3">
      <c r="B43" s="30"/>
      <c r="C43" s="30"/>
      <c r="D43" t="s">
        <v>3327</v>
      </c>
      <c r="E43" t="s">
        <v>3328</v>
      </c>
      <c r="F43" t="s">
        <v>3202</v>
      </c>
      <c r="G43" t="s">
        <v>3329</v>
      </c>
      <c r="H43" t="s">
        <v>3330</v>
      </c>
      <c r="I43" t="s">
        <v>3139</v>
      </c>
      <c r="J43" t="s">
        <v>3331</v>
      </c>
      <c r="K43" t="s">
        <v>3332</v>
      </c>
    </row>
    <row r="44" spans="2:11" x14ac:dyDescent="0.3">
      <c r="B44" s="30"/>
      <c r="C44" s="30"/>
      <c r="D44" t="s">
        <v>3333</v>
      </c>
      <c r="E44" t="s">
        <v>3334</v>
      </c>
      <c r="F44" t="s">
        <v>3195</v>
      </c>
      <c r="G44" t="s">
        <v>3335</v>
      </c>
      <c r="H44" t="s">
        <v>3336</v>
      </c>
      <c r="I44" t="s">
        <v>31</v>
      </c>
      <c r="J44" t="s">
        <v>3337</v>
      </c>
      <c r="K44" t="s">
        <v>3338</v>
      </c>
    </row>
    <row r="45" spans="2:11" x14ac:dyDescent="0.3">
      <c r="B45" s="30"/>
      <c r="C45" s="30"/>
      <c r="D45" t="s">
        <v>3339</v>
      </c>
      <c r="E45" t="s">
        <v>3340</v>
      </c>
      <c r="F45" t="s">
        <v>3202</v>
      </c>
      <c r="G45" t="s">
        <v>3341</v>
      </c>
      <c r="H45" t="s">
        <v>3342</v>
      </c>
      <c r="I45" t="s">
        <v>31</v>
      </c>
      <c r="J45" t="s">
        <v>3343</v>
      </c>
      <c r="K45" t="s">
        <v>3344</v>
      </c>
    </row>
    <row r="46" spans="2:11" x14ac:dyDescent="0.3">
      <c r="B46" s="30"/>
      <c r="C46" s="30"/>
      <c r="D46" t="s">
        <v>3345</v>
      </c>
      <c r="E46" t="s">
        <v>3346</v>
      </c>
      <c r="F46" t="s">
        <v>3195</v>
      </c>
      <c r="G46" t="s">
        <v>3347</v>
      </c>
      <c r="H46" t="s">
        <v>3348</v>
      </c>
      <c r="I46" t="s">
        <v>23</v>
      </c>
      <c r="J46" t="s">
        <v>3349</v>
      </c>
      <c r="K46" t="s">
        <v>3350</v>
      </c>
    </row>
    <row r="47" spans="2:11" x14ac:dyDescent="0.3">
      <c r="B47" s="30"/>
      <c r="C47" s="30" t="s">
        <v>3351</v>
      </c>
      <c r="D47" t="s">
        <v>3352</v>
      </c>
      <c r="E47" t="s">
        <v>3353</v>
      </c>
      <c r="F47" t="s">
        <v>3202</v>
      </c>
      <c r="G47" t="s">
        <v>3354</v>
      </c>
      <c r="H47" t="s">
        <v>3330</v>
      </c>
      <c r="I47" t="s">
        <v>23</v>
      </c>
      <c r="J47" t="s">
        <v>3355</v>
      </c>
      <c r="K47" t="s">
        <v>3356</v>
      </c>
    </row>
    <row r="48" spans="2:11" x14ac:dyDescent="0.3">
      <c r="B48" s="30"/>
      <c r="C48" s="30"/>
      <c r="D48" t="s">
        <v>3357</v>
      </c>
      <c r="E48" t="s">
        <v>3358</v>
      </c>
      <c r="F48" t="s">
        <v>3195</v>
      </c>
      <c r="G48" t="s">
        <v>3359</v>
      </c>
      <c r="H48" t="s">
        <v>3360</v>
      </c>
      <c r="I48" t="s">
        <v>3139</v>
      </c>
      <c r="J48" t="s">
        <v>3361</v>
      </c>
      <c r="K48" t="s">
        <v>3362</v>
      </c>
    </row>
    <row r="49" spans="2:11" x14ac:dyDescent="0.3">
      <c r="B49" s="30"/>
      <c r="C49" s="30"/>
      <c r="D49" t="s">
        <v>3363</v>
      </c>
      <c r="E49" t="s">
        <v>3364</v>
      </c>
      <c r="F49" t="s">
        <v>3202</v>
      </c>
      <c r="G49" t="s">
        <v>3365</v>
      </c>
      <c r="H49" t="s">
        <v>3366</v>
      </c>
      <c r="I49" t="s">
        <v>23</v>
      </c>
      <c r="J49" t="s">
        <v>3367</v>
      </c>
      <c r="K49" t="s">
        <v>3368</v>
      </c>
    </row>
    <row r="50" spans="2:11" x14ac:dyDescent="0.3">
      <c r="B50" s="30"/>
      <c r="C50" s="30"/>
      <c r="D50" t="s">
        <v>3369</v>
      </c>
      <c r="E50" t="s">
        <v>3370</v>
      </c>
      <c r="F50" t="s">
        <v>3195</v>
      </c>
      <c r="G50" t="s">
        <v>3371</v>
      </c>
      <c r="H50" t="s">
        <v>3372</v>
      </c>
      <c r="I50" t="s">
        <v>31</v>
      </c>
      <c r="J50" t="s">
        <v>3373</v>
      </c>
      <c r="K50" t="s">
        <v>3374</v>
      </c>
    </row>
    <row r="51" spans="2:11" x14ac:dyDescent="0.3">
      <c r="B51" s="30"/>
      <c r="C51" s="30"/>
      <c r="D51" t="s">
        <v>3375</v>
      </c>
      <c r="E51" t="s">
        <v>3376</v>
      </c>
      <c r="F51" t="s">
        <v>3202</v>
      </c>
      <c r="G51" t="s">
        <v>3377</v>
      </c>
      <c r="H51" t="s">
        <v>3378</v>
      </c>
      <c r="I51" t="s">
        <v>23</v>
      </c>
      <c r="J51" t="s">
        <v>3379</v>
      </c>
      <c r="K51" t="s">
        <v>3380</v>
      </c>
    </row>
    <row r="52" spans="2:11" x14ac:dyDescent="0.3">
      <c r="B52" s="30"/>
      <c r="C52" s="30" t="s">
        <v>3381</v>
      </c>
      <c r="D52" t="s">
        <v>3382</v>
      </c>
      <c r="E52" t="s">
        <v>3383</v>
      </c>
      <c r="F52" t="s">
        <v>3195</v>
      </c>
      <c r="G52" t="s">
        <v>3384</v>
      </c>
      <c r="H52" t="s">
        <v>3385</v>
      </c>
      <c r="I52" t="s">
        <v>3139</v>
      </c>
      <c r="J52" t="s">
        <v>3386</v>
      </c>
      <c r="K52" t="s">
        <v>3387</v>
      </c>
    </row>
    <row r="53" spans="2:11" x14ac:dyDescent="0.3">
      <c r="B53" s="30"/>
      <c r="C53" s="30"/>
      <c r="D53" t="s">
        <v>3388</v>
      </c>
      <c r="E53" t="s">
        <v>3389</v>
      </c>
      <c r="F53" t="s">
        <v>3202</v>
      </c>
      <c r="G53" t="s">
        <v>3390</v>
      </c>
      <c r="H53" t="s">
        <v>3391</v>
      </c>
      <c r="I53" t="s">
        <v>3139</v>
      </c>
      <c r="J53" t="s">
        <v>3392</v>
      </c>
      <c r="K53" t="s">
        <v>3393</v>
      </c>
    </row>
    <row r="54" spans="2:11" x14ac:dyDescent="0.3">
      <c r="B54" s="30"/>
      <c r="C54" s="30"/>
      <c r="D54" t="s">
        <v>3394</v>
      </c>
      <c r="E54" t="s">
        <v>3395</v>
      </c>
      <c r="F54" t="s">
        <v>3195</v>
      </c>
      <c r="G54" t="s">
        <v>3396</v>
      </c>
      <c r="H54" t="s">
        <v>3397</v>
      </c>
      <c r="I54" t="s">
        <v>23</v>
      </c>
      <c r="J54" t="s">
        <v>3398</v>
      </c>
      <c r="K54" t="s">
        <v>3399</v>
      </c>
    </row>
    <row r="55" spans="2:11" x14ac:dyDescent="0.3">
      <c r="B55" s="30"/>
      <c r="C55" s="30"/>
      <c r="D55" t="s">
        <v>3400</v>
      </c>
      <c r="E55" t="s">
        <v>3401</v>
      </c>
      <c r="F55" t="s">
        <v>3202</v>
      </c>
      <c r="G55" t="s">
        <v>3402</v>
      </c>
      <c r="H55" t="s">
        <v>3403</v>
      </c>
      <c r="I55" t="s">
        <v>3139</v>
      </c>
      <c r="J55" t="s">
        <v>3404</v>
      </c>
      <c r="K55" t="s">
        <v>3405</v>
      </c>
    </row>
    <row r="56" spans="2:11" ht="15" x14ac:dyDescent="0.3">
      <c r="B56" s="30"/>
      <c r="C56" s="30"/>
      <c r="D56" s="34">
        <v>22</v>
      </c>
      <c r="E56" t="s">
        <v>3194</v>
      </c>
      <c r="F56" t="s">
        <v>3406</v>
      </c>
      <c r="G56" t="s">
        <v>3407</v>
      </c>
      <c r="H56" t="s">
        <v>3408</v>
      </c>
      <c r="I56" t="s">
        <v>3139</v>
      </c>
      <c r="J56" t="s">
        <v>3409</v>
      </c>
      <c r="K56" t="s">
        <v>3410</v>
      </c>
    </row>
    <row r="57" spans="2:11" x14ac:dyDescent="0.3">
      <c r="B57" s="30" t="s">
        <v>3411</v>
      </c>
      <c r="C57" s="30" t="s">
        <v>3412</v>
      </c>
      <c r="D57" t="s">
        <v>3413</v>
      </c>
      <c r="E57" t="s">
        <v>3414</v>
      </c>
      <c r="F57" t="s">
        <v>3406</v>
      </c>
      <c r="G57" t="s">
        <v>3415</v>
      </c>
      <c r="H57" t="s">
        <v>3416</v>
      </c>
      <c r="I57" t="s">
        <v>23</v>
      </c>
      <c r="J57" t="s">
        <v>3417</v>
      </c>
      <c r="K57" t="s">
        <v>3418</v>
      </c>
    </row>
    <row r="58" spans="2:11" x14ac:dyDescent="0.3">
      <c r="B58" s="30"/>
      <c r="C58" s="30"/>
      <c r="D58" t="s">
        <v>3419</v>
      </c>
      <c r="E58" t="s">
        <v>3420</v>
      </c>
      <c r="F58" t="s">
        <v>3406</v>
      </c>
      <c r="G58" t="s">
        <v>3421</v>
      </c>
      <c r="H58" t="s">
        <v>3422</v>
      </c>
      <c r="I58" t="s">
        <v>3139</v>
      </c>
      <c r="J58" t="s">
        <v>3423</v>
      </c>
      <c r="K58" t="s">
        <v>3424</v>
      </c>
    </row>
    <row r="59" spans="2:11" x14ac:dyDescent="0.3">
      <c r="B59" s="30"/>
      <c r="C59" s="30"/>
      <c r="D59" t="s">
        <v>3425</v>
      </c>
      <c r="E59" t="s">
        <v>3426</v>
      </c>
      <c r="F59" t="s">
        <v>3406</v>
      </c>
      <c r="G59" t="s">
        <v>3427</v>
      </c>
      <c r="H59" t="s">
        <v>3428</v>
      </c>
      <c r="I59" t="s">
        <v>23</v>
      </c>
      <c r="J59" t="s">
        <v>3429</v>
      </c>
      <c r="K59" t="s">
        <v>3430</v>
      </c>
    </row>
    <row r="60" spans="2:11" x14ac:dyDescent="0.3">
      <c r="B60" s="30"/>
      <c r="C60" s="30"/>
      <c r="D60" t="s">
        <v>3431</v>
      </c>
      <c r="E60" t="s">
        <v>3432</v>
      </c>
      <c r="F60" t="s">
        <v>3406</v>
      </c>
      <c r="G60" t="s">
        <v>3433</v>
      </c>
      <c r="H60" t="s">
        <v>3293</v>
      </c>
      <c r="I60" t="s">
        <v>3139</v>
      </c>
      <c r="J60" t="s">
        <v>3434</v>
      </c>
      <c r="K60" t="s">
        <v>3435</v>
      </c>
    </row>
    <row r="61" spans="2:11" x14ac:dyDescent="0.3">
      <c r="B61" s="30"/>
      <c r="C61" s="30"/>
      <c r="D61" t="s">
        <v>3436</v>
      </c>
      <c r="E61" t="s">
        <v>3437</v>
      </c>
      <c r="F61" t="s">
        <v>3406</v>
      </c>
      <c r="G61" t="s">
        <v>3438</v>
      </c>
      <c r="H61" t="s">
        <v>3439</v>
      </c>
      <c r="I61" t="s">
        <v>31</v>
      </c>
      <c r="J61" t="s">
        <v>3440</v>
      </c>
      <c r="K61" t="s">
        <v>3441</v>
      </c>
    </row>
    <row r="62" spans="2:11" x14ac:dyDescent="0.3">
      <c r="B62" s="30"/>
      <c r="C62" s="30" t="s">
        <v>3442</v>
      </c>
      <c r="D62" t="s">
        <v>3443</v>
      </c>
      <c r="E62" t="s">
        <v>3444</v>
      </c>
      <c r="F62" t="s">
        <v>3406</v>
      </c>
      <c r="G62" t="s">
        <v>3445</v>
      </c>
      <c r="H62" t="s">
        <v>3446</v>
      </c>
      <c r="I62" t="s">
        <v>3139</v>
      </c>
      <c r="J62" t="s">
        <v>3447</v>
      </c>
      <c r="K62" t="s">
        <v>3448</v>
      </c>
    </row>
    <row r="63" spans="2:11" x14ac:dyDescent="0.3">
      <c r="B63" s="30"/>
      <c r="C63" s="30"/>
      <c r="D63" t="s">
        <v>3449</v>
      </c>
      <c r="E63" t="s">
        <v>3450</v>
      </c>
      <c r="F63" t="s">
        <v>3406</v>
      </c>
      <c r="G63" t="s">
        <v>3451</v>
      </c>
      <c r="H63" t="s">
        <v>3452</v>
      </c>
      <c r="I63" t="s">
        <v>23</v>
      </c>
      <c r="J63" t="s">
        <v>3453</v>
      </c>
      <c r="K63" t="s">
        <v>3454</v>
      </c>
    </row>
    <row r="64" spans="2:11" x14ac:dyDescent="0.3">
      <c r="B64" s="30"/>
      <c r="C64" s="30"/>
      <c r="D64" t="s">
        <v>3455</v>
      </c>
      <c r="E64" t="s">
        <v>3456</v>
      </c>
      <c r="F64" t="s">
        <v>3406</v>
      </c>
      <c r="G64" t="s">
        <v>3457</v>
      </c>
      <c r="H64" t="s">
        <v>3458</v>
      </c>
      <c r="I64" t="s">
        <v>23</v>
      </c>
      <c r="J64" t="s">
        <v>3459</v>
      </c>
      <c r="K64" t="s">
        <v>3460</v>
      </c>
    </row>
    <row r="65" spans="2:11" x14ac:dyDescent="0.3">
      <c r="B65" s="30"/>
      <c r="C65" s="30"/>
      <c r="D65" t="s">
        <v>3461</v>
      </c>
      <c r="E65" t="s">
        <v>3462</v>
      </c>
      <c r="F65" t="s">
        <v>3406</v>
      </c>
      <c r="G65" t="s">
        <v>3463</v>
      </c>
      <c r="H65" t="s">
        <v>3464</v>
      </c>
      <c r="I65" t="s">
        <v>3139</v>
      </c>
      <c r="J65" t="s">
        <v>3465</v>
      </c>
      <c r="K65" t="s">
        <v>3466</v>
      </c>
    </row>
    <row r="66" spans="2:11" x14ac:dyDescent="0.3">
      <c r="B66" s="30"/>
      <c r="C66" s="30"/>
      <c r="D66" t="s">
        <v>3467</v>
      </c>
      <c r="E66" t="s">
        <v>3468</v>
      </c>
      <c r="F66" t="s">
        <v>3406</v>
      </c>
      <c r="G66" t="s">
        <v>3469</v>
      </c>
      <c r="H66" t="s">
        <v>3286</v>
      </c>
      <c r="I66" t="s">
        <v>3139</v>
      </c>
      <c r="J66" t="s">
        <v>3470</v>
      </c>
      <c r="K66" t="s">
        <v>3471</v>
      </c>
    </row>
    <row r="67" spans="2:11" x14ac:dyDescent="0.3">
      <c r="B67" s="30"/>
      <c r="C67" s="30" t="s">
        <v>3472</v>
      </c>
      <c r="D67" t="s">
        <v>3473</v>
      </c>
      <c r="E67" t="s">
        <v>3474</v>
      </c>
      <c r="F67" t="s">
        <v>3406</v>
      </c>
      <c r="G67" t="s">
        <v>3475</v>
      </c>
      <c r="H67" t="s">
        <v>3476</v>
      </c>
      <c r="I67" t="s">
        <v>23</v>
      </c>
      <c r="J67" t="s">
        <v>3477</v>
      </c>
      <c r="K67" t="s">
        <v>3478</v>
      </c>
    </row>
    <row r="68" spans="2:11" x14ac:dyDescent="0.3">
      <c r="B68" s="30"/>
      <c r="C68" s="30"/>
      <c r="D68" t="s">
        <v>3479</v>
      </c>
      <c r="E68" t="s">
        <v>3480</v>
      </c>
      <c r="F68" t="s">
        <v>3406</v>
      </c>
      <c r="G68" t="s">
        <v>3481</v>
      </c>
      <c r="H68" t="s">
        <v>3482</v>
      </c>
      <c r="I68" t="s">
        <v>3139</v>
      </c>
      <c r="J68" t="s">
        <v>3483</v>
      </c>
      <c r="K68" t="s">
        <v>3484</v>
      </c>
    </row>
    <row r="69" spans="2:11" x14ac:dyDescent="0.3">
      <c r="B69" s="30"/>
      <c r="C69" s="30"/>
      <c r="D69" t="s">
        <v>3485</v>
      </c>
      <c r="E69" t="s">
        <v>3486</v>
      </c>
      <c r="F69" t="s">
        <v>3406</v>
      </c>
      <c r="G69" t="s">
        <v>3487</v>
      </c>
      <c r="H69" t="s">
        <v>3488</v>
      </c>
      <c r="I69" t="s">
        <v>23</v>
      </c>
      <c r="J69" t="s">
        <v>3489</v>
      </c>
      <c r="K69" t="s">
        <v>3490</v>
      </c>
    </row>
    <row r="70" spans="2:11" x14ac:dyDescent="0.3">
      <c r="B70" s="30"/>
      <c r="C70" s="30"/>
      <c r="D70" t="s">
        <v>3491</v>
      </c>
      <c r="E70" t="s">
        <v>3492</v>
      </c>
      <c r="F70" t="s">
        <v>3406</v>
      </c>
      <c r="G70" t="s">
        <v>3493</v>
      </c>
      <c r="H70" t="s">
        <v>3494</v>
      </c>
      <c r="I70" t="s">
        <v>3139</v>
      </c>
      <c r="J70" t="s">
        <v>3495</v>
      </c>
      <c r="K70" t="s">
        <v>3496</v>
      </c>
    </row>
    <row r="71" spans="2:11" x14ac:dyDescent="0.3">
      <c r="B71" s="30"/>
      <c r="C71" s="30"/>
      <c r="D71" t="s">
        <v>3497</v>
      </c>
      <c r="E71" t="s">
        <v>3498</v>
      </c>
      <c r="F71" t="s">
        <v>3406</v>
      </c>
      <c r="G71" t="s">
        <v>3499</v>
      </c>
      <c r="H71" t="s">
        <v>3500</v>
      </c>
      <c r="I71" t="s">
        <v>3139</v>
      </c>
      <c r="J71" t="s">
        <v>3501</v>
      </c>
      <c r="K71" t="s">
        <v>3502</v>
      </c>
    </row>
    <row r="72" spans="2:11" x14ac:dyDescent="0.3">
      <c r="B72" s="30"/>
      <c r="C72" s="30" t="s">
        <v>3258</v>
      </c>
      <c r="D72" t="s">
        <v>3503</v>
      </c>
      <c r="E72" t="s">
        <v>3504</v>
      </c>
      <c r="F72" t="s">
        <v>3406</v>
      </c>
      <c r="G72" t="s">
        <v>3505</v>
      </c>
      <c r="H72" t="s">
        <v>3506</v>
      </c>
      <c r="I72" t="s">
        <v>3139</v>
      </c>
      <c r="J72" t="s">
        <v>3507</v>
      </c>
      <c r="K72" t="s">
        <v>3508</v>
      </c>
    </row>
    <row r="73" spans="2:11" x14ac:dyDescent="0.3">
      <c r="B73" s="30"/>
      <c r="C73" s="30"/>
      <c r="D73" t="s">
        <v>3509</v>
      </c>
      <c r="E73" t="s">
        <v>3510</v>
      </c>
      <c r="F73" t="s">
        <v>3406</v>
      </c>
      <c r="G73" t="s">
        <v>3511</v>
      </c>
      <c r="H73" t="s">
        <v>3378</v>
      </c>
      <c r="I73" t="s">
        <v>3139</v>
      </c>
      <c r="J73" t="s">
        <v>3512</v>
      </c>
      <c r="K73" t="s">
        <v>3513</v>
      </c>
    </row>
    <row r="74" spans="2:11" x14ac:dyDescent="0.3">
      <c r="B74" s="30"/>
      <c r="C74" s="30"/>
      <c r="D74" t="s">
        <v>3514</v>
      </c>
      <c r="E74" t="s">
        <v>3515</v>
      </c>
      <c r="F74" t="s">
        <v>3406</v>
      </c>
      <c r="G74" t="s">
        <v>3516</v>
      </c>
      <c r="H74" t="s">
        <v>3517</v>
      </c>
      <c r="I74" t="s">
        <v>23</v>
      </c>
      <c r="J74" t="s">
        <v>3518</v>
      </c>
      <c r="K74" t="s">
        <v>3519</v>
      </c>
    </row>
    <row r="75" spans="2:11" x14ac:dyDescent="0.3">
      <c r="B75" s="30"/>
      <c r="C75" s="30"/>
      <c r="D75" t="s">
        <v>3520</v>
      </c>
      <c r="E75" t="s">
        <v>3521</v>
      </c>
      <c r="F75" t="s">
        <v>3406</v>
      </c>
      <c r="G75" t="s">
        <v>3522</v>
      </c>
      <c r="H75" t="s">
        <v>3523</v>
      </c>
      <c r="I75" t="s">
        <v>3139</v>
      </c>
      <c r="J75" t="s">
        <v>3524</v>
      </c>
      <c r="K75" t="s">
        <v>3525</v>
      </c>
    </row>
    <row r="76" spans="2:11" x14ac:dyDescent="0.3">
      <c r="B76" s="30"/>
      <c r="C76" s="30"/>
      <c r="D76" t="s">
        <v>3526</v>
      </c>
      <c r="E76" t="s">
        <v>3527</v>
      </c>
      <c r="F76" t="s">
        <v>3406</v>
      </c>
      <c r="G76" t="s">
        <v>3528</v>
      </c>
      <c r="H76" t="s">
        <v>3529</v>
      </c>
      <c r="I76" t="s">
        <v>3139</v>
      </c>
      <c r="J76" t="s">
        <v>3530</v>
      </c>
      <c r="K76" t="s">
        <v>3531</v>
      </c>
    </row>
    <row r="77" spans="2:11" x14ac:dyDescent="0.3">
      <c r="B77" s="30"/>
      <c r="C77" s="30" t="s">
        <v>3532</v>
      </c>
      <c r="D77" t="s">
        <v>3533</v>
      </c>
      <c r="E77" t="s">
        <v>3534</v>
      </c>
      <c r="F77" t="s">
        <v>3406</v>
      </c>
      <c r="G77" t="s">
        <v>3535</v>
      </c>
      <c r="H77" t="s">
        <v>3536</v>
      </c>
      <c r="I77" t="s">
        <v>3139</v>
      </c>
      <c r="J77" t="s">
        <v>3537</v>
      </c>
      <c r="K77" t="s">
        <v>3538</v>
      </c>
    </row>
    <row r="78" spans="2:11" x14ac:dyDescent="0.3">
      <c r="B78" s="30"/>
      <c r="C78" s="30"/>
      <c r="D78" t="s">
        <v>3539</v>
      </c>
      <c r="E78" t="s">
        <v>3540</v>
      </c>
      <c r="F78" t="s">
        <v>3406</v>
      </c>
      <c r="G78" t="s">
        <v>3541</v>
      </c>
      <c r="H78" t="s">
        <v>3542</v>
      </c>
      <c r="I78" t="s">
        <v>23</v>
      </c>
      <c r="J78" t="s">
        <v>3543</v>
      </c>
      <c r="K78" t="s">
        <v>3544</v>
      </c>
    </row>
    <row r="79" spans="2:11" x14ac:dyDescent="0.3">
      <c r="B79" s="30"/>
      <c r="C79" s="30"/>
      <c r="D79" t="s">
        <v>3545</v>
      </c>
      <c r="E79" t="s">
        <v>3546</v>
      </c>
      <c r="F79" t="s">
        <v>3406</v>
      </c>
      <c r="G79" t="s">
        <v>3547</v>
      </c>
      <c r="H79" t="s">
        <v>3548</v>
      </c>
      <c r="I79" t="s">
        <v>3139</v>
      </c>
      <c r="J79" t="s">
        <v>3549</v>
      </c>
      <c r="K79" t="s">
        <v>3550</v>
      </c>
    </row>
    <row r="80" spans="2:11" x14ac:dyDescent="0.3">
      <c r="B80" s="30"/>
      <c r="C80" s="30"/>
      <c r="D80" t="s">
        <v>3551</v>
      </c>
      <c r="E80" t="s">
        <v>3552</v>
      </c>
      <c r="F80" t="s">
        <v>3406</v>
      </c>
      <c r="G80" t="s">
        <v>3553</v>
      </c>
      <c r="H80" t="s">
        <v>3554</v>
      </c>
      <c r="I80" t="s">
        <v>23</v>
      </c>
      <c r="J80" t="s">
        <v>3555</v>
      </c>
      <c r="K80" t="s">
        <v>3556</v>
      </c>
    </row>
    <row r="81" spans="2:11" x14ac:dyDescent="0.3">
      <c r="B81" s="30"/>
      <c r="C81" s="30"/>
      <c r="D81" t="s">
        <v>3557</v>
      </c>
      <c r="E81" t="s">
        <v>3558</v>
      </c>
      <c r="F81" t="s">
        <v>3406</v>
      </c>
      <c r="G81" t="s">
        <v>3559</v>
      </c>
      <c r="H81" t="s">
        <v>3560</v>
      </c>
      <c r="I81" t="s">
        <v>3139</v>
      </c>
      <c r="J81" t="s">
        <v>3561</v>
      </c>
      <c r="K81" t="s">
        <v>3562</v>
      </c>
    </row>
    <row r="82" spans="2:11" x14ac:dyDescent="0.3">
      <c r="B82" s="30"/>
      <c r="C82" s="30" t="s">
        <v>3563</v>
      </c>
      <c r="D82" t="s">
        <v>3564</v>
      </c>
      <c r="E82" t="s">
        <v>3565</v>
      </c>
      <c r="F82" t="s">
        <v>3406</v>
      </c>
      <c r="G82" t="s">
        <v>3566</v>
      </c>
      <c r="H82" t="s">
        <v>3567</v>
      </c>
      <c r="I82" t="s">
        <v>31</v>
      </c>
      <c r="J82" t="s">
        <v>3568</v>
      </c>
      <c r="K82" t="s">
        <v>3569</v>
      </c>
    </row>
    <row r="83" spans="2:11" x14ac:dyDescent="0.3">
      <c r="B83" s="30"/>
      <c r="C83" s="30"/>
      <c r="D83" t="s">
        <v>3570</v>
      </c>
      <c r="E83" t="s">
        <v>3571</v>
      </c>
      <c r="F83" t="s">
        <v>3406</v>
      </c>
      <c r="G83" t="s">
        <v>3572</v>
      </c>
      <c r="H83" t="s">
        <v>3573</v>
      </c>
      <c r="I83" t="s">
        <v>3139</v>
      </c>
      <c r="J83" t="s">
        <v>3574</v>
      </c>
      <c r="K83" t="s">
        <v>3575</v>
      </c>
    </row>
    <row r="84" spans="2:11" x14ac:dyDescent="0.3">
      <c r="B84" s="30"/>
      <c r="C84" s="30"/>
      <c r="D84" t="s">
        <v>3576</v>
      </c>
      <c r="E84" t="s">
        <v>3577</v>
      </c>
      <c r="F84" t="s">
        <v>3406</v>
      </c>
      <c r="G84" t="s">
        <v>3578</v>
      </c>
      <c r="H84" t="s">
        <v>3579</v>
      </c>
      <c r="I84" t="s">
        <v>23</v>
      </c>
      <c r="J84" t="s">
        <v>3580</v>
      </c>
      <c r="K84" t="s">
        <v>3581</v>
      </c>
    </row>
    <row r="85" spans="2:11" x14ac:dyDescent="0.3">
      <c r="B85" s="30"/>
      <c r="C85" s="30"/>
      <c r="D85" t="s">
        <v>3582</v>
      </c>
      <c r="E85" t="s">
        <v>3583</v>
      </c>
      <c r="F85" t="s">
        <v>3406</v>
      </c>
      <c r="G85" t="s">
        <v>3584</v>
      </c>
      <c r="H85" t="s">
        <v>3585</v>
      </c>
      <c r="I85" t="s">
        <v>23</v>
      </c>
      <c r="J85" t="s">
        <v>3586</v>
      </c>
      <c r="K85" t="s">
        <v>3587</v>
      </c>
    </row>
    <row r="86" spans="2:11" x14ac:dyDescent="0.3">
      <c r="B86" s="30"/>
      <c r="C86" s="30"/>
      <c r="D86" t="s">
        <v>3588</v>
      </c>
      <c r="E86" t="s">
        <v>3589</v>
      </c>
      <c r="F86" t="s">
        <v>3406</v>
      </c>
      <c r="G86" t="s">
        <v>3590</v>
      </c>
      <c r="H86" t="s">
        <v>3591</v>
      </c>
      <c r="I86" t="s">
        <v>3139</v>
      </c>
      <c r="J86" t="s">
        <v>3592</v>
      </c>
      <c r="K86" t="s">
        <v>3593</v>
      </c>
    </row>
    <row r="87" spans="2:11" x14ac:dyDescent="0.3">
      <c r="B87" s="30" t="s">
        <v>3594</v>
      </c>
      <c r="C87" s="31" t="s">
        <v>3595</v>
      </c>
      <c r="D87" t="s">
        <v>3596</v>
      </c>
      <c r="E87" t="s">
        <v>3597</v>
      </c>
      <c r="F87" t="s">
        <v>3406</v>
      </c>
      <c r="G87" t="s">
        <v>3598</v>
      </c>
      <c r="H87" t="s">
        <v>3599</v>
      </c>
      <c r="I87" t="s">
        <v>3139</v>
      </c>
      <c r="J87" t="s">
        <v>3409</v>
      </c>
      <c r="K87" t="s">
        <v>3600</v>
      </c>
    </row>
    <row r="88" spans="2:11" x14ac:dyDescent="0.3">
      <c r="B88" s="30"/>
      <c r="C88" s="31"/>
      <c r="D88" t="s">
        <v>3601</v>
      </c>
      <c r="E88" t="s">
        <v>3602</v>
      </c>
      <c r="F88" t="s">
        <v>3406</v>
      </c>
      <c r="G88" t="s">
        <v>3603</v>
      </c>
      <c r="H88" t="s">
        <v>3604</v>
      </c>
      <c r="I88" t="s">
        <v>23</v>
      </c>
      <c r="J88" t="s">
        <v>3417</v>
      </c>
      <c r="K88" t="s">
        <v>3605</v>
      </c>
    </row>
    <row r="89" spans="2:11" x14ac:dyDescent="0.3">
      <c r="B89" s="30"/>
      <c r="C89" s="31"/>
      <c r="D89" t="s">
        <v>3606</v>
      </c>
      <c r="E89" t="s">
        <v>3607</v>
      </c>
      <c r="F89" t="s">
        <v>3406</v>
      </c>
      <c r="G89" t="s">
        <v>3608</v>
      </c>
      <c r="H89" t="s">
        <v>3609</v>
      </c>
      <c r="I89" t="s">
        <v>3139</v>
      </c>
      <c r="J89" t="s">
        <v>3423</v>
      </c>
      <c r="K89" t="s">
        <v>3610</v>
      </c>
    </row>
    <row r="90" spans="2:11" x14ac:dyDescent="0.3">
      <c r="B90" s="30"/>
      <c r="C90" s="31"/>
      <c r="D90" t="s">
        <v>3611</v>
      </c>
      <c r="E90" t="s">
        <v>3612</v>
      </c>
      <c r="F90" t="s">
        <v>3406</v>
      </c>
      <c r="G90" t="s">
        <v>3613</v>
      </c>
      <c r="H90" t="s">
        <v>3614</v>
      </c>
      <c r="I90" t="s">
        <v>23</v>
      </c>
      <c r="J90" t="s">
        <v>3429</v>
      </c>
      <c r="K90" t="s">
        <v>3615</v>
      </c>
    </row>
    <row r="91" spans="2:11" x14ac:dyDescent="0.3">
      <c r="B91" s="30"/>
      <c r="C91" s="31"/>
      <c r="D91" t="s">
        <v>3616</v>
      </c>
      <c r="E91" t="s">
        <v>3617</v>
      </c>
      <c r="F91" t="s">
        <v>3406</v>
      </c>
      <c r="G91" t="s">
        <v>3618</v>
      </c>
      <c r="H91" t="s">
        <v>3619</v>
      </c>
      <c r="I91" t="s">
        <v>3139</v>
      </c>
      <c r="J91" t="s">
        <v>3434</v>
      </c>
      <c r="K91" t="s">
        <v>3620</v>
      </c>
    </row>
    <row r="92" spans="2:11" x14ac:dyDescent="0.3">
      <c r="B92" s="30"/>
      <c r="C92" s="30" t="s">
        <v>3621</v>
      </c>
      <c r="D92" t="s">
        <v>3622</v>
      </c>
      <c r="E92" t="s">
        <v>3623</v>
      </c>
      <c r="F92" t="s">
        <v>3406</v>
      </c>
      <c r="G92" t="s">
        <v>3624</v>
      </c>
      <c r="H92" t="s">
        <v>3625</v>
      </c>
      <c r="I92" t="s">
        <v>3139</v>
      </c>
      <c r="J92" t="s">
        <v>3440</v>
      </c>
      <c r="K92" t="s">
        <v>3626</v>
      </c>
    </row>
    <row r="93" spans="2:11" x14ac:dyDescent="0.3">
      <c r="B93" s="30"/>
      <c r="C93" s="30"/>
      <c r="D93" t="s">
        <v>3627</v>
      </c>
      <c r="E93" t="s">
        <v>3628</v>
      </c>
      <c r="F93" t="s">
        <v>3406</v>
      </c>
      <c r="G93" t="s">
        <v>3629</v>
      </c>
      <c r="H93" t="s">
        <v>3311</v>
      </c>
      <c r="I93" t="s">
        <v>3139</v>
      </c>
      <c r="J93" t="s">
        <v>3447</v>
      </c>
      <c r="K93" t="s">
        <v>3630</v>
      </c>
    </row>
    <row r="94" spans="2:11" x14ac:dyDescent="0.3">
      <c r="B94" s="30"/>
      <c r="C94" s="30"/>
      <c r="D94" t="s">
        <v>3631</v>
      </c>
      <c r="E94" t="s">
        <v>3632</v>
      </c>
      <c r="F94" t="s">
        <v>3406</v>
      </c>
      <c r="G94" t="s">
        <v>3633</v>
      </c>
      <c r="H94" t="s">
        <v>3634</v>
      </c>
      <c r="I94" t="s">
        <v>3139</v>
      </c>
      <c r="J94" t="s">
        <v>3453</v>
      </c>
      <c r="K94" t="s">
        <v>3635</v>
      </c>
    </row>
    <row r="95" spans="2:11" x14ac:dyDescent="0.3">
      <c r="B95" s="30"/>
      <c r="C95" s="30"/>
      <c r="D95" t="s">
        <v>3636</v>
      </c>
      <c r="E95" t="s">
        <v>3637</v>
      </c>
      <c r="F95" t="s">
        <v>3406</v>
      </c>
      <c r="G95" t="s">
        <v>3638</v>
      </c>
      <c r="H95" t="s">
        <v>3639</v>
      </c>
      <c r="I95" t="s">
        <v>23</v>
      </c>
      <c r="J95" t="s">
        <v>3459</v>
      </c>
      <c r="K95" t="s">
        <v>3640</v>
      </c>
    </row>
    <row r="96" spans="2:11" x14ac:dyDescent="0.3">
      <c r="B96" s="30"/>
      <c r="C96" s="30"/>
      <c r="D96" t="s">
        <v>3641</v>
      </c>
      <c r="E96" t="s">
        <v>3642</v>
      </c>
      <c r="F96" t="s">
        <v>3406</v>
      </c>
      <c r="G96" t="s">
        <v>3643</v>
      </c>
      <c r="H96" t="s">
        <v>3644</v>
      </c>
      <c r="I96" t="s">
        <v>3139</v>
      </c>
      <c r="J96" t="s">
        <v>3465</v>
      </c>
      <c r="K96" t="s">
        <v>3645</v>
      </c>
    </row>
    <row r="97" spans="2:11" x14ac:dyDescent="0.3">
      <c r="B97" s="30"/>
      <c r="C97" s="30" t="s">
        <v>3646</v>
      </c>
      <c r="D97" t="s">
        <v>3622</v>
      </c>
      <c r="E97" t="s">
        <v>3623</v>
      </c>
      <c r="F97" t="s">
        <v>3406</v>
      </c>
      <c r="G97" t="s">
        <v>3647</v>
      </c>
      <c r="H97" t="s">
        <v>3648</v>
      </c>
      <c r="I97" t="s">
        <v>3139</v>
      </c>
      <c r="J97" t="s">
        <v>3470</v>
      </c>
      <c r="K97" t="s">
        <v>3649</v>
      </c>
    </row>
    <row r="98" spans="2:11" x14ac:dyDescent="0.3">
      <c r="B98" s="30"/>
      <c r="C98" s="30"/>
      <c r="D98" t="s">
        <v>3627</v>
      </c>
      <c r="E98" t="s">
        <v>3628</v>
      </c>
      <c r="F98" t="s">
        <v>3406</v>
      </c>
      <c r="G98" t="s">
        <v>3650</v>
      </c>
      <c r="H98" t="s">
        <v>3651</v>
      </c>
      <c r="I98" t="s">
        <v>23</v>
      </c>
      <c r="J98" t="s">
        <v>3477</v>
      </c>
      <c r="K98" t="s">
        <v>3652</v>
      </c>
    </row>
    <row r="99" spans="2:11" x14ac:dyDescent="0.3">
      <c r="B99" s="30"/>
      <c r="C99" s="30"/>
      <c r="D99" t="s">
        <v>3631</v>
      </c>
      <c r="E99" t="s">
        <v>3632</v>
      </c>
      <c r="F99" t="s">
        <v>3406</v>
      </c>
      <c r="G99" t="s">
        <v>3653</v>
      </c>
      <c r="H99" t="s">
        <v>3654</v>
      </c>
      <c r="I99" t="s">
        <v>23</v>
      </c>
      <c r="J99" t="s">
        <v>3483</v>
      </c>
      <c r="K99" t="s">
        <v>3655</v>
      </c>
    </row>
    <row r="100" spans="2:11" x14ac:dyDescent="0.3">
      <c r="B100" s="30"/>
      <c r="C100" s="30"/>
      <c r="D100" t="s">
        <v>3636</v>
      </c>
      <c r="E100" t="s">
        <v>3637</v>
      </c>
      <c r="F100" t="s">
        <v>3406</v>
      </c>
      <c r="G100" t="s">
        <v>3656</v>
      </c>
      <c r="H100" t="s">
        <v>3657</v>
      </c>
      <c r="I100" t="s">
        <v>23</v>
      </c>
      <c r="J100" t="s">
        <v>3489</v>
      </c>
      <c r="K100" t="s">
        <v>3658</v>
      </c>
    </row>
    <row r="101" spans="2:11" x14ac:dyDescent="0.3">
      <c r="B101" s="30"/>
      <c r="C101" s="30"/>
      <c r="D101" t="s">
        <v>3641</v>
      </c>
      <c r="E101" t="s">
        <v>3642</v>
      </c>
      <c r="F101" t="s">
        <v>3406</v>
      </c>
      <c r="G101" t="s">
        <v>3659</v>
      </c>
      <c r="H101" t="s">
        <v>3660</v>
      </c>
      <c r="I101" t="s">
        <v>23</v>
      </c>
      <c r="J101" t="s">
        <v>3495</v>
      </c>
      <c r="K101" t="s">
        <v>3661</v>
      </c>
    </row>
    <row r="102" spans="2:11" x14ac:dyDescent="0.3">
      <c r="B102" s="30"/>
      <c r="C102" s="31" t="s">
        <v>3662</v>
      </c>
      <c r="D102" t="s">
        <v>3663</v>
      </c>
      <c r="E102" t="s">
        <v>3664</v>
      </c>
      <c r="F102" t="s">
        <v>3406</v>
      </c>
      <c r="G102" t="s">
        <v>3665</v>
      </c>
      <c r="H102" t="s">
        <v>3666</v>
      </c>
      <c r="I102" t="s">
        <v>3139</v>
      </c>
      <c r="J102" t="s">
        <v>3501</v>
      </c>
      <c r="K102" t="s">
        <v>3667</v>
      </c>
    </row>
    <row r="103" spans="2:11" x14ac:dyDescent="0.3">
      <c r="B103" s="30"/>
      <c r="C103" s="31"/>
      <c r="D103" t="s">
        <v>3668</v>
      </c>
      <c r="E103" t="s">
        <v>3669</v>
      </c>
      <c r="F103" t="s">
        <v>3406</v>
      </c>
      <c r="G103" t="s">
        <v>3670</v>
      </c>
      <c r="H103" t="s">
        <v>3671</v>
      </c>
      <c r="I103" t="s">
        <v>3139</v>
      </c>
      <c r="J103" t="s">
        <v>3507</v>
      </c>
      <c r="K103" t="s">
        <v>3672</v>
      </c>
    </row>
    <row r="104" spans="2:11" x14ac:dyDescent="0.3">
      <c r="B104" s="30"/>
      <c r="C104" s="31"/>
      <c r="D104" t="s">
        <v>3673</v>
      </c>
      <c r="E104" t="s">
        <v>3674</v>
      </c>
      <c r="F104" t="s">
        <v>3406</v>
      </c>
      <c r="G104" t="s">
        <v>3675</v>
      </c>
      <c r="H104" t="s">
        <v>3625</v>
      </c>
      <c r="I104" t="s">
        <v>3139</v>
      </c>
      <c r="J104" t="s">
        <v>3512</v>
      </c>
      <c r="K104" t="s">
        <v>3676</v>
      </c>
    </row>
    <row r="105" spans="2:11" x14ac:dyDescent="0.3">
      <c r="B105" s="30"/>
      <c r="C105" s="31"/>
      <c r="D105" t="s">
        <v>3677</v>
      </c>
      <c r="E105" t="s">
        <v>3678</v>
      </c>
      <c r="F105" t="s">
        <v>3406</v>
      </c>
      <c r="G105" t="s">
        <v>3679</v>
      </c>
      <c r="H105" t="s">
        <v>3680</v>
      </c>
      <c r="I105" t="s">
        <v>3139</v>
      </c>
      <c r="J105" t="s">
        <v>3518</v>
      </c>
      <c r="K105" t="s">
        <v>3681</v>
      </c>
    </row>
    <row r="106" spans="2:11" x14ac:dyDescent="0.3">
      <c r="B106" s="30"/>
      <c r="C106" s="31"/>
      <c r="D106" t="s">
        <v>3413</v>
      </c>
      <c r="E106" t="s">
        <v>3682</v>
      </c>
      <c r="F106" t="s">
        <v>3406</v>
      </c>
      <c r="G106" t="s">
        <v>3683</v>
      </c>
      <c r="H106" t="s">
        <v>3684</v>
      </c>
      <c r="I106" t="s">
        <v>3139</v>
      </c>
      <c r="J106" t="s">
        <v>3524</v>
      </c>
      <c r="K106" t="s">
        <v>3685</v>
      </c>
    </row>
    <row r="107" spans="2:11" x14ac:dyDescent="0.3">
      <c r="B107" s="30"/>
      <c r="C107" s="31" t="s">
        <v>3686</v>
      </c>
      <c r="D107" t="s">
        <v>3687</v>
      </c>
      <c r="E107" t="s">
        <v>3688</v>
      </c>
      <c r="F107" t="s">
        <v>3406</v>
      </c>
      <c r="G107" t="s">
        <v>3689</v>
      </c>
      <c r="H107" t="s">
        <v>3579</v>
      </c>
      <c r="I107" t="s">
        <v>3139</v>
      </c>
      <c r="J107" t="s">
        <v>3530</v>
      </c>
      <c r="K107" t="s">
        <v>3690</v>
      </c>
    </row>
    <row r="108" spans="2:11" x14ac:dyDescent="0.3">
      <c r="B108" s="30"/>
      <c r="C108" s="31"/>
      <c r="D108" t="s">
        <v>3691</v>
      </c>
      <c r="E108" t="s">
        <v>3692</v>
      </c>
      <c r="F108" t="s">
        <v>3406</v>
      </c>
      <c r="G108" t="s">
        <v>3693</v>
      </c>
      <c r="H108" t="s">
        <v>3694</v>
      </c>
      <c r="I108" t="s">
        <v>23</v>
      </c>
      <c r="J108" t="s">
        <v>3537</v>
      </c>
      <c r="K108" t="s">
        <v>3695</v>
      </c>
    </row>
    <row r="109" spans="2:11" x14ac:dyDescent="0.3">
      <c r="B109" s="30"/>
      <c r="C109" s="31"/>
      <c r="D109" t="s">
        <v>3696</v>
      </c>
      <c r="E109" t="s">
        <v>3697</v>
      </c>
      <c r="F109" t="s">
        <v>3406</v>
      </c>
      <c r="G109" t="s">
        <v>3698</v>
      </c>
      <c r="H109" t="s">
        <v>3699</v>
      </c>
      <c r="I109" t="s">
        <v>23</v>
      </c>
      <c r="J109" t="s">
        <v>3543</v>
      </c>
      <c r="K109" t="s">
        <v>3700</v>
      </c>
    </row>
    <row r="110" spans="2:11" x14ac:dyDescent="0.3">
      <c r="B110" s="30"/>
      <c r="C110" s="31"/>
      <c r="D110" t="s">
        <v>3701</v>
      </c>
      <c r="E110" t="s">
        <v>3702</v>
      </c>
      <c r="F110" t="s">
        <v>3406</v>
      </c>
      <c r="G110" t="s">
        <v>3703</v>
      </c>
      <c r="H110" t="s">
        <v>3704</v>
      </c>
      <c r="I110" t="s">
        <v>23</v>
      </c>
      <c r="J110" t="s">
        <v>3549</v>
      </c>
      <c r="K110" t="s">
        <v>3705</v>
      </c>
    </row>
    <row r="111" spans="2:11" x14ac:dyDescent="0.3">
      <c r="B111" s="30"/>
      <c r="C111" s="31"/>
      <c r="D111" t="s">
        <v>3706</v>
      </c>
      <c r="E111" t="s">
        <v>3707</v>
      </c>
      <c r="F111" t="s">
        <v>3406</v>
      </c>
      <c r="G111" t="s">
        <v>3708</v>
      </c>
      <c r="H111" t="s">
        <v>3709</v>
      </c>
      <c r="I111" t="s">
        <v>23</v>
      </c>
      <c r="J111" t="s">
        <v>3555</v>
      </c>
      <c r="K111" t="s">
        <v>3710</v>
      </c>
    </row>
    <row r="112" spans="2:11" x14ac:dyDescent="0.3">
      <c r="B112" s="30" t="s">
        <v>3711</v>
      </c>
      <c r="C112" s="30" t="s">
        <v>3712</v>
      </c>
      <c r="D112" t="s">
        <v>3713</v>
      </c>
      <c r="E112" t="s">
        <v>3714</v>
      </c>
      <c r="F112" t="s">
        <v>3406</v>
      </c>
      <c r="G112" t="s">
        <v>3715</v>
      </c>
      <c r="H112" t="s">
        <v>3716</v>
      </c>
      <c r="I112" t="s">
        <v>31</v>
      </c>
      <c r="J112" t="s">
        <v>3561</v>
      </c>
      <c r="K112" t="s">
        <v>3717</v>
      </c>
    </row>
    <row r="113" spans="2:11" x14ac:dyDescent="0.3">
      <c r="B113" s="30"/>
      <c r="C113" s="30"/>
      <c r="D113" t="s">
        <v>3718</v>
      </c>
      <c r="E113" t="s">
        <v>3719</v>
      </c>
      <c r="F113" t="s">
        <v>3406</v>
      </c>
      <c r="G113" t="s">
        <v>3720</v>
      </c>
      <c r="H113" t="s">
        <v>3721</v>
      </c>
      <c r="I113" t="s">
        <v>23</v>
      </c>
      <c r="J113" t="s">
        <v>3568</v>
      </c>
      <c r="K113" t="s">
        <v>3722</v>
      </c>
    </row>
    <row r="114" spans="2:11" x14ac:dyDescent="0.3">
      <c r="B114" s="30"/>
      <c r="C114" s="30"/>
      <c r="D114" t="s">
        <v>3723</v>
      </c>
      <c r="E114" t="s">
        <v>3724</v>
      </c>
      <c r="F114" t="s">
        <v>3406</v>
      </c>
      <c r="G114" t="s">
        <v>3725</v>
      </c>
      <c r="H114" t="s">
        <v>3726</v>
      </c>
      <c r="I114" t="s">
        <v>23</v>
      </c>
      <c r="J114" t="s">
        <v>3574</v>
      </c>
      <c r="K114" t="s">
        <v>3727</v>
      </c>
    </row>
    <row r="115" spans="2:11" x14ac:dyDescent="0.3">
      <c r="B115" s="30"/>
      <c r="C115" s="30"/>
      <c r="D115" t="s">
        <v>3728</v>
      </c>
      <c r="E115" t="s">
        <v>3729</v>
      </c>
      <c r="F115" t="s">
        <v>3406</v>
      </c>
      <c r="G115" t="s">
        <v>3730</v>
      </c>
      <c r="H115" t="s">
        <v>3731</v>
      </c>
      <c r="I115" t="s">
        <v>23</v>
      </c>
      <c r="J115" t="s">
        <v>3580</v>
      </c>
      <c r="K115" t="s">
        <v>3732</v>
      </c>
    </row>
    <row r="116" spans="2:11" x14ac:dyDescent="0.3">
      <c r="B116" s="30"/>
      <c r="C116" s="30"/>
      <c r="D116" t="s">
        <v>3733</v>
      </c>
      <c r="E116" t="s">
        <v>3734</v>
      </c>
      <c r="F116" t="s">
        <v>3406</v>
      </c>
      <c r="G116" t="s">
        <v>3735</v>
      </c>
      <c r="H116" t="s">
        <v>3736</v>
      </c>
      <c r="I116" t="s">
        <v>31</v>
      </c>
      <c r="J116" t="s">
        <v>3586</v>
      </c>
      <c r="K116" t="s">
        <v>3737</v>
      </c>
    </row>
    <row r="117" spans="2:11" x14ac:dyDescent="0.3">
      <c r="B117" s="30"/>
      <c r="C117" s="31" t="s">
        <v>3738</v>
      </c>
      <c r="D117" t="s">
        <v>3739</v>
      </c>
      <c r="E117" t="s">
        <v>3740</v>
      </c>
      <c r="F117" t="s">
        <v>3406</v>
      </c>
      <c r="G117" t="s">
        <v>3741</v>
      </c>
      <c r="H117" t="s">
        <v>3742</v>
      </c>
      <c r="I117" t="s">
        <v>23</v>
      </c>
      <c r="J117" t="s">
        <v>3592</v>
      </c>
      <c r="K117" t="s">
        <v>3743</v>
      </c>
    </row>
    <row r="118" spans="2:11" x14ac:dyDescent="0.3">
      <c r="B118" s="30"/>
      <c r="C118" s="31"/>
      <c r="D118" t="s">
        <v>3744</v>
      </c>
      <c r="E118" t="s">
        <v>3745</v>
      </c>
      <c r="F118" t="s">
        <v>3406</v>
      </c>
      <c r="G118" t="s">
        <v>3746</v>
      </c>
      <c r="H118" t="s">
        <v>3747</v>
      </c>
      <c r="I118" t="s">
        <v>23</v>
      </c>
      <c r="J118" t="s">
        <v>3748</v>
      </c>
      <c r="K118" t="s">
        <v>3749</v>
      </c>
    </row>
    <row r="119" spans="2:11" x14ac:dyDescent="0.3">
      <c r="B119" s="30"/>
      <c r="C119" s="31"/>
      <c r="D119" t="s">
        <v>3750</v>
      </c>
      <c r="E119" t="s">
        <v>3751</v>
      </c>
      <c r="F119" t="s">
        <v>3406</v>
      </c>
      <c r="G119" t="s">
        <v>3752</v>
      </c>
      <c r="H119" t="s">
        <v>3753</v>
      </c>
      <c r="I119" t="s">
        <v>23</v>
      </c>
      <c r="J119" t="s">
        <v>3754</v>
      </c>
      <c r="K119" t="s">
        <v>3755</v>
      </c>
    </row>
    <row r="120" spans="2:11" x14ac:dyDescent="0.3">
      <c r="B120" s="30"/>
      <c r="C120" s="31"/>
      <c r="D120" t="s">
        <v>3756</v>
      </c>
      <c r="E120" t="s">
        <v>3757</v>
      </c>
      <c r="F120" t="s">
        <v>3406</v>
      </c>
      <c r="G120" t="s">
        <v>3758</v>
      </c>
      <c r="H120" t="s">
        <v>3759</v>
      </c>
      <c r="I120" t="s">
        <v>23</v>
      </c>
      <c r="J120" t="s">
        <v>3760</v>
      </c>
      <c r="K120" t="s">
        <v>3761</v>
      </c>
    </row>
    <row r="121" spans="2:11" x14ac:dyDescent="0.3">
      <c r="B121" s="30"/>
      <c r="C121" s="31"/>
      <c r="D121" t="s">
        <v>3762</v>
      </c>
      <c r="E121" t="s">
        <v>3763</v>
      </c>
      <c r="F121" t="s">
        <v>3406</v>
      </c>
      <c r="G121" t="s">
        <v>3764</v>
      </c>
      <c r="H121" t="s">
        <v>3765</v>
      </c>
      <c r="I121" t="s">
        <v>23</v>
      </c>
      <c r="J121" t="s">
        <v>3766</v>
      </c>
      <c r="K121" t="s">
        <v>3767</v>
      </c>
    </row>
    <row r="122" spans="2:11" x14ac:dyDescent="0.3">
      <c r="B122" s="30"/>
      <c r="C122" s="31" t="s">
        <v>3768</v>
      </c>
      <c r="D122" t="s">
        <v>3769</v>
      </c>
      <c r="E122" t="s">
        <v>3770</v>
      </c>
      <c r="F122" t="s">
        <v>3406</v>
      </c>
      <c r="G122" t="s">
        <v>3771</v>
      </c>
      <c r="H122" t="s">
        <v>3772</v>
      </c>
      <c r="I122" t="s">
        <v>3139</v>
      </c>
      <c r="J122" t="s">
        <v>3773</v>
      </c>
      <c r="K122" t="s">
        <v>3774</v>
      </c>
    </row>
    <row r="123" spans="2:11" x14ac:dyDescent="0.3">
      <c r="B123" s="30"/>
      <c r="C123" s="31"/>
      <c r="D123" t="s">
        <v>3775</v>
      </c>
      <c r="E123" t="s">
        <v>3776</v>
      </c>
      <c r="F123" t="s">
        <v>3406</v>
      </c>
      <c r="G123" t="s">
        <v>3777</v>
      </c>
      <c r="H123" t="s">
        <v>3778</v>
      </c>
      <c r="I123" t="s">
        <v>3139</v>
      </c>
      <c r="J123" t="s">
        <v>3779</v>
      </c>
      <c r="K123" t="s">
        <v>3780</v>
      </c>
    </row>
    <row r="124" spans="2:11" x14ac:dyDescent="0.3">
      <c r="B124" s="30"/>
      <c r="C124" s="31"/>
      <c r="D124" t="s">
        <v>3781</v>
      </c>
      <c r="E124" t="s">
        <v>3782</v>
      </c>
      <c r="F124" t="s">
        <v>3406</v>
      </c>
      <c r="G124" t="s">
        <v>3783</v>
      </c>
      <c r="H124" t="s">
        <v>3784</v>
      </c>
      <c r="I124" t="s">
        <v>3139</v>
      </c>
      <c r="J124" t="s">
        <v>3785</v>
      </c>
      <c r="K124" t="s">
        <v>3786</v>
      </c>
    </row>
    <row r="125" spans="2:11" x14ac:dyDescent="0.3">
      <c r="B125" s="30"/>
      <c r="C125" s="31"/>
      <c r="D125" t="s">
        <v>3787</v>
      </c>
      <c r="E125" t="s">
        <v>3788</v>
      </c>
      <c r="F125" t="s">
        <v>3406</v>
      </c>
      <c r="G125" t="s">
        <v>3789</v>
      </c>
      <c r="H125" t="s">
        <v>3790</v>
      </c>
      <c r="I125" t="s">
        <v>3139</v>
      </c>
      <c r="J125" t="s">
        <v>3791</v>
      </c>
      <c r="K125" t="s">
        <v>3792</v>
      </c>
    </row>
    <row r="126" spans="2:11" x14ac:dyDescent="0.3">
      <c r="B126" s="30"/>
      <c r="C126" s="31"/>
      <c r="D126" t="s">
        <v>3793</v>
      </c>
      <c r="E126" t="s">
        <v>3794</v>
      </c>
      <c r="F126" t="s">
        <v>3406</v>
      </c>
      <c r="G126" t="s">
        <v>3795</v>
      </c>
      <c r="H126" t="s">
        <v>3796</v>
      </c>
      <c r="I126" t="s">
        <v>3139</v>
      </c>
      <c r="J126" t="s">
        <v>3797</v>
      </c>
      <c r="K126" t="s">
        <v>3798</v>
      </c>
    </row>
    <row r="127" spans="2:11" x14ac:dyDescent="0.3">
      <c r="B127" s="30"/>
      <c r="C127" s="30" t="s">
        <v>3799</v>
      </c>
      <c r="D127" t="s">
        <v>3800</v>
      </c>
      <c r="E127" t="s">
        <v>3801</v>
      </c>
      <c r="F127" t="s">
        <v>3406</v>
      </c>
      <c r="G127" t="s">
        <v>3802</v>
      </c>
      <c r="H127" t="s">
        <v>3803</v>
      </c>
      <c r="I127" t="s">
        <v>3139</v>
      </c>
      <c r="J127" t="s">
        <v>3804</v>
      </c>
      <c r="K127" t="s">
        <v>3805</v>
      </c>
    </row>
    <row r="128" spans="2:11" x14ac:dyDescent="0.3">
      <c r="B128" s="30"/>
      <c r="C128" s="30"/>
      <c r="D128" t="s">
        <v>3806</v>
      </c>
      <c r="E128" t="s">
        <v>3807</v>
      </c>
      <c r="F128" t="s">
        <v>3406</v>
      </c>
      <c r="G128" t="s">
        <v>3808</v>
      </c>
      <c r="H128" t="s">
        <v>3809</v>
      </c>
      <c r="I128" t="s">
        <v>3139</v>
      </c>
      <c r="J128" t="s">
        <v>3810</v>
      </c>
      <c r="K128" t="s">
        <v>3811</v>
      </c>
    </row>
    <row r="129" spans="2:11" x14ac:dyDescent="0.3">
      <c r="B129" s="30"/>
      <c r="C129" s="30"/>
      <c r="D129" t="s">
        <v>3812</v>
      </c>
      <c r="E129" t="s">
        <v>3813</v>
      </c>
      <c r="F129" t="s">
        <v>3406</v>
      </c>
      <c r="G129" t="s">
        <v>3814</v>
      </c>
      <c r="H129" t="s">
        <v>3815</v>
      </c>
      <c r="I129" t="s">
        <v>3139</v>
      </c>
      <c r="J129" t="s">
        <v>3816</v>
      </c>
      <c r="K129" t="s">
        <v>3817</v>
      </c>
    </row>
    <row r="130" spans="2:11" x14ac:dyDescent="0.3">
      <c r="B130" s="30"/>
      <c r="C130" s="30"/>
      <c r="D130" t="s">
        <v>3818</v>
      </c>
      <c r="E130" t="s">
        <v>3819</v>
      </c>
      <c r="F130" t="s">
        <v>3406</v>
      </c>
      <c r="G130" t="s">
        <v>3820</v>
      </c>
      <c r="H130" t="s">
        <v>3821</v>
      </c>
      <c r="I130" t="s">
        <v>3139</v>
      </c>
      <c r="J130" t="s">
        <v>3822</v>
      </c>
      <c r="K130" t="s">
        <v>3823</v>
      </c>
    </row>
    <row r="131" spans="2:11" x14ac:dyDescent="0.3">
      <c r="B131" s="30"/>
      <c r="C131" s="30"/>
      <c r="D131" t="s">
        <v>3824</v>
      </c>
      <c r="E131" t="s">
        <v>3825</v>
      </c>
      <c r="F131" t="s">
        <v>3406</v>
      </c>
      <c r="G131" t="s">
        <v>3826</v>
      </c>
      <c r="H131" t="s">
        <v>3827</v>
      </c>
      <c r="I131" t="s">
        <v>3139</v>
      </c>
      <c r="J131" t="s">
        <v>3828</v>
      </c>
      <c r="K131" t="s">
        <v>3829</v>
      </c>
    </row>
    <row r="132" spans="2:11" x14ac:dyDescent="0.3">
      <c r="B132" s="30"/>
      <c r="C132" s="30" t="s">
        <v>3830</v>
      </c>
      <c r="D132" t="s">
        <v>3831</v>
      </c>
      <c r="E132" t="s">
        <v>3832</v>
      </c>
      <c r="F132" t="s">
        <v>3406</v>
      </c>
      <c r="G132" t="s">
        <v>3833</v>
      </c>
      <c r="H132" t="s">
        <v>3834</v>
      </c>
      <c r="I132" t="s">
        <v>23</v>
      </c>
      <c r="J132" t="s">
        <v>3835</v>
      </c>
      <c r="K132" t="s">
        <v>3836</v>
      </c>
    </row>
    <row r="133" spans="2:11" x14ac:dyDescent="0.3">
      <c r="B133" s="30"/>
      <c r="C133" s="30"/>
      <c r="D133" t="s">
        <v>3837</v>
      </c>
      <c r="E133" t="s">
        <v>3838</v>
      </c>
      <c r="F133" t="s">
        <v>3406</v>
      </c>
      <c r="G133" t="s">
        <v>3839</v>
      </c>
      <c r="H133" t="s">
        <v>3840</v>
      </c>
      <c r="I133" t="s">
        <v>3139</v>
      </c>
      <c r="J133" t="s">
        <v>3841</v>
      </c>
      <c r="K133" t="s">
        <v>3842</v>
      </c>
    </row>
    <row r="134" spans="2:11" x14ac:dyDescent="0.3">
      <c r="B134" s="30"/>
      <c r="C134" s="30"/>
      <c r="D134" t="s">
        <v>3843</v>
      </c>
      <c r="E134" t="s">
        <v>3844</v>
      </c>
      <c r="F134" t="s">
        <v>3406</v>
      </c>
      <c r="G134" t="s">
        <v>3845</v>
      </c>
      <c r="H134" t="s">
        <v>3846</v>
      </c>
      <c r="I134" t="s">
        <v>3139</v>
      </c>
      <c r="J134" t="s">
        <v>3847</v>
      </c>
      <c r="K134" t="s">
        <v>3848</v>
      </c>
    </row>
    <row r="135" spans="2:11" x14ac:dyDescent="0.3">
      <c r="B135" s="30"/>
      <c r="C135" s="30"/>
      <c r="D135" t="s">
        <v>3849</v>
      </c>
      <c r="E135" t="s">
        <v>3850</v>
      </c>
      <c r="F135" t="s">
        <v>3406</v>
      </c>
      <c r="G135" t="s">
        <v>3851</v>
      </c>
      <c r="H135" t="s">
        <v>3852</v>
      </c>
      <c r="I135" t="s">
        <v>3139</v>
      </c>
      <c r="J135" t="s">
        <v>3853</v>
      </c>
      <c r="K135" t="s">
        <v>3854</v>
      </c>
    </row>
    <row r="136" spans="2:11" x14ac:dyDescent="0.3">
      <c r="B136" s="30"/>
      <c r="C136" s="30"/>
      <c r="D136" t="s">
        <v>3855</v>
      </c>
      <c r="E136" t="s">
        <v>3856</v>
      </c>
      <c r="F136" t="s">
        <v>3406</v>
      </c>
      <c r="G136" t="s">
        <v>3857</v>
      </c>
      <c r="H136" t="s">
        <v>3858</v>
      </c>
      <c r="I136" t="s">
        <v>3139</v>
      </c>
      <c r="J136" t="s">
        <v>3859</v>
      </c>
      <c r="K136" t="s">
        <v>3860</v>
      </c>
    </row>
    <row r="137" spans="2:11" x14ac:dyDescent="0.3">
      <c r="B137" s="30"/>
      <c r="C137" s="31" t="s">
        <v>3861</v>
      </c>
      <c r="D137" t="s">
        <v>3862</v>
      </c>
      <c r="E137" t="s">
        <v>3863</v>
      </c>
      <c r="F137" t="s">
        <v>3406</v>
      </c>
      <c r="G137" t="s">
        <v>3864</v>
      </c>
      <c r="H137" t="s">
        <v>3865</v>
      </c>
      <c r="I137" t="s">
        <v>3139</v>
      </c>
      <c r="J137" t="s">
        <v>3866</v>
      </c>
      <c r="K137" t="s">
        <v>3867</v>
      </c>
    </row>
    <row r="138" spans="2:11" x14ac:dyDescent="0.3">
      <c r="B138" s="30"/>
      <c r="C138" s="31"/>
      <c r="D138" t="s">
        <v>3868</v>
      </c>
      <c r="E138" t="s">
        <v>3869</v>
      </c>
      <c r="F138" t="s">
        <v>3406</v>
      </c>
      <c r="G138" t="s">
        <v>3870</v>
      </c>
      <c r="H138" t="s">
        <v>3871</v>
      </c>
      <c r="I138" t="s">
        <v>3139</v>
      </c>
      <c r="J138" t="s">
        <v>3872</v>
      </c>
      <c r="K138" t="s">
        <v>3873</v>
      </c>
    </row>
    <row r="139" spans="2:11" x14ac:dyDescent="0.3">
      <c r="B139" s="30"/>
      <c r="C139" s="31"/>
      <c r="D139" t="s">
        <v>3874</v>
      </c>
      <c r="E139" t="s">
        <v>3875</v>
      </c>
      <c r="F139" t="s">
        <v>3406</v>
      </c>
      <c r="G139" t="s">
        <v>3876</v>
      </c>
      <c r="H139" t="s">
        <v>3877</v>
      </c>
      <c r="I139" t="s">
        <v>3139</v>
      </c>
      <c r="J139" t="s">
        <v>3878</v>
      </c>
      <c r="K139" t="s">
        <v>3879</v>
      </c>
    </row>
    <row r="140" spans="2:11" x14ac:dyDescent="0.3">
      <c r="B140" s="30"/>
      <c r="C140" s="31"/>
      <c r="D140" t="s">
        <v>3880</v>
      </c>
      <c r="E140" t="s">
        <v>3881</v>
      </c>
      <c r="F140" t="s">
        <v>3406</v>
      </c>
      <c r="G140" t="s">
        <v>3882</v>
      </c>
      <c r="H140" t="s">
        <v>3883</v>
      </c>
      <c r="I140" t="s">
        <v>3139</v>
      </c>
      <c r="J140" t="s">
        <v>3884</v>
      </c>
      <c r="K140" t="s">
        <v>3885</v>
      </c>
    </row>
    <row r="141" spans="2:11" x14ac:dyDescent="0.3">
      <c r="B141" s="30"/>
      <c r="C141" s="31"/>
      <c r="D141" t="s">
        <v>3886</v>
      </c>
      <c r="E141" t="s">
        <v>3887</v>
      </c>
      <c r="F141" t="s">
        <v>3406</v>
      </c>
      <c r="G141" t="s">
        <v>3888</v>
      </c>
      <c r="H141" t="s">
        <v>3889</v>
      </c>
      <c r="I141" t="s">
        <v>3139</v>
      </c>
      <c r="J141" t="s">
        <v>3890</v>
      </c>
      <c r="K141" t="s">
        <v>3891</v>
      </c>
    </row>
    <row r="142" spans="2:11" x14ac:dyDescent="0.3">
      <c r="B142" s="30"/>
      <c r="C142" s="31" t="s">
        <v>3892</v>
      </c>
      <c r="D142" t="s">
        <v>3893</v>
      </c>
      <c r="E142" t="s">
        <v>3894</v>
      </c>
      <c r="F142" t="s">
        <v>3406</v>
      </c>
      <c r="G142" t="s">
        <v>3895</v>
      </c>
      <c r="H142" t="s">
        <v>3896</v>
      </c>
      <c r="I142" t="s">
        <v>3139</v>
      </c>
      <c r="J142" t="s">
        <v>3897</v>
      </c>
      <c r="K142" t="s">
        <v>3898</v>
      </c>
    </row>
    <row r="143" spans="2:11" x14ac:dyDescent="0.3">
      <c r="B143" s="30"/>
      <c r="C143" s="31"/>
      <c r="D143" t="s">
        <v>3899</v>
      </c>
      <c r="E143" t="s">
        <v>3900</v>
      </c>
      <c r="F143" t="s">
        <v>3406</v>
      </c>
      <c r="G143" t="s">
        <v>3901</v>
      </c>
      <c r="H143" t="s">
        <v>3902</v>
      </c>
      <c r="I143" t="s">
        <v>3139</v>
      </c>
      <c r="J143" t="s">
        <v>3903</v>
      </c>
      <c r="K143" t="s">
        <v>3904</v>
      </c>
    </row>
    <row r="144" spans="2:11" x14ac:dyDescent="0.3">
      <c r="B144" s="30"/>
      <c r="C144" s="31"/>
      <c r="D144" t="s">
        <v>3905</v>
      </c>
      <c r="E144" t="s">
        <v>3906</v>
      </c>
      <c r="F144" t="s">
        <v>3406</v>
      </c>
      <c r="G144" t="s">
        <v>3907</v>
      </c>
      <c r="H144" t="s">
        <v>3908</v>
      </c>
      <c r="I144" t="s">
        <v>3139</v>
      </c>
      <c r="J144" t="s">
        <v>3909</v>
      </c>
      <c r="K144" t="s">
        <v>3910</v>
      </c>
    </row>
    <row r="145" spans="2:11" x14ac:dyDescent="0.3">
      <c r="B145" s="30"/>
      <c r="C145" s="31"/>
      <c r="D145" t="s">
        <v>3911</v>
      </c>
      <c r="E145" t="s">
        <v>3912</v>
      </c>
      <c r="F145" t="s">
        <v>3406</v>
      </c>
      <c r="G145" t="s">
        <v>3913</v>
      </c>
      <c r="H145" t="s">
        <v>3914</v>
      </c>
      <c r="I145" t="s">
        <v>3139</v>
      </c>
      <c r="J145" t="s">
        <v>3915</v>
      </c>
      <c r="K145" t="s">
        <v>3916</v>
      </c>
    </row>
    <row r="146" spans="2:11" x14ac:dyDescent="0.3">
      <c r="B146" s="30"/>
      <c r="C146" s="31"/>
      <c r="D146" t="s">
        <v>3917</v>
      </c>
      <c r="E146" t="s">
        <v>3918</v>
      </c>
      <c r="F146" t="s">
        <v>3406</v>
      </c>
      <c r="G146" t="s">
        <v>3919</v>
      </c>
      <c r="H146" t="s">
        <v>3920</v>
      </c>
      <c r="I146" t="s">
        <v>3139</v>
      </c>
      <c r="J146" t="s">
        <v>3921</v>
      </c>
      <c r="K146" t="s">
        <v>3922</v>
      </c>
    </row>
    <row r="147" spans="2:11" x14ac:dyDescent="0.3">
      <c r="B147" s="30"/>
      <c r="C147" s="30" t="s">
        <v>3923</v>
      </c>
      <c r="D147" t="s">
        <v>3924</v>
      </c>
      <c r="E147" t="s">
        <v>3925</v>
      </c>
      <c r="F147" t="s">
        <v>3406</v>
      </c>
      <c r="G147" t="s">
        <v>3926</v>
      </c>
      <c r="H147" t="s">
        <v>3927</v>
      </c>
      <c r="I147" t="s">
        <v>3139</v>
      </c>
      <c r="J147" t="s">
        <v>3928</v>
      </c>
      <c r="K147" t="s">
        <v>3924</v>
      </c>
    </row>
    <row r="148" spans="2:11" x14ac:dyDescent="0.3">
      <c r="B148" s="30"/>
      <c r="C148" s="30"/>
      <c r="D148" t="s">
        <v>3929</v>
      </c>
      <c r="E148" t="s">
        <v>3930</v>
      </c>
      <c r="F148" t="s">
        <v>3406</v>
      </c>
      <c r="G148" t="s">
        <v>3931</v>
      </c>
      <c r="H148" t="s">
        <v>3932</v>
      </c>
      <c r="I148" t="s">
        <v>3139</v>
      </c>
      <c r="J148" t="s">
        <v>3933</v>
      </c>
      <c r="K148" t="s">
        <v>3929</v>
      </c>
    </row>
    <row r="149" spans="2:11" x14ac:dyDescent="0.3">
      <c r="B149" s="30"/>
      <c r="C149" s="30"/>
      <c r="D149" t="s">
        <v>3934</v>
      </c>
      <c r="E149" t="s">
        <v>3935</v>
      </c>
      <c r="F149" t="s">
        <v>3406</v>
      </c>
      <c r="G149" t="s">
        <v>3936</v>
      </c>
      <c r="H149" t="s">
        <v>3937</v>
      </c>
      <c r="I149" t="s">
        <v>3139</v>
      </c>
      <c r="J149" t="s">
        <v>3938</v>
      </c>
      <c r="K149" t="s">
        <v>3934</v>
      </c>
    </row>
    <row r="150" spans="2:11" x14ac:dyDescent="0.3">
      <c r="B150" s="30"/>
      <c r="C150" s="30"/>
      <c r="D150" t="s">
        <v>3939</v>
      </c>
      <c r="E150" t="s">
        <v>3940</v>
      </c>
      <c r="F150" t="s">
        <v>3406</v>
      </c>
      <c r="G150" t="s">
        <v>3941</v>
      </c>
      <c r="H150" t="s">
        <v>3942</v>
      </c>
      <c r="I150" t="s">
        <v>3139</v>
      </c>
      <c r="J150" t="s">
        <v>3943</v>
      </c>
      <c r="K150" t="s">
        <v>3939</v>
      </c>
    </row>
    <row r="151" spans="2:11" x14ac:dyDescent="0.3">
      <c r="B151" s="30"/>
      <c r="C151" s="30"/>
      <c r="D151" t="s">
        <v>3944</v>
      </c>
      <c r="E151" t="s">
        <v>3945</v>
      </c>
      <c r="F151" t="s">
        <v>3406</v>
      </c>
      <c r="G151" t="s">
        <v>3946</v>
      </c>
      <c r="H151" t="s">
        <v>3947</v>
      </c>
      <c r="I151" t="s">
        <v>3139</v>
      </c>
      <c r="J151" t="s">
        <v>3948</v>
      </c>
      <c r="K151" t="s">
        <v>3944</v>
      </c>
    </row>
    <row r="152" spans="2:11" x14ac:dyDescent="0.3">
      <c r="B152" s="30"/>
      <c r="C152" s="31" t="s">
        <v>3949</v>
      </c>
      <c r="D152" t="s">
        <v>3950</v>
      </c>
      <c r="E152" t="s">
        <v>3951</v>
      </c>
      <c r="F152" t="s">
        <v>3406</v>
      </c>
      <c r="G152" t="s">
        <v>3952</v>
      </c>
      <c r="H152" t="s">
        <v>3953</v>
      </c>
      <c r="I152" t="s">
        <v>3139</v>
      </c>
      <c r="J152" t="s">
        <v>3954</v>
      </c>
      <c r="K152" t="s">
        <v>3950</v>
      </c>
    </row>
    <row r="153" spans="2:11" x14ac:dyDescent="0.3">
      <c r="B153" s="30"/>
      <c r="C153" s="31"/>
      <c r="D153" t="s">
        <v>3955</v>
      </c>
      <c r="E153" t="s">
        <v>3956</v>
      </c>
      <c r="F153" t="s">
        <v>3406</v>
      </c>
      <c r="G153" t="s">
        <v>3957</v>
      </c>
      <c r="H153" t="s">
        <v>3958</v>
      </c>
      <c r="I153" t="s">
        <v>3139</v>
      </c>
      <c r="J153" t="s">
        <v>3959</v>
      </c>
      <c r="K153" t="s">
        <v>3955</v>
      </c>
    </row>
    <row r="154" spans="2:11" x14ac:dyDescent="0.3">
      <c r="B154" s="30"/>
      <c r="C154" s="31"/>
      <c r="D154" t="s">
        <v>3960</v>
      </c>
      <c r="E154" t="s">
        <v>3961</v>
      </c>
      <c r="F154" t="s">
        <v>3406</v>
      </c>
      <c r="G154" t="s">
        <v>3962</v>
      </c>
      <c r="H154" t="s">
        <v>3963</v>
      </c>
      <c r="I154" t="s">
        <v>3139</v>
      </c>
      <c r="J154" t="s">
        <v>3964</v>
      </c>
      <c r="K154" t="s">
        <v>3960</v>
      </c>
    </row>
    <row r="155" spans="2:11" x14ac:dyDescent="0.3">
      <c r="B155" s="30"/>
      <c r="C155" s="31"/>
      <c r="D155" t="s">
        <v>3965</v>
      </c>
      <c r="E155" t="s">
        <v>3966</v>
      </c>
      <c r="F155" t="s">
        <v>3406</v>
      </c>
      <c r="G155" t="s">
        <v>3967</v>
      </c>
      <c r="H155" t="s">
        <v>3968</v>
      </c>
      <c r="I155" t="s">
        <v>3139</v>
      </c>
      <c r="J155" t="s">
        <v>3969</v>
      </c>
      <c r="K155" t="s">
        <v>3965</v>
      </c>
    </row>
    <row r="156" spans="2:11" x14ac:dyDescent="0.3">
      <c r="B156" s="30"/>
      <c r="C156" s="31"/>
      <c r="D156" t="s">
        <v>3970</v>
      </c>
      <c r="E156" t="s">
        <v>3971</v>
      </c>
      <c r="F156" t="s">
        <v>3406</v>
      </c>
      <c r="G156" t="s">
        <v>3972</v>
      </c>
      <c r="H156" t="s">
        <v>3973</v>
      </c>
      <c r="I156" t="s">
        <v>3139</v>
      </c>
      <c r="J156" t="s">
        <v>3974</v>
      </c>
      <c r="K156" t="s">
        <v>3970</v>
      </c>
    </row>
    <row r="157" spans="2:11" x14ac:dyDescent="0.3">
      <c r="B157" s="30"/>
      <c r="C157" s="31" t="s">
        <v>3975</v>
      </c>
      <c r="D157" t="s">
        <v>3976</v>
      </c>
      <c r="E157" t="s">
        <v>3977</v>
      </c>
      <c r="F157" t="s">
        <v>3406</v>
      </c>
      <c r="G157" t="s">
        <v>3978</v>
      </c>
      <c r="H157" t="s">
        <v>3979</v>
      </c>
      <c r="I157" t="s">
        <v>3139</v>
      </c>
      <c r="J157" t="s">
        <v>3980</v>
      </c>
      <c r="K157" t="s">
        <v>3976</v>
      </c>
    </row>
    <row r="158" spans="2:11" x14ac:dyDescent="0.3">
      <c r="B158" s="30"/>
      <c r="C158" s="31"/>
      <c r="D158" t="s">
        <v>3981</v>
      </c>
      <c r="E158" t="s">
        <v>3982</v>
      </c>
      <c r="F158" t="s">
        <v>3406</v>
      </c>
      <c r="G158" t="s">
        <v>3983</v>
      </c>
      <c r="H158" t="s">
        <v>3984</v>
      </c>
      <c r="I158" t="s">
        <v>3139</v>
      </c>
      <c r="J158" t="s">
        <v>3985</v>
      </c>
      <c r="K158" t="s">
        <v>3981</v>
      </c>
    </row>
    <row r="159" spans="2:11" x14ac:dyDescent="0.3">
      <c r="B159" s="30"/>
      <c r="C159" s="31"/>
      <c r="D159" t="s">
        <v>3986</v>
      </c>
      <c r="E159" t="s">
        <v>3987</v>
      </c>
      <c r="F159" t="s">
        <v>3406</v>
      </c>
      <c r="G159" t="s">
        <v>3988</v>
      </c>
      <c r="H159" t="s">
        <v>3989</v>
      </c>
      <c r="I159" t="s">
        <v>3139</v>
      </c>
      <c r="J159" t="s">
        <v>3990</v>
      </c>
      <c r="K159" t="s">
        <v>3986</v>
      </c>
    </row>
    <row r="160" spans="2:11" x14ac:dyDescent="0.3">
      <c r="B160" s="30"/>
      <c r="C160" s="31"/>
      <c r="D160" t="s">
        <v>3991</v>
      </c>
      <c r="E160" t="s">
        <v>3992</v>
      </c>
      <c r="F160" t="s">
        <v>3406</v>
      </c>
      <c r="G160" t="s">
        <v>3993</v>
      </c>
      <c r="H160" t="s">
        <v>3994</v>
      </c>
      <c r="I160" t="s">
        <v>3139</v>
      </c>
      <c r="J160" t="s">
        <v>3995</v>
      </c>
      <c r="K160" t="s">
        <v>3991</v>
      </c>
    </row>
    <row r="161" spans="2:11" x14ac:dyDescent="0.3">
      <c r="B161" s="30"/>
      <c r="C161" s="31"/>
      <c r="D161" t="s">
        <v>3996</v>
      </c>
      <c r="E161" t="s">
        <v>3997</v>
      </c>
      <c r="F161" t="s">
        <v>3406</v>
      </c>
      <c r="G161" t="s">
        <v>3998</v>
      </c>
      <c r="H161" t="s">
        <v>3999</v>
      </c>
      <c r="I161" t="s">
        <v>3139</v>
      </c>
      <c r="J161" t="s">
        <v>4000</v>
      </c>
      <c r="K161" t="s">
        <v>3996</v>
      </c>
    </row>
    <row r="162" spans="2:11" x14ac:dyDescent="0.3">
      <c r="B162" s="30"/>
      <c r="C162" s="30" t="s">
        <v>4001</v>
      </c>
      <c r="D162" t="s">
        <v>4002</v>
      </c>
      <c r="E162" t="s">
        <v>4003</v>
      </c>
      <c r="F162" t="s">
        <v>3406</v>
      </c>
      <c r="G162" t="s">
        <v>4004</v>
      </c>
      <c r="H162" t="s">
        <v>4005</v>
      </c>
      <c r="I162" t="s">
        <v>3139</v>
      </c>
      <c r="J162" t="s">
        <v>4006</v>
      </c>
      <c r="K162" t="s">
        <v>4002</v>
      </c>
    </row>
    <row r="163" spans="2:11" x14ac:dyDescent="0.3">
      <c r="B163" s="30"/>
      <c r="C163" s="30"/>
      <c r="D163" t="s">
        <v>4007</v>
      </c>
      <c r="E163" t="s">
        <v>4008</v>
      </c>
      <c r="F163" t="s">
        <v>3406</v>
      </c>
      <c r="G163" t="s">
        <v>4009</v>
      </c>
      <c r="H163" t="s">
        <v>4010</v>
      </c>
      <c r="I163" t="s">
        <v>3139</v>
      </c>
      <c r="J163" t="s">
        <v>4011</v>
      </c>
      <c r="K163" t="s">
        <v>4007</v>
      </c>
    </row>
    <row r="164" spans="2:11" x14ac:dyDescent="0.3">
      <c r="B164" s="30"/>
      <c r="C164" s="30"/>
      <c r="D164" t="s">
        <v>4012</v>
      </c>
      <c r="E164" t="s">
        <v>4013</v>
      </c>
      <c r="F164" t="s">
        <v>3406</v>
      </c>
      <c r="G164" t="s">
        <v>4014</v>
      </c>
      <c r="H164" t="s">
        <v>4015</v>
      </c>
      <c r="I164" t="s">
        <v>3139</v>
      </c>
      <c r="J164" t="s">
        <v>4016</v>
      </c>
      <c r="K164" t="s">
        <v>4012</v>
      </c>
    </row>
    <row r="165" spans="2:11" x14ac:dyDescent="0.3">
      <c r="B165" s="30"/>
      <c r="C165" s="30"/>
      <c r="D165" t="s">
        <v>4017</v>
      </c>
      <c r="E165" t="s">
        <v>4018</v>
      </c>
      <c r="F165" t="s">
        <v>3406</v>
      </c>
      <c r="G165" t="s">
        <v>4019</v>
      </c>
      <c r="H165" t="s">
        <v>4020</v>
      </c>
      <c r="I165" t="s">
        <v>3139</v>
      </c>
      <c r="J165" t="s">
        <v>4021</v>
      </c>
      <c r="K165" t="s">
        <v>4017</v>
      </c>
    </row>
    <row r="166" spans="2:11" x14ac:dyDescent="0.3">
      <c r="B166" s="30"/>
      <c r="C166" s="30"/>
      <c r="D166" t="s">
        <v>4022</v>
      </c>
      <c r="E166" t="s">
        <v>4023</v>
      </c>
      <c r="F166" t="s">
        <v>3406</v>
      </c>
      <c r="G166" t="s">
        <v>4024</v>
      </c>
      <c r="H166" t="s">
        <v>4025</v>
      </c>
      <c r="I166" t="s">
        <v>3139</v>
      </c>
      <c r="J166" t="s">
        <v>4026</v>
      </c>
      <c r="K166" t="s">
        <v>4022</v>
      </c>
    </row>
    <row r="167" spans="2:11" x14ac:dyDescent="0.3">
      <c r="B167" s="30"/>
      <c r="C167" s="30" t="s">
        <v>4027</v>
      </c>
      <c r="D167" t="s">
        <v>4028</v>
      </c>
      <c r="E167" t="s">
        <v>4029</v>
      </c>
      <c r="F167" t="s">
        <v>3406</v>
      </c>
      <c r="G167" t="s">
        <v>4030</v>
      </c>
      <c r="H167" t="s">
        <v>4031</v>
      </c>
      <c r="I167" t="s">
        <v>3139</v>
      </c>
      <c r="J167" t="s">
        <v>4032</v>
      </c>
      <c r="K167" t="s">
        <v>4028</v>
      </c>
    </row>
    <row r="168" spans="2:11" x14ac:dyDescent="0.3">
      <c r="B168" s="30"/>
      <c r="C168" s="30"/>
      <c r="D168" t="s">
        <v>4033</v>
      </c>
      <c r="E168" t="s">
        <v>4034</v>
      </c>
      <c r="F168" t="s">
        <v>3406</v>
      </c>
      <c r="G168" t="s">
        <v>4035</v>
      </c>
      <c r="H168" t="s">
        <v>4036</v>
      </c>
      <c r="I168" t="s">
        <v>3139</v>
      </c>
      <c r="J168" t="s">
        <v>4037</v>
      </c>
      <c r="K168" t="s">
        <v>4033</v>
      </c>
    </row>
    <row r="169" spans="2:11" x14ac:dyDescent="0.3">
      <c r="B169" s="30"/>
      <c r="C169" s="30"/>
      <c r="D169" t="s">
        <v>4038</v>
      </c>
      <c r="E169" t="s">
        <v>4039</v>
      </c>
      <c r="F169" t="s">
        <v>3406</v>
      </c>
      <c r="G169" t="s">
        <v>4040</v>
      </c>
      <c r="H169" t="s">
        <v>4041</v>
      </c>
      <c r="I169" t="s">
        <v>3139</v>
      </c>
      <c r="J169" t="s">
        <v>4042</v>
      </c>
      <c r="K169" t="s">
        <v>4038</v>
      </c>
    </row>
    <row r="170" spans="2:11" x14ac:dyDescent="0.3">
      <c r="B170" s="30"/>
      <c r="C170" s="30"/>
      <c r="D170" t="s">
        <v>4043</v>
      </c>
      <c r="E170" t="s">
        <v>4044</v>
      </c>
      <c r="F170" t="s">
        <v>3406</v>
      </c>
      <c r="G170" t="s">
        <v>4045</v>
      </c>
      <c r="H170" t="s">
        <v>4046</v>
      </c>
      <c r="I170" t="s">
        <v>3139</v>
      </c>
      <c r="J170" t="s">
        <v>4047</v>
      </c>
      <c r="K170" t="s">
        <v>4043</v>
      </c>
    </row>
    <row r="171" spans="2:11" x14ac:dyDescent="0.3">
      <c r="B171" s="30"/>
      <c r="C171" s="30"/>
      <c r="D171" t="s">
        <v>4048</v>
      </c>
      <c r="E171" t="s">
        <v>4049</v>
      </c>
      <c r="F171" t="s">
        <v>3406</v>
      </c>
      <c r="G171" t="s">
        <v>4050</v>
      </c>
      <c r="H171" t="s">
        <v>4051</v>
      </c>
      <c r="I171" t="s">
        <v>3139</v>
      </c>
      <c r="J171" t="s">
        <v>4052</v>
      </c>
      <c r="K171" t="s">
        <v>4048</v>
      </c>
    </row>
    <row r="172" spans="2:11" x14ac:dyDescent="0.3">
      <c r="B172" s="30"/>
      <c r="C172" s="30" t="s">
        <v>4053</v>
      </c>
      <c r="D172" t="s">
        <v>4054</v>
      </c>
      <c r="E172" t="s">
        <v>4055</v>
      </c>
      <c r="F172" t="s">
        <v>3406</v>
      </c>
      <c r="G172" t="s">
        <v>4056</v>
      </c>
      <c r="H172" t="s">
        <v>4057</v>
      </c>
      <c r="I172" t="s">
        <v>3139</v>
      </c>
      <c r="J172" t="s">
        <v>4058</v>
      </c>
      <c r="K172" t="s">
        <v>4059</v>
      </c>
    </row>
    <row r="173" spans="2:11" x14ac:dyDescent="0.3">
      <c r="B173" s="30"/>
      <c r="C173" s="30"/>
      <c r="D173" t="s">
        <v>4060</v>
      </c>
      <c r="E173" t="s">
        <v>4061</v>
      </c>
      <c r="F173" t="s">
        <v>3406</v>
      </c>
      <c r="G173" t="s">
        <v>4062</v>
      </c>
      <c r="H173" t="s">
        <v>4063</v>
      </c>
      <c r="I173" t="s">
        <v>23</v>
      </c>
      <c r="J173" t="s">
        <v>4064</v>
      </c>
      <c r="K173" t="s">
        <v>4065</v>
      </c>
    </row>
    <row r="174" spans="2:11" x14ac:dyDescent="0.3">
      <c r="B174" s="30"/>
      <c r="C174" s="30"/>
      <c r="D174" t="s">
        <v>4066</v>
      </c>
      <c r="E174" t="s">
        <v>4067</v>
      </c>
      <c r="F174" t="s">
        <v>3406</v>
      </c>
      <c r="G174" t="s">
        <v>4068</v>
      </c>
      <c r="H174" t="s">
        <v>4069</v>
      </c>
      <c r="I174" t="s">
        <v>3139</v>
      </c>
      <c r="J174" t="s">
        <v>4070</v>
      </c>
      <c r="K174" t="s">
        <v>4071</v>
      </c>
    </row>
    <row r="175" spans="2:11" x14ac:dyDescent="0.3">
      <c r="B175" s="30"/>
      <c r="C175" s="30"/>
      <c r="D175" t="s">
        <v>4072</v>
      </c>
      <c r="E175" t="s">
        <v>4073</v>
      </c>
      <c r="F175" t="s">
        <v>3406</v>
      </c>
      <c r="G175" t="s">
        <v>4074</v>
      </c>
      <c r="H175" t="s">
        <v>4075</v>
      </c>
      <c r="I175" t="s">
        <v>23</v>
      </c>
      <c r="J175" t="s">
        <v>4076</v>
      </c>
      <c r="K175" t="s">
        <v>4077</v>
      </c>
    </row>
    <row r="176" spans="2:11" x14ac:dyDescent="0.3">
      <c r="B176" s="30"/>
      <c r="C176" s="30"/>
      <c r="D176" t="s">
        <v>4078</v>
      </c>
      <c r="E176" t="s">
        <v>4079</v>
      </c>
      <c r="F176" t="s">
        <v>3406</v>
      </c>
      <c r="G176" t="s">
        <v>4080</v>
      </c>
      <c r="H176" t="s">
        <v>4081</v>
      </c>
      <c r="I176" t="s">
        <v>23</v>
      </c>
      <c r="J176" t="s">
        <v>4082</v>
      </c>
      <c r="K176" t="s">
        <v>4083</v>
      </c>
    </row>
    <row r="177" spans="2:11" x14ac:dyDescent="0.3">
      <c r="B177" s="30"/>
      <c r="C177" s="30" t="s">
        <v>4084</v>
      </c>
      <c r="D177" t="s">
        <v>4085</v>
      </c>
      <c r="E177" t="s">
        <v>4086</v>
      </c>
      <c r="F177" t="s">
        <v>3406</v>
      </c>
      <c r="G177" t="s">
        <v>4087</v>
      </c>
      <c r="H177" t="s">
        <v>4088</v>
      </c>
      <c r="I177" t="s">
        <v>3139</v>
      </c>
      <c r="J177" t="s">
        <v>4089</v>
      </c>
      <c r="K177" t="s">
        <v>4090</v>
      </c>
    </row>
    <row r="178" spans="2:11" x14ac:dyDescent="0.3">
      <c r="B178" s="30"/>
      <c r="C178" s="30"/>
      <c r="D178" t="s">
        <v>4091</v>
      </c>
      <c r="E178" t="s">
        <v>4092</v>
      </c>
      <c r="F178" t="s">
        <v>3406</v>
      </c>
      <c r="G178" t="s">
        <v>4093</v>
      </c>
      <c r="H178" t="s">
        <v>4094</v>
      </c>
      <c r="I178" t="s">
        <v>3139</v>
      </c>
      <c r="J178" t="s">
        <v>4095</v>
      </c>
      <c r="K178" t="s">
        <v>4096</v>
      </c>
    </row>
    <row r="179" spans="2:11" x14ac:dyDescent="0.3">
      <c r="B179" s="30"/>
      <c r="C179" s="30"/>
      <c r="D179" t="s">
        <v>4097</v>
      </c>
      <c r="E179" t="s">
        <v>4098</v>
      </c>
      <c r="F179" t="s">
        <v>3406</v>
      </c>
      <c r="G179" t="s">
        <v>4099</v>
      </c>
      <c r="H179" t="s">
        <v>4100</v>
      </c>
      <c r="I179" t="s">
        <v>3139</v>
      </c>
      <c r="J179" t="s">
        <v>4101</v>
      </c>
      <c r="K179" t="s">
        <v>4102</v>
      </c>
    </row>
    <row r="180" spans="2:11" x14ac:dyDescent="0.3">
      <c r="B180" s="30"/>
      <c r="C180" s="30"/>
      <c r="D180" t="s">
        <v>4103</v>
      </c>
      <c r="E180" t="s">
        <v>4104</v>
      </c>
      <c r="F180" t="s">
        <v>3406</v>
      </c>
      <c r="G180" t="s">
        <v>4105</v>
      </c>
      <c r="H180" t="s">
        <v>4106</v>
      </c>
      <c r="I180" t="s">
        <v>3139</v>
      </c>
      <c r="J180" t="s">
        <v>4107</v>
      </c>
      <c r="K180" t="s">
        <v>4108</v>
      </c>
    </row>
    <row r="181" spans="2:11" x14ac:dyDescent="0.3">
      <c r="B181" s="30"/>
      <c r="C181" s="30"/>
      <c r="D181" t="s">
        <v>4109</v>
      </c>
      <c r="E181" t="s">
        <v>4110</v>
      </c>
      <c r="F181" t="s">
        <v>3406</v>
      </c>
      <c r="G181" t="s">
        <v>4111</v>
      </c>
      <c r="H181" t="s">
        <v>4112</v>
      </c>
      <c r="I181" t="s">
        <v>3139</v>
      </c>
      <c r="J181" t="s">
        <v>4113</v>
      </c>
      <c r="K181" t="s">
        <v>4114</v>
      </c>
    </row>
    <row r="182" spans="2:11" x14ac:dyDescent="0.3">
      <c r="B182" s="30"/>
      <c r="C182" s="30" t="s">
        <v>4115</v>
      </c>
      <c r="D182" t="s">
        <v>4116</v>
      </c>
      <c r="E182" t="s">
        <v>4117</v>
      </c>
      <c r="F182" t="s">
        <v>3406</v>
      </c>
      <c r="G182" t="s">
        <v>4118</v>
      </c>
      <c r="H182" t="s">
        <v>4119</v>
      </c>
      <c r="I182" t="s">
        <v>3139</v>
      </c>
      <c r="J182" t="s">
        <v>4120</v>
      </c>
      <c r="K182" t="s">
        <v>4121</v>
      </c>
    </row>
    <row r="183" spans="2:11" x14ac:dyDescent="0.3">
      <c r="B183" s="30"/>
      <c r="C183" s="30"/>
      <c r="D183" t="s">
        <v>4122</v>
      </c>
      <c r="E183" t="s">
        <v>4123</v>
      </c>
      <c r="F183" t="s">
        <v>3406</v>
      </c>
      <c r="G183" t="s">
        <v>4116</v>
      </c>
      <c r="H183" t="s">
        <v>4124</v>
      </c>
      <c r="I183" t="s">
        <v>3139</v>
      </c>
      <c r="J183" t="s">
        <v>4125</v>
      </c>
      <c r="K183" t="s">
        <v>4126</v>
      </c>
    </row>
    <row r="184" spans="2:11" x14ac:dyDescent="0.3">
      <c r="B184" s="30"/>
      <c r="C184" s="30"/>
      <c r="D184" t="s">
        <v>4127</v>
      </c>
      <c r="E184" t="s">
        <v>4128</v>
      </c>
      <c r="F184" t="s">
        <v>3406</v>
      </c>
      <c r="G184" t="s">
        <v>4122</v>
      </c>
      <c r="H184" t="s">
        <v>4129</v>
      </c>
      <c r="I184" t="s">
        <v>3139</v>
      </c>
      <c r="J184" t="s">
        <v>4130</v>
      </c>
      <c r="K184" t="s">
        <v>4127</v>
      </c>
    </row>
    <row r="185" spans="2:11" x14ac:dyDescent="0.3">
      <c r="B185" s="30"/>
      <c r="C185" s="30"/>
      <c r="D185" t="s">
        <v>4131</v>
      </c>
      <c r="E185" t="s">
        <v>4132</v>
      </c>
      <c r="F185" t="s">
        <v>3406</v>
      </c>
      <c r="G185" t="s">
        <v>4127</v>
      </c>
      <c r="H185" t="s">
        <v>4133</v>
      </c>
      <c r="I185" t="s">
        <v>3139</v>
      </c>
      <c r="J185" t="s">
        <v>4134</v>
      </c>
      <c r="K185" t="s">
        <v>4135</v>
      </c>
    </row>
    <row r="186" spans="2:11" x14ac:dyDescent="0.3">
      <c r="B186" s="30"/>
      <c r="C186" s="30"/>
      <c r="D186" t="s">
        <v>4136</v>
      </c>
      <c r="E186" t="s">
        <v>4137</v>
      </c>
      <c r="F186" t="s">
        <v>3406</v>
      </c>
      <c r="G186" t="s">
        <v>4131</v>
      </c>
      <c r="H186" t="s">
        <v>4138</v>
      </c>
      <c r="I186" t="s">
        <v>23</v>
      </c>
      <c r="J186" t="s">
        <v>4139</v>
      </c>
      <c r="K186" t="s">
        <v>4140</v>
      </c>
    </row>
    <row r="187" spans="2:11" x14ac:dyDescent="0.3">
      <c r="B187" s="30"/>
      <c r="C187" s="30" t="s">
        <v>4141</v>
      </c>
      <c r="D187" t="s">
        <v>4142</v>
      </c>
      <c r="E187" t="s">
        <v>4143</v>
      </c>
      <c r="F187" t="s">
        <v>3406</v>
      </c>
      <c r="G187" t="s">
        <v>4136</v>
      </c>
      <c r="H187" t="s">
        <v>4144</v>
      </c>
      <c r="I187" t="s">
        <v>3139</v>
      </c>
      <c r="J187" t="s">
        <v>4145</v>
      </c>
      <c r="K187" t="s">
        <v>4146</v>
      </c>
    </row>
    <row r="188" spans="2:11" x14ac:dyDescent="0.3">
      <c r="B188" s="30"/>
      <c r="C188" s="30"/>
      <c r="D188" t="s">
        <v>4147</v>
      </c>
      <c r="E188" t="s">
        <v>4148</v>
      </c>
      <c r="F188" t="s">
        <v>3406</v>
      </c>
      <c r="G188" t="s">
        <v>4142</v>
      </c>
      <c r="H188" t="s">
        <v>4149</v>
      </c>
      <c r="I188" t="s">
        <v>23</v>
      </c>
      <c r="J188" t="s">
        <v>4150</v>
      </c>
      <c r="K188" t="s">
        <v>4151</v>
      </c>
    </row>
    <row r="189" spans="2:11" x14ac:dyDescent="0.3">
      <c r="B189" s="30"/>
      <c r="C189" s="30"/>
      <c r="D189" t="s">
        <v>4152</v>
      </c>
      <c r="E189" t="s">
        <v>4153</v>
      </c>
      <c r="F189" t="s">
        <v>3406</v>
      </c>
      <c r="G189" t="s">
        <v>4147</v>
      </c>
      <c r="H189" t="s">
        <v>4154</v>
      </c>
      <c r="I189" t="s">
        <v>3139</v>
      </c>
      <c r="J189" t="s">
        <v>4155</v>
      </c>
      <c r="K189" t="s">
        <v>4156</v>
      </c>
    </row>
    <row r="190" spans="2:11" x14ac:dyDescent="0.3">
      <c r="B190" s="30"/>
      <c r="C190" s="30"/>
      <c r="D190" t="s">
        <v>4157</v>
      </c>
      <c r="E190" t="s">
        <v>4158</v>
      </c>
      <c r="F190" t="s">
        <v>3406</v>
      </c>
      <c r="G190" t="s">
        <v>4152</v>
      </c>
      <c r="H190" t="s">
        <v>4159</v>
      </c>
      <c r="I190" t="s">
        <v>23</v>
      </c>
      <c r="J190" t="s">
        <v>4160</v>
      </c>
      <c r="K190" t="s">
        <v>4161</v>
      </c>
    </row>
    <row r="191" spans="2:11" x14ac:dyDescent="0.3">
      <c r="B191" s="30"/>
      <c r="C191" s="30"/>
      <c r="D191" t="s">
        <v>4162</v>
      </c>
      <c r="E191" t="s">
        <v>4163</v>
      </c>
      <c r="F191" t="s">
        <v>3406</v>
      </c>
      <c r="G191" t="s">
        <v>4157</v>
      </c>
      <c r="H191" t="s">
        <v>4164</v>
      </c>
      <c r="I191" t="s">
        <v>3139</v>
      </c>
      <c r="J191" t="s">
        <v>4165</v>
      </c>
      <c r="K191" t="s">
        <v>4166</v>
      </c>
    </row>
    <row r="192" spans="2:11" x14ac:dyDescent="0.3">
      <c r="B192" s="30"/>
      <c r="C192" s="30" t="s">
        <v>4167</v>
      </c>
      <c r="D192" t="s">
        <v>4168</v>
      </c>
      <c r="E192" t="s">
        <v>4169</v>
      </c>
      <c r="F192" t="s">
        <v>3406</v>
      </c>
      <c r="G192" t="s">
        <v>4162</v>
      </c>
      <c r="H192" t="s">
        <v>4170</v>
      </c>
      <c r="I192" t="s">
        <v>3139</v>
      </c>
      <c r="J192" t="s">
        <v>4171</v>
      </c>
      <c r="K192" t="s">
        <v>4172</v>
      </c>
    </row>
    <row r="193" spans="2:11" x14ac:dyDescent="0.3">
      <c r="B193" s="30"/>
      <c r="C193" s="30"/>
      <c r="D193" t="s">
        <v>4173</v>
      </c>
      <c r="E193" t="s">
        <v>4174</v>
      </c>
      <c r="F193" t="s">
        <v>3406</v>
      </c>
      <c r="G193" t="s">
        <v>4168</v>
      </c>
      <c r="H193" t="s">
        <v>4175</v>
      </c>
      <c r="I193" t="s">
        <v>3139</v>
      </c>
      <c r="J193" t="s">
        <v>4176</v>
      </c>
      <c r="K193" t="s">
        <v>4173</v>
      </c>
    </row>
    <row r="194" spans="2:11" x14ac:dyDescent="0.3">
      <c r="B194" s="30"/>
      <c r="C194" s="30"/>
      <c r="D194" t="s">
        <v>4177</v>
      </c>
      <c r="E194" t="s">
        <v>4178</v>
      </c>
      <c r="F194" t="s">
        <v>3406</v>
      </c>
      <c r="G194" t="s">
        <v>4173</v>
      </c>
      <c r="H194" t="s">
        <v>4179</v>
      </c>
      <c r="I194" t="s">
        <v>3139</v>
      </c>
      <c r="J194" t="s">
        <v>4180</v>
      </c>
      <c r="K194" t="s">
        <v>4181</v>
      </c>
    </row>
    <row r="195" spans="2:11" x14ac:dyDescent="0.3">
      <c r="B195" s="30"/>
      <c r="C195" s="30"/>
      <c r="D195" t="s">
        <v>4182</v>
      </c>
      <c r="E195" t="s">
        <v>4183</v>
      </c>
      <c r="F195" t="s">
        <v>3406</v>
      </c>
      <c r="G195" t="s">
        <v>4177</v>
      </c>
      <c r="H195" t="s">
        <v>4184</v>
      </c>
      <c r="I195" t="s">
        <v>3139</v>
      </c>
      <c r="J195" t="s">
        <v>4185</v>
      </c>
      <c r="K195" t="s">
        <v>4186</v>
      </c>
    </row>
    <row r="196" spans="2:11" x14ac:dyDescent="0.3">
      <c r="B196" s="30"/>
      <c r="C196" s="30"/>
      <c r="D196" t="s">
        <v>4187</v>
      </c>
      <c r="E196" t="s">
        <v>4188</v>
      </c>
      <c r="F196" t="s">
        <v>3406</v>
      </c>
      <c r="G196" t="s">
        <v>4182</v>
      </c>
      <c r="H196" t="s">
        <v>4189</v>
      </c>
      <c r="I196" t="s">
        <v>3139</v>
      </c>
      <c r="J196" t="s">
        <v>4190</v>
      </c>
      <c r="K196" t="s">
        <v>4191</v>
      </c>
    </row>
    <row r="197" spans="2:11" x14ac:dyDescent="0.3">
      <c r="B197" s="30"/>
      <c r="C197" s="30" t="s">
        <v>4192</v>
      </c>
      <c r="D197" t="s">
        <v>4193</v>
      </c>
      <c r="E197" t="s">
        <v>4194</v>
      </c>
      <c r="F197" t="s">
        <v>3406</v>
      </c>
      <c r="G197" t="s">
        <v>4187</v>
      </c>
      <c r="H197" t="s">
        <v>4195</v>
      </c>
      <c r="I197" t="s">
        <v>3139</v>
      </c>
      <c r="J197" t="s">
        <v>3840</v>
      </c>
      <c r="K197" t="s">
        <v>4196</v>
      </c>
    </row>
    <row r="198" spans="2:11" x14ac:dyDescent="0.3">
      <c r="B198" s="30"/>
      <c r="C198" s="30"/>
      <c r="D198" t="s">
        <v>4197</v>
      </c>
      <c r="E198" t="s">
        <v>4198</v>
      </c>
      <c r="F198" t="s">
        <v>3406</v>
      </c>
      <c r="G198" t="s">
        <v>4193</v>
      </c>
      <c r="H198" t="s">
        <v>4199</v>
      </c>
      <c r="I198" t="s">
        <v>3139</v>
      </c>
      <c r="J198" t="s">
        <v>4200</v>
      </c>
      <c r="K198" t="s">
        <v>4201</v>
      </c>
    </row>
    <row r="199" spans="2:11" x14ac:dyDescent="0.3">
      <c r="B199" s="30"/>
      <c r="C199" s="30"/>
      <c r="D199" t="s">
        <v>4202</v>
      </c>
      <c r="E199" t="s">
        <v>4203</v>
      </c>
      <c r="F199" t="s">
        <v>3406</v>
      </c>
      <c r="G199" t="s">
        <v>4197</v>
      </c>
      <c r="H199" t="s">
        <v>4204</v>
      </c>
      <c r="I199" t="s">
        <v>3139</v>
      </c>
      <c r="J199" t="s">
        <v>4205</v>
      </c>
      <c r="K199" t="s">
        <v>4206</v>
      </c>
    </row>
    <row r="200" spans="2:11" x14ac:dyDescent="0.3">
      <c r="B200" s="30"/>
      <c r="C200" s="30"/>
      <c r="D200" t="s">
        <v>4207</v>
      </c>
      <c r="E200" t="s">
        <v>4208</v>
      </c>
      <c r="F200" t="s">
        <v>3406</v>
      </c>
      <c r="G200" t="s">
        <v>4202</v>
      </c>
      <c r="H200" t="s">
        <v>4209</v>
      </c>
      <c r="I200" t="s">
        <v>3139</v>
      </c>
      <c r="J200" t="s">
        <v>4210</v>
      </c>
      <c r="K200" t="s">
        <v>4207</v>
      </c>
    </row>
    <row r="201" spans="2:11" x14ac:dyDescent="0.3">
      <c r="B201" s="30"/>
      <c r="C201" s="30"/>
      <c r="D201" t="s">
        <v>4211</v>
      </c>
      <c r="E201" t="s">
        <v>4212</v>
      </c>
      <c r="F201" t="s">
        <v>3406</v>
      </c>
      <c r="G201" t="s">
        <v>4207</v>
      </c>
      <c r="H201" t="s">
        <v>4213</v>
      </c>
      <c r="I201" t="s">
        <v>3139</v>
      </c>
      <c r="K201" t="s">
        <v>4214</v>
      </c>
    </row>
    <row r="202" spans="2:11" x14ac:dyDescent="0.3">
      <c r="G202" t="s">
        <v>4211</v>
      </c>
    </row>
  </sheetData>
  <mergeCells count="45">
    <mergeCell ref="C187:C191"/>
    <mergeCell ref="C192:C196"/>
    <mergeCell ref="C197:C201"/>
    <mergeCell ref="C157:C161"/>
    <mergeCell ref="C162:C166"/>
    <mergeCell ref="C167:C171"/>
    <mergeCell ref="C172:C176"/>
    <mergeCell ref="C177:C181"/>
    <mergeCell ref="C182:C186"/>
    <mergeCell ref="B112:B201"/>
    <mergeCell ref="C112:C116"/>
    <mergeCell ref="C117:C121"/>
    <mergeCell ref="C122:C126"/>
    <mergeCell ref="C127:C131"/>
    <mergeCell ref="C132:C136"/>
    <mergeCell ref="C137:C141"/>
    <mergeCell ref="C142:C146"/>
    <mergeCell ref="C147:C151"/>
    <mergeCell ref="C152:C156"/>
    <mergeCell ref="B87:B111"/>
    <mergeCell ref="C87:C91"/>
    <mergeCell ref="C92:C96"/>
    <mergeCell ref="C97:C101"/>
    <mergeCell ref="C102:C106"/>
    <mergeCell ref="C107:C111"/>
    <mergeCell ref="B57:B86"/>
    <mergeCell ref="C57:C61"/>
    <mergeCell ref="C62:C66"/>
    <mergeCell ref="C67:C71"/>
    <mergeCell ref="C72:C76"/>
    <mergeCell ref="C77:C81"/>
    <mergeCell ref="C82:C86"/>
    <mergeCell ref="B27:B56"/>
    <mergeCell ref="C27:C31"/>
    <mergeCell ref="C32:C36"/>
    <mergeCell ref="C37:C41"/>
    <mergeCell ref="C42:C46"/>
    <mergeCell ref="C47:C51"/>
    <mergeCell ref="C52:C56"/>
    <mergeCell ref="B2:B26"/>
    <mergeCell ref="C2:C6"/>
    <mergeCell ref="C7:C11"/>
    <mergeCell ref="C12:C16"/>
    <mergeCell ref="C17:C21"/>
    <mergeCell ref="C22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1"/>
  <sheetViews>
    <sheetView workbookViewId="0">
      <selection sqref="A1:XFD1048576"/>
    </sheetView>
  </sheetViews>
  <sheetFormatPr baseColWidth="10" defaultRowHeight="14.4" x14ac:dyDescent="0.3"/>
  <cols>
    <col min="1" max="1" width="32.5546875" customWidth="1"/>
    <col min="2" max="2" width="28.6640625" customWidth="1"/>
    <col min="3" max="3" width="136.33203125" customWidth="1"/>
    <col min="4" max="4" width="70" customWidth="1"/>
    <col min="5" max="5" width="72.109375" customWidth="1"/>
    <col min="6" max="6" width="22" customWidth="1"/>
    <col min="7" max="7" width="62.109375" customWidth="1"/>
    <col min="8" max="8" width="37.5546875" customWidth="1"/>
    <col min="9" max="9" width="35.5546875" customWidth="1"/>
    <col min="10" max="10" width="98.109375" customWidth="1"/>
    <col min="11" max="11" width="128.44140625" customWidth="1"/>
  </cols>
  <sheetData>
    <row r="1" spans="1:11" x14ac:dyDescent="0.3">
      <c r="A1" t="s">
        <v>4215</v>
      </c>
      <c r="B1" t="s">
        <v>4216</v>
      </c>
      <c r="C1" t="s">
        <v>4217</v>
      </c>
      <c r="D1" t="s">
        <v>4218</v>
      </c>
      <c r="E1" t="s">
        <v>4219</v>
      </c>
      <c r="F1" t="s">
        <v>4220</v>
      </c>
      <c r="G1" t="s">
        <v>4221</v>
      </c>
      <c r="H1" t="s">
        <v>4222</v>
      </c>
      <c r="I1" t="s">
        <v>4223</v>
      </c>
      <c r="J1" t="s">
        <v>3067</v>
      </c>
      <c r="K1" t="s">
        <v>4224</v>
      </c>
    </row>
    <row r="2" spans="1:11" x14ac:dyDescent="0.3">
      <c r="A2" s="35" t="s">
        <v>4225</v>
      </c>
      <c r="B2" s="36" t="s">
        <v>4226</v>
      </c>
      <c r="C2" s="36" t="s">
        <v>4227</v>
      </c>
      <c r="D2" t="s">
        <v>4228</v>
      </c>
      <c r="E2" t="s">
        <v>4229</v>
      </c>
      <c r="F2" t="s">
        <v>3195</v>
      </c>
      <c r="G2" t="s">
        <v>4230</v>
      </c>
      <c r="H2" t="s">
        <v>4231</v>
      </c>
      <c r="I2" t="s">
        <v>23</v>
      </c>
      <c r="J2" t="s">
        <v>4232</v>
      </c>
      <c r="K2" t="s">
        <v>4233</v>
      </c>
    </row>
    <row r="3" spans="1:11" x14ac:dyDescent="0.3">
      <c r="A3" s="35"/>
      <c r="B3" s="35"/>
      <c r="C3" s="35"/>
      <c r="D3" s="32" t="s">
        <v>4234</v>
      </c>
      <c r="E3" t="s">
        <v>4235</v>
      </c>
      <c r="F3" t="s">
        <v>3195</v>
      </c>
      <c r="G3" t="s">
        <v>4236</v>
      </c>
      <c r="H3" t="s">
        <v>4237</v>
      </c>
      <c r="I3" t="s">
        <v>31</v>
      </c>
      <c r="J3" t="s">
        <v>4238</v>
      </c>
      <c r="K3" t="s">
        <v>4239</v>
      </c>
    </row>
    <row r="4" spans="1:11" x14ac:dyDescent="0.3">
      <c r="A4" s="35"/>
      <c r="B4" s="35"/>
      <c r="C4" s="35"/>
      <c r="D4" s="32" t="s">
        <v>4240</v>
      </c>
      <c r="E4" t="s">
        <v>4241</v>
      </c>
      <c r="F4" t="s">
        <v>3195</v>
      </c>
      <c r="G4" t="s">
        <v>4242</v>
      </c>
      <c r="H4" t="s">
        <v>4243</v>
      </c>
      <c r="I4" t="s">
        <v>23</v>
      </c>
      <c r="J4" t="s">
        <v>4244</v>
      </c>
      <c r="K4" s="37" t="s">
        <v>4245</v>
      </c>
    </row>
    <row r="5" spans="1:11" ht="43.2" x14ac:dyDescent="0.3">
      <c r="A5" s="35"/>
      <c r="B5" s="35"/>
      <c r="C5" s="35"/>
      <c r="D5" t="s">
        <v>4246</v>
      </c>
      <c r="E5" t="s">
        <v>4247</v>
      </c>
      <c r="F5" t="s">
        <v>4248</v>
      </c>
      <c r="G5" t="s">
        <v>4249</v>
      </c>
      <c r="H5" t="s">
        <v>4250</v>
      </c>
      <c r="I5" s="37" t="s">
        <v>23</v>
      </c>
      <c r="J5" t="s">
        <v>4251</v>
      </c>
      <c r="K5" s="38" t="s">
        <v>4252</v>
      </c>
    </row>
    <row r="6" spans="1:11" ht="43.2" x14ac:dyDescent="0.3">
      <c r="A6" s="35"/>
      <c r="B6" s="35"/>
      <c r="C6" s="35"/>
      <c r="D6" t="s">
        <v>4253</v>
      </c>
      <c r="E6" s="37" t="s">
        <v>4254</v>
      </c>
      <c r="F6" t="s">
        <v>4255</v>
      </c>
      <c r="G6" t="s">
        <v>4256</v>
      </c>
      <c r="H6" t="s">
        <v>4257</v>
      </c>
      <c r="I6" t="s">
        <v>31</v>
      </c>
      <c r="J6" s="38" t="s">
        <v>4258</v>
      </c>
      <c r="K6" s="37" t="s">
        <v>4259</v>
      </c>
    </row>
    <row r="7" spans="1:11" x14ac:dyDescent="0.3">
      <c r="A7" s="35"/>
      <c r="B7" s="35"/>
      <c r="C7" s="35" t="s">
        <v>4260</v>
      </c>
      <c r="D7" t="s">
        <v>4261</v>
      </c>
      <c r="E7" t="s">
        <v>4262</v>
      </c>
      <c r="F7" t="s">
        <v>3195</v>
      </c>
      <c r="G7" s="37" t="s">
        <v>4263</v>
      </c>
      <c r="H7" t="s">
        <v>4264</v>
      </c>
      <c r="I7" t="s">
        <v>23</v>
      </c>
      <c r="J7" t="s">
        <v>4265</v>
      </c>
      <c r="K7" t="s">
        <v>4266</v>
      </c>
    </row>
    <row r="8" spans="1:11" x14ac:dyDescent="0.3">
      <c r="A8" s="35"/>
      <c r="B8" s="35"/>
      <c r="C8" s="35"/>
      <c r="D8" t="s">
        <v>4267</v>
      </c>
      <c r="E8" t="s">
        <v>4268</v>
      </c>
      <c r="F8" t="s">
        <v>3195</v>
      </c>
      <c r="G8" t="s">
        <v>4269</v>
      </c>
      <c r="H8" t="s">
        <v>4270</v>
      </c>
      <c r="I8" t="s">
        <v>23</v>
      </c>
      <c r="J8" t="s">
        <v>4271</v>
      </c>
      <c r="K8" t="s">
        <v>4272</v>
      </c>
    </row>
    <row r="9" spans="1:11" x14ac:dyDescent="0.3">
      <c r="A9" s="35"/>
      <c r="B9" s="35"/>
      <c r="C9" s="35"/>
      <c r="D9" t="s">
        <v>4273</v>
      </c>
      <c r="E9" t="s">
        <v>4274</v>
      </c>
      <c r="F9" t="s">
        <v>3195</v>
      </c>
      <c r="G9" s="37" t="s">
        <v>4275</v>
      </c>
      <c r="H9" t="s">
        <v>4276</v>
      </c>
      <c r="I9" t="s">
        <v>31</v>
      </c>
      <c r="J9" t="s">
        <v>4277</v>
      </c>
      <c r="K9" t="s">
        <v>4278</v>
      </c>
    </row>
    <row r="10" spans="1:11" x14ac:dyDescent="0.3">
      <c r="A10" s="35"/>
      <c r="B10" s="35"/>
      <c r="C10" s="35"/>
      <c r="D10" t="s">
        <v>4279</v>
      </c>
      <c r="E10" t="s">
        <v>4280</v>
      </c>
      <c r="F10" t="s">
        <v>3195</v>
      </c>
      <c r="G10" t="s">
        <v>4281</v>
      </c>
      <c r="H10" t="s">
        <v>4282</v>
      </c>
      <c r="I10" t="s">
        <v>31</v>
      </c>
      <c r="J10" t="s">
        <v>4283</v>
      </c>
      <c r="K10" t="s">
        <v>4284</v>
      </c>
    </row>
    <row r="11" spans="1:11" ht="57.6" x14ac:dyDescent="0.3">
      <c r="A11" s="35"/>
      <c r="B11" s="35"/>
      <c r="C11" s="35"/>
      <c r="D11" t="s">
        <v>4285</v>
      </c>
      <c r="E11" s="37" t="s">
        <v>4286</v>
      </c>
      <c r="F11" t="s">
        <v>3195</v>
      </c>
      <c r="G11" s="37" t="s">
        <v>4287</v>
      </c>
      <c r="H11" s="38" t="s">
        <v>4288</v>
      </c>
      <c r="I11" t="s">
        <v>31</v>
      </c>
      <c r="J11" t="s">
        <v>4289</v>
      </c>
      <c r="K11" t="s">
        <v>4290</v>
      </c>
    </row>
    <row r="12" spans="1:11" x14ac:dyDescent="0.3">
      <c r="A12" s="35"/>
      <c r="B12" s="35"/>
      <c r="C12" s="35" t="s">
        <v>4291</v>
      </c>
      <c r="D12" t="s">
        <v>4292</v>
      </c>
      <c r="E12" t="s">
        <v>4293</v>
      </c>
      <c r="F12" t="s">
        <v>4255</v>
      </c>
      <c r="G12" t="s">
        <v>4294</v>
      </c>
      <c r="H12" t="s">
        <v>4295</v>
      </c>
      <c r="I12" t="s">
        <v>23</v>
      </c>
      <c r="J12" t="s">
        <v>4296</v>
      </c>
      <c r="K12" t="s">
        <v>4297</v>
      </c>
    </row>
    <row r="13" spans="1:11" x14ac:dyDescent="0.3">
      <c r="A13" s="35"/>
      <c r="B13" s="35"/>
      <c r="C13" s="35"/>
      <c r="D13" t="s">
        <v>4298</v>
      </c>
      <c r="E13" t="s">
        <v>4299</v>
      </c>
      <c r="F13" t="s">
        <v>4255</v>
      </c>
      <c r="G13" t="s">
        <v>4300</v>
      </c>
      <c r="H13" t="s">
        <v>4301</v>
      </c>
      <c r="I13" t="s">
        <v>31</v>
      </c>
      <c r="J13" t="s">
        <v>4302</v>
      </c>
      <c r="K13" t="s">
        <v>4303</v>
      </c>
    </row>
    <row r="14" spans="1:11" x14ac:dyDescent="0.3">
      <c r="A14" s="35"/>
      <c r="B14" s="35"/>
      <c r="C14" s="35"/>
      <c r="D14" t="s">
        <v>4304</v>
      </c>
      <c r="E14" t="s">
        <v>4305</v>
      </c>
      <c r="F14" t="s">
        <v>4255</v>
      </c>
      <c r="G14" s="37" t="s">
        <v>4306</v>
      </c>
      <c r="H14" t="s">
        <v>4307</v>
      </c>
      <c r="I14" t="s">
        <v>23</v>
      </c>
      <c r="J14" t="s">
        <v>4308</v>
      </c>
      <c r="K14" t="s">
        <v>4309</v>
      </c>
    </row>
    <row r="15" spans="1:11" x14ac:dyDescent="0.3">
      <c r="A15" s="35"/>
      <c r="B15" s="35"/>
      <c r="C15" s="35"/>
      <c r="D15" t="s">
        <v>4310</v>
      </c>
      <c r="E15" t="s">
        <v>4311</v>
      </c>
      <c r="F15" t="s">
        <v>4255</v>
      </c>
      <c r="G15" t="s">
        <v>4312</v>
      </c>
      <c r="H15" t="s">
        <v>4313</v>
      </c>
      <c r="I15" t="s">
        <v>23</v>
      </c>
      <c r="J15" t="s">
        <v>4314</v>
      </c>
      <c r="K15" t="s">
        <v>4315</v>
      </c>
    </row>
    <row r="16" spans="1:11" ht="43.2" x14ac:dyDescent="0.3">
      <c r="A16" s="35"/>
      <c r="B16" s="35"/>
      <c r="C16" s="35"/>
      <c r="D16" t="s">
        <v>4316</v>
      </c>
      <c r="E16" t="s">
        <v>4317</v>
      </c>
      <c r="F16" t="s">
        <v>4255</v>
      </c>
      <c r="G16" t="s">
        <v>4318</v>
      </c>
      <c r="H16" t="s">
        <v>4319</v>
      </c>
      <c r="I16" t="s">
        <v>23</v>
      </c>
      <c r="J16" s="38" t="s">
        <v>4320</v>
      </c>
      <c r="K16" t="s">
        <v>4321</v>
      </c>
    </row>
    <row r="17" spans="1:11" x14ac:dyDescent="0.3">
      <c r="A17" s="35"/>
      <c r="B17" s="35"/>
      <c r="C17" s="35" t="s">
        <v>4322</v>
      </c>
      <c r="D17" t="s">
        <v>4323</v>
      </c>
      <c r="E17" t="s">
        <v>4324</v>
      </c>
      <c r="F17" t="s">
        <v>4255</v>
      </c>
      <c r="G17" t="s">
        <v>4325</v>
      </c>
      <c r="H17" t="s">
        <v>4326</v>
      </c>
      <c r="I17" t="s">
        <v>23</v>
      </c>
      <c r="J17" t="s">
        <v>4327</v>
      </c>
      <c r="K17" t="s">
        <v>4328</v>
      </c>
    </row>
    <row r="18" spans="1:11" x14ac:dyDescent="0.3">
      <c r="A18" s="35"/>
      <c r="B18" s="35"/>
      <c r="C18" s="35"/>
      <c r="D18" t="s">
        <v>4329</v>
      </c>
      <c r="E18" t="s">
        <v>4330</v>
      </c>
      <c r="F18" t="s">
        <v>4255</v>
      </c>
      <c r="G18" t="s">
        <v>4331</v>
      </c>
      <c r="H18" t="s">
        <v>4332</v>
      </c>
      <c r="I18" t="s">
        <v>4333</v>
      </c>
      <c r="J18" t="s">
        <v>4334</v>
      </c>
      <c r="K18" t="s">
        <v>4335</v>
      </c>
    </row>
    <row r="19" spans="1:11" x14ac:dyDescent="0.3">
      <c r="A19" s="35"/>
      <c r="B19" s="35"/>
      <c r="C19" s="35"/>
      <c r="D19" t="s">
        <v>4336</v>
      </c>
      <c r="E19" t="s">
        <v>4337</v>
      </c>
      <c r="F19" t="s">
        <v>4255</v>
      </c>
      <c r="G19" t="s">
        <v>4338</v>
      </c>
      <c r="H19" t="s">
        <v>4339</v>
      </c>
      <c r="I19" t="s">
        <v>4340</v>
      </c>
      <c r="J19" t="s">
        <v>4341</v>
      </c>
      <c r="K19" t="s">
        <v>4342</v>
      </c>
    </row>
    <row r="20" spans="1:11" x14ac:dyDescent="0.3">
      <c r="A20" s="35"/>
      <c r="B20" s="35"/>
      <c r="C20" s="35"/>
      <c r="D20" t="s">
        <v>4343</v>
      </c>
      <c r="E20" t="s">
        <v>4344</v>
      </c>
      <c r="F20" t="s">
        <v>4255</v>
      </c>
      <c r="G20" t="s">
        <v>4345</v>
      </c>
      <c r="H20" t="s">
        <v>4346</v>
      </c>
      <c r="I20" t="s">
        <v>23</v>
      </c>
      <c r="J20" t="s">
        <v>4347</v>
      </c>
      <c r="K20" t="s">
        <v>4348</v>
      </c>
    </row>
    <row r="21" spans="1:11" x14ac:dyDescent="0.3">
      <c r="A21" s="35"/>
      <c r="B21" s="35"/>
      <c r="C21" s="35"/>
      <c r="D21" t="s">
        <v>4349</v>
      </c>
      <c r="E21" t="s">
        <v>4350</v>
      </c>
      <c r="F21" t="s">
        <v>4255</v>
      </c>
      <c r="G21" t="s">
        <v>4331</v>
      </c>
      <c r="H21" t="s">
        <v>4351</v>
      </c>
      <c r="I21" t="s">
        <v>4333</v>
      </c>
      <c r="J21" t="s">
        <v>4352</v>
      </c>
      <c r="K21" t="s">
        <v>4353</v>
      </c>
    </row>
    <row r="22" spans="1:11" x14ac:dyDescent="0.3">
      <c r="A22" s="35"/>
      <c r="B22" s="35"/>
      <c r="C22" s="35" t="s">
        <v>4354</v>
      </c>
      <c r="D22" t="s">
        <v>4355</v>
      </c>
      <c r="E22" t="s">
        <v>4356</v>
      </c>
      <c r="F22" t="s">
        <v>4255</v>
      </c>
      <c r="G22" t="s">
        <v>4357</v>
      </c>
      <c r="H22" t="s">
        <v>4358</v>
      </c>
      <c r="I22" t="s">
        <v>23</v>
      </c>
      <c r="J22" t="s">
        <v>4359</v>
      </c>
      <c r="K22" t="s">
        <v>4360</v>
      </c>
    </row>
    <row r="23" spans="1:11" x14ac:dyDescent="0.3">
      <c r="A23" s="35"/>
      <c r="B23" s="35"/>
      <c r="C23" s="35"/>
      <c r="D23" t="s">
        <v>4361</v>
      </c>
      <c r="E23" t="s">
        <v>4362</v>
      </c>
      <c r="F23" t="s">
        <v>4255</v>
      </c>
      <c r="G23" t="s">
        <v>4363</v>
      </c>
      <c r="H23" t="s">
        <v>4364</v>
      </c>
      <c r="I23" t="s">
        <v>23</v>
      </c>
      <c r="J23" t="s">
        <v>4365</v>
      </c>
      <c r="K23" t="s">
        <v>4366</v>
      </c>
    </row>
    <row r="24" spans="1:11" x14ac:dyDescent="0.3">
      <c r="A24" s="35"/>
      <c r="B24" s="35"/>
      <c r="C24" s="35"/>
      <c r="D24" t="s">
        <v>4367</v>
      </c>
      <c r="E24" t="s">
        <v>4368</v>
      </c>
      <c r="F24" t="s">
        <v>4255</v>
      </c>
      <c r="G24" t="s">
        <v>4369</v>
      </c>
      <c r="H24" t="s">
        <v>4370</v>
      </c>
      <c r="I24" t="s">
        <v>23</v>
      </c>
      <c r="J24" t="s">
        <v>4371</v>
      </c>
      <c r="K24" t="s">
        <v>4372</v>
      </c>
    </row>
    <row r="25" spans="1:11" x14ac:dyDescent="0.3">
      <c r="A25" s="35"/>
      <c r="B25" s="35"/>
      <c r="C25" s="35"/>
      <c r="D25" t="s">
        <v>4373</v>
      </c>
      <c r="E25" t="s">
        <v>4374</v>
      </c>
      <c r="F25" t="s">
        <v>4255</v>
      </c>
      <c r="G25" t="s">
        <v>4375</v>
      </c>
      <c r="H25" t="s">
        <v>4376</v>
      </c>
      <c r="I25" t="s">
        <v>23</v>
      </c>
      <c r="J25" t="s">
        <v>4377</v>
      </c>
      <c r="K25" t="s">
        <v>4378</v>
      </c>
    </row>
    <row r="26" spans="1:11" x14ac:dyDescent="0.3">
      <c r="A26" s="35"/>
      <c r="B26" s="35"/>
      <c r="C26" s="35"/>
      <c r="D26" t="s">
        <v>4379</v>
      </c>
      <c r="E26" t="s">
        <v>4380</v>
      </c>
      <c r="F26" t="s">
        <v>4255</v>
      </c>
      <c r="G26" t="s">
        <v>4381</v>
      </c>
      <c r="H26" t="s">
        <v>4382</v>
      </c>
      <c r="I26" t="s">
        <v>23</v>
      </c>
      <c r="J26" t="s">
        <v>4383</v>
      </c>
      <c r="K26" t="s">
        <v>4384</v>
      </c>
    </row>
    <row r="27" spans="1:11" x14ac:dyDescent="0.3">
      <c r="A27" s="35"/>
      <c r="B27" s="35"/>
      <c r="C27" s="36" t="s">
        <v>4385</v>
      </c>
      <c r="D27" t="s">
        <v>4386</v>
      </c>
      <c r="E27" t="s">
        <v>4387</v>
      </c>
      <c r="F27" t="s">
        <v>4255</v>
      </c>
      <c r="G27" t="s">
        <v>4388</v>
      </c>
      <c r="H27" t="s">
        <v>4389</v>
      </c>
      <c r="I27" t="s">
        <v>4390</v>
      </c>
      <c r="J27" t="s">
        <v>4391</v>
      </c>
      <c r="K27" t="s">
        <v>4392</v>
      </c>
    </row>
    <row r="28" spans="1:11" x14ac:dyDescent="0.3">
      <c r="A28" s="35"/>
      <c r="B28" s="35"/>
      <c r="C28" s="35"/>
      <c r="D28" t="s">
        <v>4393</v>
      </c>
      <c r="E28" t="s">
        <v>4394</v>
      </c>
      <c r="F28" t="s">
        <v>4255</v>
      </c>
      <c r="G28" t="s">
        <v>4395</v>
      </c>
      <c r="H28" t="s">
        <v>4396</v>
      </c>
      <c r="I28" t="s">
        <v>4390</v>
      </c>
      <c r="J28" t="s">
        <v>4397</v>
      </c>
      <c r="K28" t="s">
        <v>4398</v>
      </c>
    </row>
    <row r="29" spans="1:11" x14ac:dyDescent="0.3">
      <c r="A29" s="35"/>
      <c r="B29" s="35"/>
      <c r="C29" s="35"/>
      <c r="D29" t="s">
        <v>4399</v>
      </c>
      <c r="E29" t="s">
        <v>4400</v>
      </c>
      <c r="F29" t="s">
        <v>4255</v>
      </c>
      <c r="G29" t="s">
        <v>4401</v>
      </c>
      <c r="H29" t="s">
        <v>4402</v>
      </c>
      <c r="I29" t="s">
        <v>4403</v>
      </c>
      <c r="J29" t="s">
        <v>4404</v>
      </c>
      <c r="K29" t="s">
        <v>4405</v>
      </c>
    </row>
    <row r="30" spans="1:11" x14ac:dyDescent="0.3">
      <c r="A30" s="35"/>
      <c r="B30" s="35"/>
      <c r="C30" s="35"/>
      <c r="D30" t="s">
        <v>4406</v>
      </c>
      <c r="E30" t="s">
        <v>4407</v>
      </c>
      <c r="F30" t="s">
        <v>4255</v>
      </c>
      <c r="G30" t="s">
        <v>4408</v>
      </c>
      <c r="H30" t="s">
        <v>4409</v>
      </c>
      <c r="I30" t="s">
        <v>4410</v>
      </c>
      <c r="J30" t="s">
        <v>4411</v>
      </c>
      <c r="K30" t="s">
        <v>4412</v>
      </c>
    </row>
    <row r="31" spans="1:11" x14ac:dyDescent="0.3">
      <c r="A31" s="35"/>
      <c r="B31" s="35"/>
      <c r="C31" s="35"/>
      <c r="D31" t="s">
        <v>4413</v>
      </c>
      <c r="E31" t="s">
        <v>4414</v>
      </c>
      <c r="F31" t="s">
        <v>4255</v>
      </c>
      <c r="G31" t="s">
        <v>4415</v>
      </c>
      <c r="H31" t="s">
        <v>4416</v>
      </c>
      <c r="I31" t="s">
        <v>23</v>
      </c>
      <c r="J31" t="s">
        <v>4417</v>
      </c>
      <c r="K31" t="s">
        <v>4418</v>
      </c>
    </row>
    <row r="32" spans="1:11" x14ac:dyDescent="0.3">
      <c r="A32" s="35"/>
      <c r="B32" s="35"/>
      <c r="C32" s="36" t="s">
        <v>4419</v>
      </c>
      <c r="D32" t="s">
        <v>4420</v>
      </c>
      <c r="E32" t="s">
        <v>4421</v>
      </c>
      <c r="F32" t="s">
        <v>4255</v>
      </c>
      <c r="G32" t="s">
        <v>4422</v>
      </c>
      <c r="H32" t="s">
        <v>4423</v>
      </c>
      <c r="I32" t="s">
        <v>23</v>
      </c>
      <c r="J32" t="s">
        <v>4424</v>
      </c>
      <c r="K32" t="s">
        <v>4425</v>
      </c>
    </row>
    <row r="33" spans="1:11" x14ac:dyDescent="0.3">
      <c r="A33" s="35"/>
      <c r="B33" s="35"/>
      <c r="C33" s="35"/>
      <c r="D33" t="s">
        <v>4426</v>
      </c>
      <c r="E33" t="s">
        <v>4427</v>
      </c>
      <c r="F33" t="s">
        <v>4255</v>
      </c>
      <c r="G33" t="s">
        <v>4428</v>
      </c>
      <c r="H33" t="s">
        <v>4429</v>
      </c>
      <c r="I33" t="s">
        <v>23</v>
      </c>
      <c r="J33" t="s">
        <v>4430</v>
      </c>
      <c r="K33" t="s">
        <v>4431</v>
      </c>
    </row>
    <row r="34" spans="1:11" x14ac:dyDescent="0.3">
      <c r="A34" s="35"/>
      <c r="B34" s="35"/>
      <c r="C34" s="35"/>
      <c r="D34" t="s">
        <v>4432</v>
      </c>
      <c r="E34" t="s">
        <v>4433</v>
      </c>
      <c r="F34" t="s">
        <v>4255</v>
      </c>
      <c r="G34" t="s">
        <v>4434</v>
      </c>
      <c r="H34" t="s">
        <v>4435</v>
      </c>
      <c r="I34" t="s">
        <v>23</v>
      </c>
      <c r="J34" t="s">
        <v>4436</v>
      </c>
      <c r="K34" t="s">
        <v>4437</v>
      </c>
    </row>
    <row r="35" spans="1:11" x14ac:dyDescent="0.3">
      <c r="A35" s="35"/>
      <c r="B35" s="35"/>
      <c r="C35" s="35"/>
      <c r="D35" t="s">
        <v>4438</v>
      </c>
      <c r="E35" t="s">
        <v>4439</v>
      </c>
      <c r="F35" t="s">
        <v>4255</v>
      </c>
      <c r="G35" t="s">
        <v>4440</v>
      </c>
      <c r="H35" t="s">
        <v>4441</v>
      </c>
      <c r="I35" t="s">
        <v>23</v>
      </c>
      <c r="J35" t="s">
        <v>4442</v>
      </c>
      <c r="K35" t="s">
        <v>4443</v>
      </c>
    </row>
    <row r="36" spans="1:11" x14ac:dyDescent="0.3">
      <c r="A36" s="35"/>
      <c r="B36" s="35"/>
      <c r="C36" s="35"/>
      <c r="D36" t="s">
        <v>4444</v>
      </c>
      <c r="E36" t="s">
        <v>4445</v>
      </c>
      <c r="F36" t="s">
        <v>4255</v>
      </c>
      <c r="G36" t="s">
        <v>4446</v>
      </c>
      <c r="H36" t="s">
        <v>4447</v>
      </c>
      <c r="I36" t="s">
        <v>23</v>
      </c>
      <c r="J36" t="s">
        <v>4448</v>
      </c>
      <c r="K36" t="s">
        <v>4449</v>
      </c>
    </row>
    <row r="37" spans="1:11" x14ac:dyDescent="0.3">
      <c r="A37" s="35"/>
      <c r="B37" s="35"/>
      <c r="C37" s="35" t="s">
        <v>4450</v>
      </c>
      <c r="D37" t="s">
        <v>4451</v>
      </c>
      <c r="E37" t="s">
        <v>4452</v>
      </c>
      <c r="F37" t="s">
        <v>4255</v>
      </c>
      <c r="G37" t="s">
        <v>4453</v>
      </c>
      <c r="H37" t="s">
        <v>4454</v>
      </c>
      <c r="I37" t="s">
        <v>4455</v>
      </c>
      <c r="J37" t="s">
        <v>4456</v>
      </c>
      <c r="K37" t="s">
        <v>4457</v>
      </c>
    </row>
    <row r="38" spans="1:11" x14ac:dyDescent="0.3">
      <c r="A38" s="35"/>
      <c r="B38" s="35"/>
      <c r="C38" s="35"/>
      <c r="D38" t="s">
        <v>4458</v>
      </c>
      <c r="E38" t="s">
        <v>4459</v>
      </c>
      <c r="F38" t="s">
        <v>4255</v>
      </c>
      <c r="G38" t="s">
        <v>4460</v>
      </c>
      <c r="H38" t="s">
        <v>4461</v>
      </c>
      <c r="I38" t="s">
        <v>4390</v>
      </c>
      <c r="J38" t="s">
        <v>4462</v>
      </c>
      <c r="K38" t="s">
        <v>4463</v>
      </c>
    </row>
    <row r="39" spans="1:11" x14ac:dyDescent="0.3">
      <c r="A39" s="35"/>
      <c r="B39" s="35"/>
      <c r="C39" s="35"/>
      <c r="D39" t="s">
        <v>4464</v>
      </c>
      <c r="E39" t="s">
        <v>4465</v>
      </c>
      <c r="F39" t="s">
        <v>4255</v>
      </c>
      <c r="G39" t="s">
        <v>4466</v>
      </c>
      <c r="H39" t="s">
        <v>4467</v>
      </c>
      <c r="I39" t="s">
        <v>4468</v>
      </c>
      <c r="J39" t="s">
        <v>4469</v>
      </c>
      <c r="K39" t="s">
        <v>4470</v>
      </c>
    </row>
    <row r="40" spans="1:11" x14ac:dyDescent="0.3">
      <c r="A40" s="35"/>
      <c r="B40" s="35"/>
      <c r="C40" s="35"/>
      <c r="D40" t="s">
        <v>4471</v>
      </c>
      <c r="E40" t="s">
        <v>4472</v>
      </c>
      <c r="F40" t="s">
        <v>4255</v>
      </c>
      <c r="G40" t="s">
        <v>4473</v>
      </c>
      <c r="H40" t="s">
        <v>4474</v>
      </c>
      <c r="I40" t="s">
        <v>4410</v>
      </c>
      <c r="J40" t="s">
        <v>4475</v>
      </c>
      <c r="K40" t="s">
        <v>4476</v>
      </c>
    </row>
    <row r="41" spans="1:11" x14ac:dyDescent="0.3">
      <c r="A41" s="35"/>
      <c r="B41" s="35"/>
      <c r="C41" s="35"/>
      <c r="D41" t="s">
        <v>4477</v>
      </c>
      <c r="E41" t="s">
        <v>4478</v>
      </c>
      <c r="F41" t="s">
        <v>4255</v>
      </c>
      <c r="G41" t="s">
        <v>4479</v>
      </c>
      <c r="H41" t="s">
        <v>4480</v>
      </c>
      <c r="I41" t="s">
        <v>4481</v>
      </c>
      <c r="J41" t="s">
        <v>4482</v>
      </c>
      <c r="K41" t="s">
        <v>4483</v>
      </c>
    </row>
    <row r="42" spans="1:11" x14ac:dyDescent="0.3">
      <c r="A42" s="35"/>
      <c r="B42" s="35" t="s">
        <v>4484</v>
      </c>
      <c r="C42" s="36" t="s">
        <v>4485</v>
      </c>
      <c r="D42" t="s">
        <v>4486</v>
      </c>
      <c r="E42" t="s">
        <v>4487</v>
      </c>
      <c r="F42" t="s">
        <v>4255</v>
      </c>
      <c r="G42" t="s">
        <v>4488</v>
      </c>
      <c r="H42" t="s">
        <v>4489</v>
      </c>
      <c r="I42" t="s">
        <v>4455</v>
      </c>
      <c r="J42" t="s">
        <v>4490</v>
      </c>
      <c r="K42" t="s">
        <v>4491</v>
      </c>
    </row>
    <row r="43" spans="1:11" x14ac:dyDescent="0.3">
      <c r="A43" s="35"/>
      <c r="B43" s="35"/>
      <c r="C43" s="35"/>
      <c r="D43" t="s">
        <v>4492</v>
      </c>
      <c r="E43" t="s">
        <v>4493</v>
      </c>
      <c r="F43" t="s">
        <v>4255</v>
      </c>
      <c r="G43" t="s">
        <v>4494</v>
      </c>
      <c r="H43" t="s">
        <v>4495</v>
      </c>
      <c r="I43" t="s">
        <v>4496</v>
      </c>
      <c r="J43" t="s">
        <v>4497</v>
      </c>
      <c r="K43" t="s">
        <v>4498</v>
      </c>
    </row>
    <row r="44" spans="1:11" x14ac:dyDescent="0.3">
      <c r="A44" s="35"/>
      <c r="B44" s="35"/>
      <c r="C44" s="35"/>
      <c r="D44" t="s">
        <v>4499</v>
      </c>
      <c r="E44" t="s">
        <v>4500</v>
      </c>
      <c r="F44" t="s">
        <v>4255</v>
      </c>
      <c r="G44" t="s">
        <v>4501</v>
      </c>
      <c r="H44" t="s">
        <v>4502</v>
      </c>
      <c r="I44" t="s">
        <v>4503</v>
      </c>
      <c r="J44" t="s">
        <v>4504</v>
      </c>
      <c r="K44" t="s">
        <v>4505</v>
      </c>
    </row>
    <row r="45" spans="1:11" x14ac:dyDescent="0.3">
      <c r="A45" s="35"/>
      <c r="B45" s="35"/>
      <c r="C45" s="35"/>
      <c r="D45" t="s">
        <v>4506</v>
      </c>
      <c r="E45" t="s">
        <v>4507</v>
      </c>
      <c r="F45" t="s">
        <v>4255</v>
      </c>
      <c r="G45" t="s">
        <v>4508</v>
      </c>
      <c r="H45" t="s">
        <v>4509</v>
      </c>
      <c r="I45" t="s">
        <v>4510</v>
      </c>
      <c r="J45" t="s">
        <v>4511</v>
      </c>
      <c r="K45" t="s">
        <v>4512</v>
      </c>
    </row>
    <row r="46" spans="1:11" x14ac:dyDescent="0.3">
      <c r="A46" s="35"/>
      <c r="B46" s="35"/>
      <c r="C46" s="35"/>
      <c r="D46" t="s">
        <v>4513</v>
      </c>
      <c r="E46" t="s">
        <v>4514</v>
      </c>
      <c r="F46" t="s">
        <v>4255</v>
      </c>
      <c r="G46" t="s">
        <v>4515</v>
      </c>
      <c r="H46" t="s">
        <v>4516</v>
      </c>
      <c r="I46" t="s">
        <v>4517</v>
      </c>
      <c r="J46" t="s">
        <v>4518</v>
      </c>
      <c r="K46" t="s">
        <v>4519</v>
      </c>
    </row>
    <row r="47" spans="1:11" x14ac:dyDescent="0.3">
      <c r="A47" s="35"/>
      <c r="B47" s="35"/>
      <c r="C47" s="35" t="s">
        <v>4520</v>
      </c>
      <c r="D47" t="s">
        <v>4521</v>
      </c>
      <c r="E47" t="s">
        <v>4522</v>
      </c>
      <c r="F47" t="s">
        <v>4255</v>
      </c>
      <c r="G47" t="s">
        <v>4523</v>
      </c>
      <c r="H47" t="s">
        <v>4524</v>
      </c>
      <c r="I47" t="s">
        <v>4517</v>
      </c>
      <c r="J47" t="s">
        <v>4525</v>
      </c>
      <c r="K47" t="s">
        <v>4526</v>
      </c>
    </row>
    <row r="48" spans="1:11" x14ac:dyDescent="0.3">
      <c r="A48" s="35"/>
      <c r="B48" s="35"/>
      <c r="C48" s="35"/>
      <c r="D48" t="s">
        <v>4527</v>
      </c>
      <c r="E48" t="s">
        <v>4528</v>
      </c>
      <c r="F48" t="s">
        <v>4255</v>
      </c>
      <c r="G48" t="s">
        <v>4529</v>
      </c>
      <c r="H48" t="s">
        <v>4530</v>
      </c>
      <c r="I48" t="s">
        <v>4517</v>
      </c>
      <c r="J48" t="s">
        <v>4531</v>
      </c>
      <c r="K48" t="s">
        <v>4532</v>
      </c>
    </row>
    <row r="49" spans="1:11" x14ac:dyDescent="0.3">
      <c r="A49" s="35"/>
      <c r="B49" s="35"/>
      <c r="C49" s="35"/>
      <c r="D49" t="s">
        <v>4533</v>
      </c>
      <c r="E49" t="s">
        <v>4534</v>
      </c>
      <c r="F49" t="s">
        <v>4255</v>
      </c>
      <c r="G49" t="s">
        <v>4535</v>
      </c>
      <c r="H49" t="s">
        <v>4536</v>
      </c>
      <c r="I49" t="s">
        <v>4517</v>
      </c>
      <c r="J49" t="s">
        <v>4537</v>
      </c>
      <c r="K49" t="s">
        <v>4538</v>
      </c>
    </row>
    <row r="50" spans="1:11" x14ac:dyDescent="0.3">
      <c r="A50" s="35"/>
      <c r="B50" s="35"/>
      <c r="C50" s="35"/>
      <c r="D50" t="s">
        <v>4539</v>
      </c>
      <c r="E50" t="s">
        <v>4540</v>
      </c>
      <c r="F50" t="s">
        <v>4255</v>
      </c>
      <c r="G50" t="s">
        <v>4541</v>
      </c>
      <c r="H50" t="s">
        <v>4542</v>
      </c>
      <c r="I50" t="s">
        <v>4517</v>
      </c>
      <c r="J50" t="s">
        <v>4543</v>
      </c>
      <c r="K50" t="s">
        <v>4544</v>
      </c>
    </row>
    <row r="51" spans="1:11" x14ac:dyDescent="0.3">
      <c r="A51" s="35"/>
      <c r="B51" s="35"/>
      <c r="C51" s="35"/>
      <c r="D51" t="s">
        <v>4545</v>
      </c>
      <c r="E51" t="s">
        <v>4546</v>
      </c>
      <c r="F51" t="s">
        <v>4255</v>
      </c>
      <c r="G51" t="s">
        <v>4547</v>
      </c>
      <c r="H51" t="s">
        <v>4548</v>
      </c>
      <c r="I51" t="s">
        <v>4517</v>
      </c>
      <c r="J51" t="s">
        <v>4549</v>
      </c>
      <c r="K51" t="s">
        <v>4550</v>
      </c>
    </row>
    <row r="52" spans="1:11" x14ac:dyDescent="0.3">
      <c r="A52" s="35"/>
      <c r="B52" s="35"/>
      <c r="C52" s="36" t="s">
        <v>4551</v>
      </c>
      <c r="D52" t="s">
        <v>4552</v>
      </c>
      <c r="E52" t="s">
        <v>4553</v>
      </c>
      <c r="F52" t="s">
        <v>4255</v>
      </c>
      <c r="G52" t="s">
        <v>4554</v>
      </c>
      <c r="H52" t="s">
        <v>4555</v>
      </c>
      <c r="I52" t="s">
        <v>4556</v>
      </c>
      <c r="J52" t="s">
        <v>4557</v>
      </c>
      <c r="K52" t="s">
        <v>4558</v>
      </c>
    </row>
    <row r="53" spans="1:11" x14ac:dyDescent="0.3">
      <c r="A53" s="35"/>
      <c r="B53" s="35"/>
      <c r="C53" s="35"/>
      <c r="D53" t="s">
        <v>4559</v>
      </c>
      <c r="E53" t="s">
        <v>4560</v>
      </c>
      <c r="F53" t="s">
        <v>4255</v>
      </c>
      <c r="G53" t="s">
        <v>4561</v>
      </c>
      <c r="H53" t="s">
        <v>4562</v>
      </c>
      <c r="I53" t="s">
        <v>4556</v>
      </c>
      <c r="J53" t="s">
        <v>4563</v>
      </c>
      <c r="K53" t="s">
        <v>4564</v>
      </c>
    </row>
    <row r="54" spans="1:11" x14ac:dyDescent="0.3">
      <c r="A54" s="35"/>
      <c r="B54" s="35"/>
      <c r="C54" s="35"/>
      <c r="D54" t="s">
        <v>4565</v>
      </c>
      <c r="E54" t="s">
        <v>4566</v>
      </c>
      <c r="F54" t="s">
        <v>4255</v>
      </c>
      <c r="G54" t="s">
        <v>4567</v>
      </c>
      <c r="H54" t="s">
        <v>4568</v>
      </c>
      <c r="I54" t="s">
        <v>4556</v>
      </c>
      <c r="J54" t="s">
        <v>4569</v>
      </c>
      <c r="K54" t="s">
        <v>4570</v>
      </c>
    </row>
    <row r="55" spans="1:11" x14ac:dyDescent="0.3">
      <c r="A55" s="35"/>
      <c r="B55" s="35"/>
      <c r="C55" s="35"/>
      <c r="D55" t="s">
        <v>4571</v>
      </c>
      <c r="E55" t="s">
        <v>4572</v>
      </c>
      <c r="F55" t="s">
        <v>4255</v>
      </c>
      <c r="G55" t="s">
        <v>4573</v>
      </c>
      <c r="H55" t="s">
        <v>4574</v>
      </c>
      <c r="I55" t="s">
        <v>4556</v>
      </c>
      <c r="J55" t="s">
        <v>4575</v>
      </c>
      <c r="K55" t="s">
        <v>4576</v>
      </c>
    </row>
    <row r="56" spans="1:11" x14ac:dyDescent="0.3">
      <c r="A56" s="35"/>
      <c r="B56" s="35"/>
      <c r="C56" s="35"/>
      <c r="D56" t="s">
        <v>4577</v>
      </c>
      <c r="E56" t="s">
        <v>4578</v>
      </c>
      <c r="F56" t="s">
        <v>4255</v>
      </c>
      <c r="G56" t="s">
        <v>4579</v>
      </c>
      <c r="H56" t="s">
        <v>4580</v>
      </c>
      <c r="I56" t="s">
        <v>4556</v>
      </c>
      <c r="J56" t="s">
        <v>4581</v>
      </c>
      <c r="K56" t="s">
        <v>4582</v>
      </c>
    </row>
    <row r="57" spans="1:11" x14ac:dyDescent="0.3">
      <c r="A57" s="35"/>
      <c r="B57" s="35"/>
      <c r="C57" s="35" t="s">
        <v>4583</v>
      </c>
      <c r="D57" t="s">
        <v>4584</v>
      </c>
      <c r="E57" t="s">
        <v>4585</v>
      </c>
      <c r="F57" t="s">
        <v>4255</v>
      </c>
      <c r="G57" t="s">
        <v>4586</v>
      </c>
      <c r="H57" t="s">
        <v>4587</v>
      </c>
      <c r="I57" t="s">
        <v>4588</v>
      </c>
      <c r="J57" t="s">
        <v>4589</v>
      </c>
      <c r="K57" t="s">
        <v>4590</v>
      </c>
    </row>
    <row r="58" spans="1:11" x14ac:dyDescent="0.3">
      <c r="A58" s="35"/>
      <c r="B58" s="35"/>
      <c r="C58" s="35"/>
      <c r="D58" t="s">
        <v>4591</v>
      </c>
      <c r="E58" t="s">
        <v>4592</v>
      </c>
      <c r="F58" t="s">
        <v>4255</v>
      </c>
      <c r="G58" t="s">
        <v>4593</v>
      </c>
      <c r="H58" t="s">
        <v>4594</v>
      </c>
      <c r="I58" t="s">
        <v>4588</v>
      </c>
      <c r="J58" t="s">
        <v>4595</v>
      </c>
      <c r="K58" t="s">
        <v>4596</v>
      </c>
    </row>
    <row r="59" spans="1:11" x14ac:dyDescent="0.3">
      <c r="A59" s="35"/>
      <c r="B59" s="35"/>
      <c r="C59" s="35"/>
      <c r="D59" t="s">
        <v>4597</v>
      </c>
      <c r="E59" t="s">
        <v>4598</v>
      </c>
      <c r="F59" t="s">
        <v>4255</v>
      </c>
      <c r="G59" t="s">
        <v>4599</v>
      </c>
      <c r="H59" t="s">
        <v>4600</v>
      </c>
      <c r="I59" t="s">
        <v>4588</v>
      </c>
      <c r="J59" t="s">
        <v>4601</v>
      </c>
      <c r="K59" t="s">
        <v>4602</v>
      </c>
    </row>
    <row r="60" spans="1:11" x14ac:dyDescent="0.3">
      <c r="A60" s="35"/>
      <c r="B60" s="35"/>
      <c r="C60" s="35"/>
      <c r="D60" t="s">
        <v>4603</v>
      </c>
      <c r="E60" t="s">
        <v>4604</v>
      </c>
      <c r="F60" t="s">
        <v>4255</v>
      </c>
      <c r="G60" t="s">
        <v>4605</v>
      </c>
      <c r="H60" t="s">
        <v>4606</v>
      </c>
      <c r="I60" t="s">
        <v>4588</v>
      </c>
      <c r="J60" t="s">
        <v>4607</v>
      </c>
      <c r="K60" t="s">
        <v>4608</v>
      </c>
    </row>
    <row r="61" spans="1:11" x14ac:dyDescent="0.3">
      <c r="A61" s="35"/>
      <c r="B61" s="35"/>
      <c r="C61" s="35"/>
      <c r="D61" t="s">
        <v>4609</v>
      </c>
      <c r="E61" t="s">
        <v>4610</v>
      </c>
      <c r="F61" t="s">
        <v>4255</v>
      </c>
      <c r="G61" t="s">
        <v>4611</v>
      </c>
      <c r="H61" t="s">
        <v>4612</v>
      </c>
      <c r="I61" t="s">
        <v>4556</v>
      </c>
      <c r="J61" t="s">
        <v>4613</v>
      </c>
      <c r="K61" t="s">
        <v>4614</v>
      </c>
    </row>
    <row r="62" spans="1:11" x14ac:dyDescent="0.3">
      <c r="A62" s="35"/>
      <c r="B62" s="35"/>
      <c r="C62" s="35" t="s">
        <v>4615</v>
      </c>
      <c r="D62" t="s">
        <v>4616</v>
      </c>
      <c r="E62" t="s">
        <v>4617</v>
      </c>
      <c r="F62" t="s">
        <v>4255</v>
      </c>
      <c r="G62" t="s">
        <v>4618</v>
      </c>
      <c r="H62" t="s">
        <v>4619</v>
      </c>
      <c r="I62" t="s">
        <v>4556</v>
      </c>
      <c r="J62" t="s">
        <v>4620</v>
      </c>
      <c r="K62" t="s">
        <v>4621</v>
      </c>
    </row>
    <row r="63" spans="1:11" x14ac:dyDescent="0.3">
      <c r="A63" s="35"/>
      <c r="B63" s="35"/>
      <c r="C63" s="35"/>
      <c r="D63" t="s">
        <v>4622</v>
      </c>
      <c r="E63" t="s">
        <v>4623</v>
      </c>
      <c r="F63" t="s">
        <v>4255</v>
      </c>
      <c r="G63" t="s">
        <v>4624</v>
      </c>
      <c r="H63" t="s">
        <v>4625</v>
      </c>
      <c r="I63" t="s">
        <v>4556</v>
      </c>
      <c r="J63" t="s">
        <v>4626</v>
      </c>
      <c r="K63" t="s">
        <v>4627</v>
      </c>
    </row>
    <row r="64" spans="1:11" x14ac:dyDescent="0.3">
      <c r="A64" s="35"/>
      <c r="B64" s="35"/>
      <c r="C64" s="35"/>
      <c r="D64" t="s">
        <v>4628</v>
      </c>
      <c r="E64" t="s">
        <v>4629</v>
      </c>
      <c r="F64" t="s">
        <v>4255</v>
      </c>
      <c r="G64" t="s">
        <v>4630</v>
      </c>
      <c r="H64" t="s">
        <v>4631</v>
      </c>
      <c r="I64" t="s">
        <v>4556</v>
      </c>
      <c r="J64" t="s">
        <v>4632</v>
      </c>
      <c r="K64" t="s">
        <v>4633</v>
      </c>
    </row>
    <row r="65" spans="1:11" x14ac:dyDescent="0.3">
      <c r="A65" s="35"/>
      <c r="B65" s="35"/>
      <c r="C65" s="35"/>
      <c r="D65" t="s">
        <v>4634</v>
      </c>
      <c r="E65" t="s">
        <v>4635</v>
      </c>
      <c r="F65" t="s">
        <v>4255</v>
      </c>
      <c r="G65" t="s">
        <v>4636</v>
      </c>
      <c r="H65" t="s">
        <v>4637</v>
      </c>
      <c r="I65" t="s">
        <v>4556</v>
      </c>
      <c r="J65" t="s">
        <v>4638</v>
      </c>
      <c r="K65" t="s">
        <v>4639</v>
      </c>
    </row>
    <row r="66" spans="1:11" x14ac:dyDescent="0.3">
      <c r="A66" s="35"/>
      <c r="B66" s="35"/>
      <c r="C66" s="35"/>
      <c r="D66" t="s">
        <v>4640</v>
      </c>
      <c r="E66" t="s">
        <v>4641</v>
      </c>
      <c r="F66" t="s">
        <v>4255</v>
      </c>
      <c r="G66" t="s">
        <v>4642</v>
      </c>
      <c r="H66" t="s">
        <v>4643</v>
      </c>
      <c r="I66" t="s">
        <v>4556</v>
      </c>
      <c r="J66" t="s">
        <v>4607</v>
      </c>
      <c r="K66" t="s">
        <v>4644</v>
      </c>
    </row>
    <row r="67" spans="1:11" x14ac:dyDescent="0.3">
      <c r="A67" s="35"/>
      <c r="B67" s="35"/>
      <c r="C67" s="35" t="s">
        <v>4645</v>
      </c>
      <c r="D67" t="s">
        <v>4646</v>
      </c>
      <c r="E67" t="s">
        <v>4647</v>
      </c>
      <c r="F67" t="s">
        <v>4255</v>
      </c>
      <c r="G67" t="s">
        <v>4648</v>
      </c>
      <c r="H67" t="s">
        <v>4649</v>
      </c>
      <c r="I67" t="s">
        <v>4556</v>
      </c>
      <c r="J67" t="s">
        <v>4650</v>
      </c>
      <c r="K67" t="s">
        <v>4651</v>
      </c>
    </row>
    <row r="68" spans="1:11" x14ac:dyDescent="0.3">
      <c r="A68" s="35"/>
      <c r="B68" s="35"/>
      <c r="C68" s="35"/>
      <c r="D68" t="s">
        <v>4652</v>
      </c>
      <c r="E68" t="s">
        <v>4653</v>
      </c>
      <c r="F68" t="s">
        <v>4255</v>
      </c>
      <c r="G68" t="s">
        <v>4654</v>
      </c>
      <c r="H68" t="s">
        <v>4655</v>
      </c>
      <c r="I68" t="s">
        <v>4556</v>
      </c>
      <c r="J68" t="s">
        <v>4656</v>
      </c>
      <c r="K68" t="s">
        <v>4657</v>
      </c>
    </row>
    <row r="69" spans="1:11" x14ac:dyDescent="0.3">
      <c r="A69" s="35"/>
      <c r="B69" s="35"/>
      <c r="C69" s="35"/>
      <c r="D69" t="s">
        <v>4658</v>
      </c>
      <c r="E69" t="s">
        <v>4659</v>
      </c>
      <c r="F69" t="s">
        <v>4255</v>
      </c>
      <c r="G69" t="s">
        <v>4660</v>
      </c>
      <c r="H69" t="s">
        <v>4661</v>
      </c>
      <c r="I69" t="s">
        <v>4556</v>
      </c>
      <c r="J69" t="s">
        <v>4662</v>
      </c>
      <c r="K69" t="s">
        <v>4663</v>
      </c>
    </row>
    <row r="70" spans="1:11" x14ac:dyDescent="0.3">
      <c r="A70" s="35"/>
      <c r="B70" s="35"/>
      <c r="C70" s="35"/>
      <c r="D70" t="s">
        <v>4664</v>
      </c>
      <c r="E70" t="s">
        <v>4665</v>
      </c>
      <c r="F70" t="s">
        <v>4255</v>
      </c>
      <c r="G70" t="s">
        <v>4666</v>
      </c>
      <c r="H70" t="s">
        <v>4667</v>
      </c>
      <c r="I70" t="s">
        <v>4556</v>
      </c>
      <c r="J70" t="s">
        <v>4668</v>
      </c>
      <c r="K70" t="s">
        <v>4669</v>
      </c>
    </row>
    <row r="71" spans="1:11" x14ac:dyDescent="0.3">
      <c r="A71" s="35"/>
      <c r="B71" s="35"/>
      <c r="C71" s="35"/>
      <c r="D71" t="s">
        <v>4670</v>
      </c>
      <c r="E71" t="s">
        <v>4671</v>
      </c>
      <c r="F71" t="s">
        <v>4255</v>
      </c>
      <c r="G71" t="s">
        <v>4672</v>
      </c>
      <c r="H71" t="s">
        <v>4673</v>
      </c>
      <c r="I71" t="s">
        <v>4674</v>
      </c>
      <c r="J71" t="s">
        <v>4675</v>
      </c>
      <c r="K71" t="s">
        <v>4676</v>
      </c>
    </row>
    <row r="72" spans="1:11" x14ac:dyDescent="0.3">
      <c r="A72" s="35"/>
      <c r="B72" s="35"/>
      <c r="C72" s="35" t="s">
        <v>4677</v>
      </c>
      <c r="D72" t="s">
        <v>4678</v>
      </c>
      <c r="E72" t="s">
        <v>4679</v>
      </c>
      <c r="F72" t="s">
        <v>4255</v>
      </c>
      <c r="G72" t="s">
        <v>4680</v>
      </c>
      <c r="H72" t="s">
        <v>4681</v>
      </c>
      <c r="I72" t="s">
        <v>4674</v>
      </c>
      <c r="J72" t="s">
        <v>4682</v>
      </c>
      <c r="K72" t="s">
        <v>4683</v>
      </c>
    </row>
    <row r="73" spans="1:11" x14ac:dyDescent="0.3">
      <c r="A73" s="35"/>
      <c r="B73" s="35"/>
      <c r="C73" s="35"/>
      <c r="D73" t="s">
        <v>4684</v>
      </c>
      <c r="E73" t="s">
        <v>4685</v>
      </c>
      <c r="F73" t="s">
        <v>4255</v>
      </c>
      <c r="G73" t="s">
        <v>4686</v>
      </c>
      <c r="H73" t="s">
        <v>4687</v>
      </c>
      <c r="I73" t="s">
        <v>4674</v>
      </c>
      <c r="J73" t="s">
        <v>4688</v>
      </c>
      <c r="K73" t="s">
        <v>4689</v>
      </c>
    </row>
    <row r="74" spans="1:11" x14ac:dyDescent="0.3">
      <c r="A74" s="35"/>
      <c r="B74" s="35"/>
      <c r="C74" s="35"/>
      <c r="D74" t="s">
        <v>4690</v>
      </c>
      <c r="E74" t="s">
        <v>4691</v>
      </c>
      <c r="F74" t="s">
        <v>4255</v>
      </c>
      <c r="G74" t="s">
        <v>4692</v>
      </c>
      <c r="H74" t="s">
        <v>4693</v>
      </c>
      <c r="I74" t="s">
        <v>4674</v>
      </c>
      <c r="J74" t="s">
        <v>4694</v>
      </c>
      <c r="K74" t="s">
        <v>4695</v>
      </c>
    </row>
    <row r="75" spans="1:11" x14ac:dyDescent="0.3">
      <c r="A75" s="35"/>
      <c r="B75" s="35"/>
      <c r="C75" s="35"/>
      <c r="D75" t="s">
        <v>4696</v>
      </c>
      <c r="E75" t="s">
        <v>4697</v>
      </c>
      <c r="F75" t="s">
        <v>4255</v>
      </c>
      <c r="G75" t="s">
        <v>4698</v>
      </c>
      <c r="H75" t="s">
        <v>4699</v>
      </c>
      <c r="I75" t="s">
        <v>4674</v>
      </c>
      <c r="J75" t="s">
        <v>4700</v>
      </c>
      <c r="K75" t="s">
        <v>4701</v>
      </c>
    </row>
    <row r="76" spans="1:11" x14ac:dyDescent="0.3">
      <c r="A76" s="35"/>
      <c r="B76" s="35"/>
      <c r="C76" s="35"/>
      <c r="D76" t="s">
        <v>4702</v>
      </c>
      <c r="E76" t="s">
        <v>4703</v>
      </c>
      <c r="F76" t="s">
        <v>4255</v>
      </c>
      <c r="G76" t="s">
        <v>4704</v>
      </c>
      <c r="H76" t="s">
        <v>4705</v>
      </c>
      <c r="I76" t="s">
        <v>4674</v>
      </c>
      <c r="J76" t="s">
        <v>4706</v>
      </c>
      <c r="K76" t="s">
        <v>4707</v>
      </c>
    </row>
    <row r="77" spans="1:11" x14ac:dyDescent="0.3">
      <c r="A77" s="35"/>
      <c r="B77" s="35"/>
      <c r="C77" s="35" t="s">
        <v>4708</v>
      </c>
      <c r="D77" t="s">
        <v>4709</v>
      </c>
      <c r="E77" t="s">
        <v>4710</v>
      </c>
      <c r="F77" t="s">
        <v>4255</v>
      </c>
      <c r="G77" t="s">
        <v>4711</v>
      </c>
      <c r="H77" t="s">
        <v>4712</v>
      </c>
      <c r="I77" t="s">
        <v>4556</v>
      </c>
      <c r="J77" t="s">
        <v>4713</v>
      </c>
      <c r="K77" t="s">
        <v>4714</v>
      </c>
    </row>
    <row r="78" spans="1:11" x14ac:dyDescent="0.3">
      <c r="A78" s="35"/>
      <c r="B78" s="35"/>
      <c r="C78" s="35"/>
      <c r="D78" t="s">
        <v>4715</v>
      </c>
      <c r="E78" t="s">
        <v>4716</v>
      </c>
      <c r="F78" t="s">
        <v>4255</v>
      </c>
      <c r="G78" t="s">
        <v>4717</v>
      </c>
      <c r="H78" t="s">
        <v>4718</v>
      </c>
      <c r="I78" t="s">
        <v>4556</v>
      </c>
      <c r="J78" t="s">
        <v>4719</v>
      </c>
      <c r="K78" t="s">
        <v>4720</v>
      </c>
    </row>
    <row r="79" spans="1:11" x14ac:dyDescent="0.3">
      <c r="A79" s="35"/>
      <c r="B79" s="35"/>
      <c r="C79" s="35"/>
      <c r="D79" t="s">
        <v>4721</v>
      </c>
      <c r="E79" t="s">
        <v>4722</v>
      </c>
      <c r="F79" t="s">
        <v>4255</v>
      </c>
      <c r="G79" t="s">
        <v>4723</v>
      </c>
      <c r="H79" t="s">
        <v>4724</v>
      </c>
      <c r="I79" t="s">
        <v>4556</v>
      </c>
      <c r="J79" t="s">
        <v>4725</v>
      </c>
      <c r="K79" t="s">
        <v>4726</v>
      </c>
    </row>
    <row r="80" spans="1:11" x14ac:dyDescent="0.3">
      <c r="A80" s="35"/>
      <c r="B80" s="35"/>
      <c r="C80" s="35"/>
      <c r="D80" t="s">
        <v>4727</v>
      </c>
      <c r="E80" t="s">
        <v>4728</v>
      </c>
      <c r="F80" t="s">
        <v>4255</v>
      </c>
      <c r="G80" t="s">
        <v>4729</v>
      </c>
      <c r="H80" t="s">
        <v>4730</v>
      </c>
      <c r="I80" t="s">
        <v>4556</v>
      </c>
      <c r="J80" t="s">
        <v>4731</v>
      </c>
      <c r="K80" t="s">
        <v>4732</v>
      </c>
    </row>
    <row r="81" spans="1:11" x14ac:dyDescent="0.3">
      <c r="A81" s="35"/>
      <c r="B81" s="35"/>
      <c r="C81" s="35"/>
      <c r="D81" t="s">
        <v>4733</v>
      </c>
      <c r="E81" t="s">
        <v>4734</v>
      </c>
      <c r="F81" t="s">
        <v>4255</v>
      </c>
      <c r="G81" t="s">
        <v>4735</v>
      </c>
      <c r="H81" t="s">
        <v>4736</v>
      </c>
      <c r="I81" t="s">
        <v>4556</v>
      </c>
      <c r="J81" t="s">
        <v>4737</v>
      </c>
    </row>
    <row r="82" spans="1:11" x14ac:dyDescent="0.3">
      <c r="A82" s="35"/>
      <c r="B82" s="35"/>
      <c r="C82" s="35" t="s">
        <v>4738</v>
      </c>
      <c r="D82" s="39" t="s">
        <v>4739</v>
      </c>
      <c r="E82" s="39" t="s">
        <v>4740</v>
      </c>
      <c r="F82" s="39" t="s">
        <v>3074</v>
      </c>
      <c r="G82" s="39" t="s">
        <v>4741</v>
      </c>
      <c r="H82" s="39" t="s">
        <v>4742</v>
      </c>
      <c r="I82" s="39" t="s">
        <v>23</v>
      </c>
      <c r="J82" s="39" t="s">
        <v>4743</v>
      </c>
      <c r="K82" s="39" t="s">
        <v>4744</v>
      </c>
    </row>
    <row r="83" spans="1:11" ht="28.8" x14ac:dyDescent="0.3">
      <c r="A83" s="35"/>
      <c r="B83" s="35"/>
      <c r="C83" s="35"/>
      <c r="D83" s="39" t="s">
        <v>4745</v>
      </c>
      <c r="E83" s="39" t="s">
        <v>4746</v>
      </c>
      <c r="F83" s="39" t="s">
        <v>3074</v>
      </c>
      <c r="G83" s="39" t="s">
        <v>4747</v>
      </c>
      <c r="H83" s="39" t="s">
        <v>4748</v>
      </c>
      <c r="I83" s="39" t="s">
        <v>23</v>
      </c>
      <c r="J83" s="39" t="s">
        <v>4749</v>
      </c>
      <c r="K83" s="39" t="s">
        <v>4750</v>
      </c>
    </row>
    <row r="84" spans="1:11" x14ac:dyDescent="0.3">
      <c r="A84" s="35"/>
      <c r="B84" s="35"/>
      <c r="C84" s="35"/>
      <c r="D84" s="39" t="s">
        <v>4751</v>
      </c>
      <c r="E84" s="39" t="s">
        <v>4752</v>
      </c>
      <c r="F84" s="39" t="s">
        <v>3074</v>
      </c>
      <c r="G84" s="39" t="s">
        <v>4753</v>
      </c>
      <c r="H84" s="39" t="s">
        <v>4754</v>
      </c>
      <c r="I84" s="39" t="s">
        <v>4755</v>
      </c>
      <c r="J84" s="39" t="s">
        <v>4756</v>
      </c>
      <c r="K84" s="39" t="s">
        <v>4757</v>
      </c>
    </row>
    <row r="85" spans="1:11" ht="28.8" x14ac:dyDescent="0.3">
      <c r="A85" s="35"/>
      <c r="B85" s="35"/>
      <c r="C85" s="35"/>
      <c r="D85" s="39" t="s">
        <v>4758</v>
      </c>
      <c r="E85" s="39" t="s">
        <v>4759</v>
      </c>
      <c r="F85" s="39" t="s">
        <v>3074</v>
      </c>
      <c r="G85" s="39" t="s">
        <v>3335</v>
      </c>
      <c r="H85" s="39" t="s">
        <v>4760</v>
      </c>
      <c r="I85" s="39" t="s">
        <v>31</v>
      </c>
      <c r="J85" s="39" t="s">
        <v>4761</v>
      </c>
      <c r="K85" s="39" t="s">
        <v>4762</v>
      </c>
    </row>
    <row r="86" spans="1:11" x14ac:dyDescent="0.3">
      <c r="A86" s="35"/>
      <c r="B86" s="35"/>
      <c r="C86" s="35"/>
      <c r="D86" s="39" t="s">
        <v>4285</v>
      </c>
      <c r="E86" s="39" t="s">
        <v>4763</v>
      </c>
      <c r="F86" s="39" t="s">
        <v>3074</v>
      </c>
      <c r="G86" s="39" t="s">
        <v>4764</v>
      </c>
      <c r="H86" s="39" t="s">
        <v>4765</v>
      </c>
      <c r="I86" s="39" t="s">
        <v>31</v>
      </c>
      <c r="J86" s="39" t="s">
        <v>4766</v>
      </c>
      <c r="K86" s="39" t="s">
        <v>4767</v>
      </c>
    </row>
    <row r="87" spans="1:11" x14ac:dyDescent="0.3">
      <c r="A87" s="35"/>
      <c r="B87" s="35"/>
      <c r="C87" s="36" t="s">
        <v>4768</v>
      </c>
      <c r="D87" s="39" t="s">
        <v>4769</v>
      </c>
      <c r="E87" s="39" t="s">
        <v>4770</v>
      </c>
      <c r="F87" s="39" t="s">
        <v>3074</v>
      </c>
      <c r="G87" s="39" t="s">
        <v>4771</v>
      </c>
      <c r="H87" s="39" t="s">
        <v>4772</v>
      </c>
      <c r="I87" s="39" t="s">
        <v>23</v>
      </c>
      <c r="J87" s="39" t="s">
        <v>4773</v>
      </c>
      <c r="K87" s="39" t="s">
        <v>4774</v>
      </c>
    </row>
    <row r="88" spans="1:11" ht="28.8" x14ac:dyDescent="0.3">
      <c r="A88" s="35"/>
      <c r="B88" s="35"/>
      <c r="C88" s="35"/>
      <c r="D88" s="39" t="s">
        <v>4253</v>
      </c>
      <c r="E88" s="39" t="s">
        <v>4775</v>
      </c>
      <c r="F88" s="39" t="s">
        <v>3074</v>
      </c>
      <c r="G88" s="39" t="s">
        <v>4776</v>
      </c>
      <c r="H88" s="39" t="s">
        <v>4777</v>
      </c>
      <c r="I88" s="39" t="s">
        <v>23</v>
      </c>
      <c r="J88" s="39" t="s">
        <v>4778</v>
      </c>
      <c r="K88" s="39" t="s">
        <v>4779</v>
      </c>
    </row>
    <row r="89" spans="1:11" ht="28.8" x14ac:dyDescent="0.3">
      <c r="A89" s="35"/>
      <c r="B89" s="35"/>
      <c r="C89" s="35"/>
      <c r="D89" s="39" t="s">
        <v>4780</v>
      </c>
      <c r="E89" s="39" t="s">
        <v>4781</v>
      </c>
      <c r="F89" s="39" t="s">
        <v>3074</v>
      </c>
      <c r="G89" s="39" t="s">
        <v>4782</v>
      </c>
      <c r="H89" s="39" t="s">
        <v>4783</v>
      </c>
      <c r="I89" s="39" t="s">
        <v>4755</v>
      </c>
      <c r="J89" s="39" t="s">
        <v>4784</v>
      </c>
      <c r="K89" s="39" t="s">
        <v>4785</v>
      </c>
    </row>
    <row r="90" spans="1:11" ht="28.8" x14ac:dyDescent="0.3">
      <c r="A90" s="35"/>
      <c r="B90" s="35"/>
      <c r="C90" s="35"/>
      <c r="D90" s="39" t="s">
        <v>4786</v>
      </c>
      <c r="E90" s="39" t="s">
        <v>4787</v>
      </c>
      <c r="F90" s="39" t="s">
        <v>3074</v>
      </c>
      <c r="G90" s="39" t="s">
        <v>4788</v>
      </c>
      <c r="H90" s="39" t="s">
        <v>4789</v>
      </c>
      <c r="I90" s="39" t="s">
        <v>31</v>
      </c>
      <c r="J90" s="39" t="s">
        <v>4790</v>
      </c>
      <c r="K90" s="39" t="s">
        <v>4791</v>
      </c>
    </row>
    <row r="91" spans="1:11" ht="28.8" x14ac:dyDescent="0.3">
      <c r="A91" s="35"/>
      <c r="B91" s="35"/>
      <c r="C91" s="35"/>
      <c r="D91" s="39" t="s">
        <v>4792</v>
      </c>
      <c r="E91" s="39" t="s">
        <v>4793</v>
      </c>
      <c r="F91" s="39" t="s">
        <v>3074</v>
      </c>
      <c r="G91" s="39" t="s">
        <v>4794</v>
      </c>
      <c r="H91" s="39" t="s">
        <v>4795</v>
      </c>
      <c r="I91" s="39" t="s">
        <v>31</v>
      </c>
      <c r="J91" s="39" t="s">
        <v>4796</v>
      </c>
      <c r="K91" s="39" t="s">
        <v>4797</v>
      </c>
    </row>
    <row r="92" spans="1:11" x14ac:dyDescent="0.3">
      <c r="A92" s="35"/>
      <c r="B92" s="35"/>
      <c r="C92" s="36" t="s">
        <v>4798</v>
      </c>
      <c r="D92" s="39" t="s">
        <v>4799</v>
      </c>
      <c r="E92" s="39" t="s">
        <v>4800</v>
      </c>
      <c r="F92" s="39" t="s">
        <v>3074</v>
      </c>
      <c r="G92" s="39" t="s">
        <v>4801</v>
      </c>
      <c r="H92" s="39" t="s">
        <v>4802</v>
      </c>
      <c r="I92" s="39" t="s">
        <v>23</v>
      </c>
      <c r="J92" s="39" t="s">
        <v>4803</v>
      </c>
      <c r="K92" s="39" t="s">
        <v>4804</v>
      </c>
    </row>
    <row r="93" spans="1:11" x14ac:dyDescent="0.3">
      <c r="A93" s="35"/>
      <c r="B93" s="35"/>
      <c r="C93" s="35"/>
      <c r="D93" s="39" t="s">
        <v>4805</v>
      </c>
      <c r="E93" s="39" t="s">
        <v>4806</v>
      </c>
      <c r="F93" s="39" t="s">
        <v>3074</v>
      </c>
      <c r="G93" s="39" t="s">
        <v>4807</v>
      </c>
      <c r="H93" s="39" t="s">
        <v>4808</v>
      </c>
      <c r="I93" s="39" t="s">
        <v>23</v>
      </c>
      <c r="J93" s="39" t="s">
        <v>4809</v>
      </c>
      <c r="K93" s="39" t="s">
        <v>4810</v>
      </c>
    </row>
    <row r="94" spans="1:11" x14ac:dyDescent="0.3">
      <c r="A94" s="35"/>
      <c r="B94" s="35"/>
      <c r="C94" s="35"/>
      <c r="D94" s="39" t="s">
        <v>4811</v>
      </c>
      <c r="E94" s="39" t="s">
        <v>4812</v>
      </c>
      <c r="F94" s="39" t="s">
        <v>3074</v>
      </c>
      <c r="G94" s="39" t="s">
        <v>4813</v>
      </c>
      <c r="H94" s="39" t="s">
        <v>4814</v>
      </c>
      <c r="I94" s="39" t="s">
        <v>31</v>
      </c>
      <c r="J94" s="39" t="s">
        <v>4815</v>
      </c>
      <c r="K94" s="39" t="s">
        <v>4816</v>
      </c>
    </row>
    <row r="95" spans="1:11" x14ac:dyDescent="0.3">
      <c r="A95" s="35"/>
      <c r="B95" s="35"/>
      <c r="C95" s="35"/>
      <c r="D95" s="39" t="s">
        <v>4817</v>
      </c>
      <c r="E95" s="39" t="s">
        <v>4818</v>
      </c>
      <c r="F95" s="39" t="s">
        <v>3074</v>
      </c>
      <c r="G95" s="39" t="s">
        <v>4819</v>
      </c>
      <c r="H95" s="39" t="s">
        <v>4820</v>
      </c>
      <c r="I95" s="39" t="s">
        <v>31</v>
      </c>
      <c r="J95" s="39" t="s">
        <v>4821</v>
      </c>
      <c r="K95" s="39" t="s">
        <v>4822</v>
      </c>
    </row>
    <row r="96" spans="1:11" x14ac:dyDescent="0.3">
      <c r="A96" s="35"/>
      <c r="B96" s="35"/>
      <c r="C96" s="35"/>
      <c r="D96" s="39" t="s">
        <v>4823</v>
      </c>
      <c r="E96" s="39" t="s">
        <v>4824</v>
      </c>
      <c r="F96" s="39" t="s">
        <v>3074</v>
      </c>
      <c r="G96" s="39" t="s">
        <v>4825</v>
      </c>
      <c r="H96" s="39" t="s">
        <v>4826</v>
      </c>
      <c r="I96" s="39" t="s">
        <v>23</v>
      </c>
      <c r="J96" s="39" t="s">
        <v>4827</v>
      </c>
      <c r="K96" s="39" t="s">
        <v>4828</v>
      </c>
    </row>
    <row r="97" spans="1:11" ht="28.8" x14ac:dyDescent="0.3">
      <c r="A97" s="35"/>
      <c r="B97" s="35"/>
      <c r="C97" s="35" t="s">
        <v>4829</v>
      </c>
      <c r="D97" s="39" t="s">
        <v>4830</v>
      </c>
      <c r="E97" s="39" t="s">
        <v>4831</v>
      </c>
      <c r="F97" s="39" t="s">
        <v>23</v>
      </c>
      <c r="G97" s="39" t="s">
        <v>4832</v>
      </c>
      <c r="H97" s="39" t="s">
        <v>4833</v>
      </c>
    </row>
    <row r="98" spans="1:11" x14ac:dyDescent="0.3">
      <c r="A98" s="35"/>
      <c r="B98" s="35"/>
      <c r="C98" s="35"/>
      <c r="D98" s="39" t="s">
        <v>4834</v>
      </c>
      <c r="E98" s="39" t="s">
        <v>4835</v>
      </c>
      <c r="F98" s="39" t="s">
        <v>3074</v>
      </c>
      <c r="G98" s="39" t="s">
        <v>4836</v>
      </c>
      <c r="H98" s="39" t="s">
        <v>4837</v>
      </c>
      <c r="I98" s="39" t="s">
        <v>23</v>
      </c>
      <c r="J98" s="39" t="s">
        <v>4838</v>
      </c>
      <c r="K98" s="39" t="s">
        <v>4839</v>
      </c>
    </row>
    <row r="99" spans="1:11" ht="28.8" x14ac:dyDescent="0.3">
      <c r="A99" s="35"/>
      <c r="B99" s="35"/>
      <c r="C99" s="35"/>
      <c r="D99" s="39" t="s">
        <v>4840</v>
      </c>
      <c r="E99" s="39" t="s">
        <v>4841</v>
      </c>
      <c r="F99" s="39" t="s">
        <v>3074</v>
      </c>
      <c r="G99" s="39" t="s">
        <v>4842</v>
      </c>
      <c r="H99" s="39" t="s">
        <v>4843</v>
      </c>
      <c r="I99" s="39" t="s">
        <v>23</v>
      </c>
      <c r="J99" s="39" t="s">
        <v>4844</v>
      </c>
      <c r="K99" s="39" t="s">
        <v>4845</v>
      </c>
    </row>
    <row r="100" spans="1:11" ht="28.8" x14ac:dyDescent="0.3">
      <c r="A100" s="35"/>
      <c r="B100" s="35"/>
      <c r="C100" s="35"/>
      <c r="D100" s="39" t="s">
        <v>4846</v>
      </c>
      <c r="E100" s="39" t="s">
        <v>4847</v>
      </c>
      <c r="F100" s="39" t="s">
        <v>3074</v>
      </c>
      <c r="G100" s="39" t="s">
        <v>4848</v>
      </c>
      <c r="H100" s="39" t="s">
        <v>4849</v>
      </c>
      <c r="I100" s="39" t="s">
        <v>4755</v>
      </c>
      <c r="J100" s="39" t="s">
        <v>4850</v>
      </c>
      <c r="K100" s="39" t="s">
        <v>4851</v>
      </c>
    </row>
    <row r="101" spans="1:11" ht="28.8" x14ac:dyDescent="0.3">
      <c r="A101" s="35"/>
      <c r="B101" s="35"/>
      <c r="C101" s="35"/>
      <c r="D101" s="39" t="s">
        <v>4852</v>
      </c>
      <c r="E101" s="39" t="s">
        <v>4853</v>
      </c>
      <c r="F101" s="39" t="s">
        <v>3074</v>
      </c>
      <c r="G101" s="39" t="s">
        <v>4854</v>
      </c>
      <c r="H101" s="39" t="s">
        <v>4855</v>
      </c>
      <c r="I101" s="39" t="s">
        <v>23</v>
      </c>
      <c r="J101" s="39" t="s">
        <v>4856</v>
      </c>
      <c r="K101" s="39" t="s">
        <v>4857</v>
      </c>
    </row>
    <row r="102" spans="1:11" x14ac:dyDescent="0.3">
      <c r="A102" s="35"/>
      <c r="B102" s="35"/>
      <c r="C102" s="35" t="s">
        <v>4858</v>
      </c>
      <c r="D102" s="39" t="s">
        <v>4859</v>
      </c>
      <c r="E102" s="39" t="s">
        <v>4860</v>
      </c>
      <c r="F102" s="39" t="s">
        <v>3074</v>
      </c>
      <c r="G102" s="39" t="s">
        <v>4861</v>
      </c>
      <c r="H102" s="39" t="s">
        <v>4862</v>
      </c>
      <c r="I102" s="39" t="s">
        <v>23</v>
      </c>
      <c r="J102" s="39" t="s">
        <v>4863</v>
      </c>
      <c r="K102" s="39" t="s">
        <v>4864</v>
      </c>
    </row>
    <row r="103" spans="1:11" x14ac:dyDescent="0.3">
      <c r="A103" s="35"/>
      <c r="B103" s="35"/>
      <c r="C103" s="35"/>
      <c r="D103" s="39" t="s">
        <v>4865</v>
      </c>
      <c r="E103" s="39" t="s">
        <v>4866</v>
      </c>
      <c r="F103" s="39" t="s">
        <v>3074</v>
      </c>
      <c r="G103" s="39" t="s">
        <v>4867</v>
      </c>
      <c r="H103" s="39" t="s">
        <v>4868</v>
      </c>
      <c r="I103" s="39" t="s">
        <v>31</v>
      </c>
      <c r="J103" s="39" t="s">
        <v>4869</v>
      </c>
      <c r="K103" s="39" t="s">
        <v>4870</v>
      </c>
    </row>
    <row r="104" spans="1:11" ht="28.8" x14ac:dyDescent="0.3">
      <c r="A104" s="35"/>
      <c r="B104" s="35"/>
      <c r="C104" s="35"/>
      <c r="D104" s="39" t="s">
        <v>4871</v>
      </c>
      <c r="E104" s="39" t="s">
        <v>4872</v>
      </c>
      <c r="F104" s="39" t="s">
        <v>3074</v>
      </c>
      <c r="G104" s="39" t="s">
        <v>4873</v>
      </c>
      <c r="H104" s="39" t="s">
        <v>4874</v>
      </c>
      <c r="I104" s="39" t="s">
        <v>23</v>
      </c>
      <c r="J104" s="39" t="s">
        <v>4875</v>
      </c>
      <c r="K104" s="39" t="s">
        <v>4876</v>
      </c>
    </row>
    <row r="105" spans="1:11" x14ac:dyDescent="0.3">
      <c r="A105" s="35"/>
      <c r="B105" s="35"/>
      <c r="C105" s="35"/>
      <c r="D105" s="39" t="s">
        <v>4877</v>
      </c>
      <c r="E105" s="39" t="s">
        <v>4878</v>
      </c>
      <c r="F105" s="39" t="s">
        <v>3074</v>
      </c>
      <c r="G105" s="39" t="s">
        <v>4879</v>
      </c>
      <c r="H105" s="39" t="s">
        <v>4880</v>
      </c>
      <c r="I105" s="39" t="s">
        <v>31</v>
      </c>
      <c r="J105" s="39" t="s">
        <v>4881</v>
      </c>
      <c r="K105" s="39" t="s">
        <v>4882</v>
      </c>
    </row>
    <row r="106" spans="1:11" ht="28.8" x14ac:dyDescent="0.3">
      <c r="A106" s="35"/>
      <c r="B106" s="35"/>
      <c r="C106" s="35"/>
      <c r="D106" s="39" t="s">
        <v>4883</v>
      </c>
      <c r="E106" s="39" t="s">
        <v>4884</v>
      </c>
      <c r="F106" s="39" t="s">
        <v>3074</v>
      </c>
      <c r="G106" s="39" t="s">
        <v>4885</v>
      </c>
      <c r="H106" s="39" t="s">
        <v>4886</v>
      </c>
      <c r="I106" s="39" t="s">
        <v>31</v>
      </c>
      <c r="J106" s="39" t="s">
        <v>4887</v>
      </c>
      <c r="K106" s="39" t="s">
        <v>4888</v>
      </c>
    </row>
    <row r="107" spans="1:11" x14ac:dyDescent="0.3">
      <c r="A107" s="35"/>
      <c r="B107" s="36" t="s">
        <v>4889</v>
      </c>
      <c r="C107" s="36" t="s">
        <v>4890</v>
      </c>
      <c r="D107" s="39" t="s">
        <v>4891</v>
      </c>
      <c r="E107" s="39" t="s">
        <v>4892</v>
      </c>
      <c r="F107" s="39" t="s">
        <v>3074</v>
      </c>
      <c r="G107" s="39" t="s">
        <v>4893</v>
      </c>
      <c r="H107" s="39" t="s">
        <v>4894</v>
      </c>
      <c r="I107" s="39" t="s">
        <v>23</v>
      </c>
      <c r="J107" s="39" t="s">
        <v>4895</v>
      </c>
      <c r="K107" s="39" t="s">
        <v>4896</v>
      </c>
    </row>
    <row r="108" spans="1:11" x14ac:dyDescent="0.3">
      <c r="A108" s="35"/>
      <c r="B108" s="35"/>
      <c r="C108" s="35"/>
      <c r="D108" s="39" t="s">
        <v>4897</v>
      </c>
      <c r="E108" s="39" t="s">
        <v>4898</v>
      </c>
      <c r="F108" s="39" t="s">
        <v>3074</v>
      </c>
      <c r="G108" s="39" t="s">
        <v>4899</v>
      </c>
      <c r="H108" s="39" t="s">
        <v>4900</v>
      </c>
      <c r="I108" s="39" t="s">
        <v>4755</v>
      </c>
      <c r="J108" s="39" t="s">
        <v>4901</v>
      </c>
      <c r="K108" s="39" t="s">
        <v>4902</v>
      </c>
    </row>
    <row r="109" spans="1:11" ht="28.8" x14ac:dyDescent="0.3">
      <c r="A109" s="35"/>
      <c r="B109" s="35"/>
      <c r="C109" s="35"/>
      <c r="D109" s="39" t="s">
        <v>4903</v>
      </c>
      <c r="E109" s="39" t="s">
        <v>4904</v>
      </c>
      <c r="F109" s="39" t="s">
        <v>3074</v>
      </c>
      <c r="G109" s="39" t="s">
        <v>4905</v>
      </c>
      <c r="H109" s="39" t="s">
        <v>4906</v>
      </c>
      <c r="I109" s="39" t="s">
        <v>31</v>
      </c>
      <c r="J109" s="39" t="s">
        <v>4907</v>
      </c>
      <c r="K109" s="39" t="s">
        <v>4908</v>
      </c>
    </row>
    <row r="110" spans="1:11" ht="28.8" x14ac:dyDescent="0.3">
      <c r="A110" s="35"/>
      <c r="B110" s="35"/>
      <c r="C110" s="35"/>
      <c r="D110" s="39" t="s">
        <v>4909</v>
      </c>
      <c r="E110" s="39" t="s">
        <v>4910</v>
      </c>
      <c r="F110" s="39" t="s">
        <v>3074</v>
      </c>
      <c r="G110" s="39" t="s">
        <v>4911</v>
      </c>
      <c r="H110" s="39" t="s">
        <v>4912</v>
      </c>
      <c r="I110" s="39" t="s">
        <v>31</v>
      </c>
      <c r="J110" s="39" t="s">
        <v>4913</v>
      </c>
      <c r="K110" s="39" t="s">
        <v>4914</v>
      </c>
    </row>
    <row r="111" spans="1:11" ht="28.8" x14ac:dyDescent="0.3">
      <c r="A111" s="35"/>
      <c r="B111" s="35"/>
      <c r="C111" s="35"/>
      <c r="D111" s="39" t="s">
        <v>4915</v>
      </c>
      <c r="E111" s="39" t="s">
        <v>4916</v>
      </c>
      <c r="F111" s="39" t="s">
        <v>3074</v>
      </c>
      <c r="G111" s="39" t="s">
        <v>4917</v>
      </c>
      <c r="H111" s="39" t="s">
        <v>4918</v>
      </c>
      <c r="I111" s="39" t="s">
        <v>23</v>
      </c>
      <c r="J111" s="39" t="s">
        <v>4919</v>
      </c>
      <c r="K111" s="39" t="s">
        <v>4920</v>
      </c>
    </row>
    <row r="112" spans="1:11" x14ac:dyDescent="0.3">
      <c r="A112" s="35"/>
      <c r="B112" s="35"/>
      <c r="C112" s="35" t="s">
        <v>4921</v>
      </c>
      <c r="D112" s="39" t="s">
        <v>4922</v>
      </c>
      <c r="E112" s="39" t="s">
        <v>4923</v>
      </c>
      <c r="F112" s="39" t="s">
        <v>3074</v>
      </c>
      <c r="G112" s="39" t="s">
        <v>4924</v>
      </c>
      <c r="H112" s="39" t="s">
        <v>4925</v>
      </c>
      <c r="I112" s="39" t="s">
        <v>23</v>
      </c>
      <c r="J112" s="39" t="s">
        <v>4926</v>
      </c>
      <c r="K112" s="39" t="s">
        <v>4927</v>
      </c>
    </row>
    <row r="113" spans="1:11" x14ac:dyDescent="0.3">
      <c r="A113" s="35"/>
      <c r="B113" s="35"/>
      <c r="C113" s="35"/>
      <c r="D113" s="39" t="s">
        <v>4928</v>
      </c>
      <c r="E113" s="39" t="s">
        <v>4929</v>
      </c>
      <c r="F113" s="39" t="s">
        <v>3074</v>
      </c>
      <c r="G113" s="39" t="s">
        <v>4930</v>
      </c>
      <c r="H113" s="39" t="s">
        <v>4931</v>
      </c>
      <c r="I113" s="39" t="s">
        <v>23</v>
      </c>
      <c r="J113" s="39" t="s">
        <v>4932</v>
      </c>
      <c r="K113" s="39" t="s">
        <v>4933</v>
      </c>
    </row>
    <row r="114" spans="1:11" x14ac:dyDescent="0.3">
      <c r="A114" s="35"/>
      <c r="B114" s="35"/>
      <c r="C114" s="35"/>
      <c r="D114" s="39" t="s">
        <v>4934</v>
      </c>
      <c r="E114" s="39" t="s">
        <v>4935</v>
      </c>
      <c r="F114" s="39" t="s">
        <v>3074</v>
      </c>
      <c r="G114" s="39" t="s">
        <v>4936</v>
      </c>
      <c r="H114" s="39" t="s">
        <v>4937</v>
      </c>
      <c r="I114" s="39" t="s">
        <v>31</v>
      </c>
      <c r="J114" s="39" t="s">
        <v>4938</v>
      </c>
      <c r="K114" s="39" t="s">
        <v>4939</v>
      </c>
    </row>
    <row r="115" spans="1:11" ht="28.8" x14ac:dyDescent="0.3">
      <c r="A115" s="35"/>
      <c r="B115" s="35"/>
      <c r="C115" s="35"/>
      <c r="D115" s="39" t="s">
        <v>4940</v>
      </c>
      <c r="E115" s="39" t="s">
        <v>4941</v>
      </c>
      <c r="F115" s="39" t="s">
        <v>3074</v>
      </c>
      <c r="G115" s="39" t="s">
        <v>4942</v>
      </c>
      <c r="H115" s="39" t="s">
        <v>4943</v>
      </c>
      <c r="I115" s="39" t="s">
        <v>31</v>
      </c>
      <c r="J115" s="39" t="s">
        <v>4944</v>
      </c>
      <c r="K115" s="39" t="s">
        <v>4945</v>
      </c>
    </row>
    <row r="116" spans="1:11" ht="28.8" x14ac:dyDescent="0.3">
      <c r="A116" s="35"/>
      <c r="B116" s="35"/>
      <c r="C116" s="35"/>
      <c r="D116" s="39" t="s">
        <v>4946</v>
      </c>
      <c r="E116" s="39" t="s">
        <v>4947</v>
      </c>
      <c r="F116" s="39" t="s">
        <v>3074</v>
      </c>
      <c r="G116" s="39" t="s">
        <v>4948</v>
      </c>
      <c r="H116" s="39" t="s">
        <v>4949</v>
      </c>
      <c r="I116" s="39" t="s">
        <v>31</v>
      </c>
      <c r="J116" s="39" t="s">
        <v>4950</v>
      </c>
      <c r="K116" s="39" t="s">
        <v>4951</v>
      </c>
    </row>
    <row r="117" spans="1:11" x14ac:dyDescent="0.3">
      <c r="A117" s="35"/>
      <c r="B117" s="35"/>
      <c r="C117" s="36" t="s">
        <v>4952</v>
      </c>
      <c r="D117" s="39" t="s">
        <v>4953</v>
      </c>
      <c r="E117" s="39" t="s">
        <v>4954</v>
      </c>
      <c r="F117" s="39" t="s">
        <v>3074</v>
      </c>
      <c r="G117" s="39" t="s">
        <v>4955</v>
      </c>
      <c r="H117" s="39" t="s">
        <v>4956</v>
      </c>
      <c r="I117" s="39" t="s">
        <v>4755</v>
      </c>
      <c r="J117" s="39" t="s">
        <v>4957</v>
      </c>
      <c r="K117" s="39" t="s">
        <v>4958</v>
      </c>
    </row>
    <row r="118" spans="1:11" x14ac:dyDescent="0.3">
      <c r="A118" s="35"/>
      <c r="B118" s="35"/>
      <c r="C118" s="35"/>
      <c r="D118" s="39" t="s">
        <v>4959</v>
      </c>
      <c r="E118" s="39" t="s">
        <v>4960</v>
      </c>
      <c r="F118" s="39" t="s">
        <v>3074</v>
      </c>
      <c r="G118" s="39" t="s">
        <v>4961</v>
      </c>
      <c r="H118" s="39" t="s">
        <v>4962</v>
      </c>
      <c r="I118" s="39" t="s">
        <v>31</v>
      </c>
      <c r="J118" s="39" t="s">
        <v>4963</v>
      </c>
      <c r="K118" s="39" t="s">
        <v>4964</v>
      </c>
    </row>
    <row r="119" spans="1:11" ht="28.8" x14ac:dyDescent="0.3">
      <c r="A119" s="35"/>
      <c r="B119" s="35"/>
      <c r="C119" s="35"/>
      <c r="D119" s="39" t="s">
        <v>4965</v>
      </c>
      <c r="E119" s="39" t="s">
        <v>4966</v>
      </c>
      <c r="F119" s="39" t="s">
        <v>3074</v>
      </c>
      <c r="G119" s="39" t="s">
        <v>4967</v>
      </c>
      <c r="H119" s="39" t="s">
        <v>4968</v>
      </c>
      <c r="I119" s="39" t="s">
        <v>31</v>
      </c>
      <c r="J119" s="39" t="s">
        <v>4969</v>
      </c>
      <c r="K119" s="39" t="s">
        <v>4970</v>
      </c>
    </row>
    <row r="120" spans="1:11" ht="28.8" x14ac:dyDescent="0.3">
      <c r="A120" s="35"/>
      <c r="B120" s="35"/>
      <c r="C120" s="35"/>
      <c r="D120" s="39" t="s">
        <v>4971</v>
      </c>
      <c r="E120" s="39" t="s">
        <v>4972</v>
      </c>
      <c r="F120" s="39" t="s">
        <v>3074</v>
      </c>
      <c r="G120" s="39" t="s">
        <v>4973</v>
      </c>
      <c r="H120" s="39" t="s">
        <v>4974</v>
      </c>
      <c r="I120" s="39" t="s">
        <v>31</v>
      </c>
      <c r="J120" s="39" t="s">
        <v>4975</v>
      </c>
      <c r="K120" s="39" t="s">
        <v>4976</v>
      </c>
    </row>
    <row r="121" spans="1:11" x14ac:dyDescent="0.3">
      <c r="A121" s="35"/>
      <c r="B121" s="35"/>
      <c r="C121" s="35"/>
      <c r="D121" s="39" t="s">
        <v>4977</v>
      </c>
      <c r="E121" s="39" t="s">
        <v>4978</v>
      </c>
      <c r="F121" s="39" t="s">
        <v>3074</v>
      </c>
      <c r="G121" s="39" t="s">
        <v>4979</v>
      </c>
      <c r="H121" s="39" t="s">
        <v>4980</v>
      </c>
      <c r="I121" s="39" t="s">
        <v>23</v>
      </c>
      <c r="J121" s="39" t="s">
        <v>4981</v>
      </c>
      <c r="K121" s="39" t="s">
        <v>4982</v>
      </c>
    </row>
    <row r="122" spans="1:11" x14ac:dyDescent="0.3">
      <c r="A122" s="35"/>
      <c r="B122" s="35"/>
      <c r="C122" s="35" t="s">
        <v>4983</v>
      </c>
      <c r="D122" s="40" t="s">
        <v>4984</v>
      </c>
      <c r="E122" s="40" t="s">
        <v>4985</v>
      </c>
      <c r="F122" s="40" t="s">
        <v>3074</v>
      </c>
      <c r="G122" s="40" t="s">
        <v>4986</v>
      </c>
      <c r="H122" s="40" t="s">
        <v>4987</v>
      </c>
      <c r="I122" s="40" t="s">
        <v>23</v>
      </c>
      <c r="J122" s="40" t="s">
        <v>4988</v>
      </c>
      <c r="K122" s="40" t="s">
        <v>4989</v>
      </c>
    </row>
    <row r="123" spans="1:11" ht="28.8" x14ac:dyDescent="0.3">
      <c r="A123" s="35"/>
      <c r="B123" s="35"/>
      <c r="C123" s="35"/>
      <c r="D123" s="40" t="s">
        <v>4990</v>
      </c>
      <c r="E123" s="40" t="s">
        <v>4991</v>
      </c>
      <c r="F123" s="40" t="s">
        <v>3074</v>
      </c>
      <c r="G123" s="40" t="s">
        <v>4992</v>
      </c>
      <c r="H123" s="40" t="s">
        <v>4993</v>
      </c>
      <c r="I123" s="40" t="s">
        <v>4755</v>
      </c>
      <c r="J123" s="40" t="s">
        <v>4994</v>
      </c>
      <c r="K123" s="40" t="s">
        <v>4995</v>
      </c>
    </row>
    <row r="124" spans="1:11" ht="28.8" x14ac:dyDescent="0.3">
      <c r="A124" s="35"/>
      <c r="B124" s="35"/>
      <c r="C124" s="35"/>
      <c r="D124" s="40" t="s">
        <v>4996</v>
      </c>
      <c r="E124" s="40" t="s">
        <v>4997</v>
      </c>
      <c r="F124" s="40" t="s">
        <v>3074</v>
      </c>
      <c r="G124" s="40" t="s">
        <v>4998</v>
      </c>
      <c r="H124" s="40" t="s">
        <v>4999</v>
      </c>
      <c r="I124" s="40" t="s">
        <v>31</v>
      </c>
      <c r="J124" s="40" t="s">
        <v>5000</v>
      </c>
      <c r="K124" s="40" t="s">
        <v>5001</v>
      </c>
    </row>
    <row r="125" spans="1:11" ht="28.8" x14ac:dyDescent="0.3">
      <c r="A125" s="35"/>
      <c r="B125" s="35"/>
      <c r="C125" s="35"/>
      <c r="D125" s="40" t="s">
        <v>5002</v>
      </c>
      <c r="E125" s="40" t="s">
        <v>5003</v>
      </c>
      <c r="F125" s="40" t="s">
        <v>3074</v>
      </c>
      <c r="G125" s="40" t="s">
        <v>5004</v>
      </c>
      <c r="H125" s="40" t="s">
        <v>5005</v>
      </c>
      <c r="I125" s="40" t="s">
        <v>23</v>
      </c>
      <c r="J125" s="40" t="s">
        <v>5006</v>
      </c>
      <c r="K125" s="40" t="s">
        <v>5007</v>
      </c>
    </row>
    <row r="126" spans="1:11" ht="28.8" x14ac:dyDescent="0.3">
      <c r="A126" s="35"/>
      <c r="B126" s="35"/>
      <c r="C126" s="35"/>
      <c r="D126" s="40" t="s">
        <v>5008</v>
      </c>
      <c r="E126" s="40" t="s">
        <v>5009</v>
      </c>
      <c r="F126" s="40" t="s">
        <v>3074</v>
      </c>
      <c r="G126" s="40" t="s">
        <v>5010</v>
      </c>
      <c r="H126" s="40" t="s">
        <v>5011</v>
      </c>
      <c r="I126" s="40" t="s">
        <v>23</v>
      </c>
      <c r="J126" s="40" t="s">
        <v>5000</v>
      </c>
      <c r="K126" s="40" t="s">
        <v>5012</v>
      </c>
    </row>
    <row r="127" spans="1:11" ht="28.8" x14ac:dyDescent="0.3">
      <c r="A127" s="35"/>
      <c r="B127" s="35"/>
      <c r="C127" s="36" t="s">
        <v>5013</v>
      </c>
      <c r="D127" s="40" t="s">
        <v>5014</v>
      </c>
      <c r="E127" s="40" t="s">
        <v>5015</v>
      </c>
      <c r="F127" s="40" t="s">
        <v>3074</v>
      </c>
      <c r="G127" s="40" t="s">
        <v>5016</v>
      </c>
      <c r="H127" s="40" t="s">
        <v>5017</v>
      </c>
      <c r="I127" s="40" t="s">
        <v>23</v>
      </c>
      <c r="J127" s="40" t="s">
        <v>5018</v>
      </c>
      <c r="K127" s="40" t="s">
        <v>5019</v>
      </c>
    </row>
    <row r="128" spans="1:11" ht="28.8" x14ac:dyDescent="0.3">
      <c r="A128" s="35"/>
      <c r="B128" s="35"/>
      <c r="C128" s="35"/>
      <c r="D128" s="40" t="s">
        <v>5020</v>
      </c>
      <c r="E128" s="40" t="s">
        <v>5021</v>
      </c>
      <c r="F128" s="40" t="s">
        <v>3074</v>
      </c>
      <c r="G128" s="40" t="s">
        <v>5022</v>
      </c>
      <c r="H128" s="40" t="s">
        <v>5023</v>
      </c>
      <c r="I128" s="40" t="s">
        <v>31</v>
      </c>
      <c r="J128" s="40" t="s">
        <v>5024</v>
      </c>
      <c r="K128" s="40" t="s">
        <v>5025</v>
      </c>
    </row>
    <row r="129" spans="1:11" ht="28.8" x14ac:dyDescent="0.3">
      <c r="A129" s="35"/>
      <c r="B129" s="35"/>
      <c r="C129" s="35"/>
      <c r="D129" s="40" t="s">
        <v>5026</v>
      </c>
      <c r="E129" s="40" t="s">
        <v>5027</v>
      </c>
      <c r="F129" s="40" t="s">
        <v>3074</v>
      </c>
      <c r="G129" s="40" t="s">
        <v>5028</v>
      </c>
      <c r="H129" s="40" t="s">
        <v>5029</v>
      </c>
      <c r="I129" s="40" t="s">
        <v>31</v>
      </c>
      <c r="J129" s="40" t="s">
        <v>5030</v>
      </c>
      <c r="K129" s="40" t="s">
        <v>5031</v>
      </c>
    </row>
    <row r="130" spans="1:11" ht="28.8" x14ac:dyDescent="0.3">
      <c r="A130" s="35"/>
      <c r="B130" s="35"/>
      <c r="C130" s="35"/>
      <c r="D130" s="40" t="s">
        <v>5032</v>
      </c>
      <c r="E130" s="40" t="s">
        <v>5033</v>
      </c>
      <c r="F130" s="40" t="s">
        <v>3074</v>
      </c>
      <c r="G130" s="40" t="s">
        <v>5034</v>
      </c>
      <c r="H130" s="40" t="s">
        <v>5035</v>
      </c>
      <c r="I130" s="40" t="s">
        <v>4755</v>
      </c>
      <c r="J130" s="40" t="s">
        <v>5036</v>
      </c>
      <c r="K130" s="40" t="s">
        <v>5037</v>
      </c>
    </row>
    <row r="131" spans="1:11" x14ac:dyDescent="0.3">
      <c r="A131" s="35"/>
      <c r="B131" s="35"/>
      <c r="C131" s="35"/>
      <c r="D131" s="40" t="s">
        <v>5038</v>
      </c>
      <c r="E131" s="40" t="s">
        <v>5039</v>
      </c>
      <c r="F131" s="40" t="s">
        <v>3074</v>
      </c>
      <c r="G131" s="40" t="s">
        <v>5040</v>
      </c>
      <c r="H131" s="40" t="s">
        <v>5041</v>
      </c>
      <c r="I131" s="40" t="s">
        <v>23</v>
      </c>
      <c r="J131" s="40" t="s">
        <v>5042</v>
      </c>
      <c r="K131" s="40" t="s">
        <v>5043</v>
      </c>
    </row>
    <row r="132" spans="1:11" ht="28.8" x14ac:dyDescent="0.3">
      <c r="A132" s="35"/>
      <c r="B132" s="35"/>
      <c r="C132" s="36" t="s">
        <v>5044</v>
      </c>
      <c r="D132" s="40" t="s">
        <v>5045</v>
      </c>
      <c r="E132" s="40" t="s">
        <v>5046</v>
      </c>
      <c r="F132" s="40" t="s">
        <v>3074</v>
      </c>
      <c r="G132" s="40" t="s">
        <v>5047</v>
      </c>
      <c r="H132" s="40" t="s">
        <v>5048</v>
      </c>
      <c r="I132" s="40" t="s">
        <v>23</v>
      </c>
      <c r="J132" s="40" t="s">
        <v>5049</v>
      </c>
      <c r="K132" s="40" t="s">
        <v>5050</v>
      </c>
    </row>
    <row r="133" spans="1:11" x14ac:dyDescent="0.3">
      <c r="A133" s="35"/>
      <c r="B133" s="35"/>
      <c r="C133" s="35"/>
      <c r="D133" s="40" t="s">
        <v>5051</v>
      </c>
      <c r="E133" s="40" t="s">
        <v>5052</v>
      </c>
      <c r="F133" s="40" t="s">
        <v>3074</v>
      </c>
      <c r="G133" s="40" t="s">
        <v>5053</v>
      </c>
      <c r="H133" s="40" t="s">
        <v>5054</v>
      </c>
      <c r="I133" s="40" t="s">
        <v>4755</v>
      </c>
      <c r="J133" s="40" t="s">
        <v>5055</v>
      </c>
      <c r="K133" s="40" t="s">
        <v>5056</v>
      </c>
    </row>
    <row r="134" spans="1:11" ht="28.8" x14ac:dyDescent="0.3">
      <c r="A134" s="35"/>
      <c r="B134" s="35"/>
      <c r="C134" s="35"/>
      <c r="D134" s="40" t="s">
        <v>5057</v>
      </c>
      <c r="E134" s="40" t="s">
        <v>5058</v>
      </c>
      <c r="F134" s="40" t="s">
        <v>3074</v>
      </c>
      <c r="G134" s="40" t="s">
        <v>5059</v>
      </c>
      <c r="H134" s="40" t="s">
        <v>5060</v>
      </c>
      <c r="I134" s="40" t="s">
        <v>23</v>
      </c>
      <c r="J134" s="40" t="s">
        <v>5061</v>
      </c>
      <c r="K134" s="40" t="s">
        <v>5062</v>
      </c>
    </row>
    <row r="135" spans="1:11" ht="28.8" x14ac:dyDescent="0.3">
      <c r="A135" s="35"/>
      <c r="B135" s="35"/>
      <c r="C135" s="35"/>
      <c r="D135" s="40" t="s">
        <v>5063</v>
      </c>
      <c r="E135" s="40" t="s">
        <v>5064</v>
      </c>
      <c r="F135" s="40" t="s">
        <v>3074</v>
      </c>
      <c r="G135" s="40" t="s">
        <v>5065</v>
      </c>
      <c r="H135" s="40" t="s">
        <v>5066</v>
      </c>
      <c r="I135" s="40" t="s">
        <v>31</v>
      </c>
      <c r="J135" s="40" t="s">
        <v>5067</v>
      </c>
      <c r="K135" s="40" t="s">
        <v>5068</v>
      </c>
    </row>
    <row r="136" spans="1:11" x14ac:dyDescent="0.3">
      <c r="A136" s="35"/>
      <c r="B136" s="35"/>
      <c r="C136" s="35"/>
      <c r="D136" s="40" t="s">
        <v>5069</v>
      </c>
      <c r="E136" s="40" t="s">
        <v>5070</v>
      </c>
      <c r="F136" s="40" t="s">
        <v>3074</v>
      </c>
      <c r="G136" s="40" t="s">
        <v>5071</v>
      </c>
      <c r="H136" s="40" t="s">
        <v>5072</v>
      </c>
      <c r="I136" s="40" t="s">
        <v>23</v>
      </c>
      <c r="J136" s="40" t="s">
        <v>5073</v>
      </c>
      <c r="K136" s="40" t="s">
        <v>5074</v>
      </c>
    </row>
    <row r="137" spans="1:11" ht="28.8" x14ac:dyDescent="0.3">
      <c r="A137" s="35"/>
      <c r="B137" s="35"/>
      <c r="C137" s="36" t="s">
        <v>5075</v>
      </c>
      <c r="D137" s="40" t="s">
        <v>5076</v>
      </c>
      <c r="E137" s="40" t="s">
        <v>5077</v>
      </c>
      <c r="F137" s="40" t="s">
        <v>3074</v>
      </c>
      <c r="G137" s="40" t="s">
        <v>5078</v>
      </c>
      <c r="H137" s="40" t="s">
        <v>5079</v>
      </c>
      <c r="I137" s="40" t="s">
        <v>23</v>
      </c>
      <c r="J137" s="40" t="s">
        <v>5080</v>
      </c>
      <c r="K137" s="40" t="s">
        <v>5081</v>
      </c>
    </row>
    <row r="138" spans="1:11" x14ac:dyDescent="0.3">
      <c r="A138" s="35"/>
      <c r="B138" s="35"/>
      <c r="C138" s="35"/>
      <c r="D138" s="40" t="s">
        <v>5082</v>
      </c>
      <c r="E138" s="40" t="s">
        <v>5083</v>
      </c>
      <c r="F138" s="40" t="s">
        <v>3074</v>
      </c>
      <c r="G138" s="40" t="s">
        <v>5084</v>
      </c>
      <c r="H138" s="40" t="s">
        <v>5085</v>
      </c>
      <c r="I138" s="40" t="s">
        <v>23</v>
      </c>
      <c r="J138" s="40" t="s">
        <v>5086</v>
      </c>
      <c r="K138" s="40" t="s">
        <v>5087</v>
      </c>
    </row>
    <row r="139" spans="1:11" ht="28.8" x14ac:dyDescent="0.3">
      <c r="A139" s="35"/>
      <c r="B139" s="35"/>
      <c r="C139" s="35"/>
      <c r="D139" s="40" t="s">
        <v>5088</v>
      </c>
      <c r="E139" s="40" t="s">
        <v>5089</v>
      </c>
      <c r="F139" s="40" t="s">
        <v>3074</v>
      </c>
      <c r="G139" s="40" t="s">
        <v>5090</v>
      </c>
      <c r="H139" s="40" t="s">
        <v>5091</v>
      </c>
      <c r="I139" s="40" t="s">
        <v>31</v>
      </c>
      <c r="J139" s="40" t="s">
        <v>5092</v>
      </c>
      <c r="K139" s="40" t="s">
        <v>5093</v>
      </c>
    </row>
    <row r="140" spans="1:11" x14ac:dyDescent="0.3">
      <c r="A140" s="35"/>
      <c r="B140" s="35"/>
      <c r="C140" s="35"/>
      <c r="D140" s="40" t="s">
        <v>5094</v>
      </c>
      <c r="E140" s="40" t="s">
        <v>5095</v>
      </c>
      <c r="F140" s="40" t="s">
        <v>3074</v>
      </c>
      <c r="G140" s="40" t="s">
        <v>5096</v>
      </c>
      <c r="H140" s="40" t="s">
        <v>5097</v>
      </c>
      <c r="I140" s="40" t="s">
        <v>31</v>
      </c>
      <c r="J140" s="40" t="s">
        <v>5098</v>
      </c>
      <c r="K140" s="40" t="s">
        <v>5099</v>
      </c>
    </row>
    <row r="141" spans="1:11" x14ac:dyDescent="0.3">
      <c r="A141" s="35"/>
      <c r="B141" s="35"/>
      <c r="C141" s="35"/>
      <c r="D141" s="40" t="s">
        <v>5094</v>
      </c>
      <c r="E141" s="40" t="s">
        <v>5095</v>
      </c>
      <c r="F141" s="40" t="s">
        <v>3074</v>
      </c>
      <c r="G141" s="40" t="s">
        <v>5096</v>
      </c>
      <c r="H141" s="40" t="s">
        <v>5097</v>
      </c>
      <c r="I141" s="40" t="s">
        <v>31</v>
      </c>
      <c r="J141" s="40" t="s">
        <v>5098</v>
      </c>
      <c r="K141" s="40" t="s">
        <v>5099</v>
      </c>
    </row>
    <row r="142" spans="1:11" x14ac:dyDescent="0.3">
      <c r="A142" s="35"/>
      <c r="B142" s="35"/>
      <c r="C142" s="36" t="s">
        <v>5100</v>
      </c>
      <c r="D142" s="40" t="s">
        <v>5101</v>
      </c>
      <c r="E142" s="40" t="s">
        <v>5102</v>
      </c>
      <c r="F142" s="40" t="s">
        <v>3074</v>
      </c>
      <c r="G142" s="40" t="s">
        <v>5103</v>
      </c>
      <c r="H142" s="40" t="s">
        <v>5104</v>
      </c>
      <c r="I142" s="40" t="s">
        <v>4755</v>
      </c>
      <c r="J142" s="40" t="s">
        <v>5105</v>
      </c>
      <c r="K142" s="40" t="s">
        <v>5106</v>
      </c>
    </row>
    <row r="143" spans="1:11" ht="28.8" x14ac:dyDescent="0.3">
      <c r="A143" s="35"/>
      <c r="B143" s="35"/>
      <c r="C143" s="35"/>
      <c r="D143" s="40" t="s">
        <v>5107</v>
      </c>
      <c r="E143" s="40" t="s">
        <v>5108</v>
      </c>
      <c r="F143" s="40" t="s">
        <v>3074</v>
      </c>
      <c r="G143" s="40" t="s">
        <v>5109</v>
      </c>
      <c r="H143" s="40" t="s">
        <v>5110</v>
      </c>
      <c r="I143" s="40" t="s">
        <v>23</v>
      </c>
      <c r="J143" s="40" t="s">
        <v>5111</v>
      </c>
      <c r="K143" s="40" t="s">
        <v>5112</v>
      </c>
    </row>
    <row r="144" spans="1:11" x14ac:dyDescent="0.3">
      <c r="A144" s="35"/>
      <c r="B144" s="35"/>
      <c r="C144" s="35"/>
      <c r="D144" s="40" t="s">
        <v>5113</v>
      </c>
      <c r="E144" s="40" t="s">
        <v>5114</v>
      </c>
      <c r="F144" s="40" t="s">
        <v>3074</v>
      </c>
      <c r="G144" s="40" t="s">
        <v>5115</v>
      </c>
      <c r="H144" s="40" t="s">
        <v>5116</v>
      </c>
      <c r="I144" s="40" t="s">
        <v>31</v>
      </c>
      <c r="J144" s="40" t="s">
        <v>5117</v>
      </c>
      <c r="K144" s="40" t="s">
        <v>5118</v>
      </c>
    </row>
    <row r="145" spans="1:11" x14ac:dyDescent="0.3">
      <c r="A145" s="35"/>
      <c r="B145" s="35"/>
      <c r="C145" s="35"/>
      <c r="D145" s="40" t="s">
        <v>5119</v>
      </c>
      <c r="E145" s="40" t="s">
        <v>5120</v>
      </c>
      <c r="F145" s="40" t="s">
        <v>3074</v>
      </c>
      <c r="G145" s="40" t="s">
        <v>5121</v>
      </c>
      <c r="H145" s="40" t="s">
        <v>5122</v>
      </c>
      <c r="I145" s="40" t="s">
        <v>23</v>
      </c>
      <c r="J145" s="40" t="s">
        <v>5123</v>
      </c>
      <c r="K145" s="40" t="s">
        <v>5124</v>
      </c>
    </row>
    <row r="146" spans="1:11" x14ac:dyDescent="0.3">
      <c r="A146" s="35"/>
      <c r="B146" s="35"/>
      <c r="C146" s="35"/>
      <c r="D146" s="40" t="s">
        <v>5125</v>
      </c>
      <c r="E146" s="40" t="s">
        <v>5126</v>
      </c>
      <c r="F146" s="40" t="s">
        <v>3074</v>
      </c>
      <c r="G146" s="40" t="s">
        <v>5127</v>
      </c>
      <c r="H146" s="40" t="s">
        <v>5128</v>
      </c>
      <c r="I146" s="40" t="s">
        <v>31</v>
      </c>
      <c r="J146" s="40" t="s">
        <v>5129</v>
      </c>
      <c r="K146" s="40" t="s">
        <v>5130</v>
      </c>
    </row>
    <row r="147" spans="1:11" x14ac:dyDescent="0.3">
      <c r="A147" s="35"/>
      <c r="B147" s="35"/>
      <c r="C147" s="35" t="s">
        <v>5131</v>
      </c>
      <c r="D147" s="40" t="s">
        <v>5132</v>
      </c>
      <c r="E147" s="40" t="s">
        <v>5133</v>
      </c>
      <c r="F147" s="40" t="s">
        <v>3074</v>
      </c>
      <c r="G147" s="40" t="s">
        <v>5134</v>
      </c>
      <c r="H147" s="40" t="s">
        <v>5135</v>
      </c>
      <c r="I147" s="40" t="s">
        <v>23</v>
      </c>
      <c r="J147" s="40" t="s">
        <v>5136</v>
      </c>
      <c r="K147" s="40" t="s">
        <v>5137</v>
      </c>
    </row>
    <row r="148" spans="1:11" x14ac:dyDescent="0.3">
      <c r="A148" s="35"/>
      <c r="B148" s="35"/>
      <c r="C148" s="35"/>
      <c r="D148" s="40" t="s">
        <v>5138</v>
      </c>
      <c r="E148" s="40" t="s">
        <v>5139</v>
      </c>
      <c r="F148" s="40" t="s">
        <v>3074</v>
      </c>
      <c r="G148" s="40" t="s">
        <v>5140</v>
      </c>
      <c r="H148" s="40" t="s">
        <v>5141</v>
      </c>
      <c r="I148" s="40" t="s">
        <v>23</v>
      </c>
      <c r="J148" s="40" t="s">
        <v>5142</v>
      </c>
      <c r="K148" s="40" t="s">
        <v>5143</v>
      </c>
    </row>
    <row r="149" spans="1:11" x14ac:dyDescent="0.3">
      <c r="A149" s="35"/>
      <c r="B149" s="35"/>
      <c r="C149" s="35"/>
      <c r="D149" s="40" t="s">
        <v>5144</v>
      </c>
      <c r="E149" s="40" t="s">
        <v>5145</v>
      </c>
      <c r="F149" s="40" t="s">
        <v>3074</v>
      </c>
      <c r="G149" s="40" t="s">
        <v>5146</v>
      </c>
      <c r="H149" s="40" t="s">
        <v>5147</v>
      </c>
      <c r="I149" s="40" t="s">
        <v>4755</v>
      </c>
      <c r="J149" s="40" t="s">
        <v>5148</v>
      </c>
      <c r="K149" s="40" t="s">
        <v>5149</v>
      </c>
    </row>
    <row r="150" spans="1:11" x14ac:dyDescent="0.3">
      <c r="A150" s="35"/>
      <c r="B150" s="35"/>
      <c r="C150" s="35"/>
      <c r="D150" s="40" t="s">
        <v>5150</v>
      </c>
      <c r="E150" s="40" t="s">
        <v>5151</v>
      </c>
      <c r="F150" s="40" t="s">
        <v>3074</v>
      </c>
      <c r="G150" s="40" t="s">
        <v>5152</v>
      </c>
      <c r="H150" s="40" t="s">
        <v>5153</v>
      </c>
      <c r="I150" s="40" t="s">
        <v>31</v>
      </c>
      <c r="J150" s="40" t="s">
        <v>5154</v>
      </c>
      <c r="K150" s="40" t="s">
        <v>5155</v>
      </c>
    </row>
    <row r="151" spans="1:11" ht="28.8" x14ac:dyDescent="0.3">
      <c r="A151" s="35"/>
      <c r="B151" s="35"/>
      <c r="C151" s="35"/>
      <c r="D151" s="40" t="s">
        <v>5156</v>
      </c>
      <c r="E151" s="40" t="s">
        <v>5157</v>
      </c>
      <c r="F151" s="40" t="s">
        <v>3074</v>
      </c>
      <c r="G151" s="40" t="s">
        <v>5158</v>
      </c>
      <c r="H151" s="40" t="s">
        <v>5159</v>
      </c>
      <c r="I151" s="40" t="s">
        <v>31</v>
      </c>
      <c r="J151" s="40" t="s">
        <v>5160</v>
      </c>
      <c r="K151" s="40" t="s">
        <v>5161</v>
      </c>
    </row>
    <row r="152" spans="1:11" ht="28.8" x14ac:dyDescent="0.3">
      <c r="A152" s="35"/>
      <c r="B152" s="35"/>
      <c r="C152" s="35" t="s">
        <v>5162</v>
      </c>
      <c r="D152" s="40" t="s">
        <v>5163</v>
      </c>
      <c r="E152" s="40" t="s">
        <v>5164</v>
      </c>
      <c r="F152" s="40" t="s">
        <v>3074</v>
      </c>
      <c r="G152" s="40" t="s">
        <v>5165</v>
      </c>
      <c r="H152" s="40" t="s">
        <v>5166</v>
      </c>
      <c r="I152" s="40" t="s">
        <v>23</v>
      </c>
      <c r="J152" s="40" t="s">
        <v>5167</v>
      </c>
      <c r="K152" s="40" t="s">
        <v>5168</v>
      </c>
    </row>
    <row r="153" spans="1:11" x14ac:dyDescent="0.3">
      <c r="A153" s="35"/>
      <c r="B153" s="35"/>
      <c r="C153" s="35"/>
      <c r="D153" s="40" t="s">
        <v>5169</v>
      </c>
      <c r="E153" s="40" t="s">
        <v>5170</v>
      </c>
      <c r="F153" s="40" t="s">
        <v>3074</v>
      </c>
      <c r="G153" s="40" t="s">
        <v>5171</v>
      </c>
      <c r="H153" s="40" t="s">
        <v>5172</v>
      </c>
      <c r="I153" s="40" t="s">
        <v>4755</v>
      </c>
      <c r="J153" s="40" t="s">
        <v>5173</v>
      </c>
      <c r="K153" s="40" t="s">
        <v>5174</v>
      </c>
    </row>
    <row r="154" spans="1:11" x14ac:dyDescent="0.3">
      <c r="A154" s="35"/>
      <c r="B154" s="35"/>
      <c r="C154" s="35"/>
      <c r="D154" s="40" t="s">
        <v>5175</v>
      </c>
      <c r="E154" s="40" t="s">
        <v>5176</v>
      </c>
      <c r="F154" s="40" t="s">
        <v>3074</v>
      </c>
      <c r="G154" s="40" t="s">
        <v>5177</v>
      </c>
      <c r="H154" s="40" t="s">
        <v>5178</v>
      </c>
      <c r="I154" s="40" t="s">
        <v>31</v>
      </c>
      <c r="J154" s="40" t="s">
        <v>5179</v>
      </c>
      <c r="K154" s="40" t="s">
        <v>5180</v>
      </c>
    </row>
    <row r="155" spans="1:11" ht="28.8" x14ac:dyDescent="0.3">
      <c r="A155" s="35"/>
      <c r="B155" s="35"/>
      <c r="C155" s="35"/>
      <c r="D155" s="40" t="s">
        <v>5181</v>
      </c>
      <c r="E155" s="40" t="s">
        <v>5182</v>
      </c>
      <c r="F155" s="40" t="s">
        <v>3074</v>
      </c>
      <c r="G155" s="40" t="s">
        <v>5183</v>
      </c>
      <c r="H155" s="40" t="s">
        <v>5184</v>
      </c>
      <c r="I155" s="40" t="s">
        <v>31</v>
      </c>
      <c r="J155" s="40" t="s">
        <v>5185</v>
      </c>
      <c r="K155" s="40" t="s">
        <v>5186</v>
      </c>
    </row>
    <row r="156" spans="1:11" ht="28.8" x14ac:dyDescent="0.3">
      <c r="A156" s="35"/>
      <c r="B156" s="35"/>
      <c r="C156" s="35"/>
      <c r="D156" s="40" t="s">
        <v>5187</v>
      </c>
      <c r="E156" s="40" t="s">
        <v>5188</v>
      </c>
      <c r="F156" s="40" t="s">
        <v>3074</v>
      </c>
      <c r="G156" s="40" t="s">
        <v>5189</v>
      </c>
      <c r="H156" s="40" t="s">
        <v>5190</v>
      </c>
      <c r="I156" s="32"/>
      <c r="J156" s="32"/>
      <c r="K156" s="32"/>
    </row>
    <row r="157" spans="1:11" x14ac:dyDescent="0.3">
      <c r="A157" s="35"/>
      <c r="B157" s="35"/>
      <c r="C157" s="35" t="s">
        <v>5191</v>
      </c>
      <c r="D157" s="40" t="s">
        <v>5192</v>
      </c>
      <c r="E157" s="40" t="s">
        <v>5193</v>
      </c>
      <c r="F157" s="40" t="s">
        <v>3074</v>
      </c>
      <c r="G157" s="40" t="s">
        <v>5194</v>
      </c>
      <c r="H157" s="40" t="s">
        <v>5195</v>
      </c>
      <c r="I157" s="40" t="s">
        <v>23</v>
      </c>
      <c r="J157" s="40" t="s">
        <v>5196</v>
      </c>
      <c r="K157" s="40" t="s">
        <v>5197</v>
      </c>
    </row>
    <row r="158" spans="1:11" x14ac:dyDescent="0.3">
      <c r="A158" s="35"/>
      <c r="B158" s="35"/>
      <c r="C158" s="35"/>
      <c r="D158" s="40" t="s">
        <v>5198</v>
      </c>
      <c r="E158" s="40" t="s">
        <v>5199</v>
      </c>
      <c r="F158" s="40" t="s">
        <v>3074</v>
      </c>
      <c r="G158" s="40" t="s">
        <v>5200</v>
      </c>
      <c r="H158" s="40" t="s">
        <v>5201</v>
      </c>
      <c r="I158" s="40" t="s">
        <v>4755</v>
      </c>
      <c r="J158" s="40" t="s">
        <v>5202</v>
      </c>
      <c r="K158" s="40" t="s">
        <v>5203</v>
      </c>
    </row>
    <row r="159" spans="1:11" x14ac:dyDescent="0.3">
      <c r="A159" s="35"/>
      <c r="B159" s="35"/>
      <c r="C159" s="35"/>
      <c r="D159" s="40" t="s">
        <v>5204</v>
      </c>
      <c r="E159" s="40" t="s">
        <v>5205</v>
      </c>
      <c r="F159" s="40" t="s">
        <v>3074</v>
      </c>
      <c r="G159" s="40" t="s">
        <v>5206</v>
      </c>
      <c r="H159" s="40" t="s">
        <v>5207</v>
      </c>
      <c r="I159" s="40" t="s">
        <v>31</v>
      </c>
      <c r="J159" s="40" t="s">
        <v>5208</v>
      </c>
      <c r="K159" s="40" t="s">
        <v>5209</v>
      </c>
    </row>
    <row r="160" spans="1:11" ht="28.8" x14ac:dyDescent="0.3">
      <c r="A160" s="35"/>
      <c r="B160" s="35"/>
      <c r="C160" s="35"/>
      <c r="D160" s="40" t="s">
        <v>5210</v>
      </c>
      <c r="E160" s="40" t="s">
        <v>5211</v>
      </c>
      <c r="F160" s="40" t="s">
        <v>3074</v>
      </c>
      <c r="G160" s="40" t="s">
        <v>5212</v>
      </c>
      <c r="H160" s="40" t="s">
        <v>5213</v>
      </c>
      <c r="I160" s="40" t="s">
        <v>31</v>
      </c>
      <c r="J160" s="40" t="s">
        <v>5214</v>
      </c>
      <c r="K160" s="40" t="s">
        <v>5215</v>
      </c>
    </row>
    <row r="161" spans="1:11" x14ac:dyDescent="0.3">
      <c r="A161" s="35"/>
      <c r="B161" s="35"/>
      <c r="C161" s="35"/>
      <c r="D161" s="40" t="s">
        <v>5216</v>
      </c>
      <c r="E161" s="40" t="s">
        <v>5217</v>
      </c>
      <c r="F161" s="40" t="s">
        <v>3074</v>
      </c>
      <c r="G161" s="40" t="s">
        <v>5218</v>
      </c>
      <c r="H161" s="40" t="s">
        <v>5219</v>
      </c>
      <c r="I161" s="40" t="s">
        <v>31</v>
      </c>
      <c r="J161" s="40" t="s">
        <v>5220</v>
      </c>
      <c r="K161" s="40" t="s">
        <v>5221</v>
      </c>
    </row>
    <row r="162" spans="1:11" ht="28.8" x14ac:dyDescent="0.3">
      <c r="A162" s="35"/>
      <c r="B162" s="35" t="s">
        <v>5222</v>
      </c>
      <c r="C162" s="36" t="s">
        <v>5223</v>
      </c>
      <c r="D162" s="40" t="s">
        <v>5224</v>
      </c>
      <c r="E162" s="40" t="s">
        <v>5225</v>
      </c>
      <c r="F162" s="40" t="s">
        <v>3074</v>
      </c>
      <c r="G162" s="40" t="s">
        <v>5226</v>
      </c>
      <c r="H162" s="40" t="s">
        <v>5227</v>
      </c>
      <c r="I162" s="40" t="s">
        <v>23</v>
      </c>
      <c r="J162" s="40" t="s">
        <v>5228</v>
      </c>
      <c r="K162" s="40" t="s">
        <v>5229</v>
      </c>
    </row>
    <row r="163" spans="1:11" x14ac:dyDescent="0.3">
      <c r="A163" s="35"/>
      <c r="B163" s="35"/>
      <c r="C163" s="35"/>
      <c r="D163" s="40" t="s">
        <v>5230</v>
      </c>
      <c r="E163" s="40" t="s">
        <v>5231</v>
      </c>
      <c r="F163" s="40" t="s">
        <v>3074</v>
      </c>
      <c r="G163" s="40" t="s">
        <v>5232</v>
      </c>
      <c r="H163" s="40" t="s">
        <v>5233</v>
      </c>
      <c r="I163" s="40" t="s">
        <v>4755</v>
      </c>
      <c r="J163" s="40" t="s">
        <v>5234</v>
      </c>
      <c r="K163" s="40" t="s">
        <v>5235</v>
      </c>
    </row>
    <row r="164" spans="1:11" x14ac:dyDescent="0.3">
      <c r="A164" s="35"/>
      <c r="B164" s="35"/>
      <c r="C164" s="35"/>
      <c r="D164" s="40" t="s">
        <v>5236</v>
      </c>
      <c r="E164" s="40" t="s">
        <v>5237</v>
      </c>
      <c r="F164" s="40" t="s">
        <v>3074</v>
      </c>
      <c r="G164" s="40" t="s">
        <v>5238</v>
      </c>
      <c r="H164" s="40" t="s">
        <v>5239</v>
      </c>
      <c r="I164" s="40" t="s">
        <v>31</v>
      </c>
      <c r="J164" s="40" t="s">
        <v>5240</v>
      </c>
      <c r="K164" s="40" t="s">
        <v>5241</v>
      </c>
    </row>
    <row r="165" spans="1:11" x14ac:dyDescent="0.3">
      <c r="A165" s="35"/>
      <c r="B165" s="35"/>
      <c r="C165" s="35"/>
      <c r="D165" s="40" t="s">
        <v>5242</v>
      </c>
      <c r="E165" s="40" t="s">
        <v>5243</v>
      </c>
      <c r="F165" s="40" t="s">
        <v>3074</v>
      </c>
      <c r="G165" s="40" t="s">
        <v>5244</v>
      </c>
      <c r="H165" s="40" t="s">
        <v>5245</v>
      </c>
      <c r="I165" s="40" t="s">
        <v>31</v>
      </c>
      <c r="J165" s="40" t="s">
        <v>5246</v>
      </c>
      <c r="K165" s="40" t="s">
        <v>5247</v>
      </c>
    </row>
    <row r="166" spans="1:11" x14ac:dyDescent="0.3">
      <c r="A166" s="35"/>
      <c r="B166" s="35"/>
      <c r="C166" s="35"/>
      <c r="D166" s="40" t="s">
        <v>5248</v>
      </c>
      <c r="E166" s="40" t="s">
        <v>5249</v>
      </c>
      <c r="F166" s="40" t="s">
        <v>3074</v>
      </c>
      <c r="G166" s="40" t="s">
        <v>5250</v>
      </c>
      <c r="H166" s="40" t="s">
        <v>5251</v>
      </c>
      <c r="I166" s="40" t="s">
        <v>31</v>
      </c>
      <c r="J166" s="40" t="s">
        <v>5252</v>
      </c>
      <c r="K166" s="40" t="s">
        <v>5253</v>
      </c>
    </row>
    <row r="167" spans="1:11" ht="28.8" x14ac:dyDescent="0.3">
      <c r="A167" s="35"/>
      <c r="B167" s="35"/>
      <c r="C167" s="36" t="s">
        <v>5254</v>
      </c>
      <c r="D167" s="40" t="s">
        <v>5255</v>
      </c>
      <c r="E167" s="40" t="s">
        <v>5256</v>
      </c>
      <c r="F167" s="40" t="s">
        <v>3074</v>
      </c>
      <c r="G167" s="40" t="s">
        <v>5257</v>
      </c>
      <c r="H167" s="40" t="s">
        <v>5258</v>
      </c>
      <c r="I167" s="40" t="s">
        <v>23</v>
      </c>
      <c r="J167" s="40" t="s">
        <v>5259</v>
      </c>
      <c r="K167" s="40" t="s">
        <v>5260</v>
      </c>
    </row>
    <row r="168" spans="1:11" ht="28.8" x14ac:dyDescent="0.3">
      <c r="A168" s="35"/>
      <c r="B168" s="35"/>
      <c r="C168" s="35"/>
      <c r="D168" s="40" t="s">
        <v>5261</v>
      </c>
      <c r="E168" s="40" t="s">
        <v>5262</v>
      </c>
      <c r="F168" s="40" t="s">
        <v>3074</v>
      </c>
      <c r="G168" s="40" t="s">
        <v>5263</v>
      </c>
      <c r="H168" s="40" t="s">
        <v>5264</v>
      </c>
      <c r="I168" s="40" t="s">
        <v>4755</v>
      </c>
      <c r="J168" s="40" t="s">
        <v>5265</v>
      </c>
      <c r="K168" s="40" t="s">
        <v>5266</v>
      </c>
    </row>
    <row r="169" spans="1:11" ht="28.8" x14ac:dyDescent="0.3">
      <c r="A169" s="35"/>
      <c r="B169" s="35"/>
      <c r="C169" s="35"/>
      <c r="D169" s="40" t="s">
        <v>5267</v>
      </c>
      <c r="E169" s="40" t="s">
        <v>5268</v>
      </c>
      <c r="F169" s="40" t="s">
        <v>3074</v>
      </c>
      <c r="G169" s="40" t="s">
        <v>5269</v>
      </c>
      <c r="H169" s="40" t="s">
        <v>5270</v>
      </c>
      <c r="I169" s="40" t="s">
        <v>31</v>
      </c>
      <c r="J169" s="40" t="s">
        <v>5271</v>
      </c>
      <c r="K169" s="40" t="s">
        <v>5272</v>
      </c>
    </row>
    <row r="170" spans="1:11" ht="28.8" x14ac:dyDescent="0.3">
      <c r="A170" s="35"/>
      <c r="B170" s="35"/>
      <c r="C170" s="35"/>
      <c r="D170" s="40" t="s">
        <v>5273</v>
      </c>
      <c r="E170" s="40" t="s">
        <v>5274</v>
      </c>
      <c r="F170" s="40" t="s">
        <v>3074</v>
      </c>
      <c r="G170" s="40" t="s">
        <v>5275</v>
      </c>
      <c r="H170" s="40" t="s">
        <v>5276</v>
      </c>
      <c r="I170" s="40" t="s">
        <v>31</v>
      </c>
      <c r="J170" s="40" t="s">
        <v>5277</v>
      </c>
      <c r="K170" s="40" t="s">
        <v>5278</v>
      </c>
    </row>
    <row r="171" spans="1:11" ht="28.8" x14ac:dyDescent="0.3">
      <c r="A171" s="35"/>
      <c r="B171" s="35"/>
      <c r="C171" s="35"/>
      <c r="D171" s="40" t="s">
        <v>5279</v>
      </c>
      <c r="E171" s="40" t="s">
        <v>5280</v>
      </c>
      <c r="F171" s="40" t="s">
        <v>3074</v>
      </c>
      <c r="G171" s="40" t="s">
        <v>5281</v>
      </c>
      <c r="H171" s="40" t="s">
        <v>5282</v>
      </c>
      <c r="I171" s="40" t="s">
        <v>31</v>
      </c>
      <c r="J171" s="40" t="s">
        <v>5283</v>
      </c>
      <c r="K171" s="40" t="s">
        <v>5284</v>
      </c>
    </row>
    <row r="172" spans="1:11" x14ac:dyDescent="0.3">
      <c r="A172" s="35"/>
      <c r="B172" s="35"/>
      <c r="C172" s="36" t="s">
        <v>5285</v>
      </c>
      <c r="D172" s="40" t="s">
        <v>5286</v>
      </c>
      <c r="E172" s="40" t="s">
        <v>5287</v>
      </c>
      <c r="F172" s="40" t="s">
        <v>3074</v>
      </c>
      <c r="G172" s="40" t="s">
        <v>5288</v>
      </c>
      <c r="H172" s="40" t="s">
        <v>5289</v>
      </c>
      <c r="I172" s="40" t="s">
        <v>23</v>
      </c>
      <c r="J172" s="40" t="s">
        <v>5290</v>
      </c>
      <c r="K172" s="40" t="s">
        <v>5291</v>
      </c>
    </row>
    <row r="173" spans="1:11" x14ac:dyDescent="0.3">
      <c r="A173" s="35"/>
      <c r="B173" s="35"/>
      <c r="C173" s="35"/>
      <c r="D173" s="40" t="s">
        <v>5292</v>
      </c>
      <c r="E173" s="40" t="s">
        <v>5293</v>
      </c>
      <c r="F173" s="40" t="s">
        <v>3074</v>
      </c>
      <c r="G173" s="40" t="s">
        <v>5294</v>
      </c>
      <c r="H173" s="40" t="s">
        <v>5295</v>
      </c>
      <c r="I173" s="40" t="s">
        <v>4755</v>
      </c>
      <c r="J173" s="40" t="s">
        <v>5296</v>
      </c>
      <c r="K173" s="40" t="s">
        <v>5297</v>
      </c>
    </row>
    <row r="174" spans="1:11" x14ac:dyDescent="0.3">
      <c r="A174" s="35"/>
      <c r="B174" s="35"/>
      <c r="C174" s="35"/>
      <c r="D174" s="40" t="s">
        <v>5298</v>
      </c>
      <c r="E174" s="40" t="s">
        <v>5299</v>
      </c>
      <c r="F174" s="40" t="s">
        <v>3074</v>
      </c>
      <c r="G174" s="40" t="s">
        <v>5300</v>
      </c>
      <c r="H174" s="40" t="s">
        <v>5301</v>
      </c>
      <c r="I174" s="40" t="s">
        <v>31</v>
      </c>
      <c r="J174" s="40" t="s">
        <v>5302</v>
      </c>
      <c r="K174" s="40" t="s">
        <v>5303</v>
      </c>
    </row>
    <row r="175" spans="1:11" x14ac:dyDescent="0.3">
      <c r="A175" s="35"/>
      <c r="B175" s="35"/>
      <c r="C175" s="35"/>
      <c r="D175" s="40" t="s">
        <v>5304</v>
      </c>
      <c r="E175" s="40" t="s">
        <v>5305</v>
      </c>
      <c r="F175" s="40" t="s">
        <v>3074</v>
      </c>
      <c r="G175" s="40" t="s">
        <v>5306</v>
      </c>
      <c r="H175" s="40" t="s">
        <v>5307</v>
      </c>
      <c r="I175" s="40" t="s">
        <v>31</v>
      </c>
      <c r="J175" s="40" t="s">
        <v>5308</v>
      </c>
      <c r="K175" s="40" t="s">
        <v>5309</v>
      </c>
    </row>
    <row r="176" spans="1:11" ht="28.8" x14ac:dyDescent="0.3">
      <c r="A176" s="35"/>
      <c r="B176" s="35"/>
      <c r="C176" s="35"/>
      <c r="D176" s="40" t="s">
        <v>5310</v>
      </c>
      <c r="E176" s="40" t="s">
        <v>5311</v>
      </c>
      <c r="F176" s="40" t="s">
        <v>3074</v>
      </c>
      <c r="G176" s="40" t="s">
        <v>5312</v>
      </c>
      <c r="H176" s="40" t="s">
        <v>5313</v>
      </c>
      <c r="I176" s="40" t="s">
        <v>31</v>
      </c>
      <c r="J176" s="40" t="s">
        <v>5314</v>
      </c>
      <c r="K176" s="40" t="s">
        <v>5315</v>
      </c>
    </row>
    <row r="177" spans="1:11" x14ac:dyDescent="0.3">
      <c r="A177" s="35"/>
      <c r="B177" s="35"/>
      <c r="C177" s="35" t="s">
        <v>5316</v>
      </c>
      <c r="D177" s="40" t="s">
        <v>5317</v>
      </c>
      <c r="E177" s="40" t="s">
        <v>5318</v>
      </c>
      <c r="F177" s="40" t="s">
        <v>3074</v>
      </c>
      <c r="G177" s="40" t="s">
        <v>5319</v>
      </c>
      <c r="H177" s="40" t="s">
        <v>5320</v>
      </c>
      <c r="I177" s="40" t="s">
        <v>23</v>
      </c>
      <c r="J177" s="40" t="s">
        <v>5321</v>
      </c>
      <c r="K177" s="40" t="s">
        <v>5322</v>
      </c>
    </row>
    <row r="178" spans="1:11" x14ac:dyDescent="0.3">
      <c r="A178" s="35"/>
      <c r="B178" s="35"/>
      <c r="C178" s="35"/>
      <c r="D178" s="40" t="s">
        <v>5323</v>
      </c>
      <c r="E178" s="40" t="s">
        <v>5324</v>
      </c>
      <c r="F178" s="40" t="s">
        <v>3074</v>
      </c>
      <c r="G178" s="40" t="s">
        <v>5325</v>
      </c>
      <c r="H178" s="40" t="s">
        <v>5326</v>
      </c>
      <c r="I178" s="40" t="s">
        <v>4755</v>
      </c>
      <c r="J178" s="40" t="s">
        <v>5327</v>
      </c>
      <c r="K178" s="40" t="s">
        <v>5328</v>
      </c>
    </row>
    <row r="179" spans="1:11" x14ac:dyDescent="0.3">
      <c r="A179" s="35"/>
      <c r="B179" s="35"/>
      <c r="C179" s="35"/>
      <c r="D179" s="40" t="s">
        <v>5329</v>
      </c>
      <c r="E179" s="40" t="s">
        <v>5330</v>
      </c>
      <c r="F179" s="40" t="s">
        <v>3074</v>
      </c>
      <c r="G179" s="40" t="s">
        <v>5331</v>
      </c>
      <c r="H179" s="40" t="s">
        <v>5332</v>
      </c>
      <c r="I179" s="40" t="s">
        <v>31</v>
      </c>
      <c r="J179" s="40" t="s">
        <v>5333</v>
      </c>
      <c r="K179" s="40" t="s">
        <v>5334</v>
      </c>
    </row>
    <row r="180" spans="1:11" x14ac:dyDescent="0.3">
      <c r="A180" s="35"/>
      <c r="B180" s="35"/>
      <c r="C180" s="35"/>
      <c r="D180" s="40" t="s">
        <v>5335</v>
      </c>
      <c r="E180" s="40" t="s">
        <v>5336</v>
      </c>
      <c r="F180" s="40" t="s">
        <v>3074</v>
      </c>
      <c r="G180" s="40" t="s">
        <v>5337</v>
      </c>
      <c r="H180" s="40" t="s">
        <v>5338</v>
      </c>
      <c r="I180" s="40" t="s">
        <v>31</v>
      </c>
      <c r="J180" s="40" t="s">
        <v>5339</v>
      </c>
      <c r="K180" s="40" t="s">
        <v>5340</v>
      </c>
    </row>
    <row r="181" spans="1:11" ht="28.8" x14ac:dyDescent="0.3">
      <c r="A181" s="35"/>
      <c r="B181" s="35"/>
      <c r="C181" s="35"/>
      <c r="D181" s="40" t="s">
        <v>5341</v>
      </c>
      <c r="E181" s="40" t="s">
        <v>5342</v>
      </c>
      <c r="F181" s="40" t="s">
        <v>3074</v>
      </c>
      <c r="G181" s="40" t="s">
        <v>5343</v>
      </c>
      <c r="H181" s="40" t="s">
        <v>5344</v>
      </c>
      <c r="I181" s="40" t="s">
        <v>31</v>
      </c>
      <c r="J181" s="40" t="s">
        <v>5345</v>
      </c>
      <c r="K181" s="40" t="s">
        <v>5346</v>
      </c>
    </row>
    <row r="182" spans="1:11" x14ac:dyDescent="0.3">
      <c r="A182" s="35"/>
      <c r="B182" s="35"/>
      <c r="C182" s="35" t="s">
        <v>5347</v>
      </c>
      <c r="D182" s="40" t="s">
        <v>5348</v>
      </c>
      <c r="E182" s="40" t="s">
        <v>5349</v>
      </c>
      <c r="F182" s="40" t="s">
        <v>3074</v>
      </c>
      <c r="G182" s="40" t="s">
        <v>5350</v>
      </c>
      <c r="H182" s="40" t="s">
        <v>5351</v>
      </c>
      <c r="I182" s="40" t="s">
        <v>23</v>
      </c>
      <c r="J182" s="40" t="s">
        <v>5352</v>
      </c>
      <c r="K182" s="40" t="s">
        <v>5353</v>
      </c>
    </row>
    <row r="183" spans="1:11" x14ac:dyDescent="0.3">
      <c r="A183" s="35"/>
      <c r="B183" s="35"/>
      <c r="C183" s="35"/>
      <c r="D183" s="40" t="s">
        <v>5354</v>
      </c>
      <c r="E183" s="40" t="s">
        <v>5355</v>
      </c>
      <c r="F183" s="40" t="s">
        <v>3074</v>
      </c>
      <c r="G183" s="40" t="s">
        <v>5356</v>
      </c>
      <c r="H183" s="40" t="s">
        <v>5357</v>
      </c>
      <c r="I183" s="40" t="s">
        <v>4755</v>
      </c>
      <c r="J183" s="40" t="s">
        <v>5358</v>
      </c>
      <c r="K183" s="40" t="s">
        <v>5359</v>
      </c>
    </row>
    <row r="184" spans="1:11" x14ac:dyDescent="0.3">
      <c r="A184" s="35"/>
      <c r="B184" s="35"/>
      <c r="C184" s="35"/>
      <c r="D184" s="40" t="s">
        <v>5360</v>
      </c>
      <c r="E184" s="40" t="s">
        <v>5361</v>
      </c>
      <c r="F184" s="40" t="s">
        <v>3074</v>
      </c>
      <c r="G184" s="40" t="s">
        <v>5362</v>
      </c>
      <c r="H184" s="40" t="s">
        <v>5363</v>
      </c>
      <c r="I184" s="40" t="s">
        <v>31</v>
      </c>
      <c r="J184" s="40" t="s">
        <v>5364</v>
      </c>
      <c r="K184" s="40" t="s">
        <v>5365</v>
      </c>
    </row>
    <row r="185" spans="1:11" x14ac:dyDescent="0.3">
      <c r="A185" s="35"/>
      <c r="B185" s="35"/>
      <c r="C185" s="35"/>
      <c r="D185" s="40" t="s">
        <v>5366</v>
      </c>
      <c r="E185" s="40" t="s">
        <v>5367</v>
      </c>
      <c r="F185" s="40" t="s">
        <v>3074</v>
      </c>
      <c r="G185" s="40" t="s">
        <v>5368</v>
      </c>
      <c r="H185" s="40" t="s">
        <v>5369</v>
      </c>
      <c r="I185" s="40" t="s">
        <v>31</v>
      </c>
      <c r="J185" s="40" t="s">
        <v>5370</v>
      </c>
      <c r="K185" s="40" t="s">
        <v>5371</v>
      </c>
    </row>
    <row r="186" spans="1:11" x14ac:dyDescent="0.3">
      <c r="A186" s="35"/>
      <c r="B186" s="35"/>
      <c r="C186" s="35"/>
      <c r="D186" s="40" t="s">
        <v>5372</v>
      </c>
      <c r="E186" s="40" t="s">
        <v>5373</v>
      </c>
      <c r="F186" s="40" t="s">
        <v>3074</v>
      </c>
      <c r="G186" s="40" t="s">
        <v>5374</v>
      </c>
      <c r="H186" s="40" t="s">
        <v>5375</v>
      </c>
      <c r="I186" s="40" t="s">
        <v>31</v>
      </c>
      <c r="J186" s="40" t="s">
        <v>3120</v>
      </c>
      <c r="K186" s="40" t="s">
        <v>5376</v>
      </c>
    </row>
    <row r="187" spans="1:11" x14ac:dyDescent="0.3">
      <c r="A187" s="35"/>
      <c r="B187" s="35"/>
      <c r="C187" s="36" t="s">
        <v>5377</v>
      </c>
      <c r="D187" s="40" t="s">
        <v>5378</v>
      </c>
      <c r="E187" s="40" t="s">
        <v>5379</v>
      </c>
      <c r="F187" s="40" t="s">
        <v>3074</v>
      </c>
      <c r="G187" s="40" t="s">
        <v>5380</v>
      </c>
      <c r="H187" s="40" t="s">
        <v>5381</v>
      </c>
      <c r="I187" s="40" t="s">
        <v>23</v>
      </c>
      <c r="J187" s="40" t="s">
        <v>5382</v>
      </c>
      <c r="K187" s="40" t="s">
        <v>5383</v>
      </c>
    </row>
    <row r="188" spans="1:11" ht="28.8" x14ac:dyDescent="0.3">
      <c r="A188" s="35"/>
      <c r="B188" s="35"/>
      <c r="C188" s="35"/>
      <c r="D188" s="40" t="s">
        <v>5384</v>
      </c>
      <c r="E188" s="40" t="s">
        <v>5385</v>
      </c>
      <c r="F188" s="40" t="s">
        <v>3074</v>
      </c>
      <c r="G188" s="40" t="s">
        <v>5386</v>
      </c>
      <c r="H188" s="40" t="s">
        <v>5387</v>
      </c>
      <c r="I188" s="40" t="s">
        <v>4755</v>
      </c>
      <c r="J188" s="40" t="s">
        <v>5388</v>
      </c>
      <c r="K188" s="40" t="s">
        <v>5389</v>
      </c>
    </row>
    <row r="189" spans="1:11" ht="28.8" x14ac:dyDescent="0.3">
      <c r="A189" s="35"/>
      <c r="B189" s="35"/>
      <c r="C189" s="35"/>
      <c r="D189" s="40" t="s">
        <v>5390</v>
      </c>
      <c r="E189" s="40" t="s">
        <v>5391</v>
      </c>
      <c r="F189" s="40" t="s">
        <v>3074</v>
      </c>
      <c r="G189" s="40" t="s">
        <v>5392</v>
      </c>
      <c r="H189" s="40" t="s">
        <v>5393</v>
      </c>
      <c r="I189" s="40" t="s">
        <v>31</v>
      </c>
      <c r="J189" s="40" t="s">
        <v>5394</v>
      </c>
      <c r="K189" s="40" t="s">
        <v>5395</v>
      </c>
    </row>
    <row r="190" spans="1:11" ht="28.8" x14ac:dyDescent="0.3">
      <c r="A190" s="35"/>
      <c r="B190" s="35"/>
      <c r="C190" s="35"/>
      <c r="D190" s="40" t="s">
        <v>5396</v>
      </c>
      <c r="E190" s="40" t="s">
        <v>5397</v>
      </c>
      <c r="F190" s="40" t="s">
        <v>3074</v>
      </c>
      <c r="G190" s="40" t="s">
        <v>5398</v>
      </c>
      <c r="H190" s="40" t="s">
        <v>5399</v>
      </c>
      <c r="I190" s="40" t="s">
        <v>31</v>
      </c>
      <c r="J190" s="40" t="s">
        <v>5400</v>
      </c>
      <c r="K190" s="40" t="s">
        <v>5401</v>
      </c>
    </row>
    <row r="191" spans="1:11" ht="28.8" x14ac:dyDescent="0.3">
      <c r="A191" s="35"/>
      <c r="B191" s="35"/>
      <c r="C191" s="35"/>
      <c r="D191" s="40" t="s">
        <v>5402</v>
      </c>
      <c r="E191" s="40" t="s">
        <v>5403</v>
      </c>
      <c r="F191" s="40" t="s">
        <v>3074</v>
      </c>
      <c r="G191" s="40" t="s">
        <v>5404</v>
      </c>
      <c r="H191" s="40" t="s">
        <v>5405</v>
      </c>
      <c r="I191" s="40" t="s">
        <v>31</v>
      </c>
      <c r="J191" s="40" t="s">
        <v>5406</v>
      </c>
      <c r="K191" s="40" t="s">
        <v>5407</v>
      </c>
    </row>
    <row r="192" spans="1:11" ht="28.8" x14ac:dyDescent="0.3">
      <c r="A192" s="35"/>
      <c r="B192" s="35"/>
      <c r="C192" s="35" t="s">
        <v>5408</v>
      </c>
      <c r="D192" s="40" t="s">
        <v>5409</v>
      </c>
      <c r="E192" s="40" t="s">
        <v>5410</v>
      </c>
      <c r="F192" s="40" t="s">
        <v>3074</v>
      </c>
      <c r="G192" s="40" t="s">
        <v>5325</v>
      </c>
      <c r="H192" s="40" t="s">
        <v>5411</v>
      </c>
      <c r="I192" s="40" t="s">
        <v>4755</v>
      </c>
      <c r="J192" s="40" t="s">
        <v>5412</v>
      </c>
      <c r="K192" s="40" t="s">
        <v>5413</v>
      </c>
    </row>
    <row r="193" spans="1:11" ht="28.8" x14ac:dyDescent="0.3">
      <c r="A193" s="35"/>
      <c r="B193" s="35"/>
      <c r="C193" s="35"/>
      <c r="D193" s="40" t="s">
        <v>5414</v>
      </c>
      <c r="E193" s="40" t="s">
        <v>5415</v>
      </c>
      <c r="F193" s="40" t="s">
        <v>3074</v>
      </c>
      <c r="G193" s="40" t="s">
        <v>5416</v>
      </c>
      <c r="H193" s="40" t="s">
        <v>5417</v>
      </c>
      <c r="I193" s="40" t="s">
        <v>23</v>
      </c>
      <c r="J193" s="40" t="s">
        <v>5418</v>
      </c>
      <c r="K193" s="40" t="s">
        <v>5419</v>
      </c>
    </row>
    <row r="194" spans="1:11" ht="28.8" x14ac:dyDescent="0.3">
      <c r="A194" s="35"/>
      <c r="B194" s="35"/>
      <c r="C194" s="35"/>
      <c r="D194" s="40" t="s">
        <v>5420</v>
      </c>
      <c r="E194" s="40" t="s">
        <v>5421</v>
      </c>
      <c r="F194" s="40" t="s">
        <v>3074</v>
      </c>
      <c r="G194" s="40" t="s">
        <v>5422</v>
      </c>
      <c r="H194" s="40" t="s">
        <v>5423</v>
      </c>
      <c r="I194" s="40" t="s">
        <v>31</v>
      </c>
      <c r="J194" s="40" t="s">
        <v>5424</v>
      </c>
      <c r="K194" s="40" t="s">
        <v>5425</v>
      </c>
    </row>
    <row r="195" spans="1:11" x14ac:dyDescent="0.3">
      <c r="A195" s="35"/>
      <c r="B195" s="35"/>
      <c r="C195" s="35"/>
      <c r="D195" s="40" t="s">
        <v>5426</v>
      </c>
      <c r="E195" s="40" t="s">
        <v>5427</v>
      </c>
      <c r="F195" s="40" t="s">
        <v>3074</v>
      </c>
      <c r="G195" s="40" t="s">
        <v>5428</v>
      </c>
      <c r="H195" s="40" t="s">
        <v>5429</v>
      </c>
      <c r="I195" s="40" t="s">
        <v>23</v>
      </c>
      <c r="J195" s="40" t="s">
        <v>5430</v>
      </c>
      <c r="K195" s="40" t="s">
        <v>5431</v>
      </c>
    </row>
    <row r="196" spans="1:11" ht="28.8" x14ac:dyDescent="0.3">
      <c r="A196" s="35"/>
      <c r="B196" s="35"/>
      <c r="C196" s="35"/>
      <c r="D196" s="40" t="s">
        <v>5432</v>
      </c>
      <c r="E196" s="40" t="s">
        <v>5433</v>
      </c>
      <c r="F196" s="40" t="s">
        <v>3074</v>
      </c>
      <c r="G196" s="40" t="s">
        <v>5434</v>
      </c>
      <c r="H196" s="40" t="s">
        <v>5435</v>
      </c>
      <c r="I196" s="40" t="s">
        <v>31</v>
      </c>
      <c r="J196" s="40" t="s">
        <v>5436</v>
      </c>
      <c r="K196" s="40" t="s">
        <v>5437</v>
      </c>
    </row>
    <row r="197" spans="1:11" ht="28.8" x14ac:dyDescent="0.3">
      <c r="A197" s="35"/>
      <c r="B197" s="35"/>
      <c r="C197" s="36" t="s">
        <v>5438</v>
      </c>
      <c r="D197" s="40" t="s">
        <v>5439</v>
      </c>
      <c r="E197" s="40" t="s">
        <v>5440</v>
      </c>
      <c r="F197" s="40" t="s">
        <v>3074</v>
      </c>
      <c r="G197" s="40" t="s">
        <v>5441</v>
      </c>
      <c r="H197" s="40" t="s">
        <v>5442</v>
      </c>
      <c r="I197" s="40" t="s">
        <v>23</v>
      </c>
      <c r="J197" s="40" t="s">
        <v>5443</v>
      </c>
      <c r="K197" s="40" t="s">
        <v>5444</v>
      </c>
    </row>
    <row r="198" spans="1:11" ht="28.8" x14ac:dyDescent="0.3">
      <c r="A198" s="35"/>
      <c r="B198" s="35"/>
      <c r="C198" s="35"/>
      <c r="D198" s="40" t="s">
        <v>5445</v>
      </c>
      <c r="E198" s="40" t="s">
        <v>5446</v>
      </c>
      <c r="F198" s="40" t="s">
        <v>3074</v>
      </c>
      <c r="G198" s="40" t="s">
        <v>5447</v>
      </c>
      <c r="H198" s="40" t="s">
        <v>5448</v>
      </c>
      <c r="I198" s="40" t="s">
        <v>31</v>
      </c>
      <c r="J198" s="40" t="s">
        <v>5449</v>
      </c>
      <c r="K198" s="40" t="s">
        <v>5450</v>
      </c>
    </row>
    <row r="199" spans="1:11" ht="28.8" x14ac:dyDescent="0.3">
      <c r="A199" s="35"/>
      <c r="B199" s="35"/>
      <c r="C199" s="35"/>
      <c r="D199" s="40" t="s">
        <v>5451</v>
      </c>
      <c r="E199" s="40" t="s">
        <v>5452</v>
      </c>
      <c r="F199" s="40" t="s">
        <v>3074</v>
      </c>
      <c r="G199" s="40" t="s">
        <v>5453</v>
      </c>
      <c r="H199" s="40" t="s">
        <v>5454</v>
      </c>
      <c r="I199" s="40" t="s">
        <v>31</v>
      </c>
      <c r="J199" s="40" t="s">
        <v>5455</v>
      </c>
      <c r="K199" s="40" t="s">
        <v>5456</v>
      </c>
    </row>
    <row r="200" spans="1:11" ht="28.8" x14ac:dyDescent="0.3">
      <c r="A200" s="35"/>
      <c r="B200" s="35"/>
      <c r="C200" s="35"/>
      <c r="D200" s="40" t="s">
        <v>5457</v>
      </c>
      <c r="E200" s="40" t="s">
        <v>5458</v>
      </c>
      <c r="F200" s="40" t="s">
        <v>3074</v>
      </c>
      <c r="G200" s="40" t="s">
        <v>5459</v>
      </c>
      <c r="H200" s="40" t="s">
        <v>5460</v>
      </c>
      <c r="I200" s="40" t="s">
        <v>23</v>
      </c>
      <c r="J200" s="40" t="s">
        <v>5461</v>
      </c>
      <c r="K200" s="40" t="s">
        <v>5462</v>
      </c>
    </row>
    <row r="201" spans="1:11" ht="28.8" x14ac:dyDescent="0.3">
      <c r="A201" s="35"/>
      <c r="B201" s="35"/>
      <c r="C201" s="35"/>
      <c r="D201" s="40" t="s">
        <v>5463</v>
      </c>
      <c r="E201" s="40" t="s">
        <v>5464</v>
      </c>
      <c r="F201" s="40" t="s">
        <v>3074</v>
      </c>
      <c r="G201" s="40" t="s">
        <v>5465</v>
      </c>
      <c r="H201" s="40" t="s">
        <v>5466</v>
      </c>
      <c r="I201" s="40" t="s">
        <v>31</v>
      </c>
      <c r="J201" s="40" t="s">
        <v>5467</v>
      </c>
      <c r="K201" s="40" t="s">
        <v>5468</v>
      </c>
    </row>
    <row r="202" spans="1:11" ht="28.8" x14ac:dyDescent="0.3">
      <c r="A202" s="35"/>
      <c r="B202" s="35"/>
      <c r="C202" s="36" t="s">
        <v>5469</v>
      </c>
      <c r="D202" s="40" t="s">
        <v>5470</v>
      </c>
      <c r="E202" s="40" t="s">
        <v>5471</v>
      </c>
      <c r="F202" s="40" t="s">
        <v>3074</v>
      </c>
      <c r="G202" s="40" t="s">
        <v>5472</v>
      </c>
      <c r="H202" s="40" t="s">
        <v>5473</v>
      </c>
      <c r="I202" s="40" t="s">
        <v>31</v>
      </c>
      <c r="J202" s="40" t="s">
        <v>5474</v>
      </c>
      <c r="K202" s="40" t="s">
        <v>5475</v>
      </c>
    </row>
    <row r="203" spans="1:11" ht="28.8" x14ac:dyDescent="0.3">
      <c r="A203" s="35"/>
      <c r="B203" s="35"/>
      <c r="C203" s="35"/>
      <c r="D203" s="40" t="s">
        <v>5476</v>
      </c>
      <c r="E203" s="40" t="s">
        <v>5477</v>
      </c>
      <c r="F203" s="40" t="s">
        <v>3074</v>
      </c>
      <c r="G203" s="40" t="s">
        <v>5257</v>
      </c>
      <c r="H203" s="40" t="s">
        <v>5478</v>
      </c>
      <c r="I203" s="40" t="s">
        <v>31</v>
      </c>
      <c r="J203" s="40" t="s">
        <v>5479</v>
      </c>
      <c r="K203" s="40" t="s">
        <v>5480</v>
      </c>
    </row>
    <row r="204" spans="1:11" ht="28.8" x14ac:dyDescent="0.3">
      <c r="A204" s="35"/>
      <c r="B204" s="35"/>
      <c r="C204" s="35"/>
      <c r="D204" s="40" t="s">
        <v>5481</v>
      </c>
      <c r="E204" s="40" t="s">
        <v>5482</v>
      </c>
      <c r="F204" s="40" t="s">
        <v>3074</v>
      </c>
      <c r="G204" s="40" t="s">
        <v>5483</v>
      </c>
      <c r="H204" s="40" t="s">
        <v>5484</v>
      </c>
      <c r="I204" s="40" t="s">
        <v>23</v>
      </c>
      <c r="J204" s="40" t="s">
        <v>5485</v>
      </c>
      <c r="K204" s="40" t="s">
        <v>5486</v>
      </c>
    </row>
    <row r="205" spans="1:11" ht="28.8" x14ac:dyDescent="0.3">
      <c r="A205" s="35"/>
      <c r="B205" s="35"/>
      <c r="C205" s="35"/>
      <c r="D205" s="40" t="s">
        <v>5487</v>
      </c>
      <c r="E205" s="40" t="s">
        <v>5488</v>
      </c>
      <c r="F205" s="40" t="s">
        <v>3074</v>
      </c>
      <c r="G205" s="40" t="s">
        <v>5489</v>
      </c>
      <c r="H205" s="40" t="s">
        <v>5490</v>
      </c>
      <c r="I205" s="40" t="s">
        <v>31</v>
      </c>
      <c r="J205" s="40" t="s">
        <v>5491</v>
      </c>
      <c r="K205" s="40" t="s">
        <v>5492</v>
      </c>
    </row>
    <row r="206" spans="1:11" ht="28.8" x14ac:dyDescent="0.3">
      <c r="A206" s="35"/>
      <c r="B206" s="35"/>
      <c r="C206" s="35"/>
      <c r="D206" s="40" t="s">
        <v>5493</v>
      </c>
      <c r="E206" s="40" t="s">
        <v>5494</v>
      </c>
      <c r="F206" s="40" t="s">
        <v>3074</v>
      </c>
      <c r="G206" s="40" t="s">
        <v>5495</v>
      </c>
      <c r="H206" s="40" t="s">
        <v>5496</v>
      </c>
      <c r="I206" s="40" t="s">
        <v>31</v>
      </c>
      <c r="J206" s="40" t="s">
        <v>5497</v>
      </c>
      <c r="K206" s="40" t="s">
        <v>5498</v>
      </c>
    </row>
    <row r="207" spans="1:11" x14ac:dyDescent="0.3">
      <c r="A207" s="35"/>
      <c r="B207" s="35"/>
      <c r="C207" s="36" t="s">
        <v>5499</v>
      </c>
      <c r="D207" s="40" t="s">
        <v>5500</v>
      </c>
      <c r="E207" s="40" t="s">
        <v>5501</v>
      </c>
      <c r="F207" s="40" t="s">
        <v>3074</v>
      </c>
      <c r="G207" s="40" t="s">
        <v>5502</v>
      </c>
      <c r="H207" s="40" t="s">
        <v>5503</v>
      </c>
      <c r="I207" s="40" t="s">
        <v>31</v>
      </c>
      <c r="J207" s="40" t="s">
        <v>5504</v>
      </c>
      <c r="K207" s="40" t="s">
        <v>5505</v>
      </c>
    </row>
    <row r="208" spans="1:11" ht="28.8" x14ac:dyDescent="0.3">
      <c r="A208" s="35"/>
      <c r="B208" s="35"/>
      <c r="C208" s="35"/>
      <c r="D208" s="40" t="s">
        <v>5506</v>
      </c>
      <c r="E208" s="40" t="s">
        <v>5507</v>
      </c>
      <c r="F208" s="40" t="s">
        <v>3074</v>
      </c>
      <c r="G208" s="40" t="s">
        <v>5508</v>
      </c>
      <c r="H208" s="40" t="s">
        <v>5509</v>
      </c>
      <c r="I208" s="40" t="s">
        <v>31</v>
      </c>
      <c r="J208" s="40" t="s">
        <v>5510</v>
      </c>
      <c r="K208" s="40" t="s">
        <v>5511</v>
      </c>
    </row>
    <row r="209" spans="1:11" x14ac:dyDescent="0.3">
      <c r="A209" s="35"/>
      <c r="B209" s="35"/>
      <c r="C209" s="35"/>
      <c r="D209" s="40" t="s">
        <v>5512</v>
      </c>
      <c r="E209" s="40" t="s">
        <v>5513</v>
      </c>
      <c r="F209" s="40" t="s">
        <v>3074</v>
      </c>
      <c r="G209" s="40" t="s">
        <v>5514</v>
      </c>
      <c r="H209" s="40" t="s">
        <v>5515</v>
      </c>
      <c r="I209" s="40" t="s">
        <v>4755</v>
      </c>
      <c r="J209" s="40" t="s">
        <v>5516</v>
      </c>
      <c r="K209" s="40" t="s">
        <v>5517</v>
      </c>
    </row>
    <row r="210" spans="1:11" ht="28.8" x14ac:dyDescent="0.3">
      <c r="A210" s="35"/>
      <c r="B210" s="35"/>
      <c r="C210" s="35"/>
      <c r="D210" s="40" t="s">
        <v>5518</v>
      </c>
      <c r="E210" s="40" t="s">
        <v>5519</v>
      </c>
      <c r="F210" s="40" t="s">
        <v>3074</v>
      </c>
      <c r="G210" s="40" t="s">
        <v>5520</v>
      </c>
      <c r="H210" s="40" t="s">
        <v>5521</v>
      </c>
      <c r="I210" s="40" t="s">
        <v>31</v>
      </c>
      <c r="J210" s="40" t="s">
        <v>5522</v>
      </c>
      <c r="K210" s="40" t="s">
        <v>5523</v>
      </c>
    </row>
    <row r="211" spans="1:11" ht="28.8" x14ac:dyDescent="0.3">
      <c r="A211" s="35"/>
      <c r="B211" s="35"/>
      <c r="C211" s="35"/>
      <c r="D211" s="40" t="s">
        <v>5524</v>
      </c>
      <c r="E211" s="40" t="s">
        <v>5525</v>
      </c>
      <c r="F211" s="40" t="s">
        <v>3074</v>
      </c>
      <c r="G211" s="40" t="s">
        <v>5526</v>
      </c>
      <c r="H211" s="40" t="s">
        <v>5527</v>
      </c>
      <c r="I211" s="40" t="s">
        <v>31</v>
      </c>
      <c r="J211" s="40" t="s">
        <v>5528</v>
      </c>
      <c r="K211" s="40" t="s">
        <v>5529</v>
      </c>
    </row>
    <row r="212" spans="1:11" x14ac:dyDescent="0.3">
      <c r="A212" s="35"/>
      <c r="B212" s="35"/>
      <c r="C212" s="35" t="s">
        <v>5530</v>
      </c>
      <c r="D212" s="40" t="s">
        <v>5531</v>
      </c>
      <c r="E212" s="40" t="s">
        <v>5532</v>
      </c>
      <c r="F212" s="40" t="s">
        <v>3074</v>
      </c>
      <c r="G212" s="40" t="s">
        <v>5533</v>
      </c>
      <c r="H212" s="40" t="s">
        <v>5534</v>
      </c>
      <c r="I212" s="40" t="s">
        <v>23</v>
      </c>
      <c r="J212" s="40" t="s">
        <v>5535</v>
      </c>
      <c r="K212" s="40" t="s">
        <v>5536</v>
      </c>
    </row>
    <row r="213" spans="1:11" x14ac:dyDescent="0.3">
      <c r="A213" s="35"/>
      <c r="B213" s="35"/>
      <c r="C213" s="35"/>
      <c r="D213" s="40" t="s">
        <v>5537</v>
      </c>
      <c r="E213" s="40" t="s">
        <v>5538</v>
      </c>
      <c r="F213" s="40" t="s">
        <v>3074</v>
      </c>
      <c r="G213" s="40" t="s">
        <v>5502</v>
      </c>
      <c r="H213" s="40" t="s">
        <v>5539</v>
      </c>
      <c r="I213" s="40" t="s">
        <v>31</v>
      </c>
      <c r="J213" s="40" t="s">
        <v>5540</v>
      </c>
      <c r="K213" s="40" t="s">
        <v>5541</v>
      </c>
    </row>
    <row r="214" spans="1:11" x14ac:dyDescent="0.3">
      <c r="A214" s="35"/>
      <c r="B214" s="35"/>
      <c r="C214" s="35"/>
      <c r="D214" s="40" t="s">
        <v>5542</v>
      </c>
      <c r="E214" s="40" t="s">
        <v>5543</v>
      </c>
      <c r="F214" s="40" t="s">
        <v>3074</v>
      </c>
      <c r="G214" s="40" t="s">
        <v>5544</v>
      </c>
      <c r="H214" s="40" t="s">
        <v>5545</v>
      </c>
      <c r="I214" s="40" t="s">
        <v>4755</v>
      </c>
      <c r="J214" s="40" t="s">
        <v>5546</v>
      </c>
      <c r="K214" s="40" t="s">
        <v>5547</v>
      </c>
    </row>
    <row r="215" spans="1:11" x14ac:dyDescent="0.3">
      <c r="A215" s="35"/>
      <c r="B215" s="35"/>
      <c r="C215" s="35"/>
      <c r="D215" s="40" t="s">
        <v>4285</v>
      </c>
      <c r="E215" s="40" t="s">
        <v>5548</v>
      </c>
      <c r="F215" s="40" t="s">
        <v>3074</v>
      </c>
      <c r="G215" s="40" t="s">
        <v>5520</v>
      </c>
      <c r="H215" s="40" t="s">
        <v>5549</v>
      </c>
      <c r="I215" s="40" t="s">
        <v>31</v>
      </c>
      <c r="J215" s="40" t="s">
        <v>5550</v>
      </c>
      <c r="K215" s="40" t="s">
        <v>5551</v>
      </c>
    </row>
    <row r="216" spans="1:11" ht="28.8" x14ac:dyDescent="0.3">
      <c r="A216" s="35"/>
      <c r="B216" s="35"/>
      <c r="C216" s="35"/>
      <c r="D216" s="40" t="s">
        <v>5552</v>
      </c>
      <c r="E216" s="40" t="s">
        <v>5553</v>
      </c>
      <c r="F216" s="40" t="s">
        <v>3074</v>
      </c>
      <c r="G216" s="40" t="s">
        <v>5554</v>
      </c>
      <c r="H216" s="40" t="s">
        <v>5555</v>
      </c>
      <c r="I216" s="40" t="s">
        <v>4755</v>
      </c>
      <c r="J216" s="40" t="s">
        <v>5556</v>
      </c>
      <c r="K216" s="40" t="s">
        <v>5557</v>
      </c>
    </row>
    <row r="217" spans="1:11" ht="28.8" x14ac:dyDescent="0.3">
      <c r="A217" s="35"/>
      <c r="B217" s="35"/>
      <c r="C217" s="35" t="s">
        <v>5558</v>
      </c>
      <c r="D217" s="40" t="s">
        <v>5559</v>
      </c>
      <c r="E217" s="40" t="s">
        <v>5560</v>
      </c>
      <c r="F217" s="40" t="s">
        <v>3074</v>
      </c>
      <c r="G217" s="40" t="s">
        <v>5561</v>
      </c>
      <c r="H217" s="40" t="s">
        <v>5562</v>
      </c>
      <c r="I217" s="40" t="s">
        <v>23</v>
      </c>
      <c r="J217" s="40" t="s">
        <v>5563</v>
      </c>
      <c r="K217" s="40" t="s">
        <v>5564</v>
      </c>
    </row>
    <row r="218" spans="1:11" ht="28.8" x14ac:dyDescent="0.3">
      <c r="A218" s="35"/>
      <c r="B218" s="35"/>
      <c r="C218" s="35"/>
      <c r="D218" s="40" t="s">
        <v>5565</v>
      </c>
      <c r="E218" s="40" t="s">
        <v>5566</v>
      </c>
      <c r="F218" s="40" t="s">
        <v>3074</v>
      </c>
      <c r="G218" s="40" t="s">
        <v>5567</v>
      </c>
      <c r="H218" s="40" t="s">
        <v>5568</v>
      </c>
      <c r="I218" s="40" t="s">
        <v>23</v>
      </c>
      <c r="J218" s="40" t="s">
        <v>5569</v>
      </c>
      <c r="K218" s="40" t="s">
        <v>5570</v>
      </c>
    </row>
    <row r="219" spans="1:11" ht="28.8" x14ac:dyDescent="0.3">
      <c r="A219" s="35"/>
      <c r="B219" s="35"/>
      <c r="C219" s="35"/>
      <c r="D219" s="40" t="s">
        <v>5571</v>
      </c>
      <c r="E219" s="40" t="s">
        <v>5572</v>
      </c>
      <c r="F219" s="40" t="s">
        <v>3074</v>
      </c>
      <c r="G219" s="40" t="s">
        <v>5573</v>
      </c>
      <c r="H219" s="40" t="s">
        <v>5574</v>
      </c>
      <c r="I219" s="40" t="s">
        <v>4755</v>
      </c>
      <c r="J219" s="40" t="s">
        <v>5575</v>
      </c>
      <c r="K219" s="40" t="s">
        <v>5576</v>
      </c>
    </row>
    <row r="220" spans="1:11" ht="28.8" x14ac:dyDescent="0.3">
      <c r="A220" s="35"/>
      <c r="B220" s="35"/>
      <c r="C220" s="35"/>
      <c r="D220" s="40" t="s">
        <v>5577</v>
      </c>
      <c r="E220" s="40" t="s">
        <v>5578</v>
      </c>
      <c r="F220" s="40" t="s">
        <v>3074</v>
      </c>
      <c r="G220" s="40" t="s">
        <v>5579</v>
      </c>
      <c r="H220" s="40" t="s">
        <v>5580</v>
      </c>
      <c r="I220" s="40" t="s">
        <v>31</v>
      </c>
      <c r="J220" s="40" t="s">
        <v>5581</v>
      </c>
      <c r="K220" s="40" t="s">
        <v>5582</v>
      </c>
    </row>
    <row r="221" spans="1:11" ht="28.8" x14ac:dyDescent="0.3">
      <c r="A221" s="35"/>
      <c r="B221" s="35"/>
      <c r="C221" s="35"/>
      <c r="D221" s="40" t="s">
        <v>5583</v>
      </c>
      <c r="E221" s="40" t="s">
        <v>5584</v>
      </c>
      <c r="F221" s="40" t="s">
        <v>3074</v>
      </c>
      <c r="G221" s="40" t="s">
        <v>5585</v>
      </c>
      <c r="H221" s="40" t="s">
        <v>5586</v>
      </c>
      <c r="I221" s="40" t="s">
        <v>4755</v>
      </c>
      <c r="J221" s="40" t="s">
        <v>5587</v>
      </c>
      <c r="K221" s="40" t="s">
        <v>5588</v>
      </c>
    </row>
    <row r="222" spans="1:11" ht="28.8" x14ac:dyDescent="0.3">
      <c r="A222" s="35"/>
      <c r="B222" s="36" t="s">
        <v>5589</v>
      </c>
      <c r="C222" s="36" t="s">
        <v>5590</v>
      </c>
      <c r="D222" s="40" t="s">
        <v>5591</v>
      </c>
      <c r="E222" s="40" t="s">
        <v>5592</v>
      </c>
      <c r="F222" s="40" t="s">
        <v>3074</v>
      </c>
      <c r="G222" s="40" t="s">
        <v>4979</v>
      </c>
      <c r="H222" s="40" t="s">
        <v>5593</v>
      </c>
      <c r="I222" s="40" t="s">
        <v>23</v>
      </c>
      <c r="J222" s="40" t="s">
        <v>5594</v>
      </c>
      <c r="K222" s="40" t="s">
        <v>5595</v>
      </c>
    </row>
    <row r="223" spans="1:11" ht="28.8" x14ac:dyDescent="0.3">
      <c r="A223" s="35"/>
      <c r="B223" s="35"/>
      <c r="C223" s="35"/>
      <c r="D223" s="40" t="s">
        <v>5596</v>
      </c>
      <c r="E223" s="40" t="s">
        <v>5597</v>
      </c>
      <c r="F223" s="40" t="s">
        <v>3074</v>
      </c>
      <c r="G223" s="40" t="s">
        <v>5598</v>
      </c>
      <c r="H223" s="40" t="s">
        <v>5599</v>
      </c>
      <c r="I223" s="40" t="s">
        <v>23</v>
      </c>
      <c r="J223" s="40" t="s">
        <v>5600</v>
      </c>
      <c r="K223" s="40" t="s">
        <v>5601</v>
      </c>
    </row>
    <row r="224" spans="1:11" ht="28.8" x14ac:dyDescent="0.3">
      <c r="A224" s="35"/>
      <c r="B224" s="35"/>
      <c r="C224" s="35"/>
      <c r="D224" s="40" t="s">
        <v>5602</v>
      </c>
      <c r="E224" s="40" t="s">
        <v>5603</v>
      </c>
      <c r="F224" s="40" t="s">
        <v>3074</v>
      </c>
      <c r="G224" s="40" t="s">
        <v>5604</v>
      </c>
      <c r="H224" s="40" t="s">
        <v>5605</v>
      </c>
      <c r="I224" s="40" t="s">
        <v>31</v>
      </c>
      <c r="J224" s="40" t="s">
        <v>5606</v>
      </c>
      <c r="K224" s="40" t="s">
        <v>5607</v>
      </c>
    </row>
    <row r="225" spans="1:11" ht="28.8" x14ac:dyDescent="0.3">
      <c r="A225" s="35"/>
      <c r="B225" s="35"/>
      <c r="C225" s="35"/>
      <c r="D225" s="40" t="s">
        <v>5608</v>
      </c>
      <c r="E225" s="40" t="s">
        <v>5609</v>
      </c>
      <c r="F225" s="40" t="s">
        <v>3074</v>
      </c>
      <c r="G225" s="40" t="s">
        <v>5610</v>
      </c>
      <c r="H225" s="40" t="s">
        <v>5611</v>
      </c>
      <c r="I225" s="40" t="s">
        <v>31</v>
      </c>
      <c r="J225" s="40" t="s">
        <v>5612</v>
      </c>
      <c r="K225" s="40" t="s">
        <v>5613</v>
      </c>
    </row>
    <row r="226" spans="1:11" ht="28.8" x14ac:dyDescent="0.3">
      <c r="A226" s="35"/>
      <c r="B226" s="35"/>
      <c r="C226" s="35"/>
      <c r="D226" s="40" t="s">
        <v>5614</v>
      </c>
      <c r="E226" s="40" t="s">
        <v>5615</v>
      </c>
      <c r="F226" s="40" t="s">
        <v>3074</v>
      </c>
      <c r="G226" s="40" t="s">
        <v>5616</v>
      </c>
      <c r="H226" s="40" t="s">
        <v>5617</v>
      </c>
      <c r="I226" s="40" t="s">
        <v>31</v>
      </c>
      <c r="J226" s="40" t="s">
        <v>5618</v>
      </c>
      <c r="K226" s="40" t="s">
        <v>5619</v>
      </c>
    </row>
    <row r="227" spans="1:11" x14ac:dyDescent="0.3">
      <c r="A227" s="35"/>
      <c r="B227" s="35"/>
      <c r="C227" s="36" t="s">
        <v>5620</v>
      </c>
      <c r="D227" s="40" t="s">
        <v>5621</v>
      </c>
      <c r="E227" s="40" t="s">
        <v>5622</v>
      </c>
      <c r="F227" s="40" t="s">
        <v>3074</v>
      </c>
      <c r="G227" s="40" t="s">
        <v>5623</v>
      </c>
      <c r="H227" s="40" t="s">
        <v>5624</v>
      </c>
      <c r="I227" s="40" t="s">
        <v>23</v>
      </c>
      <c r="J227" s="40" t="s">
        <v>5625</v>
      </c>
      <c r="K227" s="40" t="s">
        <v>5626</v>
      </c>
    </row>
    <row r="228" spans="1:11" ht="28.8" x14ac:dyDescent="0.3">
      <c r="A228" s="35"/>
      <c r="B228" s="35"/>
      <c r="C228" s="35"/>
      <c r="D228" s="40" t="s">
        <v>5627</v>
      </c>
      <c r="E228" s="40" t="s">
        <v>5628</v>
      </c>
      <c r="F228" s="40" t="s">
        <v>3074</v>
      </c>
      <c r="G228" s="40" t="s">
        <v>5629</v>
      </c>
      <c r="H228" s="40" t="s">
        <v>5630</v>
      </c>
      <c r="I228" s="40" t="s">
        <v>31</v>
      </c>
      <c r="J228" s="40" t="s">
        <v>5631</v>
      </c>
      <c r="K228" s="40" t="s">
        <v>5632</v>
      </c>
    </row>
    <row r="229" spans="1:11" ht="28.8" x14ac:dyDescent="0.3">
      <c r="A229" s="35"/>
      <c r="B229" s="35"/>
      <c r="C229" s="35"/>
      <c r="D229" s="40" t="s">
        <v>5633</v>
      </c>
      <c r="E229" s="40" t="s">
        <v>5634</v>
      </c>
      <c r="F229" s="40" t="s">
        <v>3074</v>
      </c>
      <c r="G229" s="40" t="s">
        <v>5635</v>
      </c>
      <c r="H229" s="40" t="s">
        <v>5636</v>
      </c>
      <c r="I229" s="40" t="s">
        <v>31</v>
      </c>
      <c r="J229" s="40" t="s">
        <v>5637</v>
      </c>
      <c r="K229" s="40" t="s">
        <v>5638</v>
      </c>
    </row>
    <row r="230" spans="1:11" ht="28.8" x14ac:dyDescent="0.3">
      <c r="A230" s="35"/>
      <c r="B230" s="35"/>
      <c r="C230" s="35"/>
      <c r="D230" s="40" t="s">
        <v>5639</v>
      </c>
      <c r="E230" s="40" t="s">
        <v>5640</v>
      </c>
      <c r="F230" s="40" t="s">
        <v>3074</v>
      </c>
      <c r="G230" s="40" t="s">
        <v>5641</v>
      </c>
      <c r="H230" s="40" t="s">
        <v>5642</v>
      </c>
      <c r="I230" s="40" t="s">
        <v>23</v>
      </c>
      <c r="J230" s="40" t="s">
        <v>5643</v>
      </c>
      <c r="K230" s="40" t="s">
        <v>5644</v>
      </c>
    </row>
    <row r="231" spans="1:11" x14ac:dyDescent="0.3">
      <c r="A231" s="35"/>
      <c r="B231" s="35"/>
      <c r="C231" s="35"/>
      <c r="D231" s="40" t="s">
        <v>5645</v>
      </c>
      <c r="E231" s="40" t="s">
        <v>5646</v>
      </c>
      <c r="F231" s="40" t="s">
        <v>3074</v>
      </c>
      <c r="G231" s="40" t="s">
        <v>5647</v>
      </c>
      <c r="H231" s="40" t="s">
        <v>5648</v>
      </c>
      <c r="I231" s="40" t="s">
        <v>31</v>
      </c>
      <c r="J231" s="40" t="s">
        <v>5649</v>
      </c>
      <c r="K231" s="40" t="s">
        <v>5650</v>
      </c>
    </row>
    <row r="232" spans="1:11" x14ac:dyDescent="0.3">
      <c r="A232" s="35"/>
      <c r="B232" s="35"/>
      <c r="C232" s="35" t="s">
        <v>5651</v>
      </c>
      <c r="D232" s="40" t="s">
        <v>5652</v>
      </c>
      <c r="E232" s="40" t="s">
        <v>5653</v>
      </c>
      <c r="F232" s="40" t="s">
        <v>3074</v>
      </c>
      <c r="G232" s="40" t="s">
        <v>5654</v>
      </c>
      <c r="H232" s="40" t="s">
        <v>5655</v>
      </c>
      <c r="I232" s="40" t="s">
        <v>23</v>
      </c>
      <c r="J232" s="40" t="s">
        <v>5656</v>
      </c>
      <c r="K232" s="40" t="s">
        <v>5657</v>
      </c>
    </row>
    <row r="233" spans="1:11" x14ac:dyDescent="0.3">
      <c r="A233" s="35"/>
      <c r="B233" s="35"/>
      <c r="C233" s="35"/>
      <c r="D233" s="40" t="s">
        <v>5658</v>
      </c>
      <c r="E233" s="40" t="s">
        <v>5659</v>
      </c>
      <c r="F233" s="40" t="s">
        <v>3074</v>
      </c>
      <c r="G233" s="40" t="s">
        <v>5660</v>
      </c>
      <c r="H233" s="40" t="s">
        <v>5661</v>
      </c>
      <c r="I233" s="40" t="s">
        <v>31</v>
      </c>
      <c r="J233" s="40" t="s">
        <v>5662</v>
      </c>
      <c r="K233" s="40" t="s">
        <v>5663</v>
      </c>
    </row>
    <row r="234" spans="1:11" ht="28.8" x14ac:dyDescent="0.3">
      <c r="A234" s="35"/>
      <c r="B234" s="35"/>
      <c r="C234" s="35"/>
      <c r="D234" s="40" t="s">
        <v>5664</v>
      </c>
      <c r="E234" s="40" t="s">
        <v>5665</v>
      </c>
      <c r="F234" s="40" t="s">
        <v>3074</v>
      </c>
      <c r="G234" s="40" t="s">
        <v>5666</v>
      </c>
      <c r="H234" s="40" t="s">
        <v>5667</v>
      </c>
      <c r="I234" s="40" t="s">
        <v>31</v>
      </c>
      <c r="J234" s="40" t="s">
        <v>5668</v>
      </c>
      <c r="K234" s="40" t="s">
        <v>5669</v>
      </c>
    </row>
    <row r="235" spans="1:11" ht="28.8" x14ac:dyDescent="0.3">
      <c r="A235" s="35"/>
      <c r="B235" s="35"/>
      <c r="C235" s="35"/>
      <c r="D235" s="40" t="s">
        <v>5670</v>
      </c>
      <c r="E235" s="40" t="s">
        <v>5671</v>
      </c>
      <c r="F235" s="40" t="s">
        <v>3074</v>
      </c>
      <c r="G235" s="40" t="s">
        <v>5672</v>
      </c>
      <c r="H235" s="40" t="s">
        <v>5673</v>
      </c>
      <c r="I235" s="40" t="s">
        <v>31</v>
      </c>
      <c r="J235" s="40" t="s">
        <v>5674</v>
      </c>
      <c r="K235" s="40" t="s">
        <v>5675</v>
      </c>
    </row>
    <row r="236" spans="1:11" x14ac:dyDescent="0.3">
      <c r="A236" s="35"/>
      <c r="B236" s="35"/>
      <c r="C236" s="35"/>
      <c r="D236" s="40" t="s">
        <v>5676</v>
      </c>
      <c r="E236" s="40" t="s">
        <v>5677</v>
      </c>
      <c r="F236" s="40" t="s">
        <v>3074</v>
      </c>
      <c r="G236" s="40" t="s">
        <v>5678</v>
      </c>
      <c r="H236" s="32"/>
      <c r="I236" s="32"/>
      <c r="J236" s="32"/>
      <c r="K236" s="32"/>
    </row>
    <row r="237" spans="1:11" x14ac:dyDescent="0.3">
      <c r="A237" s="35"/>
      <c r="B237" s="35"/>
      <c r="C237" s="35" t="s">
        <v>5679</v>
      </c>
      <c r="D237" s="40" t="s">
        <v>5680</v>
      </c>
      <c r="E237" s="40" t="s">
        <v>5681</v>
      </c>
      <c r="F237" s="40" t="s">
        <v>3074</v>
      </c>
      <c r="G237" s="40" t="s">
        <v>5682</v>
      </c>
      <c r="H237" s="40" t="s">
        <v>5683</v>
      </c>
      <c r="I237" s="40" t="s">
        <v>23</v>
      </c>
      <c r="J237" s="40" t="s">
        <v>5684</v>
      </c>
      <c r="K237" s="40" t="s">
        <v>5685</v>
      </c>
    </row>
    <row r="238" spans="1:11" ht="28.8" x14ac:dyDescent="0.3">
      <c r="A238" s="35"/>
      <c r="B238" s="35"/>
      <c r="C238" s="35"/>
      <c r="D238" s="40" t="s">
        <v>5686</v>
      </c>
      <c r="E238" s="40" t="s">
        <v>5687</v>
      </c>
      <c r="F238" s="40" t="s">
        <v>3074</v>
      </c>
      <c r="G238" s="40" t="s">
        <v>5688</v>
      </c>
      <c r="H238" s="40" t="s">
        <v>5689</v>
      </c>
      <c r="I238" s="40" t="s">
        <v>23</v>
      </c>
      <c r="J238" s="40" t="s">
        <v>5690</v>
      </c>
      <c r="K238" s="40" t="s">
        <v>5691</v>
      </c>
    </row>
    <row r="239" spans="1:11" x14ac:dyDescent="0.3">
      <c r="A239" s="35"/>
      <c r="B239" s="35"/>
      <c r="C239" s="35"/>
      <c r="D239" s="40" t="s">
        <v>5692</v>
      </c>
      <c r="E239" s="40" t="s">
        <v>5693</v>
      </c>
      <c r="F239" s="40" t="s">
        <v>3074</v>
      </c>
      <c r="G239" s="40" t="s">
        <v>5694</v>
      </c>
      <c r="H239" s="40" t="s">
        <v>5695</v>
      </c>
      <c r="I239" s="40" t="s">
        <v>31</v>
      </c>
      <c r="J239" s="40" t="s">
        <v>5696</v>
      </c>
      <c r="K239" s="40" t="s">
        <v>5697</v>
      </c>
    </row>
    <row r="240" spans="1:11" ht="28.8" x14ac:dyDescent="0.3">
      <c r="A240" s="35"/>
      <c r="B240" s="35"/>
      <c r="C240" s="35"/>
      <c r="D240" s="40" t="s">
        <v>5698</v>
      </c>
      <c r="E240" s="40" t="s">
        <v>5699</v>
      </c>
      <c r="F240" s="40" t="s">
        <v>3074</v>
      </c>
      <c r="G240" s="40" t="s">
        <v>5700</v>
      </c>
      <c r="H240" s="40" t="s">
        <v>5701</v>
      </c>
      <c r="I240" s="40" t="s">
        <v>23</v>
      </c>
      <c r="J240" s="40" t="s">
        <v>5702</v>
      </c>
      <c r="K240" s="40" t="s">
        <v>5703</v>
      </c>
    </row>
    <row r="241" spans="1:11" ht="28.8" x14ac:dyDescent="0.3">
      <c r="A241" s="35"/>
      <c r="B241" s="35"/>
      <c r="C241" s="35"/>
      <c r="D241" s="40" t="s">
        <v>5704</v>
      </c>
      <c r="E241" s="40" t="s">
        <v>5705</v>
      </c>
      <c r="F241" s="40" t="s">
        <v>3074</v>
      </c>
      <c r="G241" s="40" t="s">
        <v>5706</v>
      </c>
      <c r="H241" s="40" t="s">
        <v>5707</v>
      </c>
      <c r="I241" s="40" t="s">
        <v>31</v>
      </c>
      <c r="J241" s="40" t="s">
        <v>5708</v>
      </c>
      <c r="K241" s="40" t="s">
        <v>5709</v>
      </c>
    </row>
    <row r="242" spans="1:11" ht="28.8" x14ac:dyDescent="0.3">
      <c r="A242" s="35"/>
      <c r="B242" s="35"/>
      <c r="C242" s="36" t="s">
        <v>5710</v>
      </c>
      <c r="D242" s="40" t="s">
        <v>5711</v>
      </c>
      <c r="E242" s="40" t="s">
        <v>5712</v>
      </c>
      <c r="F242" s="40" t="s">
        <v>3074</v>
      </c>
      <c r="G242" s="40" t="s">
        <v>5713</v>
      </c>
      <c r="H242" s="40" t="s">
        <v>5714</v>
      </c>
      <c r="I242" s="40" t="s">
        <v>31</v>
      </c>
      <c r="J242" s="40" t="s">
        <v>5715</v>
      </c>
      <c r="K242" s="40" t="s">
        <v>5716</v>
      </c>
    </row>
    <row r="243" spans="1:11" ht="28.8" x14ac:dyDescent="0.3">
      <c r="A243" s="35"/>
      <c r="B243" s="35"/>
      <c r="C243" s="35"/>
      <c r="D243" s="40" t="s">
        <v>5717</v>
      </c>
      <c r="E243" s="40" t="s">
        <v>5718</v>
      </c>
      <c r="F243" s="40" t="s">
        <v>3074</v>
      </c>
      <c r="G243" s="40" t="s">
        <v>5719</v>
      </c>
      <c r="H243" s="40" t="s">
        <v>5720</v>
      </c>
      <c r="I243" s="40" t="s">
        <v>31</v>
      </c>
      <c r="J243" s="40" t="s">
        <v>5721</v>
      </c>
      <c r="K243" s="40" t="s">
        <v>5722</v>
      </c>
    </row>
    <row r="244" spans="1:11" ht="28.8" x14ac:dyDescent="0.3">
      <c r="A244" s="35"/>
      <c r="B244" s="35"/>
      <c r="C244" s="35"/>
      <c r="D244" s="40" t="s">
        <v>5723</v>
      </c>
      <c r="E244" s="40" t="s">
        <v>5724</v>
      </c>
      <c r="F244" s="40" t="s">
        <v>3074</v>
      </c>
      <c r="G244" s="40" t="s">
        <v>5725</v>
      </c>
      <c r="H244" s="40" t="s">
        <v>5726</v>
      </c>
      <c r="I244" s="40" t="s">
        <v>31</v>
      </c>
      <c r="J244" s="40" t="s">
        <v>5727</v>
      </c>
      <c r="K244" s="40" t="s">
        <v>5728</v>
      </c>
    </row>
    <row r="245" spans="1:11" ht="28.8" x14ac:dyDescent="0.3">
      <c r="A245" s="35"/>
      <c r="B245" s="35"/>
      <c r="C245" s="35"/>
      <c r="D245" s="40" t="s">
        <v>5729</v>
      </c>
      <c r="E245" s="40" t="s">
        <v>5730</v>
      </c>
      <c r="F245" s="40" t="s">
        <v>3074</v>
      </c>
      <c r="G245" s="40" t="s">
        <v>5731</v>
      </c>
      <c r="H245" s="40" t="s">
        <v>5732</v>
      </c>
      <c r="I245" s="40" t="s">
        <v>23</v>
      </c>
      <c r="J245" s="40" t="s">
        <v>5733</v>
      </c>
      <c r="K245" s="40" t="s">
        <v>5734</v>
      </c>
    </row>
    <row r="246" spans="1:11" ht="28.8" x14ac:dyDescent="0.3">
      <c r="A246" s="35"/>
      <c r="B246" s="35"/>
      <c r="C246" s="35"/>
      <c r="D246" s="40" t="s">
        <v>5735</v>
      </c>
      <c r="E246" s="40" t="s">
        <v>5736</v>
      </c>
      <c r="F246" s="40" t="s">
        <v>3074</v>
      </c>
      <c r="G246" s="40" t="s">
        <v>5737</v>
      </c>
      <c r="H246" s="40" t="s">
        <v>5738</v>
      </c>
      <c r="I246" s="40" t="s">
        <v>31</v>
      </c>
      <c r="J246" s="40" t="s">
        <v>5739</v>
      </c>
      <c r="K246" s="40" t="s">
        <v>5740</v>
      </c>
    </row>
    <row r="247" spans="1:11" ht="28.8" x14ac:dyDescent="0.3">
      <c r="A247" s="35"/>
      <c r="B247" s="35"/>
      <c r="C247" s="35" t="s">
        <v>5741</v>
      </c>
      <c r="D247" s="40" t="s">
        <v>5711</v>
      </c>
      <c r="E247" s="40" t="s">
        <v>5712</v>
      </c>
      <c r="F247" s="40" t="s">
        <v>3074</v>
      </c>
      <c r="G247" s="40" t="s">
        <v>5713</v>
      </c>
      <c r="H247" s="40" t="s">
        <v>5714</v>
      </c>
      <c r="I247" s="40" t="s">
        <v>31</v>
      </c>
      <c r="J247" s="40" t="s">
        <v>5715</v>
      </c>
      <c r="K247" s="40" t="s">
        <v>5716</v>
      </c>
    </row>
    <row r="248" spans="1:11" ht="28.8" x14ac:dyDescent="0.3">
      <c r="A248" s="35"/>
      <c r="B248" s="35"/>
      <c r="C248" s="35"/>
      <c r="D248" s="40" t="s">
        <v>5717</v>
      </c>
      <c r="E248" s="40" t="s">
        <v>5718</v>
      </c>
      <c r="F248" s="40" t="s">
        <v>3074</v>
      </c>
      <c r="G248" s="40" t="s">
        <v>5719</v>
      </c>
      <c r="H248" s="40" t="s">
        <v>5720</v>
      </c>
      <c r="I248" s="40" t="s">
        <v>31</v>
      </c>
      <c r="J248" s="40" t="s">
        <v>5721</v>
      </c>
      <c r="K248" s="40" t="s">
        <v>5722</v>
      </c>
    </row>
    <row r="249" spans="1:11" ht="28.8" x14ac:dyDescent="0.3">
      <c r="A249" s="35"/>
      <c r="B249" s="35"/>
      <c r="C249" s="35"/>
      <c r="D249" s="40" t="s">
        <v>5723</v>
      </c>
      <c r="E249" s="40" t="s">
        <v>5724</v>
      </c>
      <c r="F249" s="40" t="s">
        <v>3074</v>
      </c>
      <c r="G249" s="40" t="s">
        <v>5725</v>
      </c>
      <c r="H249" s="40" t="s">
        <v>5726</v>
      </c>
      <c r="I249" s="40" t="s">
        <v>31</v>
      </c>
      <c r="J249" s="40" t="s">
        <v>5727</v>
      </c>
      <c r="K249" s="40" t="s">
        <v>5728</v>
      </c>
    </row>
    <row r="250" spans="1:11" ht="28.8" x14ac:dyDescent="0.3">
      <c r="A250" s="35"/>
      <c r="B250" s="35"/>
      <c r="C250" s="35"/>
      <c r="D250" s="40" t="s">
        <v>5729</v>
      </c>
      <c r="E250" s="40" t="s">
        <v>5730</v>
      </c>
      <c r="F250" s="40" t="s">
        <v>3074</v>
      </c>
      <c r="G250" s="40" t="s">
        <v>5731</v>
      </c>
      <c r="H250" s="40" t="s">
        <v>5732</v>
      </c>
      <c r="I250" s="40" t="s">
        <v>23</v>
      </c>
      <c r="J250" s="40" t="s">
        <v>5733</v>
      </c>
      <c r="K250" s="40" t="s">
        <v>5734</v>
      </c>
    </row>
    <row r="251" spans="1:11" ht="28.8" x14ac:dyDescent="0.3">
      <c r="A251" s="35"/>
      <c r="B251" s="35"/>
      <c r="C251" s="35"/>
      <c r="D251" s="40" t="s">
        <v>5735</v>
      </c>
      <c r="E251" s="40" t="s">
        <v>5736</v>
      </c>
      <c r="F251" s="40" t="s">
        <v>3074</v>
      </c>
      <c r="G251" s="40" t="s">
        <v>5737</v>
      </c>
      <c r="H251" s="40" t="s">
        <v>5738</v>
      </c>
      <c r="I251" s="40" t="s">
        <v>31</v>
      </c>
      <c r="J251" s="40" t="s">
        <v>5739</v>
      </c>
      <c r="K251" s="40" t="s">
        <v>5740</v>
      </c>
    </row>
    <row r="252" spans="1:11" ht="28.8" x14ac:dyDescent="0.3">
      <c r="A252" s="35"/>
      <c r="B252" s="35"/>
      <c r="C252" s="36" t="s">
        <v>5742</v>
      </c>
      <c r="D252" s="40" t="s">
        <v>5743</v>
      </c>
      <c r="E252" s="40" t="s">
        <v>5744</v>
      </c>
      <c r="F252" s="40" t="s">
        <v>3074</v>
      </c>
      <c r="G252" s="40" t="s">
        <v>5745</v>
      </c>
      <c r="H252" s="40" t="s">
        <v>5746</v>
      </c>
      <c r="I252" s="40" t="s">
        <v>23</v>
      </c>
      <c r="J252" s="40" t="s">
        <v>5747</v>
      </c>
      <c r="K252" s="40" t="s">
        <v>5748</v>
      </c>
    </row>
    <row r="253" spans="1:11" ht="28.8" x14ac:dyDescent="0.3">
      <c r="A253" s="35"/>
      <c r="B253" s="35"/>
      <c r="C253" s="35"/>
      <c r="D253" s="40" t="s">
        <v>5749</v>
      </c>
      <c r="E253" s="40" t="s">
        <v>5750</v>
      </c>
      <c r="F253" s="40" t="s">
        <v>3074</v>
      </c>
      <c r="G253" s="40" t="s">
        <v>5751</v>
      </c>
      <c r="H253" s="40" t="s">
        <v>5752</v>
      </c>
      <c r="I253" s="40" t="s">
        <v>31</v>
      </c>
      <c r="J253" s="40" t="s">
        <v>5753</v>
      </c>
      <c r="K253" s="40" t="s">
        <v>5754</v>
      </c>
    </row>
    <row r="254" spans="1:11" x14ac:dyDescent="0.3">
      <c r="A254" s="35"/>
      <c r="B254" s="35"/>
      <c r="C254" s="35"/>
      <c r="D254" s="40" t="s">
        <v>5755</v>
      </c>
      <c r="E254" s="40" t="s">
        <v>5756</v>
      </c>
      <c r="F254" s="40" t="s">
        <v>3074</v>
      </c>
      <c r="G254" s="40" t="s">
        <v>5757</v>
      </c>
      <c r="H254" s="40" t="s">
        <v>5758</v>
      </c>
      <c r="I254" s="40" t="s">
        <v>31</v>
      </c>
      <c r="J254" s="40" t="s">
        <v>5759</v>
      </c>
      <c r="K254" s="40" t="s">
        <v>5760</v>
      </c>
    </row>
    <row r="255" spans="1:11" x14ac:dyDescent="0.3">
      <c r="A255" s="35"/>
      <c r="B255" s="35"/>
      <c r="C255" s="35"/>
      <c r="D255" s="40" t="s">
        <v>5761</v>
      </c>
      <c r="E255" s="40" t="s">
        <v>5762</v>
      </c>
      <c r="F255" s="40" t="s">
        <v>3074</v>
      </c>
      <c r="G255" s="40" t="s">
        <v>5763</v>
      </c>
      <c r="H255" s="40" t="s">
        <v>5764</v>
      </c>
      <c r="I255" s="40" t="s">
        <v>23</v>
      </c>
      <c r="J255" s="40" t="s">
        <v>5765</v>
      </c>
      <c r="K255" s="40" t="s">
        <v>5766</v>
      </c>
    </row>
    <row r="256" spans="1:11" ht="28.8" x14ac:dyDescent="0.3">
      <c r="A256" s="35"/>
      <c r="B256" s="35"/>
      <c r="C256" s="35"/>
      <c r="D256" s="40" t="s">
        <v>5767</v>
      </c>
      <c r="E256" s="40" t="s">
        <v>5768</v>
      </c>
      <c r="F256" s="40" t="s">
        <v>3074</v>
      </c>
      <c r="G256" s="40" t="s">
        <v>5769</v>
      </c>
      <c r="H256" s="40" t="s">
        <v>5770</v>
      </c>
      <c r="I256" s="40" t="s">
        <v>31</v>
      </c>
      <c r="J256" s="40" t="s">
        <v>5771</v>
      </c>
      <c r="K256" s="40" t="s">
        <v>5772</v>
      </c>
    </row>
    <row r="257" spans="1:11" ht="28.8" x14ac:dyDescent="0.3">
      <c r="A257" s="35"/>
      <c r="B257" s="35"/>
      <c r="C257" s="36" t="s">
        <v>5773</v>
      </c>
      <c r="D257" s="40" t="s">
        <v>5774</v>
      </c>
      <c r="E257" s="40" t="s">
        <v>5775</v>
      </c>
      <c r="F257" s="40" t="s">
        <v>3074</v>
      </c>
      <c r="G257" s="40" t="s">
        <v>5776</v>
      </c>
      <c r="H257" s="40" t="s">
        <v>5777</v>
      </c>
      <c r="I257" s="40" t="s">
        <v>23</v>
      </c>
      <c r="J257" s="40" t="s">
        <v>5778</v>
      </c>
      <c r="K257" s="40" t="s">
        <v>5779</v>
      </c>
    </row>
    <row r="258" spans="1:11" ht="28.8" x14ac:dyDescent="0.3">
      <c r="A258" s="35"/>
      <c r="B258" s="35"/>
      <c r="C258" s="35"/>
      <c r="D258" s="40" t="s">
        <v>5761</v>
      </c>
      <c r="E258" s="40" t="s">
        <v>5780</v>
      </c>
      <c r="F258" s="40" t="s">
        <v>3074</v>
      </c>
      <c r="G258" s="40" t="s">
        <v>5781</v>
      </c>
      <c r="H258" s="40" t="s">
        <v>5782</v>
      </c>
      <c r="I258" s="40" t="s">
        <v>23</v>
      </c>
      <c r="J258" s="40" t="s">
        <v>5783</v>
      </c>
      <c r="K258" s="40" t="s">
        <v>5784</v>
      </c>
    </row>
    <row r="259" spans="1:11" ht="28.8" x14ac:dyDescent="0.3">
      <c r="A259" s="35"/>
      <c r="B259" s="35"/>
      <c r="C259" s="35"/>
      <c r="D259" s="40" t="s">
        <v>5785</v>
      </c>
      <c r="E259" s="40" t="s">
        <v>5786</v>
      </c>
      <c r="F259" s="40" t="s">
        <v>3074</v>
      </c>
      <c r="G259" s="40" t="s">
        <v>5787</v>
      </c>
      <c r="H259" s="40" t="s">
        <v>5788</v>
      </c>
      <c r="I259" s="40" t="s">
        <v>31</v>
      </c>
      <c r="J259" s="40" t="s">
        <v>5789</v>
      </c>
      <c r="K259" s="40" t="s">
        <v>5790</v>
      </c>
    </row>
    <row r="260" spans="1:11" ht="28.8" x14ac:dyDescent="0.3">
      <c r="A260" s="35"/>
      <c r="B260" s="35"/>
      <c r="C260" s="35"/>
      <c r="D260" s="40" t="s">
        <v>5791</v>
      </c>
      <c r="E260" s="40" t="s">
        <v>5792</v>
      </c>
      <c r="F260" s="40" t="s">
        <v>3074</v>
      </c>
      <c r="G260" s="40" t="s">
        <v>5793</v>
      </c>
      <c r="H260" s="40" t="s">
        <v>5794</v>
      </c>
      <c r="I260" s="40" t="s">
        <v>23</v>
      </c>
      <c r="J260" s="40" t="s">
        <v>5795</v>
      </c>
      <c r="K260" s="40" t="s">
        <v>5796</v>
      </c>
    </row>
    <row r="261" spans="1:11" ht="28.8" x14ac:dyDescent="0.3">
      <c r="A261" s="35"/>
      <c r="B261" s="35"/>
      <c r="C261" s="35"/>
      <c r="D261" s="40" t="s">
        <v>5797</v>
      </c>
      <c r="E261" s="40" t="s">
        <v>5798</v>
      </c>
      <c r="F261" s="40" t="s">
        <v>3074</v>
      </c>
      <c r="G261" s="40" t="s">
        <v>5799</v>
      </c>
      <c r="H261" s="40" t="s">
        <v>5800</v>
      </c>
      <c r="I261" s="40" t="s">
        <v>31</v>
      </c>
      <c r="J261" s="40" t="s">
        <v>5801</v>
      </c>
      <c r="K261" s="40" t="s">
        <v>5802</v>
      </c>
    </row>
    <row r="262" spans="1:11" x14ac:dyDescent="0.3">
      <c r="A262" s="35"/>
      <c r="B262" s="35"/>
      <c r="C262" s="35" t="s">
        <v>5803</v>
      </c>
      <c r="D262" s="40" t="s">
        <v>5804</v>
      </c>
      <c r="E262" s="40" t="s">
        <v>5805</v>
      </c>
      <c r="F262" s="40" t="s">
        <v>3074</v>
      </c>
      <c r="G262" s="40" t="s">
        <v>5806</v>
      </c>
      <c r="H262" s="40" t="s">
        <v>5807</v>
      </c>
      <c r="I262" s="40" t="s">
        <v>23</v>
      </c>
      <c r="J262" s="40" t="s">
        <v>5808</v>
      </c>
      <c r="K262" s="40" t="s">
        <v>5809</v>
      </c>
    </row>
    <row r="263" spans="1:11" ht="28.8" x14ac:dyDescent="0.3">
      <c r="A263" s="35"/>
      <c r="B263" s="35"/>
      <c r="C263" s="35"/>
      <c r="D263" s="40" t="s">
        <v>5810</v>
      </c>
      <c r="E263" s="40" t="s">
        <v>5811</v>
      </c>
      <c r="F263" s="40" t="s">
        <v>3074</v>
      </c>
      <c r="G263" s="40" t="s">
        <v>5812</v>
      </c>
      <c r="H263" s="40" t="s">
        <v>5813</v>
      </c>
      <c r="I263" s="40" t="s">
        <v>31</v>
      </c>
      <c r="J263" s="40" t="s">
        <v>5814</v>
      </c>
      <c r="K263" s="40" t="s">
        <v>5815</v>
      </c>
    </row>
    <row r="264" spans="1:11" ht="28.8" x14ac:dyDescent="0.3">
      <c r="A264" s="35"/>
      <c r="B264" s="35"/>
      <c r="C264" s="35"/>
      <c r="D264" s="40" t="s">
        <v>5816</v>
      </c>
      <c r="E264" s="40" t="s">
        <v>5817</v>
      </c>
      <c r="F264" s="40" t="s">
        <v>3074</v>
      </c>
      <c r="G264" s="40" t="s">
        <v>5818</v>
      </c>
      <c r="H264" s="40" t="s">
        <v>5819</v>
      </c>
      <c r="I264" s="40" t="s">
        <v>23</v>
      </c>
      <c r="J264" s="40" t="s">
        <v>5820</v>
      </c>
      <c r="K264" s="40" t="s">
        <v>5821</v>
      </c>
    </row>
    <row r="265" spans="1:11" x14ac:dyDescent="0.3">
      <c r="A265" s="35"/>
      <c r="B265" s="35"/>
      <c r="C265" s="35"/>
      <c r="D265" s="40" t="s">
        <v>5822</v>
      </c>
      <c r="E265" s="40" t="s">
        <v>5823</v>
      </c>
      <c r="F265" s="40" t="s">
        <v>3074</v>
      </c>
      <c r="G265" s="40" t="s">
        <v>5824</v>
      </c>
      <c r="H265" s="40" t="s">
        <v>5825</v>
      </c>
      <c r="I265" s="40" t="s">
        <v>23</v>
      </c>
      <c r="J265" s="40" t="s">
        <v>5826</v>
      </c>
      <c r="K265" s="40" t="s">
        <v>5827</v>
      </c>
    </row>
    <row r="266" spans="1:11" x14ac:dyDescent="0.3">
      <c r="A266" s="35"/>
      <c r="B266" s="35"/>
      <c r="C266" s="35"/>
      <c r="D266" s="40" t="s">
        <v>5828</v>
      </c>
      <c r="E266" s="40" t="s">
        <v>5829</v>
      </c>
      <c r="F266" s="40" t="s">
        <v>3074</v>
      </c>
      <c r="G266" s="40" t="s">
        <v>5830</v>
      </c>
      <c r="H266" s="40" t="s">
        <v>5831</v>
      </c>
      <c r="I266" s="40" t="s">
        <v>31</v>
      </c>
      <c r="J266" s="40" t="s">
        <v>5832</v>
      </c>
      <c r="K266" s="40" t="s">
        <v>5833</v>
      </c>
    </row>
    <row r="267" spans="1:11" ht="28.8" x14ac:dyDescent="0.3">
      <c r="A267" s="35"/>
      <c r="B267" s="35"/>
      <c r="C267" s="35" t="s">
        <v>5834</v>
      </c>
      <c r="D267" s="40" t="s">
        <v>5835</v>
      </c>
      <c r="E267" s="40" t="s">
        <v>5836</v>
      </c>
      <c r="F267" s="40" t="s">
        <v>3074</v>
      </c>
      <c r="G267" s="40" t="s">
        <v>5837</v>
      </c>
      <c r="H267" s="40" t="s">
        <v>5838</v>
      </c>
      <c r="I267" s="40" t="s">
        <v>23</v>
      </c>
      <c r="J267" s="40" t="s">
        <v>5839</v>
      </c>
      <c r="K267" s="40" t="s">
        <v>5840</v>
      </c>
    </row>
    <row r="268" spans="1:11" x14ac:dyDescent="0.3">
      <c r="A268" s="35"/>
      <c r="B268" s="35"/>
      <c r="C268" s="35"/>
      <c r="D268" s="40" t="s">
        <v>5841</v>
      </c>
      <c r="E268" s="40" t="s">
        <v>5842</v>
      </c>
      <c r="F268" s="40" t="s">
        <v>3074</v>
      </c>
      <c r="G268" s="40" t="s">
        <v>5843</v>
      </c>
      <c r="H268" s="40" t="s">
        <v>5844</v>
      </c>
      <c r="I268" s="40" t="s">
        <v>31</v>
      </c>
      <c r="J268" s="40" t="s">
        <v>5845</v>
      </c>
      <c r="K268" s="40" t="s">
        <v>5846</v>
      </c>
    </row>
    <row r="269" spans="1:11" ht="28.8" x14ac:dyDescent="0.3">
      <c r="A269" s="35"/>
      <c r="B269" s="35"/>
      <c r="C269" s="35"/>
      <c r="D269" s="40" t="s">
        <v>5847</v>
      </c>
      <c r="E269" s="40" t="s">
        <v>5848</v>
      </c>
      <c r="F269" s="40" t="s">
        <v>3074</v>
      </c>
      <c r="G269" s="40" t="s">
        <v>5849</v>
      </c>
      <c r="H269" s="40" t="s">
        <v>5850</v>
      </c>
      <c r="I269" s="40" t="s">
        <v>23</v>
      </c>
      <c r="J269" s="40" t="s">
        <v>5851</v>
      </c>
      <c r="K269" s="40" t="s">
        <v>5852</v>
      </c>
    </row>
    <row r="270" spans="1:11" ht="28.8" x14ac:dyDescent="0.3">
      <c r="A270" s="35"/>
      <c r="B270" s="35"/>
      <c r="C270" s="35"/>
      <c r="D270" s="40" t="s">
        <v>5853</v>
      </c>
      <c r="E270" s="40" t="s">
        <v>5854</v>
      </c>
      <c r="F270" s="40" t="s">
        <v>3074</v>
      </c>
      <c r="G270" s="40" t="s">
        <v>5855</v>
      </c>
      <c r="H270" s="40" t="s">
        <v>5856</v>
      </c>
      <c r="I270" s="40" t="s">
        <v>31</v>
      </c>
      <c r="J270" s="40" t="s">
        <v>5857</v>
      </c>
      <c r="K270" s="40" t="s">
        <v>5858</v>
      </c>
    </row>
    <row r="271" spans="1:11" x14ac:dyDescent="0.3">
      <c r="A271" s="35"/>
      <c r="B271" s="35"/>
      <c r="C271" s="35"/>
      <c r="D271" s="40" t="s">
        <v>5859</v>
      </c>
      <c r="E271" s="40" t="s">
        <v>5860</v>
      </c>
      <c r="F271" s="40" t="s">
        <v>3074</v>
      </c>
      <c r="G271" s="40" t="s">
        <v>5861</v>
      </c>
      <c r="H271" s="40" t="s">
        <v>5862</v>
      </c>
      <c r="I271" s="40" t="s">
        <v>23</v>
      </c>
      <c r="J271" s="40" t="s">
        <v>5863</v>
      </c>
      <c r="K271" s="40" t="s">
        <v>5864</v>
      </c>
    </row>
    <row r="272" spans="1:11" ht="28.8" x14ac:dyDescent="0.3">
      <c r="A272" s="35"/>
      <c r="B272" s="35"/>
      <c r="C272" s="35" t="s">
        <v>5865</v>
      </c>
      <c r="D272" s="40" t="s">
        <v>5835</v>
      </c>
      <c r="E272" s="40" t="s">
        <v>5836</v>
      </c>
      <c r="F272" s="40" t="s">
        <v>3074</v>
      </c>
      <c r="G272" s="40" t="s">
        <v>5837</v>
      </c>
      <c r="H272" s="40" t="s">
        <v>5838</v>
      </c>
      <c r="I272" s="40" t="s">
        <v>23</v>
      </c>
      <c r="J272" s="40" t="s">
        <v>5839</v>
      </c>
      <c r="K272" s="40" t="s">
        <v>5866</v>
      </c>
    </row>
    <row r="273" spans="1:11" ht="28.8" x14ac:dyDescent="0.3">
      <c r="A273" s="35"/>
      <c r="B273" s="35"/>
      <c r="C273" s="35"/>
      <c r="D273" s="40" t="s">
        <v>5841</v>
      </c>
      <c r="E273" s="40" t="s">
        <v>5842</v>
      </c>
      <c r="F273" s="40" t="s">
        <v>3074</v>
      </c>
      <c r="G273" s="40" t="s">
        <v>5867</v>
      </c>
      <c r="H273" s="40" t="s">
        <v>5868</v>
      </c>
      <c r="I273" s="40" t="s">
        <v>31</v>
      </c>
      <c r="J273" s="40" t="s">
        <v>5869</v>
      </c>
      <c r="K273" s="40" t="s">
        <v>5870</v>
      </c>
    </row>
    <row r="274" spans="1:11" ht="28.8" x14ac:dyDescent="0.3">
      <c r="A274" s="35"/>
      <c r="B274" s="35"/>
      <c r="C274" s="35"/>
      <c r="D274" s="40" t="s">
        <v>5847</v>
      </c>
      <c r="E274" s="40" t="s">
        <v>5848</v>
      </c>
      <c r="F274" s="40" t="s">
        <v>3074</v>
      </c>
      <c r="G274" s="40" t="s">
        <v>5871</v>
      </c>
      <c r="H274" s="40" t="s">
        <v>5872</v>
      </c>
      <c r="I274" s="40" t="s">
        <v>23</v>
      </c>
      <c r="J274" s="40" t="s">
        <v>5873</v>
      </c>
      <c r="K274" s="40" t="s">
        <v>5874</v>
      </c>
    </row>
    <row r="275" spans="1:11" ht="28.8" x14ac:dyDescent="0.3">
      <c r="A275" s="35"/>
      <c r="B275" s="35"/>
      <c r="C275" s="35"/>
      <c r="D275" s="40" t="s">
        <v>5853</v>
      </c>
      <c r="E275" s="40" t="s">
        <v>5854</v>
      </c>
      <c r="F275" s="40" t="s">
        <v>3074</v>
      </c>
      <c r="G275" s="40" t="s">
        <v>5855</v>
      </c>
      <c r="H275" s="40" t="s">
        <v>5875</v>
      </c>
      <c r="I275" s="40" t="s">
        <v>31</v>
      </c>
      <c r="J275" s="40" t="s">
        <v>5876</v>
      </c>
      <c r="K275" s="40" t="s">
        <v>5877</v>
      </c>
    </row>
    <row r="276" spans="1:11" ht="28.8" x14ac:dyDescent="0.3">
      <c r="A276" s="35"/>
      <c r="B276" s="35"/>
      <c r="C276" s="35"/>
      <c r="D276" s="40" t="s">
        <v>5859</v>
      </c>
      <c r="E276" s="40" t="s">
        <v>5860</v>
      </c>
      <c r="F276" s="40" t="s">
        <v>3074</v>
      </c>
      <c r="G276" s="40" t="s">
        <v>5861</v>
      </c>
      <c r="H276" s="40" t="s">
        <v>5878</v>
      </c>
      <c r="I276" s="40" t="s">
        <v>23</v>
      </c>
      <c r="J276" s="40" t="s">
        <v>5879</v>
      </c>
      <c r="K276" s="40" t="s">
        <v>5880</v>
      </c>
    </row>
    <row r="277" spans="1:11" ht="28.8" x14ac:dyDescent="0.3">
      <c r="A277" s="35"/>
      <c r="B277" s="35" t="s">
        <v>5881</v>
      </c>
      <c r="C277" s="35" t="s">
        <v>5882</v>
      </c>
      <c r="D277" s="40" t="s">
        <v>5883</v>
      </c>
      <c r="E277" s="40" t="s">
        <v>5884</v>
      </c>
      <c r="F277" s="40" t="s">
        <v>3074</v>
      </c>
      <c r="G277" s="40" t="s">
        <v>5885</v>
      </c>
      <c r="H277" s="40" t="s">
        <v>5886</v>
      </c>
      <c r="I277" s="40" t="s">
        <v>23</v>
      </c>
      <c r="J277" s="40" t="s">
        <v>5887</v>
      </c>
      <c r="K277" s="40" t="s">
        <v>5888</v>
      </c>
    </row>
    <row r="278" spans="1:11" ht="28.8" x14ac:dyDescent="0.3">
      <c r="A278" s="35"/>
      <c r="B278" s="35"/>
      <c r="C278" s="35"/>
      <c r="D278" s="40" t="s">
        <v>5889</v>
      </c>
      <c r="E278" s="40" t="s">
        <v>5890</v>
      </c>
      <c r="F278" s="40" t="s">
        <v>3074</v>
      </c>
      <c r="G278" s="40" t="s">
        <v>5891</v>
      </c>
      <c r="H278" s="40" t="s">
        <v>5892</v>
      </c>
      <c r="I278" s="40" t="s">
        <v>31</v>
      </c>
      <c r="J278" s="40" t="s">
        <v>5893</v>
      </c>
      <c r="K278" s="40" t="s">
        <v>5894</v>
      </c>
    </row>
    <row r="279" spans="1:11" x14ac:dyDescent="0.3">
      <c r="A279" s="35"/>
      <c r="B279" s="35"/>
      <c r="C279" s="35"/>
      <c r="D279" s="40" t="s">
        <v>5895</v>
      </c>
      <c r="E279" s="40" t="s">
        <v>5896</v>
      </c>
      <c r="F279" s="40" t="s">
        <v>3074</v>
      </c>
      <c r="G279" s="40" t="s">
        <v>5897</v>
      </c>
      <c r="H279" s="40" t="s">
        <v>5898</v>
      </c>
      <c r="I279" s="40" t="s">
        <v>23</v>
      </c>
      <c r="J279" s="40" t="s">
        <v>5899</v>
      </c>
      <c r="K279" s="40" t="s">
        <v>5900</v>
      </c>
    </row>
    <row r="280" spans="1:11" ht="28.8" x14ac:dyDescent="0.3">
      <c r="A280" s="35"/>
      <c r="B280" s="35"/>
      <c r="C280" s="35"/>
      <c r="D280" s="40" t="s">
        <v>5901</v>
      </c>
      <c r="E280" s="40" t="s">
        <v>5902</v>
      </c>
      <c r="F280" s="40" t="s">
        <v>3074</v>
      </c>
      <c r="G280" s="40" t="s">
        <v>5903</v>
      </c>
      <c r="H280" s="40" t="s">
        <v>5904</v>
      </c>
      <c r="I280" s="40" t="s">
        <v>31</v>
      </c>
      <c r="J280" s="40" t="s">
        <v>5905</v>
      </c>
      <c r="K280" s="40" t="s">
        <v>5906</v>
      </c>
    </row>
    <row r="281" spans="1:11" ht="28.8" x14ac:dyDescent="0.3">
      <c r="A281" s="35"/>
      <c r="B281" s="35"/>
      <c r="C281" s="35"/>
      <c r="D281" s="40" t="s">
        <v>5907</v>
      </c>
      <c r="E281" s="40" t="s">
        <v>5908</v>
      </c>
      <c r="F281" s="40" t="s">
        <v>3074</v>
      </c>
      <c r="G281" s="40" t="s">
        <v>5909</v>
      </c>
      <c r="H281" s="40" t="s">
        <v>5910</v>
      </c>
      <c r="I281" s="40" t="s">
        <v>23</v>
      </c>
      <c r="J281" s="40" t="s">
        <v>5911</v>
      </c>
      <c r="K281" s="40" t="s">
        <v>5912</v>
      </c>
    </row>
    <row r="282" spans="1:11" ht="28.8" x14ac:dyDescent="0.3">
      <c r="A282" s="35"/>
      <c r="B282" s="35"/>
      <c r="C282" s="36" t="s">
        <v>5913</v>
      </c>
      <c r="D282" s="40" t="s">
        <v>5914</v>
      </c>
      <c r="E282" s="40" t="s">
        <v>5915</v>
      </c>
      <c r="F282" s="40" t="s">
        <v>3074</v>
      </c>
      <c r="G282" s="40" t="s">
        <v>5916</v>
      </c>
      <c r="H282" s="40" t="s">
        <v>5917</v>
      </c>
      <c r="I282" s="40" t="s">
        <v>23</v>
      </c>
      <c r="J282" s="40" t="s">
        <v>5918</v>
      </c>
      <c r="K282" s="40" t="s">
        <v>5919</v>
      </c>
    </row>
    <row r="283" spans="1:11" ht="28.8" x14ac:dyDescent="0.3">
      <c r="A283" s="35"/>
      <c r="B283" s="35"/>
      <c r="C283" s="35"/>
      <c r="D283" s="40" t="s">
        <v>5920</v>
      </c>
      <c r="E283" s="40" t="s">
        <v>5921</v>
      </c>
      <c r="F283" s="40" t="s">
        <v>3074</v>
      </c>
      <c r="G283" s="40" t="s">
        <v>5922</v>
      </c>
      <c r="H283" s="40" t="s">
        <v>5923</v>
      </c>
      <c r="I283" s="40" t="s">
        <v>31</v>
      </c>
      <c r="J283" s="40" t="s">
        <v>5924</v>
      </c>
      <c r="K283" s="40" t="s">
        <v>5925</v>
      </c>
    </row>
    <row r="284" spans="1:11" x14ac:dyDescent="0.3">
      <c r="A284" s="35"/>
      <c r="B284" s="35"/>
      <c r="C284" s="35"/>
      <c r="D284" s="40" t="s">
        <v>5926</v>
      </c>
      <c r="E284" s="40" t="s">
        <v>5927</v>
      </c>
      <c r="F284" s="40" t="s">
        <v>3074</v>
      </c>
      <c r="G284" s="40" t="s">
        <v>5928</v>
      </c>
      <c r="H284" s="40" t="s">
        <v>5929</v>
      </c>
      <c r="I284" s="40" t="s">
        <v>23</v>
      </c>
      <c r="J284" s="40" t="s">
        <v>5930</v>
      </c>
      <c r="K284" s="40" t="s">
        <v>5931</v>
      </c>
    </row>
    <row r="285" spans="1:11" ht="28.8" x14ac:dyDescent="0.3">
      <c r="A285" s="35"/>
      <c r="B285" s="35"/>
      <c r="C285" s="35"/>
      <c r="D285" s="40" t="s">
        <v>5932</v>
      </c>
      <c r="E285" s="40" t="s">
        <v>5933</v>
      </c>
      <c r="F285" s="40" t="s">
        <v>3074</v>
      </c>
      <c r="G285" s="40" t="s">
        <v>5934</v>
      </c>
      <c r="H285" s="40" t="s">
        <v>5935</v>
      </c>
      <c r="I285" s="40" t="s">
        <v>23</v>
      </c>
      <c r="J285" s="40" t="s">
        <v>5936</v>
      </c>
      <c r="K285" s="40" t="s">
        <v>5937</v>
      </c>
    </row>
    <row r="286" spans="1:11" ht="28.8" x14ac:dyDescent="0.3">
      <c r="A286" s="35"/>
      <c r="B286" s="35"/>
      <c r="C286" s="35"/>
      <c r="D286" s="40" t="s">
        <v>5938</v>
      </c>
      <c r="E286" s="40" t="s">
        <v>5939</v>
      </c>
      <c r="F286" s="40" t="s">
        <v>3074</v>
      </c>
      <c r="G286" s="40" t="s">
        <v>5940</v>
      </c>
      <c r="H286" s="40" t="s">
        <v>5941</v>
      </c>
      <c r="I286" s="40" t="s">
        <v>31</v>
      </c>
      <c r="J286" s="40" t="s">
        <v>5942</v>
      </c>
      <c r="K286" s="40" t="s">
        <v>5943</v>
      </c>
    </row>
    <row r="287" spans="1:11" ht="28.8" x14ac:dyDescent="0.3">
      <c r="A287" s="35"/>
      <c r="B287" s="35"/>
      <c r="C287" s="35" t="s">
        <v>5944</v>
      </c>
      <c r="D287" s="40" t="s">
        <v>5945</v>
      </c>
      <c r="E287" s="40" t="s">
        <v>5946</v>
      </c>
      <c r="F287" s="40" t="s">
        <v>3074</v>
      </c>
      <c r="G287" s="40" t="s">
        <v>5947</v>
      </c>
      <c r="H287" s="40" t="s">
        <v>5948</v>
      </c>
      <c r="I287" s="40" t="s">
        <v>23</v>
      </c>
      <c r="J287" s="40" t="s">
        <v>5949</v>
      </c>
      <c r="K287" s="40" t="s">
        <v>5950</v>
      </c>
    </row>
    <row r="288" spans="1:11" ht="28.8" x14ac:dyDescent="0.3">
      <c r="A288" s="35"/>
      <c r="B288" s="35"/>
      <c r="C288" s="35"/>
      <c r="D288" s="40" t="s">
        <v>5951</v>
      </c>
      <c r="E288" s="40" t="s">
        <v>5952</v>
      </c>
      <c r="F288" s="40" t="s">
        <v>3074</v>
      </c>
      <c r="G288" s="40" t="s">
        <v>5953</v>
      </c>
      <c r="H288" s="40" t="s">
        <v>5954</v>
      </c>
      <c r="I288" s="40" t="s">
        <v>31</v>
      </c>
      <c r="J288" s="40" t="s">
        <v>5955</v>
      </c>
      <c r="K288" s="40" t="s">
        <v>5956</v>
      </c>
    </row>
    <row r="289" spans="1:11" ht="28.8" x14ac:dyDescent="0.3">
      <c r="A289" s="35"/>
      <c r="B289" s="35"/>
      <c r="C289" s="35"/>
      <c r="D289" s="40" t="s">
        <v>5957</v>
      </c>
      <c r="E289" s="40" t="s">
        <v>5958</v>
      </c>
      <c r="F289" s="40" t="s">
        <v>3074</v>
      </c>
      <c r="G289" s="40" t="s">
        <v>5959</v>
      </c>
      <c r="H289" s="40" t="s">
        <v>5960</v>
      </c>
      <c r="I289" s="40" t="s">
        <v>23</v>
      </c>
      <c r="J289" s="40" t="s">
        <v>5961</v>
      </c>
      <c r="K289" s="40" t="s">
        <v>5962</v>
      </c>
    </row>
    <row r="290" spans="1:11" x14ac:dyDescent="0.3">
      <c r="A290" s="35"/>
      <c r="B290" s="35"/>
      <c r="C290" s="35"/>
      <c r="D290" s="40" t="s">
        <v>5963</v>
      </c>
      <c r="E290" s="40" t="s">
        <v>5964</v>
      </c>
      <c r="F290" s="40" t="s">
        <v>3074</v>
      </c>
      <c r="G290" s="40" t="s">
        <v>5965</v>
      </c>
      <c r="H290" s="40" t="s">
        <v>5966</v>
      </c>
      <c r="I290" s="40" t="s">
        <v>23</v>
      </c>
      <c r="J290" s="40" t="s">
        <v>5967</v>
      </c>
      <c r="K290" s="40" t="s">
        <v>5968</v>
      </c>
    </row>
    <row r="291" spans="1:11" ht="28.8" x14ac:dyDescent="0.3">
      <c r="A291" s="35"/>
      <c r="B291" s="35"/>
      <c r="C291" s="35"/>
      <c r="D291" s="40" t="s">
        <v>5969</v>
      </c>
      <c r="E291" s="40" t="s">
        <v>5970</v>
      </c>
      <c r="F291" s="40" t="s">
        <v>3074</v>
      </c>
      <c r="G291" s="40" t="s">
        <v>5971</v>
      </c>
      <c r="H291" s="40" t="s">
        <v>5972</v>
      </c>
      <c r="I291" s="40" t="s">
        <v>31</v>
      </c>
      <c r="J291" s="40" t="s">
        <v>5973</v>
      </c>
      <c r="K291" s="40" t="s">
        <v>5974</v>
      </c>
    </row>
    <row r="292" spans="1:11" ht="28.8" x14ac:dyDescent="0.3">
      <c r="A292" s="35"/>
      <c r="B292" s="35"/>
      <c r="C292" s="36" t="s">
        <v>5975</v>
      </c>
      <c r="D292" s="40" t="s">
        <v>5976</v>
      </c>
      <c r="E292" s="40" t="s">
        <v>5977</v>
      </c>
      <c r="F292" s="40" t="s">
        <v>3074</v>
      </c>
      <c r="G292" s="40" t="s">
        <v>5978</v>
      </c>
      <c r="H292" s="40" t="s">
        <v>5979</v>
      </c>
      <c r="I292" s="40" t="s">
        <v>23</v>
      </c>
      <c r="J292" s="40" t="s">
        <v>5980</v>
      </c>
      <c r="K292" s="40" t="s">
        <v>5981</v>
      </c>
    </row>
    <row r="293" spans="1:11" ht="28.8" x14ac:dyDescent="0.3">
      <c r="A293" s="35"/>
      <c r="B293" s="35"/>
      <c r="C293" s="35"/>
      <c r="D293" s="40" t="s">
        <v>5982</v>
      </c>
      <c r="E293" s="40" t="s">
        <v>5983</v>
      </c>
      <c r="F293" s="40" t="s">
        <v>3074</v>
      </c>
      <c r="G293" s="40" t="s">
        <v>5984</v>
      </c>
      <c r="H293" s="40" t="s">
        <v>5985</v>
      </c>
      <c r="I293" s="40" t="s">
        <v>23</v>
      </c>
      <c r="J293" s="40" t="s">
        <v>5986</v>
      </c>
      <c r="K293" s="40" t="s">
        <v>5987</v>
      </c>
    </row>
    <row r="294" spans="1:11" ht="28.8" x14ac:dyDescent="0.3">
      <c r="A294" s="35"/>
      <c r="B294" s="35"/>
      <c r="C294" s="35"/>
      <c r="D294" s="40" t="s">
        <v>5988</v>
      </c>
      <c r="E294" s="40" t="s">
        <v>5989</v>
      </c>
      <c r="F294" s="40" t="s">
        <v>3074</v>
      </c>
      <c r="G294" s="40" t="s">
        <v>5990</v>
      </c>
      <c r="H294" s="40" t="s">
        <v>5991</v>
      </c>
      <c r="I294" s="40" t="s">
        <v>31</v>
      </c>
      <c r="J294" s="40" t="s">
        <v>5992</v>
      </c>
      <c r="K294" s="40" t="s">
        <v>5993</v>
      </c>
    </row>
    <row r="295" spans="1:11" ht="28.8" x14ac:dyDescent="0.3">
      <c r="A295" s="35"/>
      <c r="B295" s="35"/>
      <c r="C295" s="35"/>
      <c r="D295" s="40" t="s">
        <v>5994</v>
      </c>
      <c r="E295" s="40" t="s">
        <v>5995</v>
      </c>
      <c r="F295" s="40" t="s">
        <v>3074</v>
      </c>
      <c r="G295" s="40" t="s">
        <v>5996</v>
      </c>
      <c r="H295" s="40" t="s">
        <v>5997</v>
      </c>
      <c r="I295" s="40" t="s">
        <v>23</v>
      </c>
      <c r="J295" s="40" t="s">
        <v>5998</v>
      </c>
      <c r="K295" s="40" t="s">
        <v>5999</v>
      </c>
    </row>
    <row r="296" spans="1:11" ht="28.8" x14ac:dyDescent="0.3">
      <c r="A296" s="35"/>
      <c r="B296" s="35"/>
      <c r="C296" s="35"/>
      <c r="D296" s="40" t="s">
        <v>6000</v>
      </c>
      <c r="E296" s="40" t="s">
        <v>6001</v>
      </c>
      <c r="F296" s="40" t="s">
        <v>3074</v>
      </c>
      <c r="G296" s="40" t="s">
        <v>6002</v>
      </c>
      <c r="H296" s="40" t="s">
        <v>6003</v>
      </c>
      <c r="I296" s="40" t="s">
        <v>31</v>
      </c>
      <c r="J296" s="40" t="s">
        <v>6004</v>
      </c>
      <c r="K296" s="40" t="s">
        <v>6005</v>
      </c>
    </row>
    <row r="297" spans="1:11" ht="28.8" x14ac:dyDescent="0.3">
      <c r="A297" s="35"/>
      <c r="B297" s="35"/>
      <c r="C297" s="35" t="s">
        <v>6006</v>
      </c>
      <c r="D297" s="40" t="s">
        <v>6007</v>
      </c>
      <c r="E297" s="40" t="s">
        <v>6008</v>
      </c>
      <c r="F297" s="40" t="s">
        <v>3074</v>
      </c>
      <c r="G297" s="40" t="s">
        <v>6009</v>
      </c>
      <c r="H297" s="40" t="s">
        <v>6010</v>
      </c>
      <c r="I297" s="40" t="s">
        <v>23</v>
      </c>
      <c r="J297" s="40" t="s">
        <v>6011</v>
      </c>
      <c r="K297" s="40" t="s">
        <v>6012</v>
      </c>
    </row>
    <row r="298" spans="1:11" ht="28.8" x14ac:dyDescent="0.3">
      <c r="A298" s="35"/>
      <c r="B298" s="35"/>
      <c r="C298" s="35"/>
      <c r="D298" s="40" t="s">
        <v>6013</v>
      </c>
      <c r="E298" s="40" t="s">
        <v>6014</v>
      </c>
      <c r="F298" s="40" t="s">
        <v>3074</v>
      </c>
      <c r="G298" s="40" t="s">
        <v>6015</v>
      </c>
      <c r="H298" s="40" t="s">
        <v>6016</v>
      </c>
      <c r="I298" s="40" t="s">
        <v>23</v>
      </c>
      <c r="J298" s="40" t="s">
        <v>6017</v>
      </c>
      <c r="K298" s="40" t="s">
        <v>6018</v>
      </c>
    </row>
    <row r="299" spans="1:11" ht="28.8" x14ac:dyDescent="0.3">
      <c r="A299" s="35"/>
      <c r="B299" s="35"/>
      <c r="C299" s="35"/>
      <c r="D299" s="40" t="s">
        <v>6019</v>
      </c>
      <c r="E299" s="40" t="s">
        <v>6020</v>
      </c>
      <c r="F299" s="40" t="s">
        <v>3074</v>
      </c>
      <c r="G299" s="40" t="s">
        <v>5990</v>
      </c>
      <c r="H299" s="40" t="s">
        <v>6021</v>
      </c>
      <c r="I299" s="40" t="s">
        <v>31</v>
      </c>
      <c r="J299" s="40" t="s">
        <v>6022</v>
      </c>
      <c r="K299" s="40" t="s">
        <v>6023</v>
      </c>
    </row>
    <row r="300" spans="1:11" ht="28.8" x14ac:dyDescent="0.3">
      <c r="A300" s="35"/>
      <c r="B300" s="35"/>
      <c r="C300" s="35"/>
      <c r="D300" s="40" t="s">
        <v>6024</v>
      </c>
      <c r="E300" s="40" t="s">
        <v>6025</v>
      </c>
      <c r="F300" s="40" t="s">
        <v>3074</v>
      </c>
      <c r="G300" s="40" t="s">
        <v>6026</v>
      </c>
      <c r="H300" s="40" t="s">
        <v>6027</v>
      </c>
      <c r="I300" s="40" t="s">
        <v>23</v>
      </c>
      <c r="J300" s="40" t="s">
        <v>6028</v>
      </c>
      <c r="K300" s="40" t="s">
        <v>6029</v>
      </c>
    </row>
    <row r="301" spans="1:11" ht="28.8" x14ac:dyDescent="0.3">
      <c r="A301" s="35"/>
      <c r="B301" s="35"/>
      <c r="C301" s="35"/>
      <c r="D301" s="40" t="s">
        <v>6030</v>
      </c>
      <c r="E301" s="40" t="s">
        <v>6031</v>
      </c>
      <c r="F301" s="40" t="s">
        <v>3074</v>
      </c>
      <c r="G301" s="40" t="s">
        <v>6032</v>
      </c>
      <c r="H301" s="40" t="s">
        <v>6033</v>
      </c>
      <c r="I301" s="40" t="s">
        <v>31</v>
      </c>
      <c r="J301" s="40" t="s">
        <v>6034</v>
      </c>
      <c r="K301" s="40" t="s">
        <v>6035</v>
      </c>
    </row>
    <row r="302" spans="1:11" ht="28.8" x14ac:dyDescent="0.3">
      <c r="A302" s="35"/>
      <c r="B302" s="35"/>
      <c r="C302" s="36" t="s">
        <v>6036</v>
      </c>
      <c r="D302" s="40" t="s">
        <v>6037</v>
      </c>
      <c r="E302" s="40" t="s">
        <v>6038</v>
      </c>
      <c r="F302" s="40" t="s">
        <v>3074</v>
      </c>
      <c r="G302" s="40" t="s">
        <v>6039</v>
      </c>
      <c r="H302" s="40" t="s">
        <v>6040</v>
      </c>
      <c r="I302" s="40" t="s">
        <v>23</v>
      </c>
      <c r="J302" s="40" t="s">
        <v>6041</v>
      </c>
      <c r="K302" s="40" t="s">
        <v>6042</v>
      </c>
    </row>
    <row r="303" spans="1:11" ht="28.8" x14ac:dyDescent="0.3">
      <c r="A303" s="35"/>
      <c r="B303" s="35"/>
      <c r="C303" s="35"/>
      <c r="D303" s="40" t="s">
        <v>6043</v>
      </c>
      <c r="E303" s="40" t="s">
        <v>6044</v>
      </c>
      <c r="F303" s="40" t="s">
        <v>3074</v>
      </c>
      <c r="G303" s="40" t="s">
        <v>6045</v>
      </c>
      <c r="H303" s="40" t="s">
        <v>6046</v>
      </c>
      <c r="I303" s="40" t="s">
        <v>31</v>
      </c>
      <c r="J303" s="40" t="s">
        <v>6047</v>
      </c>
      <c r="K303" s="40" t="s">
        <v>6048</v>
      </c>
    </row>
    <row r="304" spans="1:11" ht="28.8" x14ac:dyDescent="0.3">
      <c r="A304" s="35"/>
      <c r="B304" s="35"/>
      <c r="C304" s="35"/>
      <c r="D304" s="40" t="s">
        <v>6049</v>
      </c>
      <c r="E304" s="40" t="s">
        <v>6050</v>
      </c>
      <c r="F304" s="40" t="s">
        <v>3074</v>
      </c>
      <c r="G304" s="40" t="s">
        <v>6051</v>
      </c>
      <c r="H304" s="40" t="s">
        <v>6052</v>
      </c>
      <c r="I304" s="40" t="s">
        <v>31</v>
      </c>
      <c r="J304" s="40" t="s">
        <v>6053</v>
      </c>
      <c r="K304" s="40" t="s">
        <v>6054</v>
      </c>
    </row>
    <row r="305" spans="1:11" ht="43.2" x14ac:dyDescent="0.3">
      <c r="A305" s="35"/>
      <c r="B305" s="35"/>
      <c r="C305" s="35"/>
      <c r="D305" s="40" t="s">
        <v>6055</v>
      </c>
      <c r="E305" s="40" t="s">
        <v>6056</v>
      </c>
      <c r="F305" s="40" t="s">
        <v>3074</v>
      </c>
      <c r="G305" s="40" t="s">
        <v>6057</v>
      </c>
      <c r="H305" s="40" t="s">
        <v>6058</v>
      </c>
      <c r="I305" s="40" t="s">
        <v>23</v>
      </c>
      <c r="J305" s="40" t="s">
        <v>6059</v>
      </c>
      <c r="K305" s="40" t="s">
        <v>6060</v>
      </c>
    </row>
    <row r="306" spans="1:11" ht="28.8" x14ac:dyDescent="0.3">
      <c r="A306" s="35"/>
      <c r="B306" s="35"/>
      <c r="C306" s="35"/>
      <c r="D306" s="40" t="s">
        <v>6061</v>
      </c>
      <c r="E306" s="40" t="s">
        <v>6062</v>
      </c>
      <c r="F306" s="40" t="s">
        <v>3074</v>
      </c>
      <c r="G306" s="40" t="s">
        <v>6063</v>
      </c>
      <c r="H306" s="40" t="s">
        <v>6064</v>
      </c>
      <c r="I306" s="40" t="s">
        <v>31</v>
      </c>
      <c r="J306" s="40" t="s">
        <v>6065</v>
      </c>
      <c r="K306" s="40" t="s">
        <v>6066</v>
      </c>
    </row>
    <row r="307" spans="1:11" ht="28.8" x14ac:dyDescent="0.3">
      <c r="A307" s="35"/>
      <c r="B307" s="35"/>
      <c r="C307" s="35" t="s">
        <v>6067</v>
      </c>
      <c r="D307" s="40" t="s">
        <v>6068</v>
      </c>
      <c r="E307" s="40" t="s">
        <v>6069</v>
      </c>
      <c r="F307" s="40" t="s">
        <v>3074</v>
      </c>
      <c r="G307" s="40" t="s">
        <v>6070</v>
      </c>
      <c r="H307" s="40" t="s">
        <v>6071</v>
      </c>
      <c r="I307" s="40" t="s">
        <v>23</v>
      </c>
      <c r="J307" s="40" t="s">
        <v>6072</v>
      </c>
      <c r="K307" s="40" t="s">
        <v>6073</v>
      </c>
    </row>
    <row r="308" spans="1:11" ht="28.8" x14ac:dyDescent="0.3">
      <c r="A308" s="35"/>
      <c r="B308" s="35"/>
      <c r="C308" s="35"/>
      <c r="D308" s="40" t="s">
        <v>6074</v>
      </c>
      <c r="E308" s="40" t="s">
        <v>6075</v>
      </c>
      <c r="F308" s="40" t="s">
        <v>3074</v>
      </c>
      <c r="G308" s="40" t="s">
        <v>6076</v>
      </c>
      <c r="H308" s="40" t="s">
        <v>6077</v>
      </c>
      <c r="I308" s="40" t="s">
        <v>31</v>
      </c>
      <c r="J308" s="40" t="s">
        <v>6078</v>
      </c>
      <c r="K308" s="40" t="s">
        <v>6079</v>
      </c>
    </row>
    <row r="309" spans="1:11" ht="28.8" x14ac:dyDescent="0.3">
      <c r="A309" s="35"/>
      <c r="B309" s="35"/>
      <c r="C309" s="35"/>
      <c r="D309" s="40" t="s">
        <v>6080</v>
      </c>
      <c r="E309" s="40" t="s">
        <v>6081</v>
      </c>
      <c r="F309" s="40" t="s">
        <v>3074</v>
      </c>
      <c r="G309" s="40" t="s">
        <v>6082</v>
      </c>
      <c r="H309" s="40" t="s">
        <v>6083</v>
      </c>
      <c r="I309" s="40" t="s">
        <v>31</v>
      </c>
      <c r="J309" s="40" t="s">
        <v>6084</v>
      </c>
      <c r="K309" s="40" t="s">
        <v>6085</v>
      </c>
    </row>
    <row r="310" spans="1:11" ht="28.8" x14ac:dyDescent="0.3">
      <c r="A310" s="35"/>
      <c r="B310" s="35"/>
      <c r="C310" s="35"/>
      <c r="D310" s="40" t="s">
        <v>6086</v>
      </c>
      <c r="E310" s="40" t="s">
        <v>6087</v>
      </c>
      <c r="F310" s="40" t="s">
        <v>3074</v>
      </c>
      <c r="G310" s="40" t="s">
        <v>6088</v>
      </c>
      <c r="H310" s="40" t="s">
        <v>6089</v>
      </c>
      <c r="I310" s="40" t="s">
        <v>23</v>
      </c>
      <c r="J310" s="40" t="s">
        <v>6090</v>
      </c>
      <c r="K310" s="40" t="s">
        <v>6091</v>
      </c>
    </row>
    <row r="311" spans="1:11" ht="28.8" x14ac:dyDescent="0.3">
      <c r="A311" s="35"/>
      <c r="B311" s="35"/>
      <c r="C311" s="35"/>
      <c r="D311" s="40" t="s">
        <v>6092</v>
      </c>
      <c r="E311" s="40" t="s">
        <v>6093</v>
      </c>
      <c r="F311" s="40" t="s">
        <v>3074</v>
      </c>
      <c r="G311" s="40" t="s">
        <v>6094</v>
      </c>
      <c r="H311" s="40" t="s">
        <v>6095</v>
      </c>
      <c r="I311" s="40" t="s">
        <v>23</v>
      </c>
      <c r="J311" s="40" t="s">
        <v>6096</v>
      </c>
      <c r="K311" s="40" t="s">
        <v>6097</v>
      </c>
    </row>
    <row r="312" spans="1:11" ht="28.8" x14ac:dyDescent="0.3">
      <c r="A312" s="35"/>
      <c r="B312" s="35"/>
      <c r="C312" s="35" t="s">
        <v>6098</v>
      </c>
      <c r="D312" s="40" t="s">
        <v>6099</v>
      </c>
      <c r="E312" s="40" t="s">
        <v>6100</v>
      </c>
      <c r="F312" s="40" t="s">
        <v>3074</v>
      </c>
      <c r="G312" s="40" t="s">
        <v>6101</v>
      </c>
      <c r="H312" s="40" t="s">
        <v>6102</v>
      </c>
      <c r="I312" s="40" t="s">
        <v>23</v>
      </c>
      <c r="J312" s="40" t="s">
        <v>6103</v>
      </c>
      <c r="K312" s="40" t="s">
        <v>6104</v>
      </c>
    </row>
    <row r="313" spans="1:11" ht="28.8" x14ac:dyDescent="0.3">
      <c r="A313" s="35"/>
      <c r="B313" s="35"/>
      <c r="C313" s="35"/>
      <c r="D313" s="40" t="s">
        <v>6105</v>
      </c>
      <c r="E313" s="40" t="s">
        <v>6106</v>
      </c>
      <c r="F313" s="40" t="s">
        <v>3074</v>
      </c>
      <c r="G313" s="40" t="s">
        <v>6107</v>
      </c>
      <c r="H313" s="40" t="s">
        <v>6108</v>
      </c>
      <c r="I313" s="40" t="s">
        <v>31</v>
      </c>
      <c r="J313" s="40" t="s">
        <v>6109</v>
      </c>
      <c r="K313" s="40" t="s">
        <v>6110</v>
      </c>
    </row>
    <row r="314" spans="1:11" ht="28.8" x14ac:dyDescent="0.3">
      <c r="A314" s="35"/>
      <c r="B314" s="35"/>
      <c r="C314" s="35"/>
      <c r="D314" s="40" t="s">
        <v>6111</v>
      </c>
      <c r="E314" s="40" t="s">
        <v>6112</v>
      </c>
      <c r="F314" s="40" t="s">
        <v>3074</v>
      </c>
      <c r="G314" s="40" t="s">
        <v>6113</v>
      </c>
      <c r="H314" s="40" t="s">
        <v>6114</v>
      </c>
      <c r="I314" s="40" t="s">
        <v>31</v>
      </c>
      <c r="J314" s="40" t="s">
        <v>6115</v>
      </c>
      <c r="K314" s="40" t="s">
        <v>6116</v>
      </c>
    </row>
    <row r="315" spans="1:11" ht="28.8" x14ac:dyDescent="0.3">
      <c r="A315" s="35"/>
      <c r="B315" s="35"/>
      <c r="C315" s="35"/>
      <c r="D315" s="40" t="s">
        <v>6117</v>
      </c>
      <c r="E315" s="40" t="s">
        <v>6118</v>
      </c>
      <c r="F315" s="40" t="s">
        <v>3074</v>
      </c>
      <c r="G315" s="40" t="s">
        <v>6119</v>
      </c>
      <c r="H315" s="40" t="s">
        <v>6120</v>
      </c>
      <c r="I315" s="40" t="s">
        <v>23</v>
      </c>
      <c r="J315" s="40" t="s">
        <v>6121</v>
      </c>
      <c r="K315" s="40" t="s">
        <v>6122</v>
      </c>
    </row>
    <row r="316" spans="1:11" ht="28.8" x14ac:dyDescent="0.3">
      <c r="A316" s="35"/>
      <c r="B316" s="35"/>
      <c r="C316" s="35"/>
      <c r="D316" s="40" t="s">
        <v>6123</v>
      </c>
      <c r="E316" s="40" t="s">
        <v>6124</v>
      </c>
      <c r="F316" s="40" t="s">
        <v>3074</v>
      </c>
      <c r="G316" s="40" t="s">
        <v>6125</v>
      </c>
      <c r="H316" s="40" t="s">
        <v>6126</v>
      </c>
      <c r="I316" s="40" t="s">
        <v>31</v>
      </c>
      <c r="J316" s="40" t="s">
        <v>6127</v>
      </c>
      <c r="K316" s="40" t="s">
        <v>6128</v>
      </c>
    </row>
    <row r="317" spans="1:11" ht="28.8" x14ac:dyDescent="0.3">
      <c r="A317" s="35"/>
      <c r="B317" s="35"/>
      <c r="C317" s="35" t="s">
        <v>6129</v>
      </c>
      <c r="D317" s="40" t="s">
        <v>6130</v>
      </c>
      <c r="E317" s="40" t="s">
        <v>6131</v>
      </c>
      <c r="F317" s="40" t="s">
        <v>3074</v>
      </c>
      <c r="G317" s="40" t="s">
        <v>6132</v>
      </c>
      <c r="H317" s="40" t="s">
        <v>6133</v>
      </c>
      <c r="I317" s="40" t="s">
        <v>23</v>
      </c>
      <c r="J317" s="40" t="s">
        <v>6134</v>
      </c>
      <c r="K317" s="40" t="s">
        <v>6135</v>
      </c>
    </row>
    <row r="318" spans="1:11" ht="28.8" x14ac:dyDescent="0.3">
      <c r="A318" s="35"/>
      <c r="B318" s="35"/>
      <c r="C318" s="35"/>
      <c r="D318" s="40" t="s">
        <v>6136</v>
      </c>
      <c r="E318" s="40" t="s">
        <v>6137</v>
      </c>
      <c r="F318" s="40" t="s">
        <v>3074</v>
      </c>
      <c r="G318" s="40" t="s">
        <v>6138</v>
      </c>
      <c r="H318" s="40" t="s">
        <v>6139</v>
      </c>
      <c r="I318" s="40" t="s">
        <v>31</v>
      </c>
      <c r="J318" s="40" t="s">
        <v>6140</v>
      </c>
      <c r="K318" s="40" t="s">
        <v>6141</v>
      </c>
    </row>
    <row r="319" spans="1:11" ht="28.8" x14ac:dyDescent="0.3">
      <c r="A319" s="35"/>
      <c r="B319" s="35"/>
      <c r="C319" s="35"/>
      <c r="D319" s="40" t="s">
        <v>6142</v>
      </c>
      <c r="E319" s="40" t="s">
        <v>6143</v>
      </c>
      <c r="F319" s="40" t="s">
        <v>3074</v>
      </c>
      <c r="G319" s="40" t="s">
        <v>6144</v>
      </c>
      <c r="H319" s="40" t="s">
        <v>6145</v>
      </c>
      <c r="I319" s="40" t="s">
        <v>31</v>
      </c>
      <c r="J319" s="40" t="s">
        <v>6146</v>
      </c>
      <c r="K319" s="40" t="s">
        <v>6147</v>
      </c>
    </row>
    <row r="320" spans="1:11" ht="28.8" x14ac:dyDescent="0.3">
      <c r="A320" s="35"/>
      <c r="B320" s="35"/>
      <c r="C320" s="35"/>
      <c r="D320" s="40" t="s">
        <v>6148</v>
      </c>
      <c r="E320" s="40" t="s">
        <v>6149</v>
      </c>
      <c r="F320" s="40" t="s">
        <v>3074</v>
      </c>
      <c r="G320" s="40" t="s">
        <v>6150</v>
      </c>
      <c r="H320" s="40" t="s">
        <v>6151</v>
      </c>
      <c r="I320" s="40" t="s">
        <v>23</v>
      </c>
      <c r="J320" s="40" t="s">
        <v>6152</v>
      </c>
      <c r="K320" s="40" t="s">
        <v>6153</v>
      </c>
    </row>
    <row r="321" spans="1:11" ht="28.8" x14ac:dyDescent="0.3">
      <c r="A321" s="35"/>
      <c r="B321" s="35"/>
      <c r="C321" s="35"/>
      <c r="D321" s="40" t="s">
        <v>6154</v>
      </c>
      <c r="E321" s="40" t="s">
        <v>6155</v>
      </c>
      <c r="F321" s="40" t="s">
        <v>3074</v>
      </c>
      <c r="G321" s="40" t="s">
        <v>6156</v>
      </c>
      <c r="H321" s="40" t="s">
        <v>6157</v>
      </c>
      <c r="I321" s="40" t="s">
        <v>23</v>
      </c>
      <c r="J321" s="40" t="s">
        <v>6158</v>
      </c>
      <c r="K321" s="40" t="s">
        <v>6159</v>
      </c>
    </row>
    <row r="322" spans="1:11" x14ac:dyDescent="0.3">
      <c r="A322" s="35"/>
      <c r="B322" s="35"/>
      <c r="C322" s="36" t="s">
        <v>6160</v>
      </c>
    </row>
    <row r="323" spans="1:11" x14ac:dyDescent="0.3">
      <c r="A323" s="35"/>
      <c r="B323" s="35"/>
      <c r="C323" s="35"/>
    </row>
    <row r="324" spans="1:11" x14ac:dyDescent="0.3">
      <c r="A324" s="35"/>
      <c r="B324" s="35"/>
      <c r="C324" s="35"/>
    </row>
    <row r="325" spans="1:11" x14ac:dyDescent="0.3">
      <c r="A325" s="35"/>
      <c r="B325" s="35"/>
      <c r="C325" s="35"/>
    </row>
    <row r="326" spans="1:11" x14ac:dyDescent="0.3">
      <c r="A326" s="35"/>
      <c r="B326" s="35"/>
      <c r="C326" s="35"/>
    </row>
    <row r="327" spans="1:11" x14ac:dyDescent="0.3">
      <c r="A327" s="35"/>
      <c r="B327" s="35"/>
      <c r="C327" s="35" t="s">
        <v>6161</v>
      </c>
    </row>
    <row r="328" spans="1:11" x14ac:dyDescent="0.3">
      <c r="A328" s="35"/>
      <c r="B328" s="35"/>
      <c r="C328" s="35"/>
    </row>
    <row r="329" spans="1:11" x14ac:dyDescent="0.3">
      <c r="A329" s="35"/>
      <c r="B329" s="35"/>
      <c r="C329" s="35"/>
    </row>
    <row r="330" spans="1:11" x14ac:dyDescent="0.3">
      <c r="A330" s="35"/>
      <c r="B330" s="35"/>
      <c r="C330" s="35"/>
    </row>
    <row r="331" spans="1:11" x14ac:dyDescent="0.3">
      <c r="A331" s="35"/>
      <c r="B331" s="35"/>
      <c r="C331" s="35"/>
    </row>
    <row r="332" spans="1:11" x14ac:dyDescent="0.3">
      <c r="A332" s="35"/>
      <c r="B332" s="35" t="s">
        <v>6162</v>
      </c>
      <c r="C332" s="35" t="s">
        <v>6163</v>
      </c>
    </row>
    <row r="333" spans="1:11" x14ac:dyDescent="0.3">
      <c r="A333" s="35"/>
      <c r="B333" s="35"/>
      <c r="C333" s="35"/>
    </row>
    <row r="334" spans="1:11" x14ac:dyDescent="0.3">
      <c r="A334" s="35"/>
      <c r="B334" s="35"/>
      <c r="C334" s="35"/>
    </row>
    <row r="335" spans="1:11" x14ac:dyDescent="0.3">
      <c r="A335" s="35"/>
      <c r="B335" s="35"/>
      <c r="C335" s="35"/>
    </row>
    <row r="336" spans="1:11" x14ac:dyDescent="0.3">
      <c r="A336" s="35"/>
      <c r="B336" s="35"/>
      <c r="C336" s="35"/>
    </row>
    <row r="337" spans="1:3" x14ac:dyDescent="0.3">
      <c r="A337" s="35"/>
      <c r="B337" s="35"/>
      <c r="C337" s="35" t="s">
        <v>6164</v>
      </c>
    </row>
    <row r="338" spans="1:3" x14ac:dyDescent="0.3">
      <c r="A338" s="35"/>
      <c r="B338" s="35"/>
      <c r="C338" s="35"/>
    </row>
    <row r="339" spans="1:3" x14ac:dyDescent="0.3">
      <c r="A339" s="35"/>
      <c r="B339" s="35"/>
      <c r="C339" s="35"/>
    </row>
    <row r="340" spans="1:3" x14ac:dyDescent="0.3">
      <c r="A340" s="35"/>
      <c r="B340" s="35"/>
      <c r="C340" s="35"/>
    </row>
    <row r="341" spans="1:3" x14ac:dyDescent="0.3">
      <c r="A341" s="35"/>
      <c r="B341" s="35"/>
      <c r="C341" s="35"/>
    </row>
    <row r="342" spans="1:3" x14ac:dyDescent="0.3">
      <c r="A342" s="35"/>
      <c r="B342" s="35"/>
      <c r="C342" s="35" t="s">
        <v>6165</v>
      </c>
    </row>
    <row r="343" spans="1:3" x14ac:dyDescent="0.3">
      <c r="A343" s="35"/>
      <c r="B343" s="35"/>
      <c r="C343" s="35"/>
    </row>
    <row r="344" spans="1:3" x14ac:dyDescent="0.3">
      <c r="A344" s="35"/>
      <c r="B344" s="35"/>
      <c r="C344" s="35"/>
    </row>
    <row r="345" spans="1:3" x14ac:dyDescent="0.3">
      <c r="A345" s="35"/>
      <c r="B345" s="35"/>
      <c r="C345" s="35"/>
    </row>
    <row r="346" spans="1:3" x14ac:dyDescent="0.3">
      <c r="A346" s="35"/>
      <c r="B346" s="35"/>
      <c r="C346" s="35"/>
    </row>
    <row r="347" spans="1:3" x14ac:dyDescent="0.3">
      <c r="A347" s="35"/>
      <c r="B347" s="35"/>
      <c r="C347" s="35" t="s">
        <v>6166</v>
      </c>
    </row>
    <row r="348" spans="1:3" x14ac:dyDescent="0.3">
      <c r="A348" s="35"/>
      <c r="B348" s="35"/>
      <c r="C348" s="35"/>
    </row>
    <row r="349" spans="1:3" x14ac:dyDescent="0.3">
      <c r="A349" s="35"/>
      <c r="B349" s="35"/>
      <c r="C349" s="35"/>
    </row>
    <row r="350" spans="1:3" x14ac:dyDescent="0.3">
      <c r="A350" s="35"/>
      <c r="B350" s="35"/>
      <c r="C350" s="35"/>
    </row>
    <row r="351" spans="1:3" x14ac:dyDescent="0.3">
      <c r="A351" s="35"/>
      <c r="B351" s="35"/>
      <c r="C351" s="35"/>
    </row>
    <row r="352" spans="1:3" x14ac:dyDescent="0.3">
      <c r="A352" s="35"/>
      <c r="B352" s="35"/>
      <c r="C352" s="36" t="s">
        <v>6167</v>
      </c>
    </row>
    <row r="353" spans="1:3" x14ac:dyDescent="0.3">
      <c r="A353" s="35"/>
      <c r="B353" s="35"/>
      <c r="C353" s="35"/>
    </row>
    <row r="354" spans="1:3" x14ac:dyDescent="0.3">
      <c r="A354" s="35"/>
      <c r="B354" s="35"/>
      <c r="C354" s="35"/>
    </row>
    <row r="355" spans="1:3" x14ac:dyDescent="0.3">
      <c r="A355" s="35"/>
      <c r="B355" s="35"/>
      <c r="C355" s="35"/>
    </row>
    <row r="356" spans="1:3" x14ac:dyDescent="0.3">
      <c r="A356" s="35"/>
      <c r="B356" s="35"/>
      <c r="C356" s="35"/>
    </row>
    <row r="357" spans="1:3" x14ac:dyDescent="0.3">
      <c r="A357" s="35"/>
      <c r="B357" s="35"/>
      <c r="C357" s="35" t="s">
        <v>6168</v>
      </c>
    </row>
    <row r="358" spans="1:3" x14ac:dyDescent="0.3">
      <c r="A358" s="35"/>
      <c r="B358" s="35"/>
      <c r="C358" s="35"/>
    </row>
    <row r="359" spans="1:3" x14ac:dyDescent="0.3">
      <c r="A359" s="35"/>
      <c r="B359" s="35"/>
      <c r="C359" s="35"/>
    </row>
    <row r="360" spans="1:3" x14ac:dyDescent="0.3">
      <c r="A360" s="35"/>
      <c r="B360" s="35"/>
      <c r="C360" s="35"/>
    </row>
    <row r="361" spans="1:3" x14ac:dyDescent="0.3">
      <c r="A361" s="35"/>
      <c r="B361" s="35"/>
      <c r="C361" s="35"/>
    </row>
    <row r="362" spans="1:3" x14ac:dyDescent="0.3">
      <c r="A362" s="35"/>
      <c r="B362" s="35"/>
      <c r="C362" s="35" t="s">
        <v>6169</v>
      </c>
    </row>
    <row r="363" spans="1:3" x14ac:dyDescent="0.3">
      <c r="A363" s="35"/>
      <c r="B363" s="35"/>
      <c r="C363" s="35"/>
    </row>
    <row r="364" spans="1:3" x14ac:dyDescent="0.3">
      <c r="A364" s="35"/>
      <c r="B364" s="35"/>
      <c r="C364" s="35"/>
    </row>
    <row r="365" spans="1:3" x14ac:dyDescent="0.3">
      <c r="A365" s="35"/>
      <c r="B365" s="35"/>
      <c r="C365" s="35"/>
    </row>
    <row r="366" spans="1:3" x14ac:dyDescent="0.3">
      <c r="A366" s="35"/>
      <c r="B366" s="35"/>
      <c r="C366" s="35"/>
    </row>
    <row r="367" spans="1:3" x14ac:dyDescent="0.3">
      <c r="A367" s="35"/>
      <c r="B367" s="35"/>
      <c r="C367" s="35" t="s">
        <v>6170</v>
      </c>
    </row>
    <row r="368" spans="1:3" x14ac:dyDescent="0.3">
      <c r="A368" s="35"/>
      <c r="B368" s="35"/>
      <c r="C368" s="35"/>
    </row>
    <row r="369" spans="1:3" x14ac:dyDescent="0.3">
      <c r="A369" s="35"/>
      <c r="B369" s="35"/>
      <c r="C369" s="35"/>
    </row>
    <row r="370" spans="1:3" x14ac:dyDescent="0.3">
      <c r="A370" s="35"/>
      <c r="B370" s="35"/>
      <c r="C370" s="35"/>
    </row>
    <row r="371" spans="1:3" x14ac:dyDescent="0.3">
      <c r="A371" s="35"/>
      <c r="B371" s="35"/>
      <c r="C371" s="35"/>
    </row>
    <row r="372" spans="1:3" x14ac:dyDescent="0.3">
      <c r="A372" s="35"/>
      <c r="B372" s="35"/>
      <c r="C372" s="35" t="s">
        <v>6171</v>
      </c>
    </row>
    <row r="373" spans="1:3" x14ac:dyDescent="0.3">
      <c r="A373" s="35"/>
      <c r="B373" s="35"/>
      <c r="C373" s="35"/>
    </row>
    <row r="374" spans="1:3" x14ac:dyDescent="0.3">
      <c r="A374" s="35"/>
      <c r="B374" s="35"/>
      <c r="C374" s="35"/>
    </row>
    <row r="375" spans="1:3" x14ac:dyDescent="0.3">
      <c r="A375" s="35"/>
      <c r="B375" s="35"/>
      <c r="C375" s="35"/>
    </row>
    <row r="376" spans="1:3" x14ac:dyDescent="0.3">
      <c r="A376" s="35"/>
      <c r="B376" s="35"/>
      <c r="C376" s="35"/>
    </row>
    <row r="377" spans="1:3" x14ac:dyDescent="0.3">
      <c r="A377" s="35"/>
      <c r="B377" s="35"/>
      <c r="C377" s="35" t="s">
        <v>6172</v>
      </c>
    </row>
    <row r="378" spans="1:3" x14ac:dyDescent="0.3">
      <c r="A378" s="35"/>
      <c r="B378" s="35"/>
      <c r="C378" s="35"/>
    </row>
    <row r="379" spans="1:3" x14ac:dyDescent="0.3">
      <c r="A379" s="35"/>
      <c r="B379" s="35"/>
      <c r="C379" s="35"/>
    </row>
    <row r="380" spans="1:3" x14ac:dyDescent="0.3">
      <c r="A380" s="35"/>
      <c r="B380" s="35"/>
      <c r="C380" s="35"/>
    </row>
    <row r="381" spans="1:3" x14ac:dyDescent="0.3">
      <c r="A381" s="35"/>
      <c r="B381" s="35"/>
      <c r="C381" s="35"/>
    </row>
    <row r="382" spans="1:3" x14ac:dyDescent="0.3">
      <c r="A382" s="35"/>
      <c r="B382" s="35" t="s">
        <v>6173</v>
      </c>
      <c r="C382" s="35" t="s">
        <v>6174</v>
      </c>
    </row>
    <row r="383" spans="1:3" x14ac:dyDescent="0.3">
      <c r="A383" s="35"/>
      <c r="B383" s="35"/>
      <c r="C383" s="35"/>
    </row>
    <row r="384" spans="1:3" x14ac:dyDescent="0.3">
      <c r="A384" s="35"/>
      <c r="B384" s="35"/>
      <c r="C384" s="35"/>
    </row>
    <row r="385" spans="1:3" x14ac:dyDescent="0.3">
      <c r="A385" s="35"/>
      <c r="B385" s="35"/>
      <c r="C385" s="35"/>
    </row>
    <row r="386" spans="1:3" x14ac:dyDescent="0.3">
      <c r="A386" s="35"/>
      <c r="B386" s="35"/>
      <c r="C386" s="35"/>
    </row>
    <row r="387" spans="1:3" x14ac:dyDescent="0.3">
      <c r="A387" s="35"/>
      <c r="B387" s="35"/>
      <c r="C387" s="35" t="s">
        <v>6175</v>
      </c>
    </row>
    <row r="388" spans="1:3" x14ac:dyDescent="0.3">
      <c r="A388" s="35"/>
      <c r="B388" s="35"/>
      <c r="C388" s="35"/>
    </row>
    <row r="389" spans="1:3" x14ac:dyDescent="0.3">
      <c r="A389" s="35"/>
      <c r="B389" s="35"/>
      <c r="C389" s="35"/>
    </row>
    <row r="390" spans="1:3" x14ac:dyDescent="0.3">
      <c r="A390" s="35"/>
      <c r="B390" s="35"/>
      <c r="C390" s="35"/>
    </row>
    <row r="391" spans="1:3" x14ac:dyDescent="0.3">
      <c r="A391" s="35"/>
      <c r="B391" s="35"/>
      <c r="C391" s="35"/>
    </row>
    <row r="392" spans="1:3" x14ac:dyDescent="0.3">
      <c r="A392" s="35"/>
      <c r="B392" s="35"/>
      <c r="C392" s="36" t="s">
        <v>6176</v>
      </c>
    </row>
    <row r="393" spans="1:3" x14ac:dyDescent="0.3">
      <c r="A393" s="35"/>
      <c r="B393" s="35"/>
      <c r="C393" s="35"/>
    </row>
    <row r="394" spans="1:3" x14ac:dyDescent="0.3">
      <c r="A394" s="35"/>
      <c r="B394" s="35"/>
      <c r="C394" s="35"/>
    </row>
    <row r="395" spans="1:3" x14ac:dyDescent="0.3">
      <c r="A395" s="35"/>
      <c r="B395" s="35"/>
      <c r="C395" s="35"/>
    </row>
    <row r="396" spans="1:3" x14ac:dyDescent="0.3">
      <c r="A396" s="35"/>
      <c r="B396" s="35"/>
      <c r="C396" s="35"/>
    </row>
    <row r="397" spans="1:3" x14ac:dyDescent="0.3">
      <c r="A397" s="35"/>
      <c r="B397" s="35"/>
      <c r="C397" s="36" t="s">
        <v>6177</v>
      </c>
    </row>
    <row r="398" spans="1:3" x14ac:dyDescent="0.3">
      <c r="A398" s="35"/>
      <c r="B398" s="35"/>
      <c r="C398" s="35"/>
    </row>
    <row r="399" spans="1:3" x14ac:dyDescent="0.3">
      <c r="A399" s="35"/>
      <c r="B399" s="35"/>
      <c r="C399" s="35"/>
    </row>
    <row r="400" spans="1:3" x14ac:dyDescent="0.3">
      <c r="A400" s="35"/>
      <c r="B400" s="35"/>
      <c r="C400" s="35"/>
    </row>
    <row r="401" spans="1:3" x14ac:dyDescent="0.3">
      <c r="A401" s="35"/>
      <c r="B401" s="35"/>
      <c r="C401" s="35"/>
    </row>
    <row r="402" spans="1:3" x14ac:dyDescent="0.3">
      <c r="A402" s="35"/>
      <c r="B402" s="35"/>
      <c r="C402" s="35" t="s">
        <v>6178</v>
      </c>
    </row>
    <row r="403" spans="1:3" x14ac:dyDescent="0.3">
      <c r="A403" s="35"/>
      <c r="B403" s="35"/>
      <c r="C403" s="35"/>
    </row>
    <row r="404" spans="1:3" x14ac:dyDescent="0.3">
      <c r="A404" s="35"/>
      <c r="B404" s="35"/>
      <c r="C404" s="35"/>
    </row>
    <row r="405" spans="1:3" x14ac:dyDescent="0.3">
      <c r="A405" s="35"/>
      <c r="B405" s="35"/>
      <c r="C405" s="35"/>
    </row>
    <row r="406" spans="1:3" x14ac:dyDescent="0.3">
      <c r="A406" s="35"/>
      <c r="B406" s="35"/>
      <c r="C406" s="35"/>
    </row>
    <row r="407" spans="1:3" x14ac:dyDescent="0.3">
      <c r="A407" s="35"/>
      <c r="B407" s="35"/>
      <c r="C407" s="35" t="s">
        <v>6179</v>
      </c>
    </row>
    <row r="408" spans="1:3" x14ac:dyDescent="0.3">
      <c r="A408" s="35"/>
      <c r="B408" s="35"/>
      <c r="C408" s="35"/>
    </row>
    <row r="409" spans="1:3" x14ac:dyDescent="0.3">
      <c r="A409" s="35"/>
      <c r="B409" s="35"/>
      <c r="C409" s="35"/>
    </row>
    <row r="410" spans="1:3" x14ac:dyDescent="0.3">
      <c r="A410" s="35"/>
      <c r="B410" s="35"/>
      <c r="C410" s="35"/>
    </row>
    <row r="411" spans="1:3" x14ac:dyDescent="0.3">
      <c r="A411" s="35"/>
      <c r="B411" s="35"/>
      <c r="C411" s="35"/>
    </row>
    <row r="412" spans="1:3" x14ac:dyDescent="0.3">
      <c r="A412" s="35"/>
      <c r="B412" s="35"/>
      <c r="C412" s="36" t="s">
        <v>6180</v>
      </c>
    </row>
    <row r="413" spans="1:3" x14ac:dyDescent="0.3">
      <c r="A413" s="35"/>
      <c r="B413" s="35"/>
      <c r="C413" s="35"/>
    </row>
    <row r="414" spans="1:3" x14ac:dyDescent="0.3">
      <c r="A414" s="35"/>
      <c r="B414" s="35"/>
      <c r="C414" s="35"/>
    </row>
    <row r="415" spans="1:3" x14ac:dyDescent="0.3">
      <c r="A415" s="35"/>
      <c r="B415" s="35"/>
      <c r="C415" s="35"/>
    </row>
    <row r="416" spans="1:3" x14ac:dyDescent="0.3">
      <c r="A416" s="35"/>
      <c r="B416" s="35"/>
      <c r="C416" s="35"/>
    </row>
    <row r="417" spans="1:3" x14ac:dyDescent="0.3">
      <c r="A417" s="35"/>
      <c r="B417" s="35"/>
      <c r="C417" s="36" t="s">
        <v>6181</v>
      </c>
    </row>
    <row r="418" spans="1:3" x14ac:dyDescent="0.3">
      <c r="A418" s="35"/>
      <c r="B418" s="35"/>
      <c r="C418" s="35"/>
    </row>
    <row r="419" spans="1:3" x14ac:dyDescent="0.3">
      <c r="A419" s="35"/>
      <c r="B419" s="35"/>
      <c r="C419" s="35"/>
    </row>
    <row r="420" spans="1:3" x14ac:dyDescent="0.3">
      <c r="A420" s="35"/>
      <c r="B420" s="35"/>
      <c r="C420" s="35"/>
    </row>
    <row r="421" spans="1:3" x14ac:dyDescent="0.3">
      <c r="A421" s="35"/>
      <c r="B421" s="35"/>
      <c r="C421" s="35"/>
    </row>
    <row r="422" spans="1:3" x14ac:dyDescent="0.3">
      <c r="A422" s="35"/>
      <c r="B422" s="35" t="s">
        <v>6182</v>
      </c>
      <c r="C422" s="35" t="s">
        <v>6183</v>
      </c>
    </row>
    <row r="423" spans="1:3" x14ac:dyDescent="0.3">
      <c r="A423" s="35"/>
      <c r="B423" s="35"/>
      <c r="C423" s="35"/>
    </row>
    <row r="424" spans="1:3" x14ac:dyDescent="0.3">
      <c r="A424" s="35"/>
      <c r="B424" s="35"/>
      <c r="C424" s="35"/>
    </row>
    <row r="425" spans="1:3" x14ac:dyDescent="0.3">
      <c r="A425" s="35"/>
      <c r="B425" s="35"/>
      <c r="C425" s="35"/>
    </row>
    <row r="426" spans="1:3" x14ac:dyDescent="0.3">
      <c r="A426" s="35"/>
      <c r="B426" s="35"/>
      <c r="C426" s="35"/>
    </row>
    <row r="427" spans="1:3" x14ac:dyDescent="0.3">
      <c r="A427" s="35"/>
      <c r="B427" s="35"/>
      <c r="C427" s="36" t="s">
        <v>6175</v>
      </c>
    </row>
    <row r="428" spans="1:3" x14ac:dyDescent="0.3">
      <c r="A428" s="35"/>
      <c r="B428" s="35"/>
      <c r="C428" s="35"/>
    </row>
    <row r="429" spans="1:3" x14ac:dyDescent="0.3">
      <c r="A429" s="35"/>
      <c r="B429" s="35"/>
      <c r="C429" s="35"/>
    </row>
    <row r="430" spans="1:3" x14ac:dyDescent="0.3">
      <c r="A430" s="35"/>
      <c r="B430" s="35"/>
      <c r="C430" s="35"/>
    </row>
    <row r="431" spans="1:3" x14ac:dyDescent="0.3">
      <c r="A431" s="35"/>
      <c r="B431" s="35"/>
      <c r="C431" s="35"/>
    </row>
    <row r="432" spans="1:3" x14ac:dyDescent="0.3">
      <c r="A432" s="35"/>
      <c r="B432" s="35"/>
      <c r="C432" s="36" t="s">
        <v>6184</v>
      </c>
    </row>
    <row r="433" spans="1:3" x14ac:dyDescent="0.3">
      <c r="A433" s="35"/>
      <c r="B433" s="35"/>
      <c r="C433" s="35"/>
    </row>
    <row r="434" spans="1:3" x14ac:dyDescent="0.3">
      <c r="A434" s="35"/>
      <c r="B434" s="35"/>
      <c r="C434" s="35"/>
    </row>
    <row r="435" spans="1:3" x14ac:dyDescent="0.3">
      <c r="A435" s="35"/>
      <c r="B435" s="35"/>
      <c r="C435" s="35"/>
    </row>
    <row r="436" spans="1:3" x14ac:dyDescent="0.3">
      <c r="A436" s="35"/>
      <c r="B436" s="35"/>
      <c r="C436" s="35"/>
    </row>
    <row r="437" spans="1:3" x14ac:dyDescent="0.3">
      <c r="A437" s="35"/>
      <c r="B437" s="35"/>
      <c r="C437" s="36" t="s">
        <v>6185</v>
      </c>
    </row>
    <row r="438" spans="1:3" x14ac:dyDescent="0.3">
      <c r="A438" s="35"/>
      <c r="B438" s="35"/>
      <c r="C438" s="35"/>
    </row>
    <row r="439" spans="1:3" x14ac:dyDescent="0.3">
      <c r="A439" s="35"/>
      <c r="B439" s="35"/>
      <c r="C439" s="35"/>
    </row>
    <row r="440" spans="1:3" x14ac:dyDescent="0.3">
      <c r="A440" s="35"/>
      <c r="B440" s="35"/>
      <c r="C440" s="35"/>
    </row>
    <row r="441" spans="1:3" x14ac:dyDescent="0.3">
      <c r="A441" s="35"/>
      <c r="B441" s="35"/>
      <c r="C441" s="35"/>
    </row>
    <row r="442" spans="1:3" x14ac:dyDescent="0.3">
      <c r="A442" s="35"/>
      <c r="B442" s="35"/>
      <c r="C442" s="36" t="s">
        <v>6186</v>
      </c>
    </row>
    <row r="443" spans="1:3" x14ac:dyDescent="0.3">
      <c r="A443" s="35"/>
      <c r="B443" s="35"/>
      <c r="C443" s="35"/>
    </row>
    <row r="444" spans="1:3" x14ac:dyDescent="0.3">
      <c r="A444" s="35"/>
      <c r="B444" s="35"/>
      <c r="C444" s="35"/>
    </row>
    <row r="445" spans="1:3" x14ac:dyDescent="0.3">
      <c r="A445" s="35"/>
      <c r="B445" s="35"/>
      <c r="C445" s="35"/>
    </row>
    <row r="446" spans="1:3" x14ac:dyDescent="0.3">
      <c r="A446" s="35"/>
      <c r="B446" s="35"/>
      <c r="C446" s="35"/>
    </row>
    <row r="447" spans="1:3" x14ac:dyDescent="0.3">
      <c r="A447" s="35"/>
      <c r="B447" s="35"/>
      <c r="C447" s="35" t="s">
        <v>6187</v>
      </c>
    </row>
    <row r="448" spans="1:3" x14ac:dyDescent="0.3">
      <c r="A448" s="35"/>
      <c r="B448" s="35"/>
      <c r="C448" s="35"/>
    </row>
    <row r="449" spans="1:3" x14ac:dyDescent="0.3">
      <c r="A449" s="35"/>
      <c r="B449" s="35"/>
      <c r="C449" s="35"/>
    </row>
    <row r="450" spans="1:3" x14ac:dyDescent="0.3">
      <c r="A450" s="35"/>
      <c r="B450" s="35"/>
      <c r="C450" s="35"/>
    </row>
    <row r="451" spans="1:3" x14ac:dyDescent="0.3">
      <c r="A451" s="35"/>
      <c r="B451" s="35"/>
      <c r="C451" s="35"/>
    </row>
    <row r="452" spans="1:3" x14ac:dyDescent="0.3">
      <c r="A452" s="35"/>
      <c r="B452" s="35"/>
      <c r="C452" s="36" t="s">
        <v>6188</v>
      </c>
    </row>
    <row r="453" spans="1:3" x14ac:dyDescent="0.3">
      <c r="A453" s="35"/>
      <c r="B453" s="35"/>
      <c r="C453" s="35"/>
    </row>
    <row r="454" spans="1:3" x14ac:dyDescent="0.3">
      <c r="A454" s="35"/>
      <c r="B454" s="35"/>
      <c r="C454" s="35"/>
    </row>
    <row r="455" spans="1:3" x14ac:dyDescent="0.3">
      <c r="A455" s="35"/>
      <c r="B455" s="35"/>
      <c r="C455" s="35"/>
    </row>
    <row r="456" spans="1:3" x14ac:dyDescent="0.3">
      <c r="A456" s="35"/>
      <c r="B456" s="35"/>
      <c r="C456" s="35"/>
    </row>
    <row r="457" spans="1:3" x14ac:dyDescent="0.3">
      <c r="A457" s="35"/>
      <c r="B457" s="35"/>
      <c r="C457" s="36" t="s">
        <v>6189</v>
      </c>
    </row>
    <row r="458" spans="1:3" x14ac:dyDescent="0.3">
      <c r="A458" s="35"/>
      <c r="B458" s="35"/>
      <c r="C458" s="35"/>
    </row>
    <row r="459" spans="1:3" x14ac:dyDescent="0.3">
      <c r="A459" s="35"/>
      <c r="B459" s="35"/>
      <c r="C459" s="35"/>
    </row>
    <row r="460" spans="1:3" x14ac:dyDescent="0.3">
      <c r="A460" s="35"/>
      <c r="B460" s="35"/>
      <c r="C460" s="35"/>
    </row>
    <row r="461" spans="1:3" x14ac:dyDescent="0.3">
      <c r="A461" s="35"/>
      <c r="B461" s="35"/>
      <c r="C461" s="35"/>
    </row>
    <row r="462" spans="1:3" x14ac:dyDescent="0.3">
      <c r="A462" s="35"/>
      <c r="B462" s="36" t="s">
        <v>6190</v>
      </c>
      <c r="C462" s="35" t="s">
        <v>6191</v>
      </c>
    </row>
    <row r="463" spans="1:3" x14ac:dyDescent="0.3">
      <c r="A463" s="35"/>
      <c r="B463" s="35"/>
      <c r="C463" s="35"/>
    </row>
    <row r="464" spans="1:3" x14ac:dyDescent="0.3">
      <c r="A464" s="35"/>
      <c r="B464" s="35"/>
      <c r="C464" s="35"/>
    </row>
    <row r="465" spans="1:3" x14ac:dyDescent="0.3">
      <c r="A465" s="35"/>
      <c r="B465" s="35"/>
      <c r="C465" s="35"/>
    </row>
    <row r="466" spans="1:3" x14ac:dyDescent="0.3">
      <c r="A466" s="35"/>
      <c r="B466" s="35"/>
      <c r="C466" s="35"/>
    </row>
    <row r="467" spans="1:3" x14ac:dyDescent="0.3">
      <c r="A467" s="35"/>
      <c r="B467" s="35"/>
      <c r="C467" s="35" t="s">
        <v>6192</v>
      </c>
    </row>
    <row r="468" spans="1:3" x14ac:dyDescent="0.3">
      <c r="A468" s="35"/>
      <c r="B468" s="35"/>
      <c r="C468" s="35"/>
    </row>
    <row r="469" spans="1:3" x14ac:dyDescent="0.3">
      <c r="A469" s="35"/>
      <c r="B469" s="35"/>
      <c r="C469" s="35"/>
    </row>
    <row r="470" spans="1:3" x14ac:dyDescent="0.3">
      <c r="A470" s="35"/>
      <c r="B470" s="35"/>
      <c r="C470" s="35"/>
    </row>
    <row r="471" spans="1:3" x14ac:dyDescent="0.3">
      <c r="A471" s="35"/>
      <c r="B471" s="35"/>
      <c r="C471" s="35"/>
    </row>
    <row r="472" spans="1:3" x14ac:dyDescent="0.3">
      <c r="A472" s="35"/>
      <c r="B472" s="35"/>
      <c r="C472" s="35" t="s">
        <v>6193</v>
      </c>
    </row>
    <row r="473" spans="1:3" x14ac:dyDescent="0.3">
      <c r="A473" s="35"/>
      <c r="B473" s="35"/>
      <c r="C473" s="35"/>
    </row>
    <row r="474" spans="1:3" x14ac:dyDescent="0.3">
      <c r="A474" s="35"/>
      <c r="B474" s="35"/>
      <c r="C474" s="35"/>
    </row>
    <row r="475" spans="1:3" x14ac:dyDescent="0.3">
      <c r="A475" s="35"/>
      <c r="B475" s="35"/>
      <c r="C475" s="35"/>
    </row>
    <row r="476" spans="1:3" x14ac:dyDescent="0.3">
      <c r="A476" s="35"/>
      <c r="B476" s="35"/>
      <c r="C476" s="35"/>
    </row>
    <row r="477" spans="1:3" x14ac:dyDescent="0.3">
      <c r="A477" s="35"/>
      <c r="B477" s="35"/>
      <c r="C477" s="36" t="s">
        <v>6194</v>
      </c>
    </row>
    <row r="478" spans="1:3" x14ac:dyDescent="0.3">
      <c r="A478" s="35"/>
      <c r="B478" s="35"/>
      <c r="C478" s="35"/>
    </row>
    <row r="479" spans="1:3" x14ac:dyDescent="0.3">
      <c r="A479" s="35"/>
      <c r="B479" s="35"/>
      <c r="C479" s="35"/>
    </row>
    <row r="480" spans="1:3" x14ac:dyDescent="0.3">
      <c r="A480" s="35"/>
      <c r="B480" s="35"/>
      <c r="C480" s="35"/>
    </row>
    <row r="481" spans="1:3" x14ac:dyDescent="0.3">
      <c r="A481" s="35"/>
      <c r="B481" s="35"/>
      <c r="C481" s="35"/>
    </row>
    <row r="482" spans="1:3" x14ac:dyDescent="0.3">
      <c r="A482" s="35"/>
      <c r="B482" s="35"/>
      <c r="C482" s="36" t="s">
        <v>6195</v>
      </c>
    </row>
    <row r="483" spans="1:3" x14ac:dyDescent="0.3">
      <c r="A483" s="35"/>
      <c r="B483" s="35"/>
      <c r="C483" s="35"/>
    </row>
    <row r="484" spans="1:3" x14ac:dyDescent="0.3">
      <c r="A484" s="35"/>
      <c r="B484" s="35"/>
      <c r="C484" s="35"/>
    </row>
    <row r="485" spans="1:3" x14ac:dyDescent="0.3">
      <c r="A485" s="35"/>
      <c r="B485" s="35"/>
      <c r="C485" s="35"/>
    </row>
    <row r="486" spans="1:3" x14ac:dyDescent="0.3">
      <c r="A486" s="35"/>
      <c r="B486" s="35"/>
      <c r="C486" s="35"/>
    </row>
    <row r="487" spans="1:3" x14ac:dyDescent="0.3">
      <c r="A487" s="35"/>
      <c r="B487" s="35"/>
      <c r="C487" s="35" t="s">
        <v>6196</v>
      </c>
    </row>
    <row r="488" spans="1:3" x14ac:dyDescent="0.3">
      <c r="A488" s="35"/>
      <c r="B488" s="35"/>
      <c r="C488" s="35"/>
    </row>
    <row r="489" spans="1:3" x14ac:dyDescent="0.3">
      <c r="A489" s="35"/>
      <c r="B489" s="35"/>
      <c r="C489" s="35"/>
    </row>
    <row r="490" spans="1:3" x14ac:dyDescent="0.3">
      <c r="A490" s="35"/>
      <c r="B490" s="35"/>
      <c r="C490" s="35"/>
    </row>
    <row r="491" spans="1:3" x14ac:dyDescent="0.3">
      <c r="A491" s="35"/>
      <c r="B491" s="35"/>
      <c r="C491" s="35"/>
    </row>
    <row r="492" spans="1:3" x14ac:dyDescent="0.3">
      <c r="A492" s="35"/>
      <c r="B492" s="35"/>
      <c r="C492" s="35" t="s">
        <v>6197</v>
      </c>
    </row>
    <row r="493" spans="1:3" x14ac:dyDescent="0.3">
      <c r="A493" s="35"/>
      <c r="B493" s="35"/>
      <c r="C493" s="35"/>
    </row>
    <row r="494" spans="1:3" x14ac:dyDescent="0.3">
      <c r="A494" s="35"/>
      <c r="B494" s="35"/>
      <c r="C494" s="35"/>
    </row>
    <row r="495" spans="1:3" x14ac:dyDescent="0.3">
      <c r="A495" s="35"/>
      <c r="B495" s="35"/>
      <c r="C495" s="35"/>
    </row>
    <row r="496" spans="1:3" x14ac:dyDescent="0.3">
      <c r="A496" s="35"/>
      <c r="B496" s="35"/>
      <c r="C496" s="35"/>
    </row>
    <row r="497" spans="1:3" x14ac:dyDescent="0.3">
      <c r="A497" s="35"/>
      <c r="B497" s="35"/>
      <c r="C497" s="36" t="s">
        <v>6198</v>
      </c>
    </row>
    <row r="498" spans="1:3" x14ac:dyDescent="0.3">
      <c r="A498" s="35"/>
      <c r="B498" s="35"/>
      <c r="C498" s="35"/>
    </row>
    <row r="499" spans="1:3" x14ac:dyDescent="0.3">
      <c r="A499" s="35"/>
      <c r="B499" s="35"/>
      <c r="C499" s="35"/>
    </row>
    <row r="500" spans="1:3" x14ac:dyDescent="0.3">
      <c r="A500" s="35"/>
      <c r="B500" s="35"/>
      <c r="C500" s="35"/>
    </row>
    <row r="501" spans="1:3" x14ac:dyDescent="0.3">
      <c r="A501" s="35"/>
      <c r="B501" s="35"/>
      <c r="C501" s="35"/>
    </row>
    <row r="502" spans="1:3" x14ac:dyDescent="0.3">
      <c r="A502" s="35"/>
      <c r="B502" s="35"/>
      <c r="C502" s="35" t="s">
        <v>6199</v>
      </c>
    </row>
    <row r="503" spans="1:3" x14ac:dyDescent="0.3">
      <c r="A503" s="35"/>
      <c r="B503" s="35"/>
      <c r="C503" s="35"/>
    </row>
    <row r="504" spans="1:3" x14ac:dyDescent="0.3">
      <c r="A504" s="35"/>
      <c r="B504" s="35"/>
      <c r="C504" s="35"/>
    </row>
    <row r="505" spans="1:3" x14ac:dyDescent="0.3">
      <c r="A505" s="35"/>
      <c r="B505" s="35"/>
      <c r="C505" s="35"/>
    </row>
    <row r="506" spans="1:3" x14ac:dyDescent="0.3">
      <c r="A506" s="35"/>
      <c r="B506" s="35"/>
      <c r="C506" s="35"/>
    </row>
    <row r="507" spans="1:3" x14ac:dyDescent="0.3">
      <c r="A507" s="35"/>
      <c r="B507" s="35"/>
      <c r="C507" s="35" t="s">
        <v>6200</v>
      </c>
    </row>
    <row r="508" spans="1:3" x14ac:dyDescent="0.3">
      <c r="A508" s="35"/>
      <c r="B508" s="35"/>
      <c r="C508" s="35"/>
    </row>
    <row r="509" spans="1:3" x14ac:dyDescent="0.3">
      <c r="A509" s="35"/>
      <c r="B509" s="35"/>
      <c r="C509" s="35"/>
    </row>
    <row r="510" spans="1:3" x14ac:dyDescent="0.3">
      <c r="A510" s="35"/>
      <c r="B510" s="35"/>
      <c r="C510" s="35"/>
    </row>
    <row r="511" spans="1:3" x14ac:dyDescent="0.3">
      <c r="A511" s="35"/>
      <c r="B511" s="35"/>
      <c r="C511" s="35"/>
    </row>
    <row r="512" spans="1:3" x14ac:dyDescent="0.3">
      <c r="A512" s="35"/>
      <c r="B512" s="36" t="s">
        <v>6201</v>
      </c>
      <c r="C512" s="36" t="s">
        <v>6202</v>
      </c>
    </row>
    <row r="513" spans="1:3" x14ac:dyDescent="0.3">
      <c r="A513" s="35"/>
      <c r="B513" s="35"/>
      <c r="C513" s="35"/>
    </row>
    <row r="514" spans="1:3" x14ac:dyDescent="0.3">
      <c r="A514" s="35"/>
      <c r="B514" s="35"/>
      <c r="C514" s="35"/>
    </row>
    <row r="515" spans="1:3" x14ac:dyDescent="0.3">
      <c r="A515" s="35"/>
      <c r="B515" s="35"/>
      <c r="C515" s="35"/>
    </row>
    <row r="516" spans="1:3" x14ac:dyDescent="0.3">
      <c r="A516" s="35"/>
      <c r="B516" s="35"/>
      <c r="C516" s="35"/>
    </row>
    <row r="517" spans="1:3" x14ac:dyDescent="0.3">
      <c r="A517" s="35"/>
      <c r="B517" s="35"/>
      <c r="C517" s="36" t="s">
        <v>6203</v>
      </c>
    </row>
    <row r="518" spans="1:3" x14ac:dyDescent="0.3">
      <c r="A518" s="35"/>
      <c r="B518" s="35"/>
      <c r="C518" s="35"/>
    </row>
    <row r="519" spans="1:3" x14ac:dyDescent="0.3">
      <c r="A519" s="35"/>
      <c r="B519" s="35"/>
      <c r="C519" s="35"/>
    </row>
    <row r="520" spans="1:3" x14ac:dyDescent="0.3">
      <c r="A520" s="35"/>
      <c r="B520" s="35"/>
      <c r="C520" s="35"/>
    </row>
    <row r="521" spans="1:3" x14ac:dyDescent="0.3">
      <c r="A521" s="35"/>
      <c r="B521" s="35"/>
      <c r="C521" s="35"/>
    </row>
    <row r="522" spans="1:3" x14ac:dyDescent="0.3">
      <c r="A522" s="35"/>
      <c r="B522" s="35"/>
      <c r="C522" s="35" t="s">
        <v>6204</v>
      </c>
    </row>
    <row r="523" spans="1:3" x14ac:dyDescent="0.3">
      <c r="A523" s="35"/>
      <c r="B523" s="35"/>
      <c r="C523" s="35"/>
    </row>
    <row r="524" spans="1:3" x14ac:dyDescent="0.3">
      <c r="A524" s="35"/>
      <c r="B524" s="35"/>
      <c r="C524" s="35"/>
    </row>
    <row r="525" spans="1:3" x14ac:dyDescent="0.3">
      <c r="A525" s="35"/>
      <c r="B525" s="35"/>
      <c r="C525" s="35"/>
    </row>
    <row r="526" spans="1:3" x14ac:dyDescent="0.3">
      <c r="A526" s="35"/>
      <c r="B526" s="35"/>
      <c r="C526" s="35"/>
    </row>
    <row r="527" spans="1:3" x14ac:dyDescent="0.3">
      <c r="A527" s="35"/>
      <c r="B527" s="35"/>
      <c r="C527" s="36" t="s">
        <v>6205</v>
      </c>
    </row>
    <row r="528" spans="1:3" x14ac:dyDescent="0.3">
      <c r="A528" s="35"/>
      <c r="B528" s="35"/>
      <c r="C528" s="35"/>
    </row>
    <row r="529" spans="1:3" x14ac:dyDescent="0.3">
      <c r="A529" s="35"/>
      <c r="B529" s="35"/>
      <c r="C529" s="35"/>
    </row>
    <row r="530" spans="1:3" x14ac:dyDescent="0.3">
      <c r="A530" s="35"/>
      <c r="B530" s="35"/>
      <c r="C530" s="35"/>
    </row>
    <row r="531" spans="1:3" x14ac:dyDescent="0.3">
      <c r="A531" s="35"/>
      <c r="B531" s="35"/>
      <c r="C531" s="35"/>
    </row>
    <row r="532" spans="1:3" x14ac:dyDescent="0.3">
      <c r="A532" s="35"/>
      <c r="B532" s="35"/>
      <c r="C532" s="36" t="s">
        <v>6206</v>
      </c>
    </row>
    <row r="533" spans="1:3" x14ac:dyDescent="0.3">
      <c r="A533" s="35"/>
      <c r="B533" s="35"/>
      <c r="C533" s="35"/>
    </row>
    <row r="534" spans="1:3" x14ac:dyDescent="0.3">
      <c r="A534" s="35"/>
      <c r="B534" s="35"/>
      <c r="C534" s="35"/>
    </row>
    <row r="535" spans="1:3" x14ac:dyDescent="0.3">
      <c r="A535" s="35"/>
      <c r="B535" s="35"/>
      <c r="C535" s="35"/>
    </row>
    <row r="536" spans="1:3" x14ac:dyDescent="0.3">
      <c r="A536" s="35"/>
      <c r="B536" s="35"/>
      <c r="C536" s="35"/>
    </row>
    <row r="537" spans="1:3" x14ac:dyDescent="0.3">
      <c r="A537" s="35"/>
      <c r="B537" s="35"/>
      <c r="C537" s="36" t="s">
        <v>6207</v>
      </c>
    </row>
    <row r="538" spans="1:3" x14ac:dyDescent="0.3">
      <c r="A538" s="35"/>
      <c r="B538" s="35"/>
      <c r="C538" s="35"/>
    </row>
    <row r="539" spans="1:3" x14ac:dyDescent="0.3">
      <c r="A539" s="35"/>
      <c r="B539" s="35"/>
      <c r="C539" s="35"/>
    </row>
    <row r="540" spans="1:3" x14ac:dyDescent="0.3">
      <c r="A540" s="35"/>
      <c r="B540" s="35"/>
      <c r="C540" s="35"/>
    </row>
    <row r="541" spans="1:3" x14ac:dyDescent="0.3">
      <c r="A541" s="35"/>
      <c r="B541" s="35"/>
      <c r="C541" s="35"/>
    </row>
    <row r="542" spans="1:3" x14ac:dyDescent="0.3">
      <c r="A542" s="35"/>
      <c r="B542" s="35"/>
      <c r="C542" s="36" t="s">
        <v>6208</v>
      </c>
    </row>
    <row r="543" spans="1:3" x14ac:dyDescent="0.3">
      <c r="A543" s="35"/>
      <c r="B543" s="35"/>
      <c r="C543" s="35"/>
    </row>
    <row r="544" spans="1:3" x14ac:dyDescent="0.3">
      <c r="A544" s="35"/>
      <c r="B544" s="35"/>
      <c r="C544" s="35"/>
    </row>
    <row r="545" spans="1:3" x14ac:dyDescent="0.3">
      <c r="A545" s="35"/>
      <c r="B545" s="35"/>
      <c r="C545" s="35"/>
    </row>
    <row r="546" spans="1:3" x14ac:dyDescent="0.3">
      <c r="A546" s="35"/>
      <c r="B546" s="35"/>
      <c r="C546" s="35"/>
    </row>
    <row r="547" spans="1:3" x14ac:dyDescent="0.3">
      <c r="A547" s="35"/>
      <c r="B547" s="35"/>
      <c r="C547" s="35" t="s">
        <v>6209</v>
      </c>
    </row>
    <row r="548" spans="1:3" x14ac:dyDescent="0.3">
      <c r="A548" s="35"/>
      <c r="B548" s="35"/>
      <c r="C548" s="35"/>
    </row>
    <row r="549" spans="1:3" x14ac:dyDescent="0.3">
      <c r="A549" s="35"/>
      <c r="B549" s="35"/>
      <c r="C549" s="35"/>
    </row>
    <row r="550" spans="1:3" x14ac:dyDescent="0.3">
      <c r="A550" s="35"/>
      <c r="B550" s="35"/>
      <c r="C550" s="35"/>
    </row>
    <row r="551" spans="1:3" x14ac:dyDescent="0.3">
      <c r="A551" s="35"/>
      <c r="B551" s="35"/>
      <c r="C551" s="35"/>
    </row>
    <row r="552" spans="1:3" x14ac:dyDescent="0.3">
      <c r="A552" s="35"/>
      <c r="B552" s="35"/>
      <c r="C552" s="35" t="s">
        <v>6210</v>
      </c>
    </row>
    <row r="553" spans="1:3" x14ac:dyDescent="0.3">
      <c r="A553" s="35"/>
      <c r="B553" s="35"/>
      <c r="C553" s="35"/>
    </row>
    <row r="554" spans="1:3" x14ac:dyDescent="0.3">
      <c r="A554" s="35"/>
      <c r="B554" s="35"/>
      <c r="C554" s="35"/>
    </row>
    <row r="555" spans="1:3" x14ac:dyDescent="0.3">
      <c r="A555" s="35"/>
      <c r="B555" s="35"/>
      <c r="C555" s="35"/>
    </row>
    <row r="556" spans="1:3" x14ac:dyDescent="0.3">
      <c r="A556" s="35"/>
      <c r="B556" s="35"/>
      <c r="C556" s="35"/>
    </row>
    <row r="557" spans="1:3" x14ac:dyDescent="0.3">
      <c r="A557" s="35"/>
      <c r="B557" s="35" t="s">
        <v>6211</v>
      </c>
      <c r="C557" s="36" t="s">
        <v>6212</v>
      </c>
    </row>
    <row r="558" spans="1:3" x14ac:dyDescent="0.3">
      <c r="A558" s="35"/>
      <c r="B558" s="35"/>
      <c r="C558" s="35"/>
    </row>
    <row r="559" spans="1:3" x14ac:dyDescent="0.3">
      <c r="A559" s="35"/>
      <c r="B559" s="35"/>
      <c r="C559" s="35"/>
    </row>
    <row r="560" spans="1:3" x14ac:dyDescent="0.3">
      <c r="A560" s="35"/>
      <c r="B560" s="35"/>
      <c r="C560" s="35"/>
    </row>
    <row r="561" spans="1:3" x14ac:dyDescent="0.3">
      <c r="A561" s="35"/>
      <c r="B561" s="35"/>
      <c r="C561" s="35"/>
    </row>
    <row r="562" spans="1:3" x14ac:dyDescent="0.3">
      <c r="A562" s="35"/>
      <c r="B562" s="35"/>
      <c r="C562" s="35" t="s">
        <v>6213</v>
      </c>
    </row>
    <row r="563" spans="1:3" x14ac:dyDescent="0.3">
      <c r="A563" s="35"/>
      <c r="B563" s="35"/>
      <c r="C563" s="35"/>
    </row>
    <row r="564" spans="1:3" x14ac:dyDescent="0.3">
      <c r="A564" s="35"/>
      <c r="B564" s="35"/>
      <c r="C564" s="35"/>
    </row>
    <row r="565" spans="1:3" x14ac:dyDescent="0.3">
      <c r="A565" s="35"/>
      <c r="B565" s="35"/>
      <c r="C565" s="35"/>
    </row>
    <row r="566" spans="1:3" x14ac:dyDescent="0.3">
      <c r="A566" s="35"/>
      <c r="B566" s="35"/>
      <c r="C566" s="35"/>
    </row>
    <row r="567" spans="1:3" x14ac:dyDescent="0.3">
      <c r="A567" s="35"/>
      <c r="B567" s="35"/>
      <c r="C567" s="36" t="s">
        <v>6214</v>
      </c>
    </row>
    <row r="568" spans="1:3" x14ac:dyDescent="0.3">
      <c r="A568" s="35"/>
      <c r="B568" s="35"/>
      <c r="C568" s="35"/>
    </row>
    <row r="569" spans="1:3" x14ac:dyDescent="0.3">
      <c r="A569" s="35"/>
      <c r="B569" s="35"/>
      <c r="C569" s="35"/>
    </row>
    <row r="570" spans="1:3" x14ac:dyDescent="0.3">
      <c r="A570" s="35"/>
      <c r="B570" s="35"/>
      <c r="C570" s="35"/>
    </row>
    <row r="571" spans="1:3" x14ac:dyDescent="0.3">
      <c r="A571" s="35"/>
      <c r="B571" s="35"/>
      <c r="C571" s="35"/>
    </row>
    <row r="572" spans="1:3" x14ac:dyDescent="0.3">
      <c r="A572" s="35"/>
      <c r="B572" s="35"/>
      <c r="C572" s="36" t="s">
        <v>6215</v>
      </c>
    </row>
    <row r="573" spans="1:3" x14ac:dyDescent="0.3">
      <c r="A573" s="35"/>
      <c r="B573" s="35"/>
      <c r="C573" s="35"/>
    </row>
    <row r="574" spans="1:3" x14ac:dyDescent="0.3">
      <c r="A574" s="35"/>
      <c r="B574" s="35"/>
      <c r="C574" s="35"/>
    </row>
    <row r="575" spans="1:3" x14ac:dyDescent="0.3">
      <c r="A575" s="35"/>
      <c r="B575" s="35"/>
      <c r="C575" s="35"/>
    </row>
    <row r="576" spans="1:3" x14ac:dyDescent="0.3">
      <c r="A576" s="35"/>
      <c r="B576" s="35"/>
      <c r="C576" s="35"/>
    </row>
    <row r="577" spans="1:3" x14ac:dyDescent="0.3">
      <c r="A577" s="35"/>
      <c r="B577" s="35"/>
      <c r="C577" s="36" t="s">
        <v>6216</v>
      </c>
    </row>
    <row r="578" spans="1:3" x14ac:dyDescent="0.3">
      <c r="A578" s="35"/>
      <c r="B578" s="35"/>
      <c r="C578" s="35"/>
    </row>
    <row r="579" spans="1:3" x14ac:dyDescent="0.3">
      <c r="A579" s="35"/>
      <c r="B579" s="35"/>
      <c r="C579" s="35"/>
    </row>
    <row r="580" spans="1:3" x14ac:dyDescent="0.3">
      <c r="A580" s="35"/>
      <c r="B580" s="35"/>
      <c r="C580" s="35"/>
    </row>
    <row r="581" spans="1:3" x14ac:dyDescent="0.3">
      <c r="A581" s="35"/>
      <c r="B581" s="35"/>
      <c r="C581" s="35"/>
    </row>
    <row r="582" spans="1:3" x14ac:dyDescent="0.3">
      <c r="A582" s="35"/>
      <c r="B582" s="35"/>
      <c r="C582" s="35" t="s">
        <v>6217</v>
      </c>
    </row>
    <row r="583" spans="1:3" x14ac:dyDescent="0.3">
      <c r="A583" s="35"/>
      <c r="B583" s="35"/>
      <c r="C583" s="35"/>
    </row>
    <row r="584" spans="1:3" x14ac:dyDescent="0.3">
      <c r="A584" s="35"/>
      <c r="B584" s="35"/>
      <c r="C584" s="35"/>
    </row>
    <row r="585" spans="1:3" x14ac:dyDescent="0.3">
      <c r="A585" s="35"/>
      <c r="B585" s="35"/>
      <c r="C585" s="35"/>
    </row>
    <row r="586" spans="1:3" x14ac:dyDescent="0.3">
      <c r="A586" s="35"/>
      <c r="B586" s="35"/>
      <c r="C586" s="35"/>
    </row>
    <row r="587" spans="1:3" x14ac:dyDescent="0.3">
      <c r="A587" s="35"/>
      <c r="B587" s="35"/>
      <c r="C587" s="35" t="s">
        <v>6218</v>
      </c>
    </row>
    <row r="588" spans="1:3" x14ac:dyDescent="0.3">
      <c r="A588" s="35"/>
      <c r="B588" s="35"/>
      <c r="C588" s="35"/>
    </row>
    <row r="589" spans="1:3" x14ac:dyDescent="0.3">
      <c r="A589" s="35"/>
      <c r="B589" s="35"/>
      <c r="C589" s="35"/>
    </row>
    <row r="590" spans="1:3" x14ac:dyDescent="0.3">
      <c r="A590" s="35"/>
      <c r="B590" s="35"/>
      <c r="C590" s="35"/>
    </row>
    <row r="591" spans="1:3" x14ac:dyDescent="0.3">
      <c r="A591" s="35"/>
      <c r="B591" s="35"/>
      <c r="C591" s="35"/>
    </row>
    <row r="592" spans="1:3" x14ac:dyDescent="0.3">
      <c r="A592" s="35"/>
      <c r="B592" s="35"/>
      <c r="C592" s="35" t="s">
        <v>6219</v>
      </c>
    </row>
    <row r="593" spans="1:3" x14ac:dyDescent="0.3">
      <c r="A593" s="35"/>
      <c r="B593" s="35"/>
      <c r="C593" s="35"/>
    </row>
    <row r="594" spans="1:3" x14ac:dyDescent="0.3">
      <c r="A594" s="35"/>
      <c r="B594" s="35"/>
      <c r="C594" s="35"/>
    </row>
    <row r="595" spans="1:3" x14ac:dyDescent="0.3">
      <c r="A595" s="35"/>
      <c r="B595" s="35"/>
      <c r="C595" s="35"/>
    </row>
    <row r="596" spans="1:3" x14ac:dyDescent="0.3">
      <c r="A596" s="35"/>
      <c r="B596" s="35"/>
      <c r="C596" s="35"/>
    </row>
    <row r="597" spans="1:3" x14ac:dyDescent="0.3">
      <c r="A597" s="35"/>
      <c r="B597" s="35"/>
      <c r="C597" s="35" t="s">
        <v>6220</v>
      </c>
    </row>
    <row r="598" spans="1:3" x14ac:dyDescent="0.3">
      <c r="A598" s="35"/>
      <c r="B598" s="35"/>
      <c r="C598" s="35"/>
    </row>
    <row r="599" spans="1:3" x14ac:dyDescent="0.3">
      <c r="A599" s="35"/>
      <c r="B599" s="35"/>
      <c r="C599" s="35"/>
    </row>
    <row r="600" spans="1:3" x14ac:dyDescent="0.3">
      <c r="A600" s="35"/>
      <c r="B600" s="35"/>
      <c r="C600" s="35"/>
    </row>
    <row r="601" spans="1:3" x14ac:dyDescent="0.3">
      <c r="A601" s="35"/>
      <c r="B601" s="35"/>
      <c r="C601" s="35"/>
    </row>
    <row r="602" spans="1:3" x14ac:dyDescent="0.3">
      <c r="A602" s="35"/>
      <c r="B602" s="35" t="s">
        <v>6221</v>
      </c>
      <c r="C602" s="35" t="s">
        <v>6222</v>
      </c>
    </row>
    <row r="603" spans="1:3" x14ac:dyDescent="0.3">
      <c r="A603" s="35"/>
      <c r="B603" s="35"/>
      <c r="C603" s="35"/>
    </row>
    <row r="604" spans="1:3" x14ac:dyDescent="0.3">
      <c r="A604" s="35"/>
      <c r="B604" s="35"/>
      <c r="C604" s="35"/>
    </row>
    <row r="605" spans="1:3" x14ac:dyDescent="0.3">
      <c r="A605" s="35"/>
      <c r="B605" s="35"/>
      <c r="C605" s="35"/>
    </row>
    <row r="606" spans="1:3" x14ac:dyDescent="0.3">
      <c r="A606" s="35"/>
      <c r="B606" s="35"/>
      <c r="C606" s="35"/>
    </row>
    <row r="607" spans="1:3" x14ac:dyDescent="0.3">
      <c r="A607" s="35"/>
      <c r="B607" s="35"/>
      <c r="C607" s="35" t="s">
        <v>6223</v>
      </c>
    </row>
    <row r="608" spans="1:3" x14ac:dyDescent="0.3">
      <c r="A608" s="35"/>
      <c r="B608" s="35"/>
      <c r="C608" s="35"/>
    </row>
    <row r="609" spans="1:3" x14ac:dyDescent="0.3">
      <c r="A609" s="35"/>
      <c r="B609" s="35"/>
      <c r="C609" s="35"/>
    </row>
    <row r="610" spans="1:3" x14ac:dyDescent="0.3">
      <c r="A610" s="35"/>
      <c r="B610" s="35"/>
      <c r="C610" s="35"/>
    </row>
    <row r="611" spans="1:3" x14ac:dyDescent="0.3">
      <c r="A611" s="35"/>
      <c r="B611" s="35"/>
      <c r="C611" s="35"/>
    </row>
    <row r="612" spans="1:3" x14ac:dyDescent="0.3">
      <c r="A612" s="35"/>
      <c r="B612" s="35"/>
      <c r="C612" s="36" t="s">
        <v>6224</v>
      </c>
    </row>
    <row r="613" spans="1:3" x14ac:dyDescent="0.3">
      <c r="A613" s="35"/>
      <c r="B613" s="35"/>
      <c r="C613" s="35"/>
    </row>
    <row r="614" spans="1:3" x14ac:dyDescent="0.3">
      <c r="A614" s="35"/>
      <c r="B614" s="35"/>
      <c r="C614" s="35"/>
    </row>
    <row r="615" spans="1:3" x14ac:dyDescent="0.3">
      <c r="A615" s="35"/>
      <c r="B615" s="35"/>
      <c r="C615" s="35"/>
    </row>
    <row r="616" spans="1:3" x14ac:dyDescent="0.3">
      <c r="A616" s="35"/>
      <c r="B616" s="35"/>
      <c r="C616" s="35"/>
    </row>
    <row r="617" spans="1:3" x14ac:dyDescent="0.3">
      <c r="A617" s="35"/>
      <c r="B617" s="35"/>
      <c r="C617" s="35" t="s">
        <v>6225</v>
      </c>
    </row>
    <row r="618" spans="1:3" x14ac:dyDescent="0.3">
      <c r="A618" s="35"/>
      <c r="B618" s="35"/>
      <c r="C618" s="35"/>
    </row>
    <row r="619" spans="1:3" x14ac:dyDescent="0.3">
      <c r="A619" s="35"/>
      <c r="B619" s="35"/>
      <c r="C619" s="35"/>
    </row>
    <row r="620" spans="1:3" x14ac:dyDescent="0.3">
      <c r="A620" s="35"/>
      <c r="B620" s="35"/>
      <c r="C620" s="35"/>
    </row>
    <row r="621" spans="1:3" x14ac:dyDescent="0.3">
      <c r="A621" s="35"/>
      <c r="B621" s="35"/>
      <c r="C621" s="35"/>
    </row>
    <row r="622" spans="1:3" x14ac:dyDescent="0.3">
      <c r="A622" s="35"/>
      <c r="B622" s="35"/>
      <c r="C622" s="36" t="s">
        <v>6226</v>
      </c>
    </row>
    <row r="623" spans="1:3" x14ac:dyDescent="0.3">
      <c r="A623" s="35"/>
      <c r="B623" s="35"/>
      <c r="C623" s="35"/>
    </row>
    <row r="624" spans="1:3" x14ac:dyDescent="0.3">
      <c r="A624" s="35"/>
      <c r="B624" s="35"/>
      <c r="C624" s="35"/>
    </row>
    <row r="625" spans="1:3" x14ac:dyDescent="0.3">
      <c r="A625" s="35"/>
      <c r="B625" s="35"/>
      <c r="C625" s="35"/>
    </row>
    <row r="626" spans="1:3" x14ac:dyDescent="0.3">
      <c r="A626" s="35"/>
      <c r="B626" s="35"/>
      <c r="C626" s="35"/>
    </row>
    <row r="627" spans="1:3" x14ac:dyDescent="0.3">
      <c r="A627" s="35"/>
      <c r="B627" s="35"/>
      <c r="C627" s="35" t="s">
        <v>6227</v>
      </c>
    </row>
    <row r="628" spans="1:3" x14ac:dyDescent="0.3">
      <c r="A628" s="35"/>
      <c r="B628" s="35"/>
      <c r="C628" s="35"/>
    </row>
    <row r="629" spans="1:3" x14ac:dyDescent="0.3">
      <c r="A629" s="35"/>
      <c r="B629" s="35"/>
      <c r="C629" s="35"/>
    </row>
    <row r="630" spans="1:3" x14ac:dyDescent="0.3">
      <c r="A630" s="35"/>
      <c r="B630" s="35"/>
      <c r="C630" s="35"/>
    </row>
    <row r="631" spans="1:3" x14ac:dyDescent="0.3">
      <c r="A631" s="35"/>
      <c r="B631" s="35"/>
      <c r="C631" s="35"/>
    </row>
    <row r="632" spans="1:3" x14ac:dyDescent="0.3">
      <c r="A632" s="35"/>
      <c r="B632" s="35"/>
      <c r="C632" s="36" t="s">
        <v>6228</v>
      </c>
    </row>
    <row r="633" spans="1:3" x14ac:dyDescent="0.3">
      <c r="A633" s="35"/>
      <c r="B633" s="35"/>
      <c r="C633" s="35"/>
    </row>
    <row r="634" spans="1:3" x14ac:dyDescent="0.3">
      <c r="A634" s="35"/>
      <c r="B634" s="35"/>
      <c r="C634" s="35"/>
    </row>
    <row r="635" spans="1:3" x14ac:dyDescent="0.3">
      <c r="A635" s="35"/>
      <c r="B635" s="35"/>
      <c r="C635" s="35"/>
    </row>
    <row r="636" spans="1:3" x14ac:dyDescent="0.3">
      <c r="A636" s="35"/>
      <c r="B636" s="35"/>
      <c r="C636" s="35"/>
    </row>
    <row r="637" spans="1:3" x14ac:dyDescent="0.3">
      <c r="A637" s="35"/>
      <c r="B637" s="35"/>
      <c r="C637" s="35" t="s">
        <v>6229</v>
      </c>
    </row>
    <row r="638" spans="1:3" x14ac:dyDescent="0.3">
      <c r="A638" s="35"/>
      <c r="B638" s="35"/>
      <c r="C638" s="35"/>
    </row>
    <row r="639" spans="1:3" x14ac:dyDescent="0.3">
      <c r="A639" s="35"/>
      <c r="B639" s="35"/>
      <c r="C639" s="35"/>
    </row>
    <row r="640" spans="1:3" x14ac:dyDescent="0.3">
      <c r="A640" s="35"/>
      <c r="B640" s="35"/>
      <c r="C640" s="35"/>
    </row>
    <row r="641" spans="1:3" x14ac:dyDescent="0.3">
      <c r="A641" s="35"/>
      <c r="B641" s="35"/>
      <c r="C641" s="35"/>
    </row>
    <row r="642" spans="1:3" x14ac:dyDescent="0.3">
      <c r="A642" s="35"/>
      <c r="B642" s="35"/>
      <c r="C642" s="36" t="s">
        <v>6230</v>
      </c>
    </row>
    <row r="643" spans="1:3" x14ac:dyDescent="0.3">
      <c r="A643" s="35"/>
      <c r="B643" s="35"/>
      <c r="C643" s="35"/>
    </row>
    <row r="644" spans="1:3" x14ac:dyDescent="0.3">
      <c r="A644" s="35"/>
      <c r="B644" s="35"/>
      <c r="C644" s="35"/>
    </row>
    <row r="645" spans="1:3" x14ac:dyDescent="0.3">
      <c r="A645" s="35"/>
      <c r="B645" s="35"/>
      <c r="C645" s="35"/>
    </row>
    <row r="646" spans="1:3" x14ac:dyDescent="0.3">
      <c r="A646" s="35"/>
      <c r="B646" s="35"/>
      <c r="C646" s="35"/>
    </row>
    <row r="647" spans="1:3" x14ac:dyDescent="0.3">
      <c r="A647" s="35"/>
      <c r="B647" s="35"/>
      <c r="C647" s="36" t="s">
        <v>6231</v>
      </c>
    </row>
    <row r="648" spans="1:3" x14ac:dyDescent="0.3">
      <c r="A648" s="35"/>
      <c r="B648" s="35"/>
      <c r="C648" s="35"/>
    </row>
    <row r="649" spans="1:3" x14ac:dyDescent="0.3">
      <c r="A649" s="35"/>
      <c r="B649" s="35"/>
      <c r="C649" s="35"/>
    </row>
    <row r="650" spans="1:3" x14ac:dyDescent="0.3">
      <c r="A650" s="35"/>
      <c r="B650" s="35"/>
      <c r="C650" s="35"/>
    </row>
    <row r="651" spans="1:3" x14ac:dyDescent="0.3">
      <c r="A651" s="35"/>
      <c r="B651" s="35"/>
      <c r="C651" s="35"/>
    </row>
    <row r="652" spans="1:3" x14ac:dyDescent="0.3">
      <c r="A652" s="35"/>
      <c r="B652" s="36" t="s">
        <v>6232</v>
      </c>
      <c r="C652" s="36" t="s">
        <v>6233</v>
      </c>
    </row>
    <row r="653" spans="1:3" x14ac:dyDescent="0.3">
      <c r="A653" s="35"/>
      <c r="B653" s="35"/>
      <c r="C653" s="35"/>
    </row>
    <row r="654" spans="1:3" x14ac:dyDescent="0.3">
      <c r="A654" s="35"/>
      <c r="B654" s="35"/>
      <c r="C654" s="35"/>
    </row>
    <row r="655" spans="1:3" x14ac:dyDescent="0.3">
      <c r="A655" s="35"/>
      <c r="B655" s="35"/>
      <c r="C655" s="35"/>
    </row>
    <row r="656" spans="1:3" x14ac:dyDescent="0.3">
      <c r="A656" s="35"/>
      <c r="B656" s="35"/>
      <c r="C656" s="35"/>
    </row>
    <row r="657" spans="1:3" x14ac:dyDescent="0.3">
      <c r="A657" s="35"/>
      <c r="B657" s="35"/>
      <c r="C657" s="36" t="s">
        <v>6234</v>
      </c>
    </row>
    <row r="658" spans="1:3" x14ac:dyDescent="0.3">
      <c r="A658" s="35"/>
      <c r="B658" s="35"/>
      <c r="C658" s="35"/>
    </row>
    <row r="659" spans="1:3" x14ac:dyDescent="0.3">
      <c r="A659" s="35"/>
      <c r="B659" s="35"/>
      <c r="C659" s="35"/>
    </row>
    <row r="660" spans="1:3" x14ac:dyDescent="0.3">
      <c r="A660" s="35"/>
      <c r="B660" s="35"/>
      <c r="C660" s="35"/>
    </row>
    <row r="661" spans="1:3" x14ac:dyDescent="0.3">
      <c r="A661" s="35"/>
      <c r="B661" s="35"/>
      <c r="C661" s="35"/>
    </row>
    <row r="662" spans="1:3" x14ac:dyDescent="0.3">
      <c r="A662" s="35"/>
      <c r="B662" s="35"/>
      <c r="C662" s="35" t="s">
        <v>6235</v>
      </c>
    </row>
    <row r="663" spans="1:3" x14ac:dyDescent="0.3">
      <c r="A663" s="35"/>
      <c r="B663" s="35"/>
      <c r="C663" s="35"/>
    </row>
    <row r="664" spans="1:3" x14ac:dyDescent="0.3">
      <c r="A664" s="35"/>
      <c r="B664" s="35"/>
      <c r="C664" s="35"/>
    </row>
    <row r="665" spans="1:3" x14ac:dyDescent="0.3">
      <c r="A665" s="35"/>
      <c r="B665" s="35"/>
      <c r="C665" s="35"/>
    </row>
    <row r="666" spans="1:3" x14ac:dyDescent="0.3">
      <c r="A666" s="35"/>
      <c r="B666" s="35"/>
      <c r="C666" s="35"/>
    </row>
    <row r="667" spans="1:3" x14ac:dyDescent="0.3">
      <c r="A667" s="35"/>
      <c r="B667" s="35"/>
      <c r="C667" s="35" t="s">
        <v>6236</v>
      </c>
    </row>
    <row r="668" spans="1:3" x14ac:dyDescent="0.3">
      <c r="A668" s="35"/>
      <c r="B668" s="35"/>
      <c r="C668" s="35"/>
    </row>
    <row r="669" spans="1:3" x14ac:dyDescent="0.3">
      <c r="A669" s="35"/>
      <c r="B669" s="35"/>
      <c r="C669" s="35"/>
    </row>
    <row r="670" spans="1:3" x14ac:dyDescent="0.3">
      <c r="A670" s="35"/>
      <c r="B670" s="35"/>
      <c r="C670" s="35"/>
    </row>
    <row r="671" spans="1:3" x14ac:dyDescent="0.3">
      <c r="A671" s="35"/>
      <c r="B671" s="35"/>
      <c r="C671" s="35"/>
    </row>
    <row r="672" spans="1:3" x14ac:dyDescent="0.3">
      <c r="A672" s="35"/>
      <c r="B672" s="35"/>
      <c r="C672" s="36" t="s">
        <v>6237</v>
      </c>
    </row>
    <row r="673" spans="1:3" x14ac:dyDescent="0.3">
      <c r="A673" s="35"/>
      <c r="B673" s="35"/>
      <c r="C673" s="35"/>
    </row>
    <row r="674" spans="1:3" x14ac:dyDescent="0.3">
      <c r="A674" s="35"/>
      <c r="B674" s="35"/>
      <c r="C674" s="35"/>
    </row>
    <row r="675" spans="1:3" x14ac:dyDescent="0.3">
      <c r="A675" s="35"/>
      <c r="B675" s="35"/>
      <c r="C675" s="35"/>
    </row>
    <row r="676" spans="1:3" x14ac:dyDescent="0.3">
      <c r="A676" s="35"/>
      <c r="B676" s="35"/>
      <c r="C676" s="35"/>
    </row>
    <row r="677" spans="1:3" x14ac:dyDescent="0.3">
      <c r="A677" s="35"/>
      <c r="B677" s="35"/>
      <c r="C677" s="36" t="s">
        <v>6238</v>
      </c>
    </row>
    <row r="678" spans="1:3" x14ac:dyDescent="0.3">
      <c r="A678" s="35"/>
      <c r="B678" s="35"/>
      <c r="C678" s="35"/>
    </row>
    <row r="679" spans="1:3" x14ac:dyDescent="0.3">
      <c r="A679" s="35"/>
      <c r="B679" s="35"/>
      <c r="C679" s="35"/>
    </row>
    <row r="680" spans="1:3" x14ac:dyDescent="0.3">
      <c r="A680" s="35"/>
      <c r="B680" s="35"/>
      <c r="C680" s="35"/>
    </row>
    <row r="681" spans="1:3" x14ac:dyDescent="0.3">
      <c r="A681" s="35"/>
      <c r="B681" s="35"/>
      <c r="C681" s="35"/>
    </row>
    <row r="682" spans="1:3" x14ac:dyDescent="0.3">
      <c r="A682" s="35"/>
      <c r="B682" s="35"/>
      <c r="C682" s="35" t="s">
        <v>6239</v>
      </c>
    </row>
    <row r="683" spans="1:3" x14ac:dyDescent="0.3">
      <c r="A683" s="35"/>
      <c r="B683" s="35"/>
      <c r="C683" s="35"/>
    </row>
    <row r="684" spans="1:3" x14ac:dyDescent="0.3">
      <c r="A684" s="35"/>
      <c r="B684" s="35"/>
      <c r="C684" s="35"/>
    </row>
    <row r="685" spans="1:3" x14ac:dyDescent="0.3">
      <c r="A685" s="35"/>
      <c r="B685" s="35"/>
      <c r="C685" s="35"/>
    </row>
    <row r="686" spans="1:3" x14ac:dyDescent="0.3">
      <c r="A686" s="35"/>
      <c r="B686" s="35"/>
      <c r="C686" s="35"/>
    </row>
    <row r="687" spans="1:3" x14ac:dyDescent="0.3">
      <c r="A687" s="35"/>
      <c r="B687" s="35"/>
      <c r="C687" s="35" t="s">
        <v>6240</v>
      </c>
    </row>
    <row r="688" spans="1:3" x14ac:dyDescent="0.3">
      <c r="A688" s="35"/>
      <c r="B688" s="35"/>
      <c r="C688" s="35"/>
    </row>
    <row r="689" spans="1:3" x14ac:dyDescent="0.3">
      <c r="A689" s="35"/>
      <c r="B689" s="35"/>
      <c r="C689" s="35"/>
    </row>
    <row r="690" spans="1:3" x14ac:dyDescent="0.3">
      <c r="A690" s="35"/>
      <c r="B690" s="35"/>
      <c r="C690" s="35"/>
    </row>
    <row r="691" spans="1:3" x14ac:dyDescent="0.3">
      <c r="A691" s="35"/>
      <c r="B691" s="35"/>
      <c r="C691" s="35"/>
    </row>
    <row r="692" spans="1:3" x14ac:dyDescent="0.3">
      <c r="A692" s="35"/>
      <c r="B692" s="35"/>
      <c r="C692" s="36" t="s">
        <v>6241</v>
      </c>
    </row>
    <row r="693" spans="1:3" x14ac:dyDescent="0.3">
      <c r="A693" s="35"/>
      <c r="B693" s="35"/>
      <c r="C693" s="35"/>
    </row>
    <row r="694" spans="1:3" x14ac:dyDescent="0.3">
      <c r="A694" s="35"/>
      <c r="B694" s="35"/>
      <c r="C694" s="35"/>
    </row>
    <row r="695" spans="1:3" x14ac:dyDescent="0.3">
      <c r="A695" s="35"/>
      <c r="B695" s="35"/>
      <c r="C695" s="35"/>
    </row>
    <row r="696" spans="1:3" x14ac:dyDescent="0.3">
      <c r="A696" s="35"/>
      <c r="B696" s="35"/>
      <c r="C696" s="35"/>
    </row>
    <row r="697" spans="1:3" x14ac:dyDescent="0.3">
      <c r="A697" s="35"/>
      <c r="B697" s="35"/>
      <c r="C697" s="35" t="s">
        <v>6242</v>
      </c>
    </row>
    <row r="698" spans="1:3" x14ac:dyDescent="0.3">
      <c r="A698" s="35"/>
      <c r="B698" s="35"/>
      <c r="C698" s="35"/>
    </row>
    <row r="699" spans="1:3" x14ac:dyDescent="0.3">
      <c r="A699" s="35"/>
      <c r="B699" s="35"/>
      <c r="C699" s="35"/>
    </row>
    <row r="700" spans="1:3" x14ac:dyDescent="0.3">
      <c r="A700" s="35"/>
      <c r="B700" s="35"/>
      <c r="C700" s="35"/>
    </row>
    <row r="701" spans="1:3" x14ac:dyDescent="0.3">
      <c r="A701" s="35"/>
      <c r="B701" s="35"/>
      <c r="C701" s="35"/>
    </row>
    <row r="702" spans="1:3" x14ac:dyDescent="0.3">
      <c r="A702" s="35"/>
      <c r="B702" s="35" t="s">
        <v>6243</v>
      </c>
      <c r="C702" s="35" t="s">
        <v>6244</v>
      </c>
    </row>
    <row r="703" spans="1:3" x14ac:dyDescent="0.3">
      <c r="A703" s="35"/>
      <c r="B703" s="35"/>
      <c r="C703" s="35"/>
    </row>
    <row r="704" spans="1:3" x14ac:dyDescent="0.3">
      <c r="A704" s="35"/>
      <c r="B704" s="35"/>
      <c r="C704" s="35"/>
    </row>
    <row r="705" spans="1:3" x14ac:dyDescent="0.3">
      <c r="A705" s="35"/>
      <c r="B705" s="35"/>
      <c r="C705" s="35"/>
    </row>
    <row r="706" spans="1:3" x14ac:dyDescent="0.3">
      <c r="A706" s="35"/>
      <c r="B706" s="35"/>
      <c r="C706" s="35"/>
    </row>
    <row r="707" spans="1:3" x14ac:dyDescent="0.3">
      <c r="A707" s="35"/>
      <c r="B707" s="35"/>
      <c r="C707" s="36" t="s">
        <v>6245</v>
      </c>
    </row>
    <row r="708" spans="1:3" x14ac:dyDescent="0.3">
      <c r="A708" s="35"/>
      <c r="B708" s="35"/>
      <c r="C708" s="35"/>
    </row>
    <row r="709" spans="1:3" x14ac:dyDescent="0.3">
      <c r="A709" s="35"/>
      <c r="B709" s="35"/>
      <c r="C709" s="35"/>
    </row>
    <row r="710" spans="1:3" x14ac:dyDescent="0.3">
      <c r="A710" s="35"/>
      <c r="B710" s="35"/>
      <c r="C710" s="35"/>
    </row>
    <row r="711" spans="1:3" x14ac:dyDescent="0.3">
      <c r="A711" s="35"/>
      <c r="B711" s="35"/>
      <c r="C711" s="35"/>
    </row>
    <row r="712" spans="1:3" x14ac:dyDescent="0.3">
      <c r="A712" s="35"/>
      <c r="B712" s="35"/>
      <c r="C712" s="35" t="s">
        <v>6246</v>
      </c>
    </row>
    <row r="713" spans="1:3" x14ac:dyDescent="0.3">
      <c r="A713" s="35"/>
      <c r="B713" s="35"/>
      <c r="C713" s="35"/>
    </row>
    <row r="714" spans="1:3" x14ac:dyDescent="0.3">
      <c r="A714" s="35"/>
      <c r="B714" s="35"/>
      <c r="C714" s="35"/>
    </row>
    <row r="715" spans="1:3" x14ac:dyDescent="0.3">
      <c r="A715" s="35"/>
      <c r="B715" s="35"/>
      <c r="C715" s="35"/>
    </row>
    <row r="716" spans="1:3" x14ac:dyDescent="0.3">
      <c r="A716" s="35"/>
      <c r="B716" s="35"/>
      <c r="C716" s="35"/>
    </row>
    <row r="717" spans="1:3" x14ac:dyDescent="0.3">
      <c r="A717" s="35"/>
      <c r="B717" s="35"/>
      <c r="C717" s="36" t="s">
        <v>6246</v>
      </c>
    </row>
    <row r="718" spans="1:3" x14ac:dyDescent="0.3">
      <c r="A718" s="35"/>
      <c r="B718" s="35"/>
      <c r="C718" s="35"/>
    </row>
    <row r="719" spans="1:3" x14ac:dyDescent="0.3">
      <c r="A719" s="35"/>
      <c r="B719" s="35"/>
      <c r="C719" s="35"/>
    </row>
    <row r="720" spans="1:3" x14ac:dyDescent="0.3">
      <c r="A720" s="35"/>
      <c r="B720" s="35"/>
      <c r="C720" s="35"/>
    </row>
    <row r="721" spans="1:3" x14ac:dyDescent="0.3">
      <c r="A721" s="35"/>
      <c r="B721" s="35"/>
      <c r="C721" s="35"/>
    </row>
    <row r="722" spans="1:3" x14ac:dyDescent="0.3">
      <c r="A722" s="35"/>
      <c r="B722" s="35"/>
      <c r="C722" s="35" t="s">
        <v>6247</v>
      </c>
    </row>
    <row r="723" spans="1:3" x14ac:dyDescent="0.3">
      <c r="A723" s="35"/>
      <c r="B723" s="35"/>
      <c r="C723" s="35"/>
    </row>
    <row r="724" spans="1:3" x14ac:dyDescent="0.3">
      <c r="A724" s="35"/>
      <c r="B724" s="35"/>
      <c r="C724" s="35"/>
    </row>
    <row r="725" spans="1:3" x14ac:dyDescent="0.3">
      <c r="A725" s="35"/>
      <c r="B725" s="35"/>
      <c r="C725" s="35"/>
    </row>
    <row r="726" spans="1:3" x14ac:dyDescent="0.3">
      <c r="A726" s="35"/>
      <c r="B726" s="35"/>
      <c r="C726" s="35"/>
    </row>
    <row r="727" spans="1:3" x14ac:dyDescent="0.3">
      <c r="A727" s="35"/>
      <c r="B727" s="35"/>
      <c r="C727" s="35" t="s">
        <v>6248</v>
      </c>
    </row>
    <row r="728" spans="1:3" x14ac:dyDescent="0.3">
      <c r="A728" s="35"/>
      <c r="B728" s="35"/>
      <c r="C728" s="35"/>
    </row>
    <row r="729" spans="1:3" x14ac:dyDescent="0.3">
      <c r="A729" s="35"/>
      <c r="B729" s="35"/>
      <c r="C729" s="35"/>
    </row>
    <row r="730" spans="1:3" x14ac:dyDescent="0.3">
      <c r="A730" s="35"/>
      <c r="B730" s="35"/>
      <c r="C730" s="35"/>
    </row>
    <row r="731" spans="1:3" x14ac:dyDescent="0.3">
      <c r="A731" s="35"/>
      <c r="B731" s="35"/>
      <c r="C731" s="35"/>
    </row>
  </sheetData>
  <mergeCells count="162">
    <mergeCell ref="C687:C691"/>
    <mergeCell ref="C692:C696"/>
    <mergeCell ref="C697:C701"/>
    <mergeCell ref="B702:B731"/>
    <mergeCell ref="C702:C706"/>
    <mergeCell ref="C707:C711"/>
    <mergeCell ref="C712:C716"/>
    <mergeCell ref="C717:C721"/>
    <mergeCell ref="C722:C726"/>
    <mergeCell ref="C727:C731"/>
    <mergeCell ref="C642:C646"/>
    <mergeCell ref="C647:C651"/>
    <mergeCell ref="B652:B701"/>
    <mergeCell ref="C652:C656"/>
    <mergeCell ref="C657:C661"/>
    <mergeCell ref="C662:C666"/>
    <mergeCell ref="C667:C671"/>
    <mergeCell ref="C672:C676"/>
    <mergeCell ref="C677:C681"/>
    <mergeCell ref="C682:C686"/>
    <mergeCell ref="C597:C601"/>
    <mergeCell ref="B602:B651"/>
    <mergeCell ref="C602:C606"/>
    <mergeCell ref="C607:C611"/>
    <mergeCell ref="C612:C616"/>
    <mergeCell ref="C617:C621"/>
    <mergeCell ref="C622:C626"/>
    <mergeCell ref="C627:C631"/>
    <mergeCell ref="C632:C636"/>
    <mergeCell ref="C637:C641"/>
    <mergeCell ref="C552:C556"/>
    <mergeCell ref="B557:B601"/>
    <mergeCell ref="C557:C561"/>
    <mergeCell ref="C562:C566"/>
    <mergeCell ref="C567:C571"/>
    <mergeCell ref="C572:C576"/>
    <mergeCell ref="C577:C581"/>
    <mergeCell ref="C582:C586"/>
    <mergeCell ref="C587:C591"/>
    <mergeCell ref="C592:C596"/>
    <mergeCell ref="C507:C511"/>
    <mergeCell ref="B512:B556"/>
    <mergeCell ref="C512:C516"/>
    <mergeCell ref="C517:C521"/>
    <mergeCell ref="C522:C526"/>
    <mergeCell ref="C527:C531"/>
    <mergeCell ref="C532:C536"/>
    <mergeCell ref="C537:C541"/>
    <mergeCell ref="C542:C546"/>
    <mergeCell ref="C547:C551"/>
    <mergeCell ref="B462:B511"/>
    <mergeCell ref="C462:C466"/>
    <mergeCell ref="C467:C471"/>
    <mergeCell ref="C472:C476"/>
    <mergeCell ref="C477:C481"/>
    <mergeCell ref="C482:C486"/>
    <mergeCell ref="C487:C491"/>
    <mergeCell ref="C492:C496"/>
    <mergeCell ref="C497:C501"/>
    <mergeCell ref="C502:C506"/>
    <mergeCell ref="C417:C421"/>
    <mergeCell ref="B422:B461"/>
    <mergeCell ref="C422:C426"/>
    <mergeCell ref="C427:C431"/>
    <mergeCell ref="C432:C436"/>
    <mergeCell ref="C437:C441"/>
    <mergeCell ref="C442:C446"/>
    <mergeCell ref="C447:C451"/>
    <mergeCell ref="C452:C456"/>
    <mergeCell ref="C457:C461"/>
    <mergeCell ref="C372:C376"/>
    <mergeCell ref="C377:C381"/>
    <mergeCell ref="B382:B421"/>
    <mergeCell ref="C382:C386"/>
    <mergeCell ref="C387:C391"/>
    <mergeCell ref="C392:C396"/>
    <mergeCell ref="C397:C401"/>
    <mergeCell ref="C402:C406"/>
    <mergeCell ref="C407:C411"/>
    <mergeCell ref="C412:C416"/>
    <mergeCell ref="C327:C331"/>
    <mergeCell ref="B332:B381"/>
    <mergeCell ref="C332:C336"/>
    <mergeCell ref="C337:C341"/>
    <mergeCell ref="C342:C346"/>
    <mergeCell ref="C347:C351"/>
    <mergeCell ref="C352:C356"/>
    <mergeCell ref="C357:C361"/>
    <mergeCell ref="C362:C366"/>
    <mergeCell ref="C367:C371"/>
    <mergeCell ref="C297:C301"/>
    <mergeCell ref="C302:C306"/>
    <mergeCell ref="C307:C311"/>
    <mergeCell ref="C312:C316"/>
    <mergeCell ref="C317:C321"/>
    <mergeCell ref="C322:C326"/>
    <mergeCell ref="C252:C256"/>
    <mergeCell ref="C257:C261"/>
    <mergeCell ref="C262:C266"/>
    <mergeCell ref="C267:C271"/>
    <mergeCell ref="C272:C276"/>
    <mergeCell ref="B277:B331"/>
    <mergeCell ref="C277:C281"/>
    <mergeCell ref="C282:C286"/>
    <mergeCell ref="C287:C291"/>
    <mergeCell ref="C292:C296"/>
    <mergeCell ref="C207:C211"/>
    <mergeCell ref="C212:C216"/>
    <mergeCell ref="C217:C221"/>
    <mergeCell ref="B222:B276"/>
    <mergeCell ref="C222:C226"/>
    <mergeCell ref="C227:C231"/>
    <mergeCell ref="C232:C236"/>
    <mergeCell ref="C237:C241"/>
    <mergeCell ref="C242:C246"/>
    <mergeCell ref="C247:C251"/>
    <mergeCell ref="B162:B221"/>
    <mergeCell ref="C162:C166"/>
    <mergeCell ref="C167:C171"/>
    <mergeCell ref="C172:C176"/>
    <mergeCell ref="C177:C181"/>
    <mergeCell ref="C182:C186"/>
    <mergeCell ref="C187:C191"/>
    <mergeCell ref="C192:C196"/>
    <mergeCell ref="C197:C201"/>
    <mergeCell ref="C202:C206"/>
    <mergeCell ref="C132:C136"/>
    <mergeCell ref="C137:C141"/>
    <mergeCell ref="C142:C146"/>
    <mergeCell ref="C147:C151"/>
    <mergeCell ref="C152:C156"/>
    <mergeCell ref="C157:C161"/>
    <mergeCell ref="C87:C91"/>
    <mergeCell ref="C92:C96"/>
    <mergeCell ref="C97:C101"/>
    <mergeCell ref="C102:C106"/>
    <mergeCell ref="B107:B161"/>
    <mergeCell ref="C107:C111"/>
    <mergeCell ref="C112:C116"/>
    <mergeCell ref="C117:C121"/>
    <mergeCell ref="C122:C126"/>
    <mergeCell ref="C127:C131"/>
    <mergeCell ref="B42:B106"/>
    <mergeCell ref="C42:C46"/>
    <mergeCell ref="C47:C51"/>
    <mergeCell ref="C52:C56"/>
    <mergeCell ref="C57:C61"/>
    <mergeCell ref="C62:C66"/>
    <mergeCell ref="C67:C71"/>
    <mergeCell ref="C72:C76"/>
    <mergeCell ref="C77:C81"/>
    <mergeCell ref="C82:C86"/>
    <mergeCell ref="A2:A731"/>
    <mergeCell ref="B2:B41"/>
    <mergeCell ref="C2:C6"/>
    <mergeCell ref="C7:C11"/>
    <mergeCell ref="C12:C16"/>
    <mergeCell ref="C17:C21"/>
    <mergeCell ref="C22:C26"/>
    <mergeCell ref="C27:C31"/>
    <mergeCell ref="C32:C36"/>
    <mergeCell ref="C37:C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"/>
  <sheetViews>
    <sheetView workbookViewId="0">
      <selection sqref="A1:K187"/>
    </sheetView>
  </sheetViews>
  <sheetFormatPr baseColWidth="10" defaultRowHeight="14.4" x14ac:dyDescent="0.3"/>
  <cols>
    <col min="1" max="1" width="44.6640625" customWidth="1"/>
    <col min="2" max="2" width="51.77734375" customWidth="1"/>
    <col min="3" max="3" width="95.6640625" customWidth="1"/>
    <col min="4" max="4" width="55.5546875" customWidth="1"/>
    <col min="5" max="5" width="86" customWidth="1"/>
    <col min="6" max="6" width="15.6640625" customWidth="1"/>
    <col min="7" max="7" width="51.44140625" customWidth="1"/>
    <col min="8" max="8" width="109.5546875" customWidth="1"/>
    <col min="9" max="9" width="25.109375" customWidth="1"/>
    <col min="10" max="10" width="84.33203125" customWidth="1"/>
    <col min="11" max="11" width="82.21875" customWidth="1"/>
  </cols>
  <sheetData>
    <row r="1" spans="1:11" ht="18" x14ac:dyDescent="0.35">
      <c r="A1" s="29" t="s">
        <v>6249</v>
      </c>
      <c r="B1" s="29" t="s">
        <v>4216</v>
      </c>
      <c r="C1" s="29" t="s">
        <v>6250</v>
      </c>
      <c r="D1" s="29" t="s">
        <v>4218</v>
      </c>
      <c r="E1" s="29" t="s">
        <v>4219</v>
      </c>
      <c r="F1" s="29" t="s">
        <v>6251</v>
      </c>
      <c r="G1" s="29" t="s">
        <v>3064</v>
      </c>
      <c r="H1" s="29" t="s">
        <v>4222</v>
      </c>
      <c r="I1" s="29" t="s">
        <v>6252</v>
      </c>
      <c r="J1" s="29" t="s">
        <v>3067</v>
      </c>
      <c r="K1" s="29" t="s">
        <v>4224</v>
      </c>
    </row>
    <row r="2" spans="1:11" ht="15" x14ac:dyDescent="0.3">
      <c r="A2" s="41" t="s">
        <v>6253</v>
      </c>
      <c r="B2" s="42" t="s">
        <v>6254</v>
      </c>
      <c r="C2" s="43" t="s">
        <v>6255</v>
      </c>
      <c r="D2" s="44" t="s">
        <v>6256</v>
      </c>
      <c r="E2" s="44" t="s">
        <v>6257</v>
      </c>
      <c r="F2" s="44" t="s">
        <v>3195</v>
      </c>
      <c r="G2" s="44" t="s">
        <v>6258</v>
      </c>
      <c r="H2" t="s">
        <v>6259</v>
      </c>
      <c r="I2" t="s">
        <v>6260</v>
      </c>
      <c r="J2" t="s">
        <v>6261</v>
      </c>
      <c r="K2" t="s">
        <v>6262</v>
      </c>
    </row>
    <row r="3" spans="1:11" ht="15" x14ac:dyDescent="0.3">
      <c r="A3" s="41"/>
      <c r="B3" s="42"/>
      <c r="C3" s="44"/>
      <c r="D3" s="44" t="s">
        <v>6263</v>
      </c>
      <c r="E3" s="44" t="s">
        <v>6264</v>
      </c>
      <c r="F3" s="44" t="s">
        <v>3195</v>
      </c>
      <c r="G3" s="44" t="s">
        <v>6265</v>
      </c>
      <c r="H3" t="s">
        <v>6266</v>
      </c>
      <c r="I3" t="s">
        <v>6267</v>
      </c>
      <c r="J3" t="s">
        <v>6268</v>
      </c>
      <c r="K3" t="s">
        <v>6269</v>
      </c>
    </row>
    <row r="4" spans="1:11" ht="15" x14ac:dyDescent="0.3">
      <c r="A4" s="41"/>
      <c r="B4" s="42"/>
      <c r="C4" s="44"/>
      <c r="D4" s="44" t="s">
        <v>6270</v>
      </c>
      <c r="E4" s="44" t="s">
        <v>6271</v>
      </c>
      <c r="F4" s="44" t="s">
        <v>3202</v>
      </c>
      <c r="G4" s="44" t="s">
        <v>6272</v>
      </c>
      <c r="H4" t="s">
        <v>6273</v>
      </c>
      <c r="I4" t="s">
        <v>6267</v>
      </c>
      <c r="J4" t="s">
        <v>6274</v>
      </c>
      <c r="K4" t="s">
        <v>6275</v>
      </c>
    </row>
    <row r="5" spans="1:11" ht="15" x14ac:dyDescent="0.3">
      <c r="A5" s="41"/>
      <c r="B5" s="42"/>
      <c r="C5" s="44"/>
      <c r="D5" s="44" t="s">
        <v>6276</v>
      </c>
      <c r="E5" s="44" t="s">
        <v>6277</v>
      </c>
      <c r="F5" s="44" t="s">
        <v>3195</v>
      </c>
      <c r="G5" s="44" t="s">
        <v>6278</v>
      </c>
      <c r="H5" t="s">
        <v>6279</v>
      </c>
      <c r="I5" t="s">
        <v>6260</v>
      </c>
      <c r="J5" t="s">
        <v>6280</v>
      </c>
      <c r="K5" t="s">
        <v>6281</v>
      </c>
    </row>
    <row r="6" spans="1:11" ht="15" x14ac:dyDescent="0.3">
      <c r="A6" s="41"/>
      <c r="B6" s="42"/>
      <c r="C6" s="44"/>
      <c r="D6" s="44" t="s">
        <v>6282</v>
      </c>
      <c r="E6" s="44" t="s">
        <v>6283</v>
      </c>
      <c r="F6" s="44" t="s">
        <v>3202</v>
      </c>
      <c r="G6" s="44" t="s">
        <v>6284</v>
      </c>
      <c r="H6" t="s">
        <v>6285</v>
      </c>
      <c r="I6" t="s">
        <v>4556</v>
      </c>
      <c r="J6" t="s">
        <v>6286</v>
      </c>
      <c r="K6" t="s">
        <v>6287</v>
      </c>
    </row>
    <row r="7" spans="1:11" ht="15" x14ac:dyDescent="0.3">
      <c r="A7" s="41"/>
      <c r="B7" s="42"/>
      <c r="C7" s="43" t="s">
        <v>6288</v>
      </c>
      <c r="D7" s="44" t="s">
        <v>6289</v>
      </c>
      <c r="E7" s="44" t="s">
        <v>6290</v>
      </c>
      <c r="F7" s="44" t="s">
        <v>3195</v>
      </c>
      <c r="G7" s="44" t="s">
        <v>6291</v>
      </c>
      <c r="H7" t="s">
        <v>6292</v>
      </c>
      <c r="I7" t="s">
        <v>6267</v>
      </c>
      <c r="J7" t="s">
        <v>6293</v>
      </c>
      <c r="K7" t="s">
        <v>6294</v>
      </c>
    </row>
    <row r="8" spans="1:11" ht="15" x14ac:dyDescent="0.3">
      <c r="A8" s="41"/>
      <c r="B8" s="42"/>
      <c r="C8" s="44"/>
      <c r="D8" s="44" t="s">
        <v>6295</v>
      </c>
      <c r="E8" s="44" t="s">
        <v>6296</v>
      </c>
      <c r="F8" s="44" t="s">
        <v>3195</v>
      </c>
      <c r="G8" s="44" t="s">
        <v>6297</v>
      </c>
      <c r="H8" t="s">
        <v>6298</v>
      </c>
      <c r="I8" t="s">
        <v>6267</v>
      </c>
      <c r="J8" t="s">
        <v>6299</v>
      </c>
      <c r="K8" t="s">
        <v>6300</v>
      </c>
    </row>
    <row r="9" spans="1:11" ht="15" x14ac:dyDescent="0.3">
      <c r="A9" s="41"/>
      <c r="B9" s="42"/>
      <c r="C9" s="44"/>
      <c r="D9" s="44" t="s">
        <v>6301</v>
      </c>
      <c r="E9" s="44" t="s">
        <v>6302</v>
      </c>
      <c r="F9" s="44" t="s">
        <v>3202</v>
      </c>
      <c r="G9" s="44" t="s">
        <v>6303</v>
      </c>
      <c r="H9" t="s">
        <v>6304</v>
      </c>
      <c r="I9" t="s">
        <v>4556</v>
      </c>
      <c r="J9" t="s">
        <v>6305</v>
      </c>
      <c r="K9" t="s">
        <v>6306</v>
      </c>
    </row>
    <row r="10" spans="1:11" ht="15" x14ac:dyDescent="0.3">
      <c r="A10" s="41"/>
      <c r="B10" s="42"/>
      <c r="C10" s="44"/>
      <c r="D10" s="44" t="s">
        <v>6307</v>
      </c>
      <c r="E10" s="44" t="s">
        <v>6308</v>
      </c>
      <c r="F10" s="44" t="s">
        <v>3195</v>
      </c>
      <c r="G10" s="44" t="s">
        <v>6309</v>
      </c>
      <c r="H10" t="s">
        <v>6310</v>
      </c>
      <c r="I10" t="s">
        <v>6267</v>
      </c>
      <c r="J10" t="s">
        <v>6311</v>
      </c>
      <c r="K10" t="s">
        <v>6312</v>
      </c>
    </row>
    <row r="11" spans="1:11" ht="15" x14ac:dyDescent="0.3">
      <c r="A11" s="41"/>
      <c r="B11" s="42"/>
      <c r="C11" s="44"/>
      <c r="D11" s="44" t="s">
        <v>6313</v>
      </c>
      <c r="E11" s="44" t="s">
        <v>6314</v>
      </c>
      <c r="F11" s="44" t="s">
        <v>3202</v>
      </c>
      <c r="G11" s="44" t="s">
        <v>6315</v>
      </c>
      <c r="H11" t="s">
        <v>6316</v>
      </c>
      <c r="I11" t="s">
        <v>6260</v>
      </c>
      <c r="J11" t="s">
        <v>6317</v>
      </c>
      <c r="K11" t="s">
        <v>6318</v>
      </c>
    </row>
    <row r="12" spans="1:11" ht="15" x14ac:dyDescent="0.3">
      <c r="A12" s="41"/>
      <c r="B12" s="42"/>
      <c r="C12" s="43" t="s">
        <v>6319</v>
      </c>
      <c r="D12" s="44" t="s">
        <v>6320</v>
      </c>
      <c r="E12" s="44" t="s">
        <v>6321</v>
      </c>
      <c r="F12" s="44" t="s">
        <v>3195</v>
      </c>
      <c r="G12" s="44" t="s">
        <v>6322</v>
      </c>
      <c r="H12" t="s">
        <v>6323</v>
      </c>
      <c r="I12" t="s">
        <v>4556</v>
      </c>
      <c r="J12" t="s">
        <v>6324</v>
      </c>
      <c r="K12" t="s">
        <v>6325</v>
      </c>
    </row>
    <row r="13" spans="1:11" ht="15" x14ac:dyDescent="0.3">
      <c r="A13" s="41"/>
      <c r="B13" s="42"/>
      <c r="C13" s="44"/>
      <c r="D13" s="44" t="s">
        <v>6326</v>
      </c>
      <c r="E13" s="44" t="s">
        <v>6327</v>
      </c>
      <c r="F13" s="44" t="s">
        <v>3195</v>
      </c>
      <c r="G13" s="44" t="s">
        <v>6328</v>
      </c>
      <c r="H13" t="s">
        <v>6329</v>
      </c>
      <c r="I13" t="s">
        <v>4556</v>
      </c>
      <c r="J13" t="s">
        <v>6330</v>
      </c>
      <c r="K13" t="s">
        <v>6331</v>
      </c>
    </row>
    <row r="14" spans="1:11" ht="15" x14ac:dyDescent="0.3">
      <c r="A14" s="41"/>
      <c r="B14" s="42"/>
      <c r="C14" s="44"/>
      <c r="D14" s="44" t="s">
        <v>6332</v>
      </c>
      <c r="E14" s="44" t="s">
        <v>6333</v>
      </c>
      <c r="F14" s="44" t="s">
        <v>3195</v>
      </c>
      <c r="G14" s="44" t="s">
        <v>6334</v>
      </c>
      <c r="H14" t="s">
        <v>6335</v>
      </c>
      <c r="I14" t="s">
        <v>6267</v>
      </c>
      <c r="J14" t="s">
        <v>6336</v>
      </c>
      <c r="K14" t="s">
        <v>6337</v>
      </c>
    </row>
    <row r="15" spans="1:11" ht="15" x14ac:dyDescent="0.3">
      <c r="A15" s="41"/>
      <c r="B15" s="42"/>
      <c r="C15" s="44"/>
      <c r="D15" s="44" t="s">
        <v>6338</v>
      </c>
      <c r="E15" s="44" t="s">
        <v>6339</v>
      </c>
      <c r="F15" s="44" t="s">
        <v>3202</v>
      </c>
      <c r="G15" s="44" t="s">
        <v>6340</v>
      </c>
      <c r="H15" t="s">
        <v>6341</v>
      </c>
      <c r="I15" t="s">
        <v>6267</v>
      </c>
      <c r="J15" t="s">
        <v>6342</v>
      </c>
      <c r="K15" t="s">
        <v>6343</v>
      </c>
    </row>
    <row r="16" spans="1:11" ht="15" x14ac:dyDescent="0.3">
      <c r="A16" s="41"/>
      <c r="B16" s="42"/>
      <c r="C16" s="44"/>
      <c r="D16" s="44" t="s">
        <v>6344</v>
      </c>
      <c r="E16" s="44" t="s">
        <v>6345</v>
      </c>
      <c r="F16" s="44" t="s">
        <v>3195</v>
      </c>
      <c r="G16" s="44" t="s">
        <v>6346</v>
      </c>
      <c r="H16" t="s">
        <v>6347</v>
      </c>
      <c r="I16" t="s">
        <v>6267</v>
      </c>
      <c r="J16" t="s">
        <v>6348</v>
      </c>
      <c r="K16" t="s">
        <v>6349</v>
      </c>
    </row>
    <row r="17" spans="1:11" ht="15" x14ac:dyDescent="0.3">
      <c r="A17" s="41"/>
      <c r="B17" s="42"/>
      <c r="C17" s="43" t="s">
        <v>6350</v>
      </c>
      <c r="D17" s="44" t="s">
        <v>6351</v>
      </c>
      <c r="E17" s="44" t="s">
        <v>6352</v>
      </c>
      <c r="F17" s="44" t="s">
        <v>3195</v>
      </c>
      <c r="G17" s="44" t="s">
        <v>6353</v>
      </c>
      <c r="H17" t="s">
        <v>6354</v>
      </c>
      <c r="I17" t="s">
        <v>6267</v>
      </c>
      <c r="J17" t="s">
        <v>6355</v>
      </c>
      <c r="K17" t="s">
        <v>6356</v>
      </c>
    </row>
    <row r="18" spans="1:11" ht="15" x14ac:dyDescent="0.3">
      <c r="A18" s="41"/>
      <c r="B18" s="42"/>
      <c r="C18" s="44"/>
      <c r="D18" s="44" t="s">
        <v>6357</v>
      </c>
      <c r="E18" s="44" t="s">
        <v>6358</v>
      </c>
      <c r="F18" s="44" t="s">
        <v>3202</v>
      </c>
      <c r="G18" s="44" t="s">
        <v>6359</v>
      </c>
      <c r="H18" t="s">
        <v>6360</v>
      </c>
      <c r="I18" t="s">
        <v>6267</v>
      </c>
      <c r="J18" t="s">
        <v>6361</v>
      </c>
      <c r="K18" t="s">
        <v>6362</v>
      </c>
    </row>
    <row r="19" spans="1:11" ht="15" x14ac:dyDescent="0.3">
      <c r="A19" s="41"/>
      <c r="B19" s="42"/>
      <c r="C19" s="44"/>
      <c r="D19" s="44" t="s">
        <v>6363</v>
      </c>
      <c r="E19" s="44" t="s">
        <v>6364</v>
      </c>
      <c r="F19" s="44" t="s">
        <v>3195</v>
      </c>
      <c r="G19" s="44" t="s">
        <v>6365</v>
      </c>
      <c r="H19" t="s">
        <v>6366</v>
      </c>
      <c r="I19" t="s">
        <v>6267</v>
      </c>
      <c r="J19" t="s">
        <v>6367</v>
      </c>
      <c r="K19" t="s">
        <v>6368</v>
      </c>
    </row>
    <row r="20" spans="1:11" ht="30" x14ac:dyDescent="0.3">
      <c r="A20" s="41"/>
      <c r="B20" s="42"/>
      <c r="C20" s="44"/>
      <c r="D20" s="44" t="s">
        <v>6369</v>
      </c>
      <c r="E20" s="44" t="s">
        <v>6370</v>
      </c>
      <c r="F20" s="44" t="s">
        <v>3202</v>
      </c>
      <c r="G20" s="44" t="s">
        <v>6371</v>
      </c>
      <c r="H20" t="s">
        <v>6372</v>
      </c>
      <c r="I20" t="s">
        <v>6260</v>
      </c>
      <c r="J20" t="s">
        <v>6373</v>
      </c>
      <c r="K20" t="s">
        <v>6374</v>
      </c>
    </row>
    <row r="21" spans="1:11" ht="15" x14ac:dyDescent="0.3">
      <c r="A21" s="41"/>
      <c r="B21" s="42"/>
      <c r="C21" s="44"/>
      <c r="D21" s="44" t="s">
        <v>6375</v>
      </c>
      <c r="E21" s="44" t="s">
        <v>6376</v>
      </c>
      <c r="F21" s="44" t="s">
        <v>3195</v>
      </c>
      <c r="G21" s="44" t="s">
        <v>6377</v>
      </c>
      <c r="H21" t="s">
        <v>6378</v>
      </c>
      <c r="I21" t="s">
        <v>6267</v>
      </c>
      <c r="J21" t="s">
        <v>6379</v>
      </c>
      <c r="K21" t="s">
        <v>6380</v>
      </c>
    </row>
    <row r="22" spans="1:11" ht="15" x14ac:dyDescent="0.3">
      <c r="A22" s="41"/>
      <c r="B22" s="42"/>
      <c r="C22" s="43" t="s">
        <v>6381</v>
      </c>
      <c r="D22" s="44" t="s">
        <v>6382</v>
      </c>
      <c r="E22" s="44" t="s">
        <v>6383</v>
      </c>
      <c r="F22" s="44" t="s">
        <v>3195</v>
      </c>
      <c r="G22" s="44" t="s">
        <v>6384</v>
      </c>
      <c r="H22" t="s">
        <v>6385</v>
      </c>
      <c r="I22" t="s">
        <v>6267</v>
      </c>
      <c r="J22" t="s">
        <v>6386</v>
      </c>
      <c r="K22" t="s">
        <v>6387</v>
      </c>
    </row>
    <row r="23" spans="1:11" ht="15" x14ac:dyDescent="0.3">
      <c r="A23" s="41"/>
      <c r="B23" s="42"/>
      <c r="C23" s="44"/>
      <c r="D23" s="44" t="s">
        <v>6388</v>
      </c>
      <c r="E23" s="44" t="s">
        <v>6389</v>
      </c>
      <c r="F23" s="44" t="s">
        <v>3202</v>
      </c>
      <c r="G23" s="44" t="s">
        <v>6390</v>
      </c>
      <c r="H23" t="s">
        <v>6391</v>
      </c>
      <c r="I23" t="s">
        <v>6260</v>
      </c>
      <c r="J23" t="s">
        <v>6392</v>
      </c>
      <c r="K23" t="s">
        <v>6393</v>
      </c>
    </row>
    <row r="24" spans="1:11" ht="15" x14ac:dyDescent="0.3">
      <c r="A24" s="41"/>
      <c r="B24" s="42"/>
      <c r="C24" s="44"/>
      <c r="D24" s="44" t="s">
        <v>6394</v>
      </c>
      <c r="E24" s="44" t="s">
        <v>6395</v>
      </c>
      <c r="F24" s="44" t="s">
        <v>3195</v>
      </c>
      <c r="G24" s="44" t="s">
        <v>6396</v>
      </c>
      <c r="H24" t="s">
        <v>6397</v>
      </c>
      <c r="I24" t="s">
        <v>6267</v>
      </c>
      <c r="J24" t="s">
        <v>6398</v>
      </c>
      <c r="K24" t="s">
        <v>6399</v>
      </c>
    </row>
    <row r="25" spans="1:11" ht="15" x14ac:dyDescent="0.3">
      <c r="A25" s="41"/>
      <c r="B25" s="42"/>
      <c r="C25" s="44"/>
      <c r="D25" s="44" t="s">
        <v>6400</v>
      </c>
      <c r="E25" s="44" t="s">
        <v>6401</v>
      </c>
      <c r="F25" s="44" t="s">
        <v>6402</v>
      </c>
      <c r="G25" s="44" t="s">
        <v>6403</v>
      </c>
      <c r="H25" t="s">
        <v>6404</v>
      </c>
      <c r="I25" t="s">
        <v>6267</v>
      </c>
      <c r="J25" t="s">
        <v>6405</v>
      </c>
      <c r="K25" t="s">
        <v>6406</v>
      </c>
    </row>
    <row r="26" spans="1:11" ht="15" x14ac:dyDescent="0.3">
      <c r="A26" s="41"/>
      <c r="B26" s="42"/>
      <c r="C26" s="44"/>
      <c r="D26" s="44" t="s">
        <v>6407</v>
      </c>
      <c r="E26" s="44" t="s">
        <v>6408</v>
      </c>
      <c r="F26" s="44" t="s">
        <v>3195</v>
      </c>
      <c r="G26" s="44" t="s">
        <v>6409</v>
      </c>
      <c r="H26" t="s">
        <v>6410</v>
      </c>
      <c r="I26" t="s">
        <v>4556</v>
      </c>
      <c r="J26" t="s">
        <v>6411</v>
      </c>
      <c r="K26" t="s">
        <v>6412</v>
      </c>
    </row>
    <row r="27" spans="1:11" ht="15" x14ac:dyDescent="0.3">
      <c r="A27" s="41"/>
      <c r="B27" s="42"/>
      <c r="C27" s="43" t="s">
        <v>6413</v>
      </c>
      <c r="D27" s="44" t="s">
        <v>6414</v>
      </c>
      <c r="E27" s="44" t="s">
        <v>6415</v>
      </c>
      <c r="F27" s="44" t="s">
        <v>3195</v>
      </c>
      <c r="G27" s="44" t="s">
        <v>6416</v>
      </c>
      <c r="H27" t="s">
        <v>6417</v>
      </c>
      <c r="I27" t="s">
        <v>6267</v>
      </c>
      <c r="J27" t="s">
        <v>6418</v>
      </c>
      <c r="K27" t="s">
        <v>6419</v>
      </c>
    </row>
    <row r="28" spans="1:11" ht="15" x14ac:dyDescent="0.3">
      <c r="A28" s="41"/>
      <c r="B28" s="42"/>
      <c r="C28" s="44"/>
      <c r="D28" s="44" t="s">
        <v>6420</v>
      </c>
      <c r="E28" s="44" t="s">
        <v>6421</v>
      </c>
      <c r="F28" s="44" t="s">
        <v>3195</v>
      </c>
      <c r="G28" s="44" t="s">
        <v>6422</v>
      </c>
      <c r="H28" t="s">
        <v>6423</v>
      </c>
      <c r="I28" t="s">
        <v>6267</v>
      </c>
      <c r="J28" t="s">
        <v>6424</v>
      </c>
      <c r="K28" t="s">
        <v>6425</v>
      </c>
    </row>
    <row r="29" spans="1:11" ht="15" x14ac:dyDescent="0.3">
      <c r="A29" s="41"/>
      <c r="B29" s="42"/>
      <c r="C29" s="44"/>
      <c r="D29" s="44" t="s">
        <v>6426</v>
      </c>
      <c r="E29" s="44" t="s">
        <v>6427</v>
      </c>
      <c r="F29" s="44" t="s">
        <v>3195</v>
      </c>
      <c r="G29" s="44" t="s">
        <v>6428</v>
      </c>
      <c r="H29" t="s">
        <v>6429</v>
      </c>
      <c r="I29" t="s">
        <v>6267</v>
      </c>
      <c r="J29" t="s">
        <v>6430</v>
      </c>
      <c r="K29" t="s">
        <v>6431</v>
      </c>
    </row>
    <row r="30" spans="1:11" ht="15" x14ac:dyDescent="0.3">
      <c r="A30" s="41"/>
      <c r="B30" s="42"/>
      <c r="C30" s="44"/>
      <c r="D30" s="44" t="s">
        <v>6432</v>
      </c>
      <c r="E30" s="44" t="s">
        <v>6433</v>
      </c>
      <c r="F30" s="44" t="s">
        <v>3202</v>
      </c>
      <c r="G30" s="44" t="s">
        <v>6434</v>
      </c>
      <c r="H30" t="s">
        <v>6435</v>
      </c>
      <c r="I30" t="s">
        <v>4556</v>
      </c>
      <c r="J30" t="s">
        <v>6436</v>
      </c>
      <c r="K30" t="s">
        <v>6437</v>
      </c>
    </row>
    <row r="31" spans="1:11" ht="15" x14ac:dyDescent="0.3">
      <c r="A31" s="41"/>
      <c r="B31" s="42"/>
      <c r="C31" s="44"/>
      <c r="D31" s="44" t="s">
        <v>6438</v>
      </c>
      <c r="E31" s="44" t="s">
        <v>6439</v>
      </c>
      <c r="F31" s="44" t="s">
        <v>3195</v>
      </c>
      <c r="G31" s="44" t="s">
        <v>6440</v>
      </c>
      <c r="H31" t="s">
        <v>6441</v>
      </c>
      <c r="I31" t="s">
        <v>6267</v>
      </c>
      <c r="J31" t="s">
        <v>6442</v>
      </c>
      <c r="K31" t="s">
        <v>6443</v>
      </c>
    </row>
    <row r="32" spans="1:11" ht="15" x14ac:dyDescent="0.3">
      <c r="A32" s="41"/>
      <c r="B32" s="42"/>
      <c r="C32" s="43" t="s">
        <v>6444</v>
      </c>
      <c r="D32" s="44" t="s">
        <v>6445</v>
      </c>
      <c r="E32" s="44" t="s">
        <v>6446</v>
      </c>
      <c r="F32" s="44" t="s">
        <v>3195</v>
      </c>
      <c r="G32" s="44" t="s">
        <v>6447</v>
      </c>
      <c r="H32" t="s">
        <v>6448</v>
      </c>
      <c r="I32" t="s">
        <v>6267</v>
      </c>
      <c r="J32" t="s">
        <v>6449</v>
      </c>
      <c r="K32" t="s">
        <v>6450</v>
      </c>
    </row>
    <row r="33" spans="1:11" ht="15" x14ac:dyDescent="0.3">
      <c r="A33" s="41"/>
      <c r="B33" s="42"/>
      <c r="C33" s="44"/>
      <c r="D33" s="44" t="s">
        <v>6451</v>
      </c>
      <c r="E33" s="44" t="s">
        <v>6452</v>
      </c>
      <c r="F33" s="44" t="s">
        <v>3202</v>
      </c>
      <c r="G33" s="44" t="s">
        <v>6453</v>
      </c>
      <c r="H33" t="s">
        <v>6454</v>
      </c>
      <c r="I33" t="s">
        <v>6267</v>
      </c>
      <c r="J33" t="s">
        <v>6455</v>
      </c>
      <c r="K33" t="s">
        <v>6456</v>
      </c>
    </row>
    <row r="34" spans="1:11" ht="15" x14ac:dyDescent="0.3">
      <c r="A34" s="41"/>
      <c r="B34" s="42"/>
      <c r="C34" s="44"/>
      <c r="D34" s="44" t="s">
        <v>6457</v>
      </c>
      <c r="E34" s="44" t="s">
        <v>6458</v>
      </c>
      <c r="F34" s="44" t="s">
        <v>3195</v>
      </c>
      <c r="G34" s="44" t="s">
        <v>6459</v>
      </c>
      <c r="H34" t="s">
        <v>6460</v>
      </c>
      <c r="I34" t="s">
        <v>6267</v>
      </c>
      <c r="J34" t="s">
        <v>6461</v>
      </c>
      <c r="K34" t="s">
        <v>6462</v>
      </c>
    </row>
    <row r="35" spans="1:11" ht="15" x14ac:dyDescent="0.3">
      <c r="A35" s="41"/>
      <c r="B35" s="42"/>
      <c r="C35" s="44"/>
      <c r="D35" s="44" t="s">
        <v>6463</v>
      </c>
      <c r="E35" s="44" t="s">
        <v>6464</v>
      </c>
      <c r="F35" s="44" t="s">
        <v>3202</v>
      </c>
      <c r="G35" s="44" t="s">
        <v>6465</v>
      </c>
      <c r="H35" t="s">
        <v>6466</v>
      </c>
      <c r="I35" t="s">
        <v>6267</v>
      </c>
      <c r="J35" t="s">
        <v>6467</v>
      </c>
      <c r="K35" t="s">
        <v>6468</v>
      </c>
    </row>
    <row r="36" spans="1:11" ht="15" x14ac:dyDescent="0.3">
      <c r="A36" s="41"/>
      <c r="B36" s="42"/>
      <c r="C36" s="44"/>
      <c r="D36" s="44" t="s">
        <v>6469</v>
      </c>
      <c r="E36" s="44" t="s">
        <v>6470</v>
      </c>
      <c r="F36" s="44" t="s">
        <v>3195</v>
      </c>
      <c r="G36" s="44" t="s">
        <v>6471</v>
      </c>
      <c r="H36" t="s">
        <v>6472</v>
      </c>
      <c r="I36" t="s">
        <v>6260</v>
      </c>
      <c r="J36" t="s">
        <v>6473</v>
      </c>
      <c r="K36" t="s">
        <v>6474</v>
      </c>
    </row>
    <row r="37" spans="1:11" ht="15" x14ac:dyDescent="0.3">
      <c r="A37" s="41"/>
      <c r="B37" s="42"/>
      <c r="C37" s="43" t="s">
        <v>6475</v>
      </c>
      <c r="D37" s="44" t="s">
        <v>6476</v>
      </c>
      <c r="E37" s="44" t="s">
        <v>6477</v>
      </c>
      <c r="F37" s="44" t="s">
        <v>3195</v>
      </c>
      <c r="G37" s="44" t="s">
        <v>6478</v>
      </c>
      <c r="H37" t="s">
        <v>6479</v>
      </c>
      <c r="I37" t="s">
        <v>6267</v>
      </c>
      <c r="J37" t="s">
        <v>6480</v>
      </c>
      <c r="K37" t="s">
        <v>6481</v>
      </c>
    </row>
    <row r="38" spans="1:11" ht="15" x14ac:dyDescent="0.3">
      <c r="A38" s="41"/>
      <c r="B38" s="42"/>
      <c r="C38" s="44"/>
      <c r="D38" s="44" t="s">
        <v>6482</v>
      </c>
      <c r="E38" s="44" t="s">
        <v>6483</v>
      </c>
      <c r="F38" s="44" t="s">
        <v>3195</v>
      </c>
      <c r="G38" s="44" t="s">
        <v>6484</v>
      </c>
      <c r="H38" t="s">
        <v>6485</v>
      </c>
      <c r="I38" t="s">
        <v>6267</v>
      </c>
      <c r="J38" t="s">
        <v>6486</v>
      </c>
      <c r="K38" t="s">
        <v>6487</v>
      </c>
    </row>
    <row r="39" spans="1:11" ht="15" x14ac:dyDescent="0.3">
      <c r="A39" s="41"/>
      <c r="B39" s="42"/>
      <c r="C39" s="44"/>
      <c r="D39" s="44" t="s">
        <v>6488</v>
      </c>
      <c r="E39" s="44" t="s">
        <v>6489</v>
      </c>
      <c r="F39" s="44" t="s">
        <v>3202</v>
      </c>
      <c r="G39" s="44" t="s">
        <v>6490</v>
      </c>
      <c r="H39" t="s">
        <v>6491</v>
      </c>
      <c r="I39" t="s">
        <v>6260</v>
      </c>
      <c r="J39" t="s">
        <v>6492</v>
      </c>
      <c r="K39" t="s">
        <v>6493</v>
      </c>
    </row>
    <row r="40" spans="1:11" ht="15" x14ac:dyDescent="0.3">
      <c r="A40" s="41"/>
      <c r="B40" s="42"/>
      <c r="C40" s="44"/>
      <c r="D40" s="44" t="s">
        <v>6494</v>
      </c>
      <c r="E40" s="44" t="s">
        <v>6495</v>
      </c>
      <c r="F40" s="44" t="s">
        <v>3195</v>
      </c>
      <c r="G40" s="44" t="s">
        <v>6496</v>
      </c>
      <c r="H40" t="s">
        <v>6497</v>
      </c>
      <c r="I40" t="s">
        <v>6267</v>
      </c>
      <c r="J40" t="s">
        <v>6498</v>
      </c>
      <c r="K40" t="s">
        <v>6499</v>
      </c>
    </row>
    <row r="41" spans="1:11" ht="15" x14ac:dyDescent="0.3">
      <c r="A41" s="41"/>
      <c r="B41" s="42"/>
      <c r="C41" s="44"/>
      <c r="D41" s="44" t="s">
        <v>6500</v>
      </c>
      <c r="E41" s="44" t="s">
        <v>6501</v>
      </c>
      <c r="F41" s="44" t="s">
        <v>3202</v>
      </c>
      <c r="G41" s="44" t="s">
        <v>6502</v>
      </c>
      <c r="H41" t="s">
        <v>6503</v>
      </c>
      <c r="I41" t="s">
        <v>6260</v>
      </c>
      <c r="J41" t="s">
        <v>6504</v>
      </c>
      <c r="K41" t="s">
        <v>6505</v>
      </c>
    </row>
    <row r="42" spans="1:11" ht="15" x14ac:dyDescent="0.3">
      <c r="A42" s="41"/>
      <c r="B42" s="42"/>
      <c r="C42" s="43" t="s">
        <v>6506</v>
      </c>
      <c r="D42" s="44" t="s">
        <v>6507</v>
      </c>
      <c r="E42" s="44" t="s">
        <v>6508</v>
      </c>
      <c r="F42" s="44" t="s">
        <v>3195</v>
      </c>
      <c r="G42" s="44" t="s">
        <v>6509</v>
      </c>
      <c r="H42" t="s">
        <v>6510</v>
      </c>
      <c r="I42" t="s">
        <v>4556</v>
      </c>
      <c r="J42" t="s">
        <v>6511</v>
      </c>
      <c r="K42" t="s">
        <v>6512</v>
      </c>
    </row>
    <row r="43" spans="1:11" ht="15" x14ac:dyDescent="0.3">
      <c r="A43" s="41"/>
      <c r="B43" s="42"/>
      <c r="C43" s="44"/>
      <c r="D43" s="44" t="s">
        <v>6513</v>
      </c>
      <c r="E43" s="44" t="s">
        <v>6514</v>
      </c>
      <c r="F43" s="44" t="s">
        <v>3202</v>
      </c>
      <c r="G43" s="44" t="s">
        <v>6515</v>
      </c>
      <c r="H43" t="s">
        <v>6516</v>
      </c>
      <c r="I43" t="s">
        <v>6267</v>
      </c>
      <c r="J43" t="s">
        <v>6517</v>
      </c>
      <c r="K43" t="s">
        <v>6518</v>
      </c>
    </row>
    <row r="44" spans="1:11" ht="15" x14ac:dyDescent="0.3">
      <c r="A44" s="41"/>
      <c r="B44" s="42"/>
      <c r="C44" s="44"/>
      <c r="D44" s="44" t="s">
        <v>6519</v>
      </c>
      <c r="E44" s="44" t="s">
        <v>6520</v>
      </c>
      <c r="F44" s="44" t="s">
        <v>3195</v>
      </c>
      <c r="G44" s="44" t="s">
        <v>6409</v>
      </c>
      <c r="H44" t="s">
        <v>6521</v>
      </c>
      <c r="I44" t="s">
        <v>6267</v>
      </c>
      <c r="J44" t="s">
        <v>6522</v>
      </c>
      <c r="K44" t="s">
        <v>6523</v>
      </c>
    </row>
    <row r="45" spans="1:11" ht="15" x14ac:dyDescent="0.3">
      <c r="A45" s="41"/>
      <c r="B45" s="42"/>
      <c r="C45" s="44"/>
      <c r="D45" s="44" t="s">
        <v>6524</v>
      </c>
      <c r="E45" s="44" t="s">
        <v>6525</v>
      </c>
      <c r="F45" s="44" t="s">
        <v>6402</v>
      </c>
      <c r="G45" s="44" t="s">
        <v>6526</v>
      </c>
      <c r="H45" t="s">
        <v>6527</v>
      </c>
      <c r="I45" t="s">
        <v>6267</v>
      </c>
      <c r="J45" t="s">
        <v>6528</v>
      </c>
      <c r="K45" t="s">
        <v>6529</v>
      </c>
    </row>
    <row r="46" spans="1:11" ht="15" x14ac:dyDescent="0.3">
      <c r="A46" s="41"/>
      <c r="B46" s="42"/>
      <c r="C46" s="44"/>
      <c r="D46" s="44" t="s">
        <v>6530</v>
      </c>
      <c r="E46" s="44" t="s">
        <v>6531</v>
      </c>
      <c r="F46" s="44" t="s">
        <v>3202</v>
      </c>
      <c r="G46" s="44" t="s">
        <v>6532</v>
      </c>
      <c r="H46" t="s">
        <v>6533</v>
      </c>
      <c r="I46" t="s">
        <v>6260</v>
      </c>
      <c r="J46" t="s">
        <v>6534</v>
      </c>
      <c r="K46" t="s">
        <v>6535</v>
      </c>
    </row>
    <row r="47" spans="1:11" ht="15" x14ac:dyDescent="0.3">
      <c r="A47" s="41"/>
      <c r="B47" s="42"/>
      <c r="C47" s="43" t="s">
        <v>6536</v>
      </c>
      <c r="D47" s="44" t="s">
        <v>6537</v>
      </c>
      <c r="E47" s="44" t="s">
        <v>6538</v>
      </c>
      <c r="F47" s="44" t="s">
        <v>3195</v>
      </c>
      <c r="G47" s="44" t="s">
        <v>6539</v>
      </c>
      <c r="H47" t="s">
        <v>6540</v>
      </c>
      <c r="I47" t="s">
        <v>6267</v>
      </c>
      <c r="J47" t="s">
        <v>6541</v>
      </c>
      <c r="K47" t="s">
        <v>6542</v>
      </c>
    </row>
    <row r="48" spans="1:11" ht="15" x14ac:dyDescent="0.3">
      <c r="A48" s="41"/>
      <c r="B48" s="42"/>
      <c r="C48" s="44"/>
      <c r="D48" s="44" t="s">
        <v>6543</v>
      </c>
      <c r="E48" s="44" t="s">
        <v>6544</v>
      </c>
      <c r="F48" s="44" t="s">
        <v>3202</v>
      </c>
      <c r="G48" s="44" t="s">
        <v>6545</v>
      </c>
      <c r="H48" t="s">
        <v>6546</v>
      </c>
      <c r="I48" t="s">
        <v>6267</v>
      </c>
      <c r="J48" t="s">
        <v>6547</v>
      </c>
      <c r="K48" t="s">
        <v>6548</v>
      </c>
    </row>
    <row r="49" spans="1:11" ht="15" x14ac:dyDescent="0.3">
      <c r="A49" s="41"/>
      <c r="B49" s="42"/>
      <c r="C49" s="44"/>
      <c r="D49" s="44" t="s">
        <v>6549</v>
      </c>
      <c r="E49" s="44" t="s">
        <v>6550</v>
      </c>
      <c r="F49" s="44" t="s">
        <v>3195</v>
      </c>
      <c r="G49" s="44" t="s">
        <v>6551</v>
      </c>
      <c r="H49" t="s">
        <v>6552</v>
      </c>
      <c r="I49" t="s">
        <v>6267</v>
      </c>
      <c r="J49" t="s">
        <v>6553</v>
      </c>
      <c r="K49" t="s">
        <v>6554</v>
      </c>
    </row>
    <row r="50" spans="1:11" ht="15" x14ac:dyDescent="0.3">
      <c r="A50" s="41"/>
      <c r="B50" s="42"/>
      <c r="C50" s="44"/>
      <c r="D50" s="44" t="s">
        <v>6555</v>
      </c>
      <c r="E50" s="44" t="s">
        <v>6556</v>
      </c>
      <c r="F50" s="44" t="s">
        <v>3195</v>
      </c>
      <c r="G50" s="44" t="s">
        <v>6557</v>
      </c>
      <c r="H50" t="s">
        <v>6558</v>
      </c>
      <c r="I50" t="s">
        <v>6267</v>
      </c>
      <c r="J50" t="s">
        <v>6559</v>
      </c>
      <c r="K50" t="s">
        <v>6560</v>
      </c>
    </row>
    <row r="51" spans="1:11" ht="15" x14ac:dyDescent="0.3">
      <c r="A51" s="41"/>
      <c r="B51" s="42"/>
      <c r="C51" s="44"/>
      <c r="D51" s="44" t="s">
        <v>6561</v>
      </c>
      <c r="E51" s="44" t="s">
        <v>6562</v>
      </c>
      <c r="F51" s="44" t="s">
        <v>3195</v>
      </c>
      <c r="G51" s="44" t="s">
        <v>6563</v>
      </c>
      <c r="H51" t="s">
        <v>6564</v>
      </c>
      <c r="I51" t="s">
        <v>6267</v>
      </c>
      <c r="J51" t="s">
        <v>6565</v>
      </c>
      <c r="K51" t="s">
        <v>6566</v>
      </c>
    </row>
    <row r="52" spans="1:11" ht="15" x14ac:dyDescent="0.3">
      <c r="A52" s="41"/>
      <c r="B52" s="42"/>
      <c r="C52" s="42" t="s">
        <v>6567</v>
      </c>
      <c r="D52" t="s">
        <v>6568</v>
      </c>
      <c r="E52" t="s">
        <v>6569</v>
      </c>
      <c r="F52" s="44" t="s">
        <v>3195</v>
      </c>
      <c r="G52" t="s">
        <v>6570</v>
      </c>
      <c r="H52" t="s">
        <v>6571</v>
      </c>
      <c r="I52" t="s">
        <v>4481</v>
      </c>
      <c r="J52" t="s">
        <v>6572</v>
      </c>
    </row>
    <row r="53" spans="1:11" ht="15" x14ac:dyDescent="0.3">
      <c r="A53" s="41"/>
      <c r="B53" s="42"/>
      <c r="C53" s="42"/>
      <c r="D53" t="s">
        <v>6573</v>
      </c>
      <c r="E53" t="s">
        <v>6574</v>
      </c>
      <c r="F53" s="44" t="s">
        <v>3202</v>
      </c>
      <c r="G53" t="s">
        <v>6575</v>
      </c>
      <c r="H53" t="s">
        <v>6576</v>
      </c>
      <c r="I53" t="s">
        <v>4481</v>
      </c>
      <c r="J53" t="s">
        <v>6577</v>
      </c>
      <c r="K53" t="s">
        <v>6578</v>
      </c>
    </row>
    <row r="54" spans="1:11" ht="15" x14ac:dyDescent="0.3">
      <c r="A54" s="41"/>
      <c r="B54" s="42"/>
      <c r="C54" s="42"/>
      <c r="D54" t="s">
        <v>6579</v>
      </c>
      <c r="E54" t="s">
        <v>6580</v>
      </c>
      <c r="F54" s="44" t="s">
        <v>3195</v>
      </c>
      <c r="G54" t="s">
        <v>6581</v>
      </c>
      <c r="H54" t="s">
        <v>6582</v>
      </c>
      <c r="I54" t="s">
        <v>31</v>
      </c>
      <c r="J54" t="s">
        <v>6583</v>
      </c>
      <c r="K54" t="s">
        <v>6584</v>
      </c>
    </row>
    <row r="55" spans="1:11" ht="15" x14ac:dyDescent="0.3">
      <c r="A55" s="41"/>
      <c r="B55" s="42"/>
      <c r="C55" s="42"/>
      <c r="D55" t="s">
        <v>6585</v>
      </c>
      <c r="E55" t="s">
        <v>6586</v>
      </c>
      <c r="F55" s="44" t="s">
        <v>3202</v>
      </c>
      <c r="G55" t="s">
        <v>6587</v>
      </c>
      <c r="H55" t="s">
        <v>6588</v>
      </c>
      <c r="I55" t="s">
        <v>4481</v>
      </c>
      <c r="J55" t="s">
        <v>6589</v>
      </c>
      <c r="K55" t="s">
        <v>6590</v>
      </c>
    </row>
    <row r="56" spans="1:11" ht="15" x14ac:dyDescent="0.3">
      <c r="A56" s="41"/>
      <c r="B56" s="42"/>
      <c r="C56" s="42"/>
      <c r="D56" t="s">
        <v>6591</v>
      </c>
      <c r="E56" t="s">
        <v>6592</v>
      </c>
      <c r="F56" s="44" t="s">
        <v>6593</v>
      </c>
      <c r="G56" t="s">
        <v>6594</v>
      </c>
      <c r="H56" t="s">
        <v>6595</v>
      </c>
      <c r="I56" t="s">
        <v>31</v>
      </c>
      <c r="J56" t="s">
        <v>6596</v>
      </c>
      <c r="K56" t="s">
        <v>6597</v>
      </c>
    </row>
    <row r="57" spans="1:11" ht="15" x14ac:dyDescent="0.3">
      <c r="A57" s="41"/>
      <c r="B57" s="42"/>
      <c r="C57" s="42" t="s">
        <v>6598</v>
      </c>
      <c r="D57" t="s">
        <v>6599</v>
      </c>
      <c r="E57" t="s">
        <v>6600</v>
      </c>
      <c r="F57" s="44" t="s">
        <v>3195</v>
      </c>
      <c r="G57" t="s">
        <v>6601</v>
      </c>
      <c r="H57" t="s">
        <v>6602</v>
      </c>
      <c r="I57" t="s">
        <v>4481</v>
      </c>
      <c r="J57" t="s">
        <v>6603</v>
      </c>
      <c r="K57" t="s">
        <v>6604</v>
      </c>
    </row>
    <row r="58" spans="1:11" ht="15" x14ac:dyDescent="0.3">
      <c r="A58" s="41"/>
      <c r="B58" s="42"/>
      <c r="C58" s="42"/>
      <c r="D58" t="s">
        <v>6605</v>
      </c>
      <c r="E58" t="s">
        <v>6606</v>
      </c>
      <c r="F58" s="44" t="s">
        <v>3202</v>
      </c>
      <c r="G58" t="s">
        <v>6607</v>
      </c>
      <c r="H58" t="s">
        <v>6608</v>
      </c>
      <c r="I58" t="s">
        <v>4481</v>
      </c>
      <c r="J58" t="s">
        <v>6609</v>
      </c>
      <c r="K58" t="s">
        <v>6610</v>
      </c>
    </row>
    <row r="59" spans="1:11" ht="15" x14ac:dyDescent="0.3">
      <c r="A59" s="41"/>
      <c r="B59" s="42"/>
      <c r="C59" s="42"/>
      <c r="D59" t="s">
        <v>6611</v>
      </c>
      <c r="E59" t="s">
        <v>6612</v>
      </c>
      <c r="F59" s="44" t="s">
        <v>3195</v>
      </c>
      <c r="G59" t="s">
        <v>6613</v>
      </c>
      <c r="H59" t="s">
        <v>6614</v>
      </c>
      <c r="I59" t="s">
        <v>31</v>
      </c>
      <c r="J59" t="s">
        <v>6615</v>
      </c>
      <c r="K59" t="s">
        <v>6616</v>
      </c>
    </row>
    <row r="60" spans="1:11" ht="15" x14ac:dyDescent="0.3">
      <c r="A60" s="41"/>
      <c r="B60" s="42"/>
      <c r="C60" s="42"/>
      <c r="D60" t="s">
        <v>6617</v>
      </c>
      <c r="E60" t="s">
        <v>6618</v>
      </c>
      <c r="F60" s="44" t="s">
        <v>3195</v>
      </c>
      <c r="G60" t="s">
        <v>6619</v>
      </c>
      <c r="H60" t="s">
        <v>6620</v>
      </c>
      <c r="I60" t="s">
        <v>4481</v>
      </c>
      <c r="J60" t="s">
        <v>6621</v>
      </c>
      <c r="K60" t="s">
        <v>6622</v>
      </c>
    </row>
    <row r="61" spans="1:11" ht="15" x14ac:dyDescent="0.3">
      <c r="A61" s="41"/>
      <c r="B61" s="42"/>
      <c r="C61" s="42"/>
      <c r="D61" t="s">
        <v>6623</v>
      </c>
      <c r="E61" t="s">
        <v>6624</v>
      </c>
      <c r="F61" s="44" t="s">
        <v>3202</v>
      </c>
      <c r="G61" t="s">
        <v>6625</v>
      </c>
      <c r="H61" t="s">
        <v>6626</v>
      </c>
      <c r="I61" t="s">
        <v>31</v>
      </c>
      <c r="J61" t="s">
        <v>6627</v>
      </c>
      <c r="K61" t="s">
        <v>6628</v>
      </c>
    </row>
    <row r="62" spans="1:11" ht="15" x14ac:dyDescent="0.3">
      <c r="A62" s="41"/>
      <c r="B62" s="42"/>
      <c r="C62" s="42" t="s">
        <v>6629</v>
      </c>
      <c r="D62" t="s">
        <v>6630</v>
      </c>
      <c r="E62" t="s">
        <v>6631</v>
      </c>
      <c r="F62" s="44" t="s">
        <v>3195</v>
      </c>
      <c r="G62" t="s">
        <v>6632</v>
      </c>
      <c r="H62" t="s">
        <v>6633</v>
      </c>
      <c r="I62" t="s">
        <v>31</v>
      </c>
      <c r="J62" t="s">
        <v>6634</v>
      </c>
      <c r="K62" t="s">
        <v>6635</v>
      </c>
    </row>
    <row r="63" spans="1:11" ht="15" x14ac:dyDescent="0.3">
      <c r="A63" s="41"/>
      <c r="B63" s="42"/>
      <c r="C63" s="42"/>
      <c r="D63" t="s">
        <v>6636</v>
      </c>
      <c r="E63" t="s">
        <v>6637</v>
      </c>
      <c r="F63" s="44" t="s">
        <v>3202</v>
      </c>
      <c r="G63" t="s">
        <v>6638</v>
      </c>
      <c r="H63" t="s">
        <v>6639</v>
      </c>
      <c r="I63" t="s">
        <v>4481</v>
      </c>
      <c r="J63" t="s">
        <v>6640</v>
      </c>
      <c r="K63" t="s">
        <v>6641</v>
      </c>
    </row>
    <row r="64" spans="1:11" ht="15" x14ac:dyDescent="0.3">
      <c r="A64" s="41"/>
      <c r="B64" s="42"/>
      <c r="C64" s="42"/>
      <c r="D64" t="s">
        <v>6642</v>
      </c>
      <c r="E64" t="s">
        <v>6643</v>
      </c>
      <c r="F64" s="44" t="s">
        <v>6593</v>
      </c>
      <c r="G64" t="s">
        <v>6644</v>
      </c>
      <c r="H64" t="s">
        <v>6645</v>
      </c>
      <c r="I64" t="s">
        <v>31</v>
      </c>
      <c r="J64" t="s">
        <v>6646</v>
      </c>
      <c r="K64" t="s">
        <v>6647</v>
      </c>
    </row>
    <row r="65" spans="1:11" ht="15" x14ac:dyDescent="0.3">
      <c r="A65" s="41"/>
      <c r="B65" s="42"/>
      <c r="C65" s="42"/>
      <c r="D65" t="s">
        <v>6648</v>
      </c>
      <c r="E65" t="s">
        <v>6649</v>
      </c>
      <c r="F65" s="44" t="s">
        <v>3195</v>
      </c>
      <c r="G65" t="s">
        <v>6650</v>
      </c>
      <c r="H65" t="s">
        <v>6651</v>
      </c>
      <c r="I65" t="s">
        <v>4481</v>
      </c>
      <c r="J65" t="s">
        <v>6652</v>
      </c>
      <c r="K65" t="s">
        <v>6653</v>
      </c>
    </row>
    <row r="66" spans="1:11" ht="15" x14ac:dyDescent="0.3">
      <c r="A66" s="41"/>
      <c r="B66" s="42"/>
      <c r="C66" s="42"/>
      <c r="D66" t="s">
        <v>6654</v>
      </c>
      <c r="E66" t="s">
        <v>6655</v>
      </c>
      <c r="F66" s="44" t="s">
        <v>3202</v>
      </c>
      <c r="G66" t="s">
        <v>6656</v>
      </c>
      <c r="H66" t="s">
        <v>6657</v>
      </c>
      <c r="I66" t="s">
        <v>4481</v>
      </c>
      <c r="J66" t="s">
        <v>6658</v>
      </c>
      <c r="K66" t="s">
        <v>6659</v>
      </c>
    </row>
    <row r="67" spans="1:11" x14ac:dyDescent="0.3">
      <c r="A67" s="41"/>
      <c r="B67" s="42" t="s">
        <v>6660</v>
      </c>
      <c r="C67" s="41" t="s">
        <v>6661</v>
      </c>
      <c r="D67" t="s">
        <v>6662</v>
      </c>
      <c r="E67" t="s">
        <v>6663</v>
      </c>
      <c r="F67" t="s">
        <v>3195</v>
      </c>
      <c r="G67" t="s">
        <v>6664</v>
      </c>
      <c r="H67" t="s">
        <v>6665</v>
      </c>
      <c r="I67" t="s">
        <v>6267</v>
      </c>
      <c r="J67" t="s">
        <v>6666</v>
      </c>
      <c r="K67" t="s">
        <v>6667</v>
      </c>
    </row>
    <row r="68" spans="1:11" x14ac:dyDescent="0.3">
      <c r="A68" s="41"/>
      <c r="B68" s="42"/>
      <c r="C68" s="41"/>
      <c r="D68" t="s">
        <v>6668</v>
      </c>
      <c r="E68" t="s">
        <v>6669</v>
      </c>
      <c r="F68" t="s">
        <v>3202</v>
      </c>
      <c r="G68" t="s">
        <v>6670</v>
      </c>
      <c r="H68" t="s">
        <v>6671</v>
      </c>
      <c r="I68" t="s">
        <v>6267</v>
      </c>
      <c r="J68" t="s">
        <v>6672</v>
      </c>
      <c r="K68" t="s">
        <v>6673</v>
      </c>
    </row>
    <row r="69" spans="1:11" x14ac:dyDescent="0.3">
      <c r="A69" s="41"/>
      <c r="B69" s="42"/>
      <c r="C69" s="41"/>
      <c r="D69" t="s">
        <v>6674</v>
      </c>
      <c r="E69" t="s">
        <v>6675</v>
      </c>
      <c r="F69" t="s">
        <v>3195</v>
      </c>
      <c r="G69" t="s">
        <v>6676</v>
      </c>
      <c r="H69" t="s">
        <v>6677</v>
      </c>
      <c r="I69" t="s">
        <v>6260</v>
      </c>
      <c r="J69" t="s">
        <v>6678</v>
      </c>
      <c r="K69" t="s">
        <v>6679</v>
      </c>
    </row>
    <row r="70" spans="1:11" x14ac:dyDescent="0.3">
      <c r="A70" s="41"/>
      <c r="B70" s="42"/>
      <c r="C70" s="41"/>
      <c r="D70" t="s">
        <v>6680</v>
      </c>
      <c r="E70" t="s">
        <v>6681</v>
      </c>
      <c r="F70" t="s">
        <v>3202</v>
      </c>
      <c r="G70" t="s">
        <v>6682</v>
      </c>
      <c r="H70" t="s">
        <v>6683</v>
      </c>
      <c r="I70" t="s">
        <v>6260</v>
      </c>
      <c r="J70" t="s">
        <v>6684</v>
      </c>
      <c r="K70" t="s">
        <v>6685</v>
      </c>
    </row>
    <row r="71" spans="1:11" x14ac:dyDescent="0.3">
      <c r="A71" s="41"/>
      <c r="B71" s="42"/>
      <c r="C71" s="41"/>
      <c r="D71" t="s">
        <v>6686</v>
      </c>
      <c r="E71" t="s">
        <v>6687</v>
      </c>
      <c r="F71" t="s">
        <v>3202</v>
      </c>
      <c r="G71" t="s">
        <v>6315</v>
      </c>
      <c r="H71" t="s">
        <v>6688</v>
      </c>
      <c r="I71" t="s">
        <v>6260</v>
      </c>
      <c r="J71" t="s">
        <v>6689</v>
      </c>
      <c r="K71" t="s">
        <v>6690</v>
      </c>
    </row>
    <row r="72" spans="1:11" x14ac:dyDescent="0.3">
      <c r="A72" s="41"/>
      <c r="B72" s="42"/>
      <c r="C72" s="41" t="s">
        <v>6691</v>
      </c>
      <c r="D72" t="s">
        <v>6692</v>
      </c>
      <c r="E72" t="s">
        <v>6693</v>
      </c>
      <c r="F72" t="s">
        <v>3195</v>
      </c>
      <c r="G72" t="s">
        <v>6694</v>
      </c>
      <c r="H72" t="s">
        <v>6695</v>
      </c>
      <c r="I72" t="s">
        <v>4556</v>
      </c>
      <c r="J72" t="s">
        <v>6696</v>
      </c>
      <c r="K72" t="s">
        <v>6697</v>
      </c>
    </row>
    <row r="73" spans="1:11" x14ac:dyDescent="0.3">
      <c r="A73" s="41"/>
      <c r="B73" s="42"/>
      <c r="C73" s="41"/>
      <c r="D73" t="s">
        <v>6698</v>
      </c>
      <c r="E73" t="s">
        <v>6699</v>
      </c>
      <c r="F73" t="s">
        <v>3202</v>
      </c>
      <c r="G73" t="s">
        <v>6700</v>
      </c>
      <c r="H73" t="s">
        <v>6701</v>
      </c>
      <c r="I73" t="s">
        <v>6267</v>
      </c>
      <c r="J73" t="s">
        <v>6702</v>
      </c>
      <c r="K73" t="s">
        <v>6703</v>
      </c>
    </row>
    <row r="74" spans="1:11" x14ac:dyDescent="0.3">
      <c r="A74" s="41"/>
      <c r="B74" s="42"/>
      <c r="C74" s="41"/>
      <c r="D74" t="s">
        <v>6704</v>
      </c>
      <c r="E74" t="s">
        <v>6705</v>
      </c>
      <c r="F74" t="s">
        <v>6402</v>
      </c>
      <c r="G74" t="s">
        <v>6706</v>
      </c>
      <c r="H74" t="s">
        <v>6707</v>
      </c>
      <c r="I74" t="s">
        <v>6267</v>
      </c>
      <c r="J74" t="s">
        <v>6708</v>
      </c>
      <c r="K74" t="s">
        <v>6709</v>
      </c>
    </row>
    <row r="75" spans="1:11" x14ac:dyDescent="0.3">
      <c r="A75" s="41"/>
      <c r="B75" s="42"/>
      <c r="C75" s="41"/>
      <c r="D75" t="s">
        <v>6710</v>
      </c>
      <c r="E75" t="s">
        <v>6711</v>
      </c>
      <c r="F75" t="s">
        <v>3195</v>
      </c>
      <c r="G75" t="s">
        <v>6712</v>
      </c>
      <c r="H75" t="s">
        <v>6713</v>
      </c>
      <c r="I75" t="s">
        <v>6267</v>
      </c>
      <c r="J75" t="s">
        <v>6714</v>
      </c>
      <c r="K75" t="s">
        <v>6715</v>
      </c>
    </row>
    <row r="76" spans="1:11" x14ac:dyDescent="0.3">
      <c r="A76" s="41"/>
      <c r="B76" s="42"/>
      <c r="C76" s="41"/>
      <c r="D76" t="s">
        <v>6716</v>
      </c>
      <c r="E76" t="s">
        <v>6717</v>
      </c>
      <c r="F76" t="s">
        <v>3195</v>
      </c>
      <c r="G76" t="s">
        <v>6718</v>
      </c>
      <c r="H76" t="s">
        <v>6719</v>
      </c>
      <c r="I76" t="s">
        <v>6267</v>
      </c>
      <c r="J76" t="s">
        <v>6720</v>
      </c>
      <c r="K76" t="s">
        <v>6721</v>
      </c>
    </row>
    <row r="77" spans="1:11" x14ac:dyDescent="0.3">
      <c r="A77" s="41"/>
      <c r="B77" s="42"/>
      <c r="C77" s="41" t="s">
        <v>6722</v>
      </c>
      <c r="D77" t="s">
        <v>6723</v>
      </c>
      <c r="E77" t="s">
        <v>6724</v>
      </c>
      <c r="F77" t="s">
        <v>3195</v>
      </c>
      <c r="G77" t="s">
        <v>6725</v>
      </c>
      <c r="H77" t="s">
        <v>6726</v>
      </c>
      <c r="I77" t="s">
        <v>6267</v>
      </c>
      <c r="J77" t="s">
        <v>6727</v>
      </c>
      <c r="K77" t="s">
        <v>6728</v>
      </c>
    </row>
    <row r="78" spans="1:11" x14ac:dyDescent="0.3">
      <c r="A78" s="41"/>
      <c r="B78" s="42"/>
      <c r="C78" s="41"/>
      <c r="D78" t="s">
        <v>6729</v>
      </c>
      <c r="E78" t="s">
        <v>6730</v>
      </c>
      <c r="F78" t="s">
        <v>3202</v>
      </c>
      <c r="G78" t="s">
        <v>6731</v>
      </c>
      <c r="H78" t="s">
        <v>6732</v>
      </c>
      <c r="I78" t="s">
        <v>6267</v>
      </c>
      <c r="J78" t="s">
        <v>6733</v>
      </c>
      <c r="K78" t="s">
        <v>6734</v>
      </c>
    </row>
    <row r="79" spans="1:11" x14ac:dyDescent="0.3">
      <c r="A79" s="41"/>
      <c r="B79" s="42"/>
      <c r="C79" s="41"/>
      <c r="D79" t="s">
        <v>6735</v>
      </c>
      <c r="E79" t="s">
        <v>6736</v>
      </c>
      <c r="F79" t="s">
        <v>3195</v>
      </c>
      <c r="G79" t="s">
        <v>6737</v>
      </c>
      <c r="H79" t="s">
        <v>6738</v>
      </c>
      <c r="I79" t="s">
        <v>6267</v>
      </c>
      <c r="J79" t="s">
        <v>6739</v>
      </c>
      <c r="K79" t="s">
        <v>6740</v>
      </c>
    </row>
    <row r="80" spans="1:11" x14ac:dyDescent="0.3">
      <c r="A80" s="41"/>
      <c r="B80" s="42"/>
      <c r="C80" s="41"/>
      <c r="D80" t="s">
        <v>6741</v>
      </c>
      <c r="E80" t="s">
        <v>6742</v>
      </c>
      <c r="F80" t="s">
        <v>6402</v>
      </c>
      <c r="G80" t="s">
        <v>6743</v>
      </c>
      <c r="H80" t="s">
        <v>6744</v>
      </c>
      <c r="I80" t="s">
        <v>6260</v>
      </c>
      <c r="J80" t="s">
        <v>6745</v>
      </c>
      <c r="K80" t="s">
        <v>6746</v>
      </c>
    </row>
    <row r="81" spans="1:11" x14ac:dyDescent="0.3">
      <c r="A81" s="41"/>
      <c r="B81" s="42"/>
      <c r="C81" s="41"/>
      <c r="D81" t="s">
        <v>6747</v>
      </c>
      <c r="E81" t="s">
        <v>6748</v>
      </c>
      <c r="F81" t="s">
        <v>3202</v>
      </c>
      <c r="G81" t="s">
        <v>6749</v>
      </c>
      <c r="H81" t="s">
        <v>6750</v>
      </c>
      <c r="I81" t="s">
        <v>6260</v>
      </c>
      <c r="J81" t="s">
        <v>6751</v>
      </c>
      <c r="K81" t="s">
        <v>6752</v>
      </c>
    </row>
    <row r="82" spans="1:11" x14ac:dyDescent="0.3">
      <c r="A82" s="41"/>
      <c r="B82" s="42"/>
      <c r="C82" s="41" t="s">
        <v>6753</v>
      </c>
      <c r="D82" t="s">
        <v>6754</v>
      </c>
      <c r="E82" t="s">
        <v>6755</v>
      </c>
      <c r="F82" t="s">
        <v>3195</v>
      </c>
      <c r="G82" t="s">
        <v>3112</v>
      </c>
      <c r="H82" t="s">
        <v>6756</v>
      </c>
      <c r="I82" t="s">
        <v>6267</v>
      </c>
      <c r="J82" t="s">
        <v>6757</v>
      </c>
      <c r="K82" t="s">
        <v>6758</v>
      </c>
    </row>
    <row r="83" spans="1:11" x14ac:dyDescent="0.3">
      <c r="A83" s="41"/>
      <c r="B83" s="42"/>
      <c r="C83" s="41"/>
      <c r="D83" t="s">
        <v>6759</v>
      </c>
      <c r="E83" t="s">
        <v>6760</v>
      </c>
      <c r="F83" t="s">
        <v>3195</v>
      </c>
      <c r="G83" t="s">
        <v>6761</v>
      </c>
      <c r="H83" t="s">
        <v>6762</v>
      </c>
      <c r="I83" t="s">
        <v>6267</v>
      </c>
      <c r="J83" t="s">
        <v>6763</v>
      </c>
      <c r="K83" t="s">
        <v>6764</v>
      </c>
    </row>
    <row r="84" spans="1:11" x14ac:dyDescent="0.3">
      <c r="A84" s="41"/>
      <c r="B84" s="42"/>
      <c r="C84" s="41"/>
      <c r="D84" t="s">
        <v>6765</v>
      </c>
      <c r="E84" t="s">
        <v>6766</v>
      </c>
      <c r="F84" t="s">
        <v>3202</v>
      </c>
      <c r="G84" t="s">
        <v>6767</v>
      </c>
      <c r="H84" t="s">
        <v>6768</v>
      </c>
      <c r="I84" t="s">
        <v>6267</v>
      </c>
      <c r="J84" t="s">
        <v>6769</v>
      </c>
      <c r="K84" t="s">
        <v>6770</v>
      </c>
    </row>
    <row r="85" spans="1:11" x14ac:dyDescent="0.3">
      <c r="A85" s="41"/>
      <c r="B85" s="42"/>
      <c r="C85" s="41"/>
      <c r="D85" t="s">
        <v>6771</v>
      </c>
      <c r="E85" t="s">
        <v>6772</v>
      </c>
      <c r="F85" t="s">
        <v>3195</v>
      </c>
      <c r="G85" t="s">
        <v>6773</v>
      </c>
      <c r="H85" t="s">
        <v>6774</v>
      </c>
      <c r="I85" t="s">
        <v>6267</v>
      </c>
      <c r="J85" t="s">
        <v>6775</v>
      </c>
      <c r="K85" t="s">
        <v>6776</v>
      </c>
    </row>
    <row r="86" spans="1:11" x14ac:dyDescent="0.3">
      <c r="A86" s="41"/>
      <c r="B86" s="42"/>
      <c r="C86" s="41"/>
      <c r="D86" t="s">
        <v>6777</v>
      </c>
      <c r="E86" t="s">
        <v>6778</v>
      </c>
      <c r="F86" t="s">
        <v>3195</v>
      </c>
      <c r="G86" t="s">
        <v>3267</v>
      </c>
      <c r="H86" t="s">
        <v>6750</v>
      </c>
      <c r="I86" t="s">
        <v>6260</v>
      </c>
      <c r="J86" t="s">
        <v>6779</v>
      </c>
      <c r="K86" t="s">
        <v>6780</v>
      </c>
    </row>
    <row r="87" spans="1:11" x14ac:dyDescent="0.3">
      <c r="A87" s="41"/>
      <c r="B87" s="42"/>
      <c r="C87" s="41" t="s">
        <v>6781</v>
      </c>
      <c r="D87" t="s">
        <v>6782</v>
      </c>
      <c r="E87" t="s">
        <v>6783</v>
      </c>
      <c r="F87" t="s">
        <v>3195</v>
      </c>
      <c r="G87" t="s">
        <v>6784</v>
      </c>
      <c r="H87" t="s">
        <v>6785</v>
      </c>
      <c r="I87" t="s">
        <v>6267</v>
      </c>
      <c r="J87" t="s">
        <v>6786</v>
      </c>
      <c r="K87" t="s">
        <v>6787</v>
      </c>
    </row>
    <row r="88" spans="1:11" x14ac:dyDescent="0.3">
      <c r="A88" s="41"/>
      <c r="B88" s="42"/>
      <c r="C88" s="41"/>
      <c r="D88" t="s">
        <v>6788</v>
      </c>
      <c r="E88" t="s">
        <v>6789</v>
      </c>
      <c r="F88" t="s">
        <v>3202</v>
      </c>
      <c r="G88" t="s">
        <v>6790</v>
      </c>
      <c r="H88" t="s">
        <v>6791</v>
      </c>
      <c r="I88" t="s">
        <v>6267</v>
      </c>
      <c r="J88" t="s">
        <v>6792</v>
      </c>
      <c r="K88" t="s">
        <v>6793</v>
      </c>
    </row>
    <row r="89" spans="1:11" x14ac:dyDescent="0.3">
      <c r="A89" s="41"/>
      <c r="B89" s="42"/>
      <c r="C89" s="41"/>
      <c r="D89" t="s">
        <v>6794</v>
      </c>
      <c r="E89" t="s">
        <v>6795</v>
      </c>
      <c r="F89" t="s">
        <v>3195</v>
      </c>
      <c r="G89" t="s">
        <v>6796</v>
      </c>
      <c r="H89" t="s">
        <v>6797</v>
      </c>
      <c r="I89" t="s">
        <v>4556</v>
      </c>
      <c r="J89" t="s">
        <v>6798</v>
      </c>
      <c r="K89" t="s">
        <v>6799</v>
      </c>
    </row>
    <row r="90" spans="1:11" x14ac:dyDescent="0.3">
      <c r="A90" s="41"/>
      <c r="B90" s="42"/>
      <c r="C90" s="41"/>
      <c r="D90" t="s">
        <v>6800</v>
      </c>
      <c r="E90" t="s">
        <v>6801</v>
      </c>
      <c r="F90" t="s">
        <v>3195</v>
      </c>
      <c r="G90" t="s">
        <v>6802</v>
      </c>
      <c r="H90" t="s">
        <v>6803</v>
      </c>
      <c r="I90" t="s">
        <v>6267</v>
      </c>
      <c r="J90" t="s">
        <v>6804</v>
      </c>
      <c r="K90" t="s">
        <v>6805</v>
      </c>
    </row>
    <row r="91" spans="1:11" x14ac:dyDescent="0.3">
      <c r="A91" s="41"/>
      <c r="B91" s="42"/>
      <c r="C91" s="41"/>
      <c r="D91" t="s">
        <v>6806</v>
      </c>
      <c r="E91" t="s">
        <v>6807</v>
      </c>
      <c r="F91" t="s">
        <v>3202</v>
      </c>
      <c r="G91" t="s">
        <v>6808</v>
      </c>
      <c r="H91" t="s">
        <v>6809</v>
      </c>
      <c r="I91" t="s">
        <v>4556</v>
      </c>
      <c r="J91" t="s">
        <v>6810</v>
      </c>
      <c r="K91" t="s">
        <v>6811</v>
      </c>
    </row>
    <row r="92" spans="1:11" x14ac:dyDescent="0.3">
      <c r="A92" s="41"/>
      <c r="B92" s="42"/>
      <c r="C92" s="45" t="s">
        <v>6812</v>
      </c>
      <c r="D92" t="s">
        <v>6813</v>
      </c>
      <c r="E92" t="s">
        <v>6814</v>
      </c>
      <c r="F92" t="s">
        <v>3195</v>
      </c>
      <c r="G92" t="s">
        <v>6815</v>
      </c>
      <c r="H92" t="s">
        <v>6816</v>
      </c>
      <c r="I92" t="s">
        <v>31</v>
      </c>
      <c r="J92" t="s">
        <v>6817</v>
      </c>
      <c r="K92" t="s">
        <v>6818</v>
      </c>
    </row>
    <row r="93" spans="1:11" x14ac:dyDescent="0.3">
      <c r="A93" s="41"/>
      <c r="B93" s="42"/>
      <c r="C93" s="45"/>
      <c r="D93" t="s">
        <v>6819</v>
      </c>
      <c r="E93" t="s">
        <v>6820</v>
      </c>
      <c r="F93" t="s">
        <v>3195</v>
      </c>
      <c r="G93" t="s">
        <v>6821</v>
      </c>
      <c r="H93" t="s">
        <v>6822</v>
      </c>
      <c r="I93" t="s">
        <v>4481</v>
      </c>
      <c r="J93" t="s">
        <v>6823</v>
      </c>
      <c r="K93" t="s">
        <v>6824</v>
      </c>
    </row>
    <row r="94" spans="1:11" x14ac:dyDescent="0.3">
      <c r="A94" s="41"/>
      <c r="B94" s="42"/>
      <c r="C94" s="45"/>
      <c r="D94" t="s">
        <v>6825</v>
      </c>
      <c r="E94" t="s">
        <v>6826</v>
      </c>
      <c r="F94" t="s">
        <v>3195</v>
      </c>
      <c r="G94" t="s">
        <v>6827</v>
      </c>
      <c r="H94" t="s">
        <v>6828</v>
      </c>
      <c r="I94" t="s">
        <v>31</v>
      </c>
      <c r="J94" t="s">
        <v>6829</v>
      </c>
      <c r="K94" t="s">
        <v>6830</v>
      </c>
    </row>
    <row r="95" spans="1:11" x14ac:dyDescent="0.3">
      <c r="A95" s="41"/>
      <c r="B95" s="42"/>
      <c r="C95" s="45"/>
      <c r="D95" t="s">
        <v>6831</v>
      </c>
      <c r="E95" t="s">
        <v>6832</v>
      </c>
      <c r="F95" t="s">
        <v>3195</v>
      </c>
      <c r="G95" t="s">
        <v>6833</v>
      </c>
      <c r="H95" t="s">
        <v>6834</v>
      </c>
      <c r="I95" t="s">
        <v>4481</v>
      </c>
      <c r="J95" t="s">
        <v>6835</v>
      </c>
      <c r="K95" t="s">
        <v>6836</v>
      </c>
    </row>
    <row r="96" spans="1:11" x14ac:dyDescent="0.3">
      <c r="A96" s="41"/>
      <c r="B96" s="42"/>
      <c r="C96" s="45"/>
      <c r="D96" t="s">
        <v>6837</v>
      </c>
      <c r="E96" t="s">
        <v>6838</v>
      </c>
      <c r="F96" t="s">
        <v>3195</v>
      </c>
      <c r="G96" t="s">
        <v>6839</v>
      </c>
      <c r="H96" t="s">
        <v>6840</v>
      </c>
      <c r="I96" t="s">
        <v>31</v>
      </c>
      <c r="J96" t="s">
        <v>6841</v>
      </c>
      <c r="K96" t="s">
        <v>6842</v>
      </c>
    </row>
    <row r="97" spans="1:11" x14ac:dyDescent="0.3">
      <c r="A97" s="41"/>
      <c r="B97" s="42"/>
      <c r="C97" s="45" t="s">
        <v>6843</v>
      </c>
      <c r="D97" t="s">
        <v>6844</v>
      </c>
      <c r="E97" t="s">
        <v>6845</v>
      </c>
      <c r="F97" t="s">
        <v>3195</v>
      </c>
      <c r="G97" t="s">
        <v>6846</v>
      </c>
      <c r="H97" t="s">
        <v>6847</v>
      </c>
      <c r="I97" t="s">
        <v>4481</v>
      </c>
      <c r="J97" t="s">
        <v>6848</v>
      </c>
      <c r="K97" t="s">
        <v>6849</v>
      </c>
    </row>
    <row r="98" spans="1:11" x14ac:dyDescent="0.3">
      <c r="A98" s="41"/>
      <c r="B98" s="42"/>
      <c r="C98" s="45"/>
      <c r="D98" t="s">
        <v>6850</v>
      </c>
      <c r="E98" t="s">
        <v>6851</v>
      </c>
      <c r="F98" t="s">
        <v>3195</v>
      </c>
      <c r="G98" t="s">
        <v>6852</v>
      </c>
      <c r="H98" t="s">
        <v>6853</v>
      </c>
      <c r="I98" t="s">
        <v>31</v>
      </c>
      <c r="J98" t="s">
        <v>6854</v>
      </c>
      <c r="K98" t="s">
        <v>6855</v>
      </c>
    </row>
    <row r="99" spans="1:11" x14ac:dyDescent="0.3">
      <c r="A99" s="41"/>
      <c r="B99" s="42"/>
      <c r="C99" s="45"/>
      <c r="D99" t="s">
        <v>6856</v>
      </c>
      <c r="E99" t="s">
        <v>6857</v>
      </c>
      <c r="F99" t="s">
        <v>3195</v>
      </c>
      <c r="G99" t="s">
        <v>6858</v>
      </c>
      <c r="H99" t="s">
        <v>6859</v>
      </c>
      <c r="I99" t="s">
        <v>4481</v>
      </c>
      <c r="J99" t="s">
        <v>3810</v>
      </c>
      <c r="K99" t="s">
        <v>6860</v>
      </c>
    </row>
    <row r="100" spans="1:11" x14ac:dyDescent="0.3">
      <c r="A100" s="41"/>
      <c r="B100" s="42"/>
      <c r="C100" s="45"/>
      <c r="D100" t="s">
        <v>6861</v>
      </c>
      <c r="E100" t="s">
        <v>6862</v>
      </c>
      <c r="F100" t="s">
        <v>3195</v>
      </c>
      <c r="G100" t="s">
        <v>6863</v>
      </c>
      <c r="H100" t="s">
        <v>6864</v>
      </c>
      <c r="I100" t="s">
        <v>31</v>
      </c>
      <c r="J100" t="s">
        <v>6865</v>
      </c>
      <c r="K100" t="s">
        <v>6866</v>
      </c>
    </row>
    <row r="101" spans="1:11" x14ac:dyDescent="0.3">
      <c r="A101" s="41"/>
      <c r="B101" s="42"/>
      <c r="C101" s="45"/>
      <c r="D101" t="s">
        <v>6867</v>
      </c>
      <c r="E101" t="s">
        <v>6868</v>
      </c>
      <c r="F101" t="s">
        <v>3195</v>
      </c>
      <c r="G101" t="s">
        <v>6869</v>
      </c>
      <c r="H101" t="s">
        <v>6870</v>
      </c>
      <c r="I101" t="s">
        <v>4481</v>
      </c>
      <c r="J101" t="s">
        <v>6871</v>
      </c>
      <c r="K101" t="s">
        <v>6872</v>
      </c>
    </row>
    <row r="102" spans="1:11" x14ac:dyDescent="0.3">
      <c r="A102" s="41"/>
      <c r="B102" s="42"/>
      <c r="C102" s="45" t="s">
        <v>6873</v>
      </c>
      <c r="D102" t="s">
        <v>6874</v>
      </c>
      <c r="E102" t="s">
        <v>6875</v>
      </c>
      <c r="F102" t="s">
        <v>3195</v>
      </c>
      <c r="G102" t="s">
        <v>6876</v>
      </c>
      <c r="H102" t="s">
        <v>6877</v>
      </c>
      <c r="I102" t="s">
        <v>4481</v>
      </c>
      <c r="J102" t="s">
        <v>6878</v>
      </c>
      <c r="K102" t="s">
        <v>6879</v>
      </c>
    </row>
    <row r="103" spans="1:11" x14ac:dyDescent="0.3">
      <c r="A103" s="41"/>
      <c r="B103" s="42"/>
      <c r="C103" s="45"/>
      <c r="D103" t="s">
        <v>6880</v>
      </c>
      <c r="E103" t="s">
        <v>6881</v>
      </c>
      <c r="F103" t="s">
        <v>3195</v>
      </c>
      <c r="G103" t="s">
        <v>6882</v>
      </c>
      <c r="H103" t="s">
        <v>6883</v>
      </c>
      <c r="I103" t="s">
        <v>31</v>
      </c>
      <c r="J103" t="s">
        <v>6884</v>
      </c>
      <c r="K103" t="s">
        <v>6885</v>
      </c>
    </row>
    <row r="104" spans="1:11" x14ac:dyDescent="0.3">
      <c r="A104" s="41"/>
      <c r="B104" s="42"/>
      <c r="C104" s="45"/>
      <c r="D104" t="s">
        <v>6886</v>
      </c>
      <c r="E104" t="s">
        <v>6887</v>
      </c>
      <c r="F104" t="s">
        <v>3195</v>
      </c>
      <c r="G104" t="s">
        <v>6888</v>
      </c>
      <c r="H104" t="s">
        <v>6889</v>
      </c>
      <c r="I104" t="s">
        <v>31</v>
      </c>
      <c r="J104" t="s">
        <v>6890</v>
      </c>
      <c r="K104" t="s">
        <v>6891</v>
      </c>
    </row>
    <row r="105" spans="1:11" x14ac:dyDescent="0.3">
      <c r="A105" s="41"/>
      <c r="B105" s="42"/>
      <c r="C105" s="45"/>
      <c r="D105" t="s">
        <v>6892</v>
      </c>
      <c r="E105" t="s">
        <v>6893</v>
      </c>
      <c r="F105" t="s">
        <v>3195</v>
      </c>
      <c r="G105" t="s">
        <v>6894</v>
      </c>
      <c r="H105" t="s">
        <v>6895</v>
      </c>
      <c r="I105" t="s">
        <v>4481</v>
      </c>
      <c r="J105" t="s">
        <v>3797</v>
      </c>
      <c r="K105" t="s">
        <v>6896</v>
      </c>
    </row>
    <row r="106" spans="1:11" x14ac:dyDescent="0.3">
      <c r="A106" s="41"/>
      <c r="B106" s="42"/>
      <c r="C106" s="45"/>
      <c r="D106" t="s">
        <v>6897</v>
      </c>
      <c r="E106" t="s">
        <v>6898</v>
      </c>
      <c r="F106" t="s">
        <v>3195</v>
      </c>
      <c r="G106" t="s">
        <v>6899</v>
      </c>
      <c r="H106" t="s">
        <v>6900</v>
      </c>
      <c r="I106" t="s">
        <v>4481</v>
      </c>
      <c r="J106" t="s">
        <v>6901</v>
      </c>
      <c r="K106" t="s">
        <v>6902</v>
      </c>
    </row>
    <row r="107" spans="1:11" x14ac:dyDescent="0.3">
      <c r="A107" s="41"/>
      <c r="B107" s="42"/>
      <c r="C107" s="45" t="s">
        <v>6903</v>
      </c>
      <c r="D107" t="s">
        <v>6904</v>
      </c>
      <c r="E107" t="s">
        <v>6905</v>
      </c>
      <c r="F107" t="s">
        <v>3195</v>
      </c>
      <c r="G107" t="s">
        <v>6906</v>
      </c>
      <c r="H107" t="s">
        <v>6907</v>
      </c>
      <c r="I107" t="s">
        <v>31</v>
      </c>
      <c r="J107" t="s">
        <v>6908</v>
      </c>
      <c r="K107" t="s">
        <v>6909</v>
      </c>
    </row>
    <row r="108" spans="1:11" x14ac:dyDescent="0.3">
      <c r="A108" s="41"/>
      <c r="B108" s="42"/>
      <c r="C108" s="45"/>
      <c r="D108" t="s">
        <v>6910</v>
      </c>
      <c r="E108" t="s">
        <v>6911</v>
      </c>
      <c r="F108" t="s">
        <v>3195</v>
      </c>
      <c r="G108" t="s">
        <v>6912</v>
      </c>
      <c r="H108" t="s">
        <v>6913</v>
      </c>
      <c r="I108" t="s">
        <v>4481</v>
      </c>
      <c r="J108" t="s">
        <v>6914</v>
      </c>
      <c r="K108" t="s">
        <v>6915</v>
      </c>
    </row>
    <row r="109" spans="1:11" x14ac:dyDescent="0.3">
      <c r="A109" s="41"/>
      <c r="B109" s="42"/>
      <c r="C109" s="45"/>
      <c r="D109" t="s">
        <v>6916</v>
      </c>
      <c r="E109" t="s">
        <v>6917</v>
      </c>
      <c r="F109" t="s">
        <v>3195</v>
      </c>
      <c r="G109" t="s">
        <v>6918</v>
      </c>
      <c r="H109" t="s">
        <v>6919</v>
      </c>
      <c r="I109" t="s">
        <v>4481</v>
      </c>
      <c r="J109" t="s">
        <v>6920</v>
      </c>
      <c r="K109" t="s">
        <v>6921</v>
      </c>
    </row>
    <row r="110" spans="1:11" x14ac:dyDescent="0.3">
      <c r="A110" s="41"/>
      <c r="B110" s="42"/>
      <c r="C110" s="45"/>
      <c r="D110" t="s">
        <v>6922</v>
      </c>
      <c r="E110" t="s">
        <v>6923</v>
      </c>
      <c r="F110" t="s">
        <v>3195</v>
      </c>
      <c r="G110" t="s">
        <v>6924</v>
      </c>
      <c r="H110" t="s">
        <v>6925</v>
      </c>
      <c r="I110" t="s">
        <v>31</v>
      </c>
      <c r="J110" t="s">
        <v>4563</v>
      </c>
      <c r="K110" t="s">
        <v>6926</v>
      </c>
    </row>
    <row r="111" spans="1:11" x14ac:dyDescent="0.3">
      <c r="A111" s="41"/>
      <c r="B111" s="42"/>
      <c r="C111" s="45"/>
      <c r="D111" t="s">
        <v>6927</v>
      </c>
      <c r="E111" t="s">
        <v>6928</v>
      </c>
      <c r="F111" t="s">
        <v>3195</v>
      </c>
      <c r="G111" t="s">
        <v>6929</v>
      </c>
      <c r="H111" t="s">
        <v>6930</v>
      </c>
      <c r="I111" t="s">
        <v>4481</v>
      </c>
      <c r="J111" t="s">
        <v>6931</v>
      </c>
      <c r="K111" t="s">
        <v>6932</v>
      </c>
    </row>
    <row r="112" spans="1:11" x14ac:dyDescent="0.3">
      <c r="A112" s="41"/>
      <c r="B112" s="42"/>
      <c r="C112" s="45" t="s">
        <v>6933</v>
      </c>
      <c r="D112" t="s">
        <v>6934</v>
      </c>
      <c r="E112" t="s">
        <v>6935</v>
      </c>
      <c r="F112" t="s">
        <v>3195</v>
      </c>
      <c r="G112" t="s">
        <v>6936</v>
      </c>
      <c r="H112" t="s">
        <v>6937</v>
      </c>
      <c r="I112" t="s">
        <v>4481</v>
      </c>
      <c r="J112" t="s">
        <v>6938</v>
      </c>
      <c r="K112" t="s">
        <v>6939</v>
      </c>
    </row>
    <row r="113" spans="1:11" x14ac:dyDescent="0.3">
      <c r="A113" s="41"/>
      <c r="B113" s="42"/>
      <c r="C113" s="45"/>
      <c r="D113" t="s">
        <v>6940</v>
      </c>
      <c r="E113" t="s">
        <v>6941</v>
      </c>
      <c r="F113" t="s">
        <v>3195</v>
      </c>
      <c r="G113" t="s">
        <v>6827</v>
      </c>
      <c r="H113" t="s">
        <v>6942</v>
      </c>
      <c r="I113" t="s">
        <v>31</v>
      </c>
      <c r="J113" t="s">
        <v>6943</v>
      </c>
      <c r="K113" t="s">
        <v>6944</v>
      </c>
    </row>
    <row r="114" spans="1:11" x14ac:dyDescent="0.3">
      <c r="A114" s="41"/>
      <c r="B114" s="42"/>
      <c r="C114" s="45"/>
      <c r="D114" t="s">
        <v>6945</v>
      </c>
      <c r="E114" t="s">
        <v>6946</v>
      </c>
      <c r="F114" t="s">
        <v>3195</v>
      </c>
      <c r="G114" t="s">
        <v>6947</v>
      </c>
      <c r="H114" t="s">
        <v>6948</v>
      </c>
      <c r="I114" t="s">
        <v>4481</v>
      </c>
      <c r="J114" t="s">
        <v>6949</v>
      </c>
      <c r="K114" t="s">
        <v>6950</v>
      </c>
    </row>
    <row r="115" spans="1:11" x14ac:dyDescent="0.3">
      <c r="A115" s="41"/>
      <c r="B115" s="42"/>
      <c r="C115" s="45"/>
      <c r="D115" t="s">
        <v>6951</v>
      </c>
      <c r="E115" t="s">
        <v>1667</v>
      </c>
      <c r="F115" t="s">
        <v>3195</v>
      </c>
      <c r="G115" t="s">
        <v>6952</v>
      </c>
      <c r="H115" t="s">
        <v>6953</v>
      </c>
      <c r="I115" t="s">
        <v>4481</v>
      </c>
      <c r="J115" t="s">
        <v>6954</v>
      </c>
      <c r="K115" t="s">
        <v>6955</v>
      </c>
    </row>
    <row r="116" spans="1:11" x14ac:dyDescent="0.3">
      <c r="A116" s="41"/>
      <c r="B116" s="42"/>
      <c r="C116" s="45"/>
      <c r="D116" t="s">
        <v>6956</v>
      </c>
      <c r="E116" t="s">
        <v>6957</v>
      </c>
      <c r="F116" t="s">
        <v>3195</v>
      </c>
      <c r="G116" t="s">
        <v>6958</v>
      </c>
      <c r="H116" t="s">
        <v>6959</v>
      </c>
      <c r="I116" t="s">
        <v>31</v>
      </c>
      <c r="J116" t="s">
        <v>6960</v>
      </c>
      <c r="K116" t="s">
        <v>6961</v>
      </c>
    </row>
    <row r="117" spans="1:11" x14ac:dyDescent="0.3">
      <c r="A117" s="41"/>
      <c r="B117" s="42" t="s">
        <v>6962</v>
      </c>
      <c r="C117" s="41" t="s">
        <v>6963</v>
      </c>
      <c r="D117" t="s">
        <v>6964</v>
      </c>
      <c r="E117" t="s">
        <v>6965</v>
      </c>
      <c r="F117" t="s">
        <v>3195</v>
      </c>
      <c r="G117" t="s">
        <v>6966</v>
      </c>
      <c r="H117" t="s">
        <v>6967</v>
      </c>
      <c r="I117" t="s">
        <v>31</v>
      </c>
      <c r="J117" t="s">
        <v>6968</v>
      </c>
      <c r="K117" t="s">
        <v>6969</v>
      </c>
    </row>
    <row r="118" spans="1:11" x14ac:dyDescent="0.3">
      <c r="A118" s="41"/>
      <c r="B118" s="42"/>
      <c r="C118" s="41"/>
      <c r="D118" t="s">
        <v>6970</v>
      </c>
      <c r="E118" t="s">
        <v>6971</v>
      </c>
      <c r="F118" t="s">
        <v>3202</v>
      </c>
      <c r="G118" t="s">
        <v>6972</v>
      </c>
      <c r="H118" t="s">
        <v>6973</v>
      </c>
      <c r="I118" t="s">
        <v>4481</v>
      </c>
      <c r="J118" t="s">
        <v>6974</v>
      </c>
      <c r="K118" t="s">
        <v>6975</v>
      </c>
    </row>
    <row r="119" spans="1:11" x14ac:dyDescent="0.3">
      <c r="A119" s="41"/>
      <c r="B119" s="42"/>
      <c r="C119" s="41"/>
      <c r="D119" t="s">
        <v>6976</v>
      </c>
      <c r="E119" t="s">
        <v>6977</v>
      </c>
      <c r="F119" t="s">
        <v>6402</v>
      </c>
      <c r="G119" t="s">
        <v>6978</v>
      </c>
      <c r="H119" t="s">
        <v>6979</v>
      </c>
      <c r="I119" t="s">
        <v>31</v>
      </c>
      <c r="J119" t="s">
        <v>6980</v>
      </c>
      <c r="K119" t="s">
        <v>6981</v>
      </c>
    </row>
    <row r="120" spans="1:11" x14ac:dyDescent="0.3">
      <c r="A120" s="41"/>
      <c r="B120" s="42"/>
      <c r="C120" s="41"/>
      <c r="D120" t="s">
        <v>6982</v>
      </c>
      <c r="E120" t="s">
        <v>6983</v>
      </c>
      <c r="F120" t="s">
        <v>3202</v>
      </c>
      <c r="G120" t="s">
        <v>6984</v>
      </c>
      <c r="H120" t="s">
        <v>6985</v>
      </c>
      <c r="I120" t="s">
        <v>31</v>
      </c>
      <c r="J120" t="s">
        <v>6986</v>
      </c>
      <c r="K120" t="s">
        <v>6987</v>
      </c>
    </row>
    <row r="121" spans="1:11" x14ac:dyDescent="0.3">
      <c r="A121" s="41"/>
      <c r="B121" s="42"/>
      <c r="C121" s="41"/>
      <c r="D121" t="s">
        <v>6988</v>
      </c>
      <c r="E121" t="s">
        <v>6989</v>
      </c>
      <c r="F121" t="s">
        <v>3195</v>
      </c>
      <c r="G121" t="s">
        <v>6990</v>
      </c>
      <c r="H121" t="s">
        <v>6991</v>
      </c>
      <c r="I121" t="s">
        <v>4481</v>
      </c>
      <c r="J121" t="s">
        <v>6992</v>
      </c>
      <c r="K121" t="s">
        <v>6993</v>
      </c>
    </row>
    <row r="122" spans="1:11" x14ac:dyDescent="0.3">
      <c r="A122" s="41"/>
      <c r="B122" s="42"/>
      <c r="C122" s="41" t="s">
        <v>6994</v>
      </c>
      <c r="D122" t="s">
        <v>6995</v>
      </c>
      <c r="E122" t="s">
        <v>6996</v>
      </c>
      <c r="F122" t="s">
        <v>3195</v>
      </c>
      <c r="G122" t="s">
        <v>6997</v>
      </c>
      <c r="H122" t="s">
        <v>6998</v>
      </c>
      <c r="I122" t="s">
        <v>4481</v>
      </c>
      <c r="J122" t="s">
        <v>6999</v>
      </c>
      <c r="K122" t="s">
        <v>7000</v>
      </c>
    </row>
    <row r="123" spans="1:11" x14ac:dyDescent="0.3">
      <c r="A123" s="41"/>
      <c r="B123" s="42"/>
      <c r="C123" s="41"/>
      <c r="D123" t="s">
        <v>7001</v>
      </c>
      <c r="E123" t="s">
        <v>7002</v>
      </c>
      <c r="F123" t="s">
        <v>3202</v>
      </c>
      <c r="G123" t="s">
        <v>7003</v>
      </c>
      <c r="H123" t="s">
        <v>7004</v>
      </c>
      <c r="I123" t="s">
        <v>31</v>
      </c>
      <c r="J123" t="s">
        <v>7005</v>
      </c>
      <c r="K123" t="s">
        <v>7006</v>
      </c>
    </row>
    <row r="124" spans="1:11" x14ac:dyDescent="0.3">
      <c r="A124" s="41"/>
      <c r="B124" s="42"/>
      <c r="C124" s="41"/>
      <c r="D124" t="s">
        <v>7007</v>
      </c>
      <c r="E124" t="s">
        <v>7008</v>
      </c>
      <c r="F124" t="s">
        <v>3195</v>
      </c>
      <c r="G124" t="s">
        <v>7009</v>
      </c>
      <c r="H124" t="s">
        <v>7010</v>
      </c>
      <c r="I124" t="s">
        <v>31</v>
      </c>
      <c r="J124" t="s">
        <v>7011</v>
      </c>
      <c r="K124" t="s">
        <v>7012</v>
      </c>
    </row>
    <row r="125" spans="1:11" x14ac:dyDescent="0.3">
      <c r="A125" s="41"/>
      <c r="B125" s="42"/>
      <c r="C125" s="41"/>
      <c r="D125" t="s">
        <v>7013</v>
      </c>
      <c r="E125" t="s">
        <v>7014</v>
      </c>
      <c r="F125" t="s">
        <v>3195</v>
      </c>
      <c r="G125" t="s">
        <v>7015</v>
      </c>
      <c r="H125" t="s">
        <v>7016</v>
      </c>
      <c r="I125" t="s">
        <v>4481</v>
      </c>
      <c r="J125" t="s">
        <v>7017</v>
      </c>
      <c r="K125" t="s">
        <v>7018</v>
      </c>
    </row>
    <row r="126" spans="1:11" x14ac:dyDescent="0.3">
      <c r="A126" s="41"/>
      <c r="B126" s="42"/>
      <c r="C126" s="41"/>
      <c r="D126" t="s">
        <v>7019</v>
      </c>
      <c r="E126" t="s">
        <v>7020</v>
      </c>
      <c r="F126" t="s">
        <v>3202</v>
      </c>
      <c r="G126" t="s">
        <v>7021</v>
      </c>
      <c r="H126" t="s">
        <v>7022</v>
      </c>
      <c r="I126" t="s">
        <v>4481</v>
      </c>
      <c r="J126" t="s">
        <v>7023</v>
      </c>
      <c r="K126" t="s">
        <v>7024</v>
      </c>
    </row>
    <row r="127" spans="1:11" x14ac:dyDescent="0.3">
      <c r="A127" s="41"/>
      <c r="B127" s="42"/>
      <c r="C127" s="41" t="s">
        <v>7025</v>
      </c>
      <c r="D127" t="s">
        <v>7026</v>
      </c>
      <c r="E127" t="s">
        <v>7027</v>
      </c>
      <c r="F127" t="s">
        <v>3195</v>
      </c>
      <c r="G127" t="s">
        <v>7028</v>
      </c>
      <c r="H127" t="s">
        <v>7029</v>
      </c>
      <c r="I127" t="s">
        <v>31</v>
      </c>
      <c r="J127" t="s">
        <v>7030</v>
      </c>
      <c r="K127" t="s">
        <v>7031</v>
      </c>
    </row>
    <row r="128" spans="1:11" x14ac:dyDescent="0.3">
      <c r="A128" s="41"/>
      <c r="B128" s="42"/>
      <c r="C128" s="41"/>
      <c r="D128" t="s">
        <v>7032</v>
      </c>
      <c r="E128" t="s">
        <v>7033</v>
      </c>
      <c r="F128" t="s">
        <v>3202</v>
      </c>
      <c r="G128" t="s">
        <v>7034</v>
      </c>
      <c r="H128" t="s">
        <v>7035</v>
      </c>
      <c r="I128" t="s">
        <v>31</v>
      </c>
      <c r="J128" t="s">
        <v>7036</v>
      </c>
      <c r="K128" t="s">
        <v>7037</v>
      </c>
    </row>
    <row r="129" spans="1:11" x14ac:dyDescent="0.3">
      <c r="A129" s="41"/>
      <c r="B129" s="42"/>
      <c r="C129" s="41"/>
      <c r="D129" t="s">
        <v>7038</v>
      </c>
      <c r="E129" t="s">
        <v>7039</v>
      </c>
      <c r="F129" t="s">
        <v>3195</v>
      </c>
      <c r="G129" t="s">
        <v>7040</v>
      </c>
      <c r="H129" t="s">
        <v>7041</v>
      </c>
      <c r="I129" t="s">
        <v>4481</v>
      </c>
      <c r="J129" t="s">
        <v>7042</v>
      </c>
      <c r="K129" t="s">
        <v>7043</v>
      </c>
    </row>
    <row r="130" spans="1:11" x14ac:dyDescent="0.3">
      <c r="A130" s="41"/>
      <c r="B130" s="42"/>
      <c r="C130" s="41"/>
      <c r="D130" t="s">
        <v>7044</v>
      </c>
      <c r="E130" t="s">
        <v>7045</v>
      </c>
      <c r="F130" t="s">
        <v>3202</v>
      </c>
      <c r="G130" t="s">
        <v>7046</v>
      </c>
      <c r="H130" t="s">
        <v>7047</v>
      </c>
      <c r="I130" t="s">
        <v>4481</v>
      </c>
      <c r="J130" t="s">
        <v>7048</v>
      </c>
      <c r="K130" t="s">
        <v>7049</v>
      </c>
    </row>
    <row r="131" spans="1:11" x14ac:dyDescent="0.3">
      <c r="A131" s="41"/>
      <c r="B131" s="42"/>
      <c r="C131" s="41"/>
      <c r="D131" t="s">
        <v>7050</v>
      </c>
      <c r="E131" t="s">
        <v>7051</v>
      </c>
      <c r="F131" t="s">
        <v>3195</v>
      </c>
      <c r="G131" t="s">
        <v>7052</v>
      </c>
      <c r="H131" t="s">
        <v>7053</v>
      </c>
      <c r="I131" t="s">
        <v>31</v>
      </c>
      <c r="J131" t="s">
        <v>7054</v>
      </c>
      <c r="K131" t="s">
        <v>7055</v>
      </c>
    </row>
    <row r="132" spans="1:11" x14ac:dyDescent="0.3">
      <c r="A132" s="41"/>
      <c r="B132" s="42"/>
      <c r="C132" s="41" t="s">
        <v>7056</v>
      </c>
      <c r="D132" t="s">
        <v>7057</v>
      </c>
      <c r="E132" t="s">
        <v>7058</v>
      </c>
      <c r="F132" t="s">
        <v>3202</v>
      </c>
      <c r="G132" t="s">
        <v>7059</v>
      </c>
      <c r="H132" t="s">
        <v>7060</v>
      </c>
      <c r="I132" t="s">
        <v>4481</v>
      </c>
      <c r="J132" t="s">
        <v>7061</v>
      </c>
      <c r="K132" t="s">
        <v>7062</v>
      </c>
    </row>
    <row r="133" spans="1:11" x14ac:dyDescent="0.3">
      <c r="A133" s="41"/>
      <c r="B133" s="42"/>
      <c r="C133" s="41"/>
      <c r="D133" t="s">
        <v>7063</v>
      </c>
      <c r="E133" t="s">
        <v>7064</v>
      </c>
      <c r="F133" t="s">
        <v>3195</v>
      </c>
      <c r="G133" t="s">
        <v>7065</v>
      </c>
      <c r="H133" t="s">
        <v>7066</v>
      </c>
      <c r="I133" t="s">
        <v>31</v>
      </c>
      <c r="J133" t="s">
        <v>7067</v>
      </c>
      <c r="K133" t="s">
        <v>7068</v>
      </c>
    </row>
    <row r="134" spans="1:11" x14ac:dyDescent="0.3">
      <c r="A134" s="41"/>
      <c r="B134" s="42"/>
      <c r="C134" s="41"/>
      <c r="D134" t="s">
        <v>7069</v>
      </c>
      <c r="E134" t="s">
        <v>7070</v>
      </c>
      <c r="F134" t="s">
        <v>3202</v>
      </c>
      <c r="G134" t="s">
        <v>7071</v>
      </c>
      <c r="H134" t="s">
        <v>7072</v>
      </c>
      <c r="I134" t="s">
        <v>31</v>
      </c>
      <c r="J134" t="s">
        <v>7073</v>
      </c>
      <c r="K134" t="s">
        <v>7074</v>
      </c>
    </row>
    <row r="135" spans="1:11" x14ac:dyDescent="0.3">
      <c r="A135" s="41"/>
      <c r="B135" s="42"/>
      <c r="C135" s="41"/>
      <c r="D135" t="s">
        <v>7075</v>
      </c>
      <c r="E135" t="s">
        <v>7076</v>
      </c>
      <c r="F135" t="s">
        <v>3195</v>
      </c>
      <c r="G135" t="s">
        <v>7077</v>
      </c>
      <c r="H135" t="s">
        <v>7078</v>
      </c>
      <c r="I135" t="s">
        <v>4481</v>
      </c>
      <c r="J135" t="s">
        <v>7079</v>
      </c>
      <c r="K135" t="s">
        <v>7080</v>
      </c>
    </row>
    <row r="136" spans="1:11" x14ac:dyDescent="0.3">
      <c r="A136" s="41"/>
      <c r="B136" s="42"/>
      <c r="C136" s="41"/>
      <c r="D136" t="s">
        <v>7081</v>
      </c>
      <c r="E136" t="s">
        <v>7082</v>
      </c>
      <c r="F136" t="s">
        <v>3202</v>
      </c>
      <c r="G136" t="s">
        <v>7083</v>
      </c>
      <c r="H136" t="s">
        <v>7084</v>
      </c>
      <c r="I136" t="s">
        <v>31</v>
      </c>
      <c r="J136" t="s">
        <v>7085</v>
      </c>
      <c r="K136" t="s">
        <v>7086</v>
      </c>
    </row>
    <row r="137" spans="1:11" x14ac:dyDescent="0.3">
      <c r="A137" s="41"/>
      <c r="B137" s="42"/>
      <c r="C137" s="45" t="s">
        <v>7087</v>
      </c>
      <c r="D137" t="s">
        <v>7088</v>
      </c>
      <c r="E137" t="s">
        <v>7089</v>
      </c>
      <c r="F137" t="s">
        <v>3195</v>
      </c>
      <c r="G137" t="s">
        <v>7090</v>
      </c>
      <c r="H137" t="s">
        <v>7091</v>
      </c>
      <c r="I137" t="s">
        <v>31</v>
      </c>
      <c r="J137" t="s">
        <v>7092</v>
      </c>
    </row>
    <row r="138" spans="1:11" x14ac:dyDescent="0.3">
      <c r="A138" s="41"/>
      <c r="B138" s="42"/>
      <c r="C138" s="45"/>
      <c r="D138" t="s">
        <v>7093</v>
      </c>
      <c r="E138" t="s">
        <v>7094</v>
      </c>
      <c r="F138" t="s">
        <v>3195</v>
      </c>
      <c r="G138" t="s">
        <v>7095</v>
      </c>
      <c r="H138" t="s">
        <v>7096</v>
      </c>
      <c r="K138" t="s">
        <v>7097</v>
      </c>
    </row>
    <row r="139" spans="1:11" x14ac:dyDescent="0.3">
      <c r="A139" s="41"/>
      <c r="B139" s="42"/>
      <c r="C139" s="45"/>
      <c r="D139" t="s">
        <v>7098</v>
      </c>
      <c r="E139" t="s">
        <v>7099</v>
      </c>
      <c r="F139" t="s">
        <v>3195</v>
      </c>
      <c r="G139" t="s">
        <v>7100</v>
      </c>
      <c r="H139" t="s">
        <v>7101</v>
      </c>
      <c r="I139" t="s">
        <v>7097</v>
      </c>
      <c r="J139" t="s">
        <v>7097</v>
      </c>
      <c r="K139" t="s">
        <v>7102</v>
      </c>
    </row>
    <row r="140" spans="1:11" x14ac:dyDescent="0.3">
      <c r="A140" s="41"/>
      <c r="B140" s="42"/>
      <c r="C140" s="45"/>
      <c r="D140" t="s">
        <v>7103</v>
      </c>
      <c r="E140" t="s">
        <v>7104</v>
      </c>
      <c r="F140" t="s">
        <v>3195</v>
      </c>
      <c r="G140" t="s">
        <v>7105</v>
      </c>
      <c r="H140" t="s">
        <v>7106</v>
      </c>
      <c r="I140" t="s">
        <v>31</v>
      </c>
      <c r="J140" t="s">
        <v>7107</v>
      </c>
      <c r="K140" t="s">
        <v>7108</v>
      </c>
    </row>
    <row r="141" spans="1:11" x14ac:dyDescent="0.3">
      <c r="A141" s="41"/>
      <c r="B141" s="42"/>
      <c r="C141" s="45"/>
      <c r="D141" t="s">
        <v>7109</v>
      </c>
      <c r="E141" t="s">
        <v>7110</v>
      </c>
      <c r="F141" t="s">
        <v>3195</v>
      </c>
      <c r="G141" t="s">
        <v>6731</v>
      </c>
      <c r="H141" t="s">
        <v>7111</v>
      </c>
      <c r="I141" t="s">
        <v>4481</v>
      </c>
      <c r="J141" t="s">
        <v>7112</v>
      </c>
      <c r="K141" t="s">
        <v>7113</v>
      </c>
    </row>
    <row r="142" spans="1:11" x14ac:dyDescent="0.3">
      <c r="A142" s="41"/>
      <c r="B142" s="42"/>
      <c r="C142" s="45" t="s">
        <v>7114</v>
      </c>
      <c r="D142" t="s">
        <v>7115</v>
      </c>
      <c r="E142" t="s">
        <v>7116</v>
      </c>
      <c r="F142" t="s">
        <v>3195</v>
      </c>
      <c r="G142" t="s">
        <v>7117</v>
      </c>
      <c r="H142" t="s">
        <v>7118</v>
      </c>
      <c r="I142" t="s">
        <v>4481</v>
      </c>
      <c r="J142" t="s">
        <v>7119</v>
      </c>
      <c r="K142" t="s">
        <v>7120</v>
      </c>
    </row>
    <row r="143" spans="1:11" x14ac:dyDescent="0.3">
      <c r="A143" s="41"/>
      <c r="B143" s="42"/>
      <c r="C143" s="45"/>
      <c r="D143" t="s">
        <v>7121</v>
      </c>
      <c r="E143" t="s">
        <v>7122</v>
      </c>
      <c r="F143" t="s">
        <v>3195</v>
      </c>
      <c r="G143" t="s">
        <v>7123</v>
      </c>
      <c r="H143" t="s">
        <v>7124</v>
      </c>
      <c r="I143" t="s">
        <v>4481</v>
      </c>
      <c r="J143" t="s">
        <v>7125</v>
      </c>
      <c r="K143" t="s">
        <v>7126</v>
      </c>
    </row>
    <row r="144" spans="1:11" x14ac:dyDescent="0.3">
      <c r="A144" s="41"/>
      <c r="B144" s="42"/>
      <c r="C144" s="45"/>
      <c r="D144" t="s">
        <v>7127</v>
      </c>
      <c r="E144" t="s">
        <v>7128</v>
      </c>
      <c r="F144" t="s">
        <v>3195</v>
      </c>
      <c r="G144" t="s">
        <v>7129</v>
      </c>
      <c r="H144" t="s">
        <v>7130</v>
      </c>
      <c r="I144" t="s">
        <v>4481</v>
      </c>
      <c r="J144" t="s">
        <v>7131</v>
      </c>
      <c r="K144" t="s">
        <v>7132</v>
      </c>
    </row>
    <row r="145" spans="1:11" x14ac:dyDescent="0.3">
      <c r="A145" s="41"/>
      <c r="B145" s="42"/>
      <c r="C145" s="45"/>
      <c r="D145" t="s">
        <v>7133</v>
      </c>
      <c r="E145" t="s">
        <v>7134</v>
      </c>
      <c r="F145" t="s">
        <v>3195</v>
      </c>
      <c r="G145" t="s">
        <v>7135</v>
      </c>
      <c r="H145" t="s">
        <v>7136</v>
      </c>
      <c r="I145" t="s">
        <v>31</v>
      </c>
      <c r="J145" t="s">
        <v>7137</v>
      </c>
      <c r="K145" t="s">
        <v>7138</v>
      </c>
    </row>
    <row r="146" spans="1:11" x14ac:dyDescent="0.3">
      <c r="A146" s="41"/>
      <c r="B146" s="42"/>
      <c r="C146" s="45"/>
      <c r="D146" t="s">
        <v>7139</v>
      </c>
      <c r="E146" t="s">
        <v>7140</v>
      </c>
      <c r="F146" t="s">
        <v>3195</v>
      </c>
      <c r="G146" t="s">
        <v>7141</v>
      </c>
      <c r="H146" t="s">
        <v>7142</v>
      </c>
      <c r="I146" t="s">
        <v>4481</v>
      </c>
      <c r="J146" t="s">
        <v>7143</v>
      </c>
      <c r="K146" t="s">
        <v>7144</v>
      </c>
    </row>
    <row r="147" spans="1:11" x14ac:dyDescent="0.3">
      <c r="A147" s="41"/>
      <c r="B147" s="42"/>
      <c r="C147" s="45" t="s">
        <v>7145</v>
      </c>
      <c r="D147" t="s">
        <v>7146</v>
      </c>
      <c r="E147" t="s">
        <v>7147</v>
      </c>
      <c r="F147" t="s">
        <v>3195</v>
      </c>
      <c r="G147" t="s">
        <v>7148</v>
      </c>
      <c r="H147" t="s">
        <v>7149</v>
      </c>
      <c r="I147" t="s">
        <v>4481</v>
      </c>
      <c r="J147" t="s">
        <v>7150</v>
      </c>
      <c r="K147" t="s">
        <v>7151</v>
      </c>
    </row>
    <row r="148" spans="1:11" x14ac:dyDescent="0.3">
      <c r="A148" s="41"/>
      <c r="B148" s="42"/>
      <c r="C148" s="45"/>
      <c r="D148" t="s">
        <v>7152</v>
      </c>
      <c r="E148" t="s">
        <v>7153</v>
      </c>
      <c r="F148" t="s">
        <v>3195</v>
      </c>
      <c r="G148" t="s">
        <v>7154</v>
      </c>
      <c r="H148" t="s">
        <v>7155</v>
      </c>
      <c r="I148" t="s">
        <v>31</v>
      </c>
      <c r="J148" t="s">
        <v>7156</v>
      </c>
      <c r="K148" t="s">
        <v>7157</v>
      </c>
    </row>
    <row r="149" spans="1:11" x14ac:dyDescent="0.3">
      <c r="A149" s="41"/>
      <c r="B149" s="42"/>
      <c r="C149" s="45"/>
      <c r="D149" t="s">
        <v>7158</v>
      </c>
      <c r="E149" t="s">
        <v>7159</v>
      </c>
      <c r="F149" t="s">
        <v>3195</v>
      </c>
      <c r="G149" t="s">
        <v>7160</v>
      </c>
      <c r="H149" t="s">
        <v>7161</v>
      </c>
      <c r="I149" t="s">
        <v>4481</v>
      </c>
      <c r="J149" t="s">
        <v>7162</v>
      </c>
      <c r="K149" t="s">
        <v>7163</v>
      </c>
    </row>
    <row r="150" spans="1:11" x14ac:dyDescent="0.3">
      <c r="A150" s="41"/>
      <c r="B150" s="42"/>
      <c r="C150" s="45"/>
      <c r="D150" t="s">
        <v>7164</v>
      </c>
      <c r="E150" t="s">
        <v>7165</v>
      </c>
      <c r="F150" t="s">
        <v>3195</v>
      </c>
      <c r="G150" t="s">
        <v>7166</v>
      </c>
      <c r="H150" t="s">
        <v>7167</v>
      </c>
      <c r="I150" t="s">
        <v>31</v>
      </c>
      <c r="J150" t="s">
        <v>7168</v>
      </c>
      <c r="K150" t="s">
        <v>7169</v>
      </c>
    </row>
    <row r="151" spans="1:11" x14ac:dyDescent="0.3">
      <c r="A151" s="41"/>
      <c r="B151" s="42"/>
      <c r="C151" s="45"/>
      <c r="D151" t="s">
        <v>7170</v>
      </c>
      <c r="E151" t="s">
        <v>7171</v>
      </c>
      <c r="F151" t="s">
        <v>3195</v>
      </c>
      <c r="G151" t="s">
        <v>7172</v>
      </c>
      <c r="H151" t="s">
        <v>7173</v>
      </c>
      <c r="I151" t="s">
        <v>31</v>
      </c>
      <c r="J151" t="s">
        <v>7174</v>
      </c>
      <c r="K151" t="s">
        <v>7175</v>
      </c>
    </row>
    <row r="152" spans="1:11" x14ac:dyDescent="0.3">
      <c r="A152" s="41"/>
      <c r="B152" s="42"/>
      <c r="C152" s="41" t="s">
        <v>7176</v>
      </c>
      <c r="D152" t="s">
        <v>7177</v>
      </c>
      <c r="E152" t="s">
        <v>7178</v>
      </c>
      <c r="F152" t="s">
        <v>3195</v>
      </c>
      <c r="G152" t="s">
        <v>7179</v>
      </c>
      <c r="H152" t="s">
        <v>7180</v>
      </c>
      <c r="I152" t="s">
        <v>31</v>
      </c>
      <c r="J152" t="s">
        <v>7181</v>
      </c>
      <c r="K152" t="s">
        <v>7182</v>
      </c>
    </row>
    <row r="153" spans="1:11" x14ac:dyDescent="0.3">
      <c r="A153" s="41"/>
      <c r="B153" s="42"/>
      <c r="C153" s="41"/>
      <c r="D153" t="s">
        <v>7183</v>
      </c>
      <c r="E153" t="s">
        <v>7184</v>
      </c>
      <c r="F153" t="s">
        <v>3202</v>
      </c>
      <c r="G153" t="s">
        <v>7185</v>
      </c>
      <c r="H153" t="s">
        <v>7186</v>
      </c>
      <c r="I153" t="s">
        <v>4481</v>
      </c>
      <c r="J153" t="s">
        <v>7187</v>
      </c>
      <c r="K153" t="s">
        <v>7188</v>
      </c>
    </row>
    <row r="154" spans="1:11" x14ac:dyDescent="0.3">
      <c r="A154" s="41"/>
      <c r="B154" s="42"/>
      <c r="C154" s="41"/>
      <c r="D154" t="s">
        <v>7189</v>
      </c>
      <c r="E154" t="s">
        <v>7190</v>
      </c>
      <c r="F154" t="s">
        <v>3195</v>
      </c>
      <c r="G154" t="s">
        <v>7191</v>
      </c>
      <c r="H154" t="s">
        <v>3286</v>
      </c>
      <c r="I154" t="s">
        <v>31</v>
      </c>
      <c r="J154" t="s">
        <v>7192</v>
      </c>
      <c r="K154" t="s">
        <v>7193</v>
      </c>
    </row>
    <row r="155" spans="1:11" x14ac:dyDescent="0.3">
      <c r="A155" s="41"/>
      <c r="B155" s="42"/>
      <c r="C155" s="41"/>
      <c r="D155" t="s">
        <v>7194</v>
      </c>
      <c r="E155" t="s">
        <v>7195</v>
      </c>
      <c r="F155" t="s">
        <v>6402</v>
      </c>
      <c r="G155" t="s">
        <v>7196</v>
      </c>
      <c r="H155" t="s">
        <v>7197</v>
      </c>
      <c r="I155" t="s">
        <v>4481</v>
      </c>
      <c r="J155" t="s">
        <v>7198</v>
      </c>
      <c r="K155" t="s">
        <v>7199</v>
      </c>
    </row>
    <row r="156" spans="1:11" x14ac:dyDescent="0.3">
      <c r="A156" s="41"/>
      <c r="B156" s="42"/>
      <c r="C156" s="41"/>
      <c r="D156" t="s">
        <v>7200</v>
      </c>
      <c r="E156" t="s">
        <v>7201</v>
      </c>
      <c r="F156" t="s">
        <v>3202</v>
      </c>
      <c r="G156" t="s">
        <v>7202</v>
      </c>
      <c r="H156" t="s">
        <v>7203</v>
      </c>
      <c r="I156" t="s">
        <v>4481</v>
      </c>
      <c r="J156" t="s">
        <v>7204</v>
      </c>
      <c r="K156" t="s">
        <v>7205</v>
      </c>
    </row>
    <row r="157" spans="1:11" x14ac:dyDescent="0.3">
      <c r="A157" s="41"/>
      <c r="B157" s="42" t="s">
        <v>7206</v>
      </c>
      <c r="C157" s="41" t="s">
        <v>7207</v>
      </c>
      <c r="D157" t="s">
        <v>7208</v>
      </c>
      <c r="E157" t="s">
        <v>7209</v>
      </c>
      <c r="F157" t="s">
        <v>3195</v>
      </c>
      <c r="G157" t="s">
        <v>7210</v>
      </c>
      <c r="H157" t="s">
        <v>3286</v>
      </c>
      <c r="I157" t="s">
        <v>4481</v>
      </c>
      <c r="J157" t="s">
        <v>7211</v>
      </c>
      <c r="K157" t="s">
        <v>7212</v>
      </c>
    </row>
    <row r="158" spans="1:11" x14ac:dyDescent="0.3">
      <c r="A158" s="41"/>
      <c r="B158" s="42"/>
      <c r="C158" s="41"/>
      <c r="D158" t="s">
        <v>7213</v>
      </c>
      <c r="E158" t="s">
        <v>7214</v>
      </c>
      <c r="F158" t="s">
        <v>3202</v>
      </c>
      <c r="G158" t="s">
        <v>7215</v>
      </c>
      <c r="H158" t="s">
        <v>6829</v>
      </c>
      <c r="I158" t="s">
        <v>31</v>
      </c>
      <c r="J158" t="s">
        <v>7216</v>
      </c>
      <c r="K158" t="s">
        <v>7217</v>
      </c>
    </row>
    <row r="159" spans="1:11" x14ac:dyDescent="0.3">
      <c r="A159" s="41"/>
      <c r="B159" s="42"/>
      <c r="C159" s="41"/>
      <c r="D159" t="s">
        <v>6400</v>
      </c>
      <c r="E159" t="s">
        <v>7218</v>
      </c>
      <c r="F159" t="s">
        <v>6402</v>
      </c>
      <c r="G159" t="s">
        <v>7219</v>
      </c>
      <c r="H159" t="s">
        <v>7220</v>
      </c>
      <c r="I159" t="s">
        <v>4481</v>
      </c>
      <c r="J159" t="s">
        <v>7221</v>
      </c>
      <c r="K159" t="s">
        <v>7222</v>
      </c>
    </row>
    <row r="160" spans="1:11" x14ac:dyDescent="0.3">
      <c r="A160" s="41"/>
      <c r="B160" s="42"/>
      <c r="C160" s="41"/>
      <c r="D160" t="s">
        <v>7223</v>
      </c>
      <c r="E160" t="s">
        <v>7224</v>
      </c>
      <c r="F160" t="s">
        <v>3195</v>
      </c>
      <c r="G160" t="s">
        <v>7225</v>
      </c>
      <c r="H160" t="s">
        <v>3286</v>
      </c>
      <c r="I160" t="s">
        <v>4481</v>
      </c>
      <c r="J160" t="s">
        <v>7226</v>
      </c>
      <c r="K160" t="s">
        <v>7227</v>
      </c>
    </row>
    <row r="161" spans="1:11" x14ac:dyDescent="0.3">
      <c r="A161" s="41"/>
      <c r="B161" s="42"/>
      <c r="C161" s="41"/>
      <c r="D161" t="s">
        <v>7228</v>
      </c>
      <c r="E161" t="s">
        <v>7229</v>
      </c>
      <c r="F161" t="s">
        <v>3195</v>
      </c>
      <c r="G161" t="s">
        <v>7230</v>
      </c>
      <c r="H161" t="s">
        <v>7231</v>
      </c>
      <c r="I161" t="s">
        <v>31</v>
      </c>
      <c r="J161" t="s">
        <v>7232</v>
      </c>
      <c r="K161" t="s">
        <v>7233</v>
      </c>
    </row>
    <row r="162" spans="1:11" x14ac:dyDescent="0.3">
      <c r="A162" s="41"/>
      <c r="B162" s="42"/>
      <c r="C162" s="41" t="s">
        <v>7234</v>
      </c>
      <c r="D162" t="s">
        <v>7235</v>
      </c>
      <c r="E162" t="s">
        <v>7236</v>
      </c>
      <c r="F162" t="s">
        <v>3195</v>
      </c>
      <c r="G162" t="s">
        <v>7237</v>
      </c>
      <c r="H162" t="s">
        <v>7238</v>
      </c>
      <c r="I162" t="s">
        <v>4481</v>
      </c>
      <c r="J162" t="s">
        <v>7239</v>
      </c>
      <c r="K162" t="s">
        <v>7240</v>
      </c>
    </row>
    <row r="163" spans="1:11" x14ac:dyDescent="0.3">
      <c r="A163" s="41"/>
      <c r="B163" s="42"/>
      <c r="C163" s="41"/>
      <c r="D163" t="s">
        <v>7241</v>
      </c>
      <c r="E163" t="s">
        <v>7242</v>
      </c>
      <c r="F163" t="s">
        <v>3202</v>
      </c>
      <c r="G163" t="s">
        <v>7243</v>
      </c>
      <c r="H163" t="s">
        <v>7244</v>
      </c>
      <c r="I163" t="s">
        <v>4481</v>
      </c>
      <c r="J163" t="s">
        <v>7245</v>
      </c>
      <c r="K163" t="s">
        <v>7246</v>
      </c>
    </row>
    <row r="164" spans="1:11" x14ac:dyDescent="0.3">
      <c r="A164" s="41"/>
      <c r="B164" s="42"/>
      <c r="C164" s="41"/>
      <c r="D164" t="s">
        <v>7247</v>
      </c>
      <c r="E164" t="s">
        <v>7248</v>
      </c>
      <c r="F164" t="s">
        <v>3195</v>
      </c>
      <c r="G164" t="s">
        <v>7249</v>
      </c>
      <c r="H164" t="s">
        <v>7250</v>
      </c>
      <c r="I164" t="s">
        <v>31</v>
      </c>
      <c r="J164" t="s">
        <v>7251</v>
      </c>
      <c r="K164" t="s">
        <v>7252</v>
      </c>
    </row>
    <row r="165" spans="1:11" x14ac:dyDescent="0.3">
      <c r="A165" s="41"/>
      <c r="B165" s="42"/>
      <c r="C165" s="41"/>
      <c r="D165" t="s">
        <v>7253</v>
      </c>
      <c r="E165" t="s">
        <v>7254</v>
      </c>
      <c r="F165" t="s">
        <v>3202</v>
      </c>
      <c r="G165" t="s">
        <v>7255</v>
      </c>
      <c r="H165" t="s">
        <v>7256</v>
      </c>
      <c r="I165" t="s">
        <v>31</v>
      </c>
      <c r="J165" t="s">
        <v>7257</v>
      </c>
      <c r="K165" t="s">
        <v>7258</v>
      </c>
    </row>
    <row r="166" spans="1:11" x14ac:dyDescent="0.3">
      <c r="A166" s="41"/>
      <c r="B166" s="42"/>
      <c r="C166" s="41"/>
      <c r="D166" t="s">
        <v>7259</v>
      </c>
      <c r="E166" t="s">
        <v>7260</v>
      </c>
      <c r="F166" t="s">
        <v>3195</v>
      </c>
      <c r="G166" t="s">
        <v>7261</v>
      </c>
      <c r="H166" t="s">
        <v>7238</v>
      </c>
      <c r="I166" t="s">
        <v>4481</v>
      </c>
      <c r="J166" t="s">
        <v>7262</v>
      </c>
      <c r="K166" t="s">
        <v>7263</v>
      </c>
    </row>
    <row r="167" spans="1:11" x14ac:dyDescent="0.3">
      <c r="A167" s="41"/>
      <c r="B167" s="42"/>
      <c r="C167" s="41" t="s">
        <v>7264</v>
      </c>
      <c r="D167" t="s">
        <v>7265</v>
      </c>
      <c r="E167" t="s">
        <v>7266</v>
      </c>
      <c r="F167" t="s">
        <v>3195</v>
      </c>
      <c r="G167" t="s">
        <v>7267</v>
      </c>
      <c r="H167" t="s">
        <v>7268</v>
      </c>
      <c r="I167" t="s">
        <v>31</v>
      </c>
      <c r="J167" t="s">
        <v>7269</v>
      </c>
      <c r="K167" t="s">
        <v>7270</v>
      </c>
    </row>
    <row r="168" spans="1:11" x14ac:dyDescent="0.3">
      <c r="A168" s="41"/>
      <c r="B168" s="42"/>
      <c r="C168" s="41"/>
      <c r="D168" t="s">
        <v>7271</v>
      </c>
      <c r="E168" t="s">
        <v>7272</v>
      </c>
      <c r="F168" t="s">
        <v>3202</v>
      </c>
      <c r="G168" t="s">
        <v>6545</v>
      </c>
      <c r="H168" t="s">
        <v>7273</v>
      </c>
      <c r="I168" t="s">
        <v>31</v>
      </c>
      <c r="J168" t="s">
        <v>7274</v>
      </c>
      <c r="K168" t="s">
        <v>7275</v>
      </c>
    </row>
    <row r="169" spans="1:11" x14ac:dyDescent="0.3">
      <c r="A169" s="41"/>
      <c r="B169" s="42"/>
      <c r="C169" s="41"/>
      <c r="D169" t="s">
        <v>6524</v>
      </c>
      <c r="E169" t="s">
        <v>7276</v>
      </c>
      <c r="F169" t="s">
        <v>6402</v>
      </c>
      <c r="G169" t="s">
        <v>6526</v>
      </c>
      <c r="H169" t="s">
        <v>7277</v>
      </c>
      <c r="I169" t="s">
        <v>4481</v>
      </c>
      <c r="J169" t="s">
        <v>7278</v>
      </c>
      <c r="K169" t="s">
        <v>7279</v>
      </c>
    </row>
    <row r="170" spans="1:11" x14ac:dyDescent="0.3">
      <c r="A170" s="41"/>
      <c r="B170" s="42"/>
      <c r="C170" s="41"/>
      <c r="D170" t="s">
        <v>7280</v>
      </c>
      <c r="E170" t="s">
        <v>7281</v>
      </c>
      <c r="F170" t="s">
        <v>3195</v>
      </c>
      <c r="G170" t="s">
        <v>7282</v>
      </c>
      <c r="H170" t="s">
        <v>7283</v>
      </c>
      <c r="I170" t="s">
        <v>31</v>
      </c>
      <c r="J170" t="s">
        <v>7284</v>
      </c>
      <c r="K170" t="s">
        <v>7285</v>
      </c>
    </row>
    <row r="171" spans="1:11" x14ac:dyDescent="0.3">
      <c r="A171" s="41"/>
      <c r="B171" s="42"/>
      <c r="C171" s="41"/>
      <c r="D171" t="s">
        <v>7286</v>
      </c>
      <c r="E171" t="s">
        <v>7287</v>
      </c>
      <c r="F171" t="s">
        <v>3202</v>
      </c>
      <c r="G171" t="s">
        <v>7288</v>
      </c>
      <c r="H171" t="s">
        <v>7289</v>
      </c>
      <c r="I171" t="s">
        <v>31</v>
      </c>
      <c r="J171" t="s">
        <v>7290</v>
      </c>
      <c r="K171" t="s">
        <v>7291</v>
      </c>
    </row>
    <row r="172" spans="1:11" x14ac:dyDescent="0.3">
      <c r="A172" s="41"/>
      <c r="B172" s="42"/>
      <c r="C172" s="45" t="s">
        <v>7292</v>
      </c>
      <c r="D172" t="s">
        <v>7293</v>
      </c>
      <c r="E172" t="s">
        <v>7294</v>
      </c>
      <c r="F172" t="s">
        <v>3195</v>
      </c>
      <c r="G172" t="s">
        <v>7295</v>
      </c>
      <c r="H172" t="s">
        <v>7296</v>
      </c>
      <c r="I172" t="s">
        <v>31</v>
      </c>
      <c r="J172" t="s">
        <v>7297</v>
      </c>
      <c r="K172" t="s">
        <v>7298</v>
      </c>
    </row>
    <row r="173" spans="1:11" x14ac:dyDescent="0.3">
      <c r="A173" s="41"/>
      <c r="B173" s="42"/>
      <c r="C173" s="45"/>
      <c r="D173" t="s">
        <v>7299</v>
      </c>
      <c r="E173" t="s">
        <v>7300</v>
      </c>
      <c r="F173" t="s">
        <v>6402</v>
      </c>
      <c r="G173" t="s">
        <v>7301</v>
      </c>
      <c r="H173" t="s">
        <v>7302</v>
      </c>
      <c r="I173" t="s">
        <v>4481</v>
      </c>
      <c r="J173" t="s">
        <v>7303</v>
      </c>
      <c r="K173" t="s">
        <v>7304</v>
      </c>
    </row>
    <row r="174" spans="1:11" x14ac:dyDescent="0.3">
      <c r="A174" s="41"/>
      <c r="B174" s="42"/>
      <c r="C174" s="45"/>
      <c r="D174" t="s">
        <v>7305</v>
      </c>
      <c r="E174" t="s">
        <v>7306</v>
      </c>
      <c r="F174" t="s">
        <v>3202</v>
      </c>
      <c r="G174" t="s">
        <v>7307</v>
      </c>
      <c r="H174" t="s">
        <v>7308</v>
      </c>
      <c r="I174" t="s">
        <v>31</v>
      </c>
      <c r="J174" t="s">
        <v>7309</v>
      </c>
      <c r="K174" t="s">
        <v>7310</v>
      </c>
    </row>
    <row r="175" spans="1:11" x14ac:dyDescent="0.3">
      <c r="A175" s="41"/>
      <c r="B175" s="42"/>
      <c r="C175" s="45"/>
      <c r="D175" t="s">
        <v>7311</v>
      </c>
      <c r="E175" t="s">
        <v>7312</v>
      </c>
      <c r="F175" t="s">
        <v>3195</v>
      </c>
      <c r="G175" t="s">
        <v>7313</v>
      </c>
      <c r="H175" t="s">
        <v>7314</v>
      </c>
      <c r="I175" t="s">
        <v>4481</v>
      </c>
      <c r="J175" t="s">
        <v>7315</v>
      </c>
      <c r="K175" t="s">
        <v>7316</v>
      </c>
    </row>
    <row r="176" spans="1:11" x14ac:dyDescent="0.3">
      <c r="A176" s="41"/>
      <c r="B176" s="42"/>
      <c r="C176" s="45"/>
      <c r="D176" t="s">
        <v>7317</v>
      </c>
      <c r="E176" t="s">
        <v>7318</v>
      </c>
      <c r="F176" t="s">
        <v>3195</v>
      </c>
      <c r="G176" t="s">
        <v>7319</v>
      </c>
      <c r="H176" t="s">
        <v>7320</v>
      </c>
      <c r="I176" t="s">
        <v>4481</v>
      </c>
      <c r="J176" t="s">
        <v>7321</v>
      </c>
      <c r="K176" t="s">
        <v>7322</v>
      </c>
    </row>
    <row r="177" spans="1:11" x14ac:dyDescent="0.3">
      <c r="A177" s="41"/>
      <c r="B177" s="42"/>
      <c r="C177" s="41" t="s">
        <v>7323</v>
      </c>
      <c r="D177" t="s">
        <v>7324</v>
      </c>
      <c r="E177" t="s">
        <v>7325</v>
      </c>
      <c r="F177" t="s">
        <v>3195</v>
      </c>
      <c r="G177" t="s">
        <v>7326</v>
      </c>
      <c r="H177" t="s">
        <v>3158</v>
      </c>
      <c r="I177" t="s">
        <v>31</v>
      </c>
      <c r="J177" t="s">
        <v>7327</v>
      </c>
      <c r="K177" t="s">
        <v>7328</v>
      </c>
    </row>
    <row r="178" spans="1:11" x14ac:dyDescent="0.3">
      <c r="A178" s="41"/>
      <c r="B178" s="42"/>
      <c r="C178" s="41"/>
      <c r="D178" t="s">
        <v>7329</v>
      </c>
      <c r="E178" t="s">
        <v>7330</v>
      </c>
      <c r="F178" t="s">
        <v>3202</v>
      </c>
      <c r="G178" t="s">
        <v>7331</v>
      </c>
      <c r="H178" t="s">
        <v>7332</v>
      </c>
      <c r="I178" t="s">
        <v>31</v>
      </c>
      <c r="J178" t="s">
        <v>7333</v>
      </c>
      <c r="K178" t="s">
        <v>7334</v>
      </c>
    </row>
    <row r="179" spans="1:11" x14ac:dyDescent="0.3">
      <c r="A179" s="41"/>
      <c r="B179" s="42"/>
      <c r="C179" s="41"/>
      <c r="D179" t="s">
        <v>7335</v>
      </c>
      <c r="E179" t="s">
        <v>7336</v>
      </c>
      <c r="F179" t="s">
        <v>6402</v>
      </c>
      <c r="G179" t="s">
        <v>7337</v>
      </c>
      <c r="H179" t="s">
        <v>7338</v>
      </c>
      <c r="I179" t="s">
        <v>31</v>
      </c>
      <c r="J179" t="s">
        <v>7339</v>
      </c>
      <c r="K179" t="s">
        <v>7340</v>
      </c>
    </row>
    <row r="180" spans="1:11" x14ac:dyDescent="0.3">
      <c r="A180" s="41"/>
      <c r="B180" s="42"/>
      <c r="C180" s="41"/>
      <c r="D180" t="s">
        <v>7341</v>
      </c>
      <c r="E180" t="s">
        <v>7342</v>
      </c>
      <c r="F180" t="s">
        <v>3202</v>
      </c>
      <c r="G180" t="s">
        <v>7343</v>
      </c>
      <c r="H180" t="s">
        <v>7344</v>
      </c>
      <c r="I180" t="s">
        <v>31</v>
      </c>
      <c r="J180" t="s">
        <v>7345</v>
      </c>
      <c r="K180" t="s">
        <v>7346</v>
      </c>
    </row>
    <row r="181" spans="1:11" x14ac:dyDescent="0.3">
      <c r="A181" s="41"/>
      <c r="B181" s="42"/>
      <c r="C181" s="41"/>
      <c r="D181" t="s">
        <v>6951</v>
      </c>
      <c r="E181" t="s">
        <v>7347</v>
      </c>
      <c r="F181" t="s">
        <v>3195</v>
      </c>
      <c r="G181" t="s">
        <v>7348</v>
      </c>
      <c r="H181" t="s">
        <v>7283</v>
      </c>
      <c r="I181" t="s">
        <v>31</v>
      </c>
      <c r="J181" t="s">
        <v>7349</v>
      </c>
      <c r="K181" t="s">
        <v>7350</v>
      </c>
    </row>
    <row r="182" spans="1:11" x14ac:dyDescent="0.3">
      <c r="A182" s="41"/>
      <c r="B182" s="42"/>
      <c r="C182" s="41" t="s">
        <v>7351</v>
      </c>
      <c r="D182" t="s">
        <v>7352</v>
      </c>
      <c r="E182" t="s">
        <v>7353</v>
      </c>
      <c r="F182" t="s">
        <v>3195</v>
      </c>
      <c r="G182" t="s">
        <v>7354</v>
      </c>
      <c r="H182" t="s">
        <v>7355</v>
      </c>
      <c r="I182" t="s">
        <v>4481</v>
      </c>
      <c r="K182" t="s">
        <v>7356</v>
      </c>
    </row>
    <row r="183" spans="1:11" x14ac:dyDescent="0.3">
      <c r="A183" s="41"/>
      <c r="B183" s="42"/>
      <c r="C183" s="41"/>
      <c r="D183" t="s">
        <v>7357</v>
      </c>
      <c r="E183" t="s">
        <v>7358</v>
      </c>
      <c r="F183" t="s">
        <v>3202</v>
      </c>
      <c r="G183" t="s">
        <v>6303</v>
      </c>
      <c r="H183" t="s">
        <v>7359</v>
      </c>
      <c r="I183" t="s">
        <v>4481</v>
      </c>
      <c r="K183" t="s">
        <v>7360</v>
      </c>
    </row>
    <row r="184" spans="1:11" x14ac:dyDescent="0.3">
      <c r="A184" s="41"/>
      <c r="B184" s="42"/>
      <c r="C184" s="41"/>
      <c r="D184" t="s">
        <v>7361</v>
      </c>
      <c r="E184" t="s">
        <v>7362</v>
      </c>
      <c r="F184" t="s">
        <v>3195</v>
      </c>
      <c r="G184" t="s">
        <v>7363</v>
      </c>
      <c r="H184" t="s">
        <v>7364</v>
      </c>
      <c r="I184" t="s">
        <v>31</v>
      </c>
      <c r="K184" t="s">
        <v>7365</v>
      </c>
    </row>
    <row r="185" spans="1:11" x14ac:dyDescent="0.3">
      <c r="A185" s="41"/>
      <c r="B185" s="42"/>
      <c r="C185" s="41"/>
      <c r="D185" t="s">
        <v>7366</v>
      </c>
      <c r="E185" t="s">
        <v>7367</v>
      </c>
      <c r="F185" t="s">
        <v>3202</v>
      </c>
      <c r="G185" t="s">
        <v>7368</v>
      </c>
      <c r="H185" t="s">
        <v>3969</v>
      </c>
      <c r="K185" t="s">
        <v>7369</v>
      </c>
    </row>
    <row r="186" spans="1:11" x14ac:dyDescent="0.3">
      <c r="A186" s="41"/>
      <c r="B186" s="42"/>
      <c r="C186" s="41"/>
      <c r="D186" t="s">
        <v>7370</v>
      </c>
      <c r="E186" t="s">
        <v>7371</v>
      </c>
      <c r="F186" t="s">
        <v>3195</v>
      </c>
      <c r="G186" t="s">
        <v>7372</v>
      </c>
      <c r="H186" t="s">
        <v>7373</v>
      </c>
    </row>
    <row r="187" spans="1:11" x14ac:dyDescent="0.3">
      <c r="K187" t="s">
        <v>7097</v>
      </c>
    </row>
  </sheetData>
  <mergeCells count="32">
    <mergeCell ref="B157:B186"/>
    <mergeCell ref="C157:C161"/>
    <mergeCell ref="C162:C166"/>
    <mergeCell ref="C167:C171"/>
    <mergeCell ref="C172:C176"/>
    <mergeCell ref="C177:C181"/>
    <mergeCell ref="C182:C186"/>
    <mergeCell ref="B117:B156"/>
    <mergeCell ref="C117:C121"/>
    <mergeCell ref="C122:C126"/>
    <mergeCell ref="C127:C131"/>
    <mergeCell ref="C132:C136"/>
    <mergeCell ref="C137:C141"/>
    <mergeCell ref="C142:C146"/>
    <mergeCell ref="C147:C151"/>
    <mergeCell ref="C152:C156"/>
    <mergeCell ref="C87:C91"/>
    <mergeCell ref="C92:C96"/>
    <mergeCell ref="C97:C101"/>
    <mergeCell ref="C102:C106"/>
    <mergeCell ref="C107:C111"/>
    <mergeCell ref="C112:C116"/>
    <mergeCell ref="A2:A186"/>
    <mergeCell ref="B2:B66"/>
    <mergeCell ref="C52:C56"/>
    <mergeCell ref="C57:C61"/>
    <mergeCell ref="C62:C66"/>
    <mergeCell ref="B67:B116"/>
    <mergeCell ref="C67:C71"/>
    <mergeCell ref="C72:C76"/>
    <mergeCell ref="C77:C81"/>
    <mergeCell ref="C82:C8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6"/>
  <sheetViews>
    <sheetView tabSelected="1" topLeftCell="C1" workbookViewId="0">
      <selection activeCell="E3" sqref="E3"/>
    </sheetView>
  </sheetViews>
  <sheetFormatPr baseColWidth="10" defaultRowHeight="14.4" x14ac:dyDescent="0.3"/>
  <cols>
    <col min="1" max="1" width="34.5546875" customWidth="1"/>
    <col min="2" max="2" width="48" customWidth="1"/>
    <col min="3" max="3" width="45.88671875" customWidth="1"/>
    <col min="4" max="4" width="68.109375" customWidth="1"/>
    <col min="5" max="5" width="69.77734375" customWidth="1"/>
    <col min="6" max="6" width="60.88671875" customWidth="1"/>
    <col min="7" max="7" width="89.21875" customWidth="1"/>
    <col min="8" max="8" width="76.5546875" customWidth="1"/>
    <col min="9" max="9" width="27.33203125" customWidth="1"/>
    <col min="10" max="10" width="101.109375" customWidth="1"/>
    <col min="11" max="11" width="127.5546875" customWidth="1"/>
  </cols>
  <sheetData>
    <row r="1" spans="1:11" x14ac:dyDescent="0.3">
      <c r="A1" t="s">
        <v>6249</v>
      </c>
      <c r="B1" t="s">
        <v>4216</v>
      </c>
      <c r="C1" t="s">
        <v>6250</v>
      </c>
      <c r="D1" t="s">
        <v>4218</v>
      </c>
      <c r="E1" t="s">
        <v>7374</v>
      </c>
      <c r="F1" t="s">
        <v>4220</v>
      </c>
      <c r="G1" t="s">
        <v>3064</v>
      </c>
      <c r="H1" t="s">
        <v>7375</v>
      </c>
      <c r="I1" t="s">
        <v>3066</v>
      </c>
      <c r="J1" t="s">
        <v>3067</v>
      </c>
      <c r="K1" t="s">
        <v>3068</v>
      </c>
    </row>
    <row r="2" spans="1:11" x14ac:dyDescent="0.3">
      <c r="A2" t="s">
        <v>7376</v>
      </c>
      <c r="B2" t="s">
        <v>7377</v>
      </c>
      <c r="C2" t="s">
        <v>7378</v>
      </c>
      <c r="D2" t="s">
        <v>7379</v>
      </c>
      <c r="E2" t="s">
        <v>7380</v>
      </c>
      <c r="F2" t="s">
        <v>3195</v>
      </c>
      <c r="G2" t="s">
        <v>7381</v>
      </c>
      <c r="H2" t="s">
        <v>7382</v>
      </c>
      <c r="I2" t="s">
        <v>7383</v>
      </c>
      <c r="J2" t="s">
        <v>7384</v>
      </c>
      <c r="K2" t="s">
        <v>7385</v>
      </c>
    </row>
    <row r="3" spans="1:11" x14ac:dyDescent="0.3">
      <c r="D3" t="s">
        <v>7386</v>
      </c>
      <c r="E3" t="s">
        <v>7387</v>
      </c>
      <c r="F3" t="s">
        <v>3195</v>
      </c>
      <c r="G3" t="s">
        <v>7388</v>
      </c>
      <c r="H3" t="s">
        <v>7389</v>
      </c>
      <c r="I3" t="s">
        <v>4755</v>
      </c>
      <c r="J3" t="s">
        <v>6980</v>
      </c>
      <c r="K3" t="s">
        <v>7390</v>
      </c>
    </row>
    <row r="4" spans="1:11" x14ac:dyDescent="0.3">
      <c r="D4" t="s">
        <v>7391</v>
      </c>
      <c r="E4" t="s">
        <v>7392</v>
      </c>
      <c r="F4" t="s">
        <v>3195</v>
      </c>
      <c r="G4" t="s">
        <v>7393</v>
      </c>
      <c r="H4" t="s">
        <v>7394</v>
      </c>
      <c r="I4" t="s">
        <v>4340</v>
      </c>
      <c r="J4" t="s">
        <v>7395</v>
      </c>
      <c r="K4" t="s">
        <v>7396</v>
      </c>
    </row>
    <row r="5" spans="1:11" x14ac:dyDescent="0.3">
      <c r="D5" t="s">
        <v>7397</v>
      </c>
      <c r="E5" t="s">
        <v>7398</v>
      </c>
      <c r="F5" t="s">
        <v>3195</v>
      </c>
      <c r="G5" t="s">
        <v>7399</v>
      </c>
      <c r="H5" t="s">
        <v>7400</v>
      </c>
      <c r="I5" t="s">
        <v>31</v>
      </c>
      <c r="J5" t="s">
        <v>7401</v>
      </c>
      <c r="K5" t="s">
        <v>7402</v>
      </c>
    </row>
    <row r="6" spans="1:11" x14ac:dyDescent="0.3">
      <c r="D6" t="s">
        <v>7403</v>
      </c>
      <c r="E6" t="s">
        <v>7404</v>
      </c>
      <c r="F6" t="s">
        <v>3195</v>
      </c>
      <c r="G6" t="s">
        <v>7405</v>
      </c>
      <c r="H6" t="s">
        <v>7406</v>
      </c>
      <c r="I6" t="s">
        <v>3139</v>
      </c>
      <c r="J6" t="s">
        <v>7407</v>
      </c>
      <c r="K6" t="s">
        <v>7408</v>
      </c>
    </row>
    <row r="7" spans="1:11" x14ac:dyDescent="0.3">
      <c r="C7" t="s">
        <v>7409</v>
      </c>
      <c r="D7" t="s">
        <v>7410</v>
      </c>
      <c r="E7" t="s">
        <v>7411</v>
      </c>
      <c r="F7" t="s">
        <v>4255</v>
      </c>
      <c r="G7" t="s">
        <v>7412</v>
      </c>
      <c r="H7" t="s">
        <v>7413</v>
      </c>
      <c r="I7" t="s">
        <v>4390</v>
      </c>
      <c r="J7" t="s">
        <v>7414</v>
      </c>
      <c r="K7" t="s">
        <v>7415</v>
      </c>
    </row>
    <row r="8" spans="1:11" x14ac:dyDescent="0.3">
      <c r="D8" t="s">
        <v>7416</v>
      </c>
      <c r="E8" t="s">
        <v>7417</v>
      </c>
      <c r="F8" t="s">
        <v>4255</v>
      </c>
      <c r="G8" t="s">
        <v>7418</v>
      </c>
      <c r="H8" t="s">
        <v>7419</v>
      </c>
      <c r="I8" t="s">
        <v>7420</v>
      </c>
      <c r="J8" t="s">
        <v>7421</v>
      </c>
      <c r="K8" t="s">
        <v>7422</v>
      </c>
    </row>
    <row r="9" spans="1:11" x14ac:dyDescent="0.3">
      <c r="D9" t="s">
        <v>7423</v>
      </c>
      <c r="E9" t="s">
        <v>7424</v>
      </c>
      <c r="F9" t="s">
        <v>4255</v>
      </c>
      <c r="G9" t="s">
        <v>7425</v>
      </c>
      <c r="H9" t="s">
        <v>7426</v>
      </c>
      <c r="I9" t="s">
        <v>7427</v>
      </c>
      <c r="J9" t="s">
        <v>4497</v>
      </c>
      <c r="K9" t="s">
        <v>7428</v>
      </c>
    </row>
    <row r="10" spans="1:11" x14ac:dyDescent="0.3">
      <c r="D10" t="s">
        <v>7429</v>
      </c>
      <c r="E10" t="s">
        <v>7430</v>
      </c>
      <c r="F10" t="s">
        <v>4255</v>
      </c>
      <c r="G10" t="s">
        <v>7431</v>
      </c>
      <c r="H10" t="s">
        <v>7432</v>
      </c>
      <c r="I10" t="s">
        <v>7433</v>
      </c>
      <c r="J10" t="s">
        <v>7434</v>
      </c>
      <c r="K10" t="s">
        <v>7435</v>
      </c>
    </row>
    <row r="11" spans="1:11" x14ac:dyDescent="0.3">
      <c r="D11" t="s">
        <v>7436</v>
      </c>
      <c r="E11" t="s">
        <v>7437</v>
      </c>
      <c r="F11" t="s">
        <v>4255</v>
      </c>
      <c r="G11" t="s">
        <v>7438</v>
      </c>
      <c r="H11" t="s">
        <v>7439</v>
      </c>
      <c r="I11" t="s">
        <v>7440</v>
      </c>
      <c r="J11" t="s">
        <v>7441</v>
      </c>
      <c r="K11" t="s">
        <v>7442</v>
      </c>
    </row>
    <row r="12" spans="1:11" x14ac:dyDescent="0.3">
      <c r="C12" t="s">
        <v>7443</v>
      </c>
      <c r="D12" t="s">
        <v>7444</v>
      </c>
      <c r="E12" t="s">
        <v>7445</v>
      </c>
      <c r="F12" t="s">
        <v>4255</v>
      </c>
      <c r="G12" t="s">
        <v>7446</v>
      </c>
      <c r="H12" t="s">
        <v>7447</v>
      </c>
      <c r="I12" t="s">
        <v>7448</v>
      </c>
      <c r="J12" t="s">
        <v>7449</v>
      </c>
      <c r="K12" t="s">
        <v>7450</v>
      </c>
    </row>
    <row r="13" spans="1:11" x14ac:dyDescent="0.3">
      <c r="D13" t="s">
        <v>7451</v>
      </c>
      <c r="E13" t="s">
        <v>7452</v>
      </c>
      <c r="F13" t="s">
        <v>4255</v>
      </c>
      <c r="G13" t="s">
        <v>7453</v>
      </c>
      <c r="H13" t="s">
        <v>7454</v>
      </c>
      <c r="I13" t="s">
        <v>4496</v>
      </c>
      <c r="J13" t="s">
        <v>7455</v>
      </c>
      <c r="K13" t="s">
        <v>7456</v>
      </c>
    </row>
    <row r="14" spans="1:11" x14ac:dyDescent="0.3">
      <c r="D14" t="s">
        <v>7457</v>
      </c>
      <c r="E14" t="s">
        <v>7458</v>
      </c>
      <c r="F14" t="s">
        <v>4255</v>
      </c>
      <c r="G14" t="s">
        <v>7459</v>
      </c>
      <c r="H14" t="s">
        <v>7460</v>
      </c>
      <c r="I14" t="s">
        <v>7427</v>
      </c>
      <c r="J14" t="s">
        <v>7461</v>
      </c>
      <c r="K14" t="s">
        <v>7462</v>
      </c>
    </row>
    <row r="15" spans="1:11" x14ac:dyDescent="0.3">
      <c r="D15" t="s">
        <v>7463</v>
      </c>
      <c r="E15" t="s">
        <v>7464</v>
      </c>
      <c r="F15" t="s">
        <v>4255</v>
      </c>
      <c r="G15" t="s">
        <v>7465</v>
      </c>
      <c r="H15" t="s">
        <v>7466</v>
      </c>
      <c r="I15" t="s">
        <v>7433</v>
      </c>
      <c r="J15" t="s">
        <v>7467</v>
      </c>
      <c r="K15" t="s">
        <v>7468</v>
      </c>
    </row>
    <row r="16" spans="1:11" x14ac:dyDescent="0.3">
      <c r="D16" t="s">
        <v>7469</v>
      </c>
      <c r="E16" t="s">
        <v>7470</v>
      </c>
      <c r="F16" t="s">
        <v>4255</v>
      </c>
      <c r="G16" t="s">
        <v>7471</v>
      </c>
      <c r="H16" t="s">
        <v>7472</v>
      </c>
      <c r="I16" t="s">
        <v>7473</v>
      </c>
      <c r="J16" t="s">
        <v>7474</v>
      </c>
      <c r="K16" t="s">
        <v>7475</v>
      </c>
    </row>
    <row r="17" spans="3:11" x14ac:dyDescent="0.3">
      <c r="C17" t="s">
        <v>7476</v>
      </c>
      <c r="D17" t="s">
        <v>7477</v>
      </c>
      <c r="E17" t="s">
        <v>7478</v>
      </c>
      <c r="F17" t="s">
        <v>4255</v>
      </c>
      <c r="G17" t="s">
        <v>7446</v>
      </c>
      <c r="H17" t="s">
        <v>7479</v>
      </c>
      <c r="I17" t="s">
        <v>7480</v>
      </c>
      <c r="J17" t="s">
        <v>7481</v>
      </c>
      <c r="K17" t="s">
        <v>7482</v>
      </c>
    </row>
    <row r="18" spans="3:11" x14ac:dyDescent="0.3">
      <c r="D18" t="s">
        <v>7483</v>
      </c>
      <c r="E18" t="s">
        <v>7484</v>
      </c>
      <c r="F18" t="s">
        <v>4255</v>
      </c>
      <c r="G18" t="s">
        <v>7453</v>
      </c>
      <c r="H18" t="s">
        <v>7454</v>
      </c>
      <c r="I18" t="s">
        <v>4496</v>
      </c>
      <c r="J18" t="s">
        <v>7485</v>
      </c>
      <c r="K18" t="s">
        <v>7486</v>
      </c>
    </row>
    <row r="19" spans="3:11" x14ac:dyDescent="0.3">
      <c r="D19" t="s">
        <v>7487</v>
      </c>
      <c r="E19" t="s">
        <v>7488</v>
      </c>
      <c r="F19" t="s">
        <v>4255</v>
      </c>
      <c r="G19" t="s">
        <v>7459</v>
      </c>
      <c r="H19" t="s">
        <v>7460</v>
      </c>
      <c r="I19" t="s">
        <v>7427</v>
      </c>
      <c r="J19" t="s">
        <v>7489</v>
      </c>
      <c r="K19" t="s">
        <v>7490</v>
      </c>
    </row>
    <row r="20" spans="3:11" x14ac:dyDescent="0.3">
      <c r="D20" t="s">
        <v>7491</v>
      </c>
      <c r="E20" t="s">
        <v>7492</v>
      </c>
      <c r="F20" t="s">
        <v>4255</v>
      </c>
      <c r="G20" t="s">
        <v>7465</v>
      </c>
      <c r="H20" t="s">
        <v>7466</v>
      </c>
      <c r="I20" t="s">
        <v>7433</v>
      </c>
      <c r="J20" t="s">
        <v>7493</v>
      </c>
      <c r="K20" t="s">
        <v>7494</v>
      </c>
    </row>
    <row r="21" spans="3:11" x14ac:dyDescent="0.3">
      <c r="D21" t="s">
        <v>7495</v>
      </c>
      <c r="E21" t="s">
        <v>7496</v>
      </c>
      <c r="F21" t="s">
        <v>4255</v>
      </c>
      <c r="G21" t="s">
        <v>7471</v>
      </c>
      <c r="H21" t="s">
        <v>7472</v>
      </c>
      <c r="I21" t="s">
        <v>4496</v>
      </c>
      <c r="J21" t="s">
        <v>7497</v>
      </c>
      <c r="K21" t="s">
        <v>7498</v>
      </c>
    </row>
    <row r="22" spans="3:11" x14ac:dyDescent="0.3">
      <c r="C22" t="s">
        <v>7499</v>
      </c>
      <c r="D22" t="s">
        <v>7500</v>
      </c>
      <c r="E22" t="s">
        <v>7501</v>
      </c>
      <c r="F22" t="s">
        <v>4255</v>
      </c>
      <c r="G22" t="s">
        <v>7502</v>
      </c>
      <c r="H22" t="s">
        <v>7503</v>
      </c>
      <c r="I22" t="s">
        <v>7440</v>
      </c>
      <c r="J22" t="s">
        <v>7504</v>
      </c>
      <c r="K22" t="s">
        <v>7505</v>
      </c>
    </row>
    <row r="23" spans="3:11" x14ac:dyDescent="0.3">
      <c r="D23" t="s">
        <v>7506</v>
      </c>
      <c r="E23" t="s">
        <v>7507</v>
      </c>
      <c r="F23" t="s">
        <v>4255</v>
      </c>
      <c r="G23" t="s">
        <v>7508</v>
      </c>
      <c r="H23" t="s">
        <v>7509</v>
      </c>
      <c r="I23" t="s">
        <v>7427</v>
      </c>
      <c r="J23" t="s">
        <v>7510</v>
      </c>
      <c r="K23" t="s">
        <v>7511</v>
      </c>
    </row>
    <row r="24" spans="3:11" x14ac:dyDescent="0.3">
      <c r="D24" t="s">
        <v>7512</v>
      </c>
      <c r="E24" t="s">
        <v>7513</v>
      </c>
      <c r="F24" t="s">
        <v>4255</v>
      </c>
      <c r="G24" t="s">
        <v>7514</v>
      </c>
      <c r="H24" t="s">
        <v>7515</v>
      </c>
      <c r="I24" t="s">
        <v>4496</v>
      </c>
      <c r="J24" t="s">
        <v>7516</v>
      </c>
      <c r="K24" t="s">
        <v>7517</v>
      </c>
    </row>
    <row r="25" spans="3:11" x14ac:dyDescent="0.3">
      <c r="D25" t="s">
        <v>7518</v>
      </c>
      <c r="E25" t="s">
        <v>7519</v>
      </c>
      <c r="F25" t="s">
        <v>4255</v>
      </c>
      <c r="G25" t="s">
        <v>7520</v>
      </c>
      <c r="H25" t="s">
        <v>7521</v>
      </c>
      <c r="I25" t="s">
        <v>4496</v>
      </c>
      <c r="J25" t="s">
        <v>7522</v>
      </c>
      <c r="K25" t="s">
        <v>7523</v>
      </c>
    </row>
    <row r="26" spans="3:11" x14ac:dyDescent="0.3">
      <c r="D26" t="s">
        <v>7524</v>
      </c>
      <c r="E26" t="s">
        <v>7525</v>
      </c>
      <c r="F26" t="s">
        <v>4255</v>
      </c>
      <c r="G26" t="s">
        <v>7526</v>
      </c>
      <c r="H26" t="s">
        <v>7527</v>
      </c>
      <c r="I26" t="s">
        <v>7440</v>
      </c>
      <c r="J26" t="s">
        <v>7528</v>
      </c>
      <c r="K26" t="s">
        <v>7529</v>
      </c>
    </row>
    <row r="27" spans="3:11" x14ac:dyDescent="0.3">
      <c r="C27" t="s">
        <v>7530</v>
      </c>
      <c r="D27" t="s">
        <v>7531</v>
      </c>
      <c r="E27" t="s">
        <v>7532</v>
      </c>
      <c r="F27" t="s">
        <v>4255</v>
      </c>
      <c r="G27" t="s">
        <v>7533</v>
      </c>
      <c r="H27" t="s">
        <v>7534</v>
      </c>
      <c r="I27" t="s">
        <v>7480</v>
      </c>
      <c r="J27" t="s">
        <v>7535</v>
      </c>
      <c r="K27" t="s">
        <v>7536</v>
      </c>
    </row>
    <row r="28" spans="3:11" x14ac:dyDescent="0.3">
      <c r="D28" t="s">
        <v>7537</v>
      </c>
      <c r="E28" t="s">
        <v>7538</v>
      </c>
      <c r="F28" t="s">
        <v>4255</v>
      </c>
      <c r="G28" t="s">
        <v>7539</v>
      </c>
      <c r="H28" t="s">
        <v>7540</v>
      </c>
      <c r="I28" t="s">
        <v>4496</v>
      </c>
      <c r="J28" t="s">
        <v>7541</v>
      </c>
      <c r="K28" t="s">
        <v>7542</v>
      </c>
    </row>
    <row r="29" spans="3:11" x14ac:dyDescent="0.3">
      <c r="D29" t="s">
        <v>7543</v>
      </c>
      <c r="E29" t="s">
        <v>7544</v>
      </c>
      <c r="F29" t="s">
        <v>4255</v>
      </c>
      <c r="G29" t="s">
        <v>7545</v>
      </c>
      <c r="H29" t="s">
        <v>7546</v>
      </c>
      <c r="I29" t="s">
        <v>7427</v>
      </c>
      <c r="J29" t="s">
        <v>7547</v>
      </c>
      <c r="K29" t="s">
        <v>7548</v>
      </c>
    </row>
    <row r="30" spans="3:11" x14ac:dyDescent="0.3">
      <c r="D30" t="s">
        <v>7549</v>
      </c>
      <c r="E30" t="s">
        <v>7550</v>
      </c>
      <c r="F30" t="s">
        <v>4255</v>
      </c>
      <c r="G30" t="s">
        <v>7551</v>
      </c>
      <c r="H30" t="s">
        <v>7552</v>
      </c>
      <c r="I30" t="s">
        <v>7440</v>
      </c>
      <c r="J30" t="s">
        <v>7553</v>
      </c>
      <c r="K30" t="s">
        <v>7554</v>
      </c>
    </row>
    <row r="31" spans="3:11" x14ac:dyDescent="0.3">
      <c r="D31" t="s">
        <v>7555</v>
      </c>
      <c r="E31" t="s">
        <v>7556</v>
      </c>
      <c r="F31" t="s">
        <v>4255</v>
      </c>
      <c r="G31" t="s">
        <v>7557</v>
      </c>
      <c r="H31" t="s">
        <v>7558</v>
      </c>
      <c r="I31" t="s">
        <v>4496</v>
      </c>
      <c r="J31" t="s">
        <v>7559</v>
      </c>
      <c r="K31" t="s">
        <v>7560</v>
      </c>
    </row>
    <row r="32" spans="3:11" x14ac:dyDescent="0.3">
      <c r="C32" t="s">
        <v>7561</v>
      </c>
      <c r="D32" t="s">
        <v>7562</v>
      </c>
      <c r="E32" t="s">
        <v>7563</v>
      </c>
      <c r="F32" t="s">
        <v>4255</v>
      </c>
      <c r="G32" t="s">
        <v>7564</v>
      </c>
      <c r="H32" t="s">
        <v>7565</v>
      </c>
      <c r="I32" t="s">
        <v>7440</v>
      </c>
      <c r="J32" t="s">
        <v>7566</v>
      </c>
      <c r="K32" t="s">
        <v>7567</v>
      </c>
    </row>
    <row r="33" spans="2:11" x14ac:dyDescent="0.3">
      <c r="D33" t="s">
        <v>7568</v>
      </c>
      <c r="E33" t="s">
        <v>7569</v>
      </c>
      <c r="F33" t="s">
        <v>4255</v>
      </c>
      <c r="G33" t="s">
        <v>7570</v>
      </c>
      <c r="H33" t="s">
        <v>7571</v>
      </c>
      <c r="I33" t="s">
        <v>4496</v>
      </c>
      <c r="J33" t="s">
        <v>7572</v>
      </c>
      <c r="K33" t="s">
        <v>7573</v>
      </c>
    </row>
    <row r="34" spans="2:11" x14ac:dyDescent="0.3">
      <c r="D34" t="s">
        <v>7574</v>
      </c>
      <c r="E34" t="s">
        <v>7575</v>
      </c>
      <c r="F34" t="s">
        <v>4255</v>
      </c>
      <c r="G34" t="s">
        <v>7576</v>
      </c>
      <c r="H34" t="s">
        <v>7577</v>
      </c>
      <c r="I34" t="s">
        <v>7440</v>
      </c>
      <c r="J34" t="s">
        <v>7578</v>
      </c>
      <c r="K34" t="s">
        <v>7579</v>
      </c>
    </row>
    <row r="35" spans="2:11" x14ac:dyDescent="0.3">
      <c r="D35" t="s">
        <v>7512</v>
      </c>
      <c r="E35" t="s">
        <v>7580</v>
      </c>
      <c r="F35" t="s">
        <v>4255</v>
      </c>
      <c r="G35" t="s">
        <v>7581</v>
      </c>
      <c r="H35" t="s">
        <v>7582</v>
      </c>
      <c r="I35" t="s">
        <v>7440</v>
      </c>
      <c r="J35" t="s">
        <v>7583</v>
      </c>
      <c r="K35" t="s">
        <v>7584</v>
      </c>
    </row>
    <row r="36" spans="2:11" x14ac:dyDescent="0.3">
      <c r="D36" t="s">
        <v>7585</v>
      </c>
      <c r="E36" t="s">
        <v>7586</v>
      </c>
      <c r="F36" t="s">
        <v>4255</v>
      </c>
      <c r="G36" t="s">
        <v>7587</v>
      </c>
      <c r="H36" t="s">
        <v>7588</v>
      </c>
      <c r="I36" t="s">
        <v>7427</v>
      </c>
      <c r="J36" t="s">
        <v>7589</v>
      </c>
      <c r="K36" t="s">
        <v>7590</v>
      </c>
    </row>
    <row r="37" spans="2:11" x14ac:dyDescent="0.3">
      <c r="C37" t="s">
        <v>7591</v>
      </c>
      <c r="D37" t="s">
        <v>6601</v>
      </c>
      <c r="E37" t="s">
        <v>7592</v>
      </c>
      <c r="F37" t="s">
        <v>4255</v>
      </c>
      <c r="G37" t="s">
        <v>7593</v>
      </c>
      <c r="H37" t="s">
        <v>7594</v>
      </c>
      <c r="I37" t="s">
        <v>7440</v>
      </c>
      <c r="J37" t="s">
        <v>7595</v>
      </c>
      <c r="K37" t="s">
        <v>7596</v>
      </c>
    </row>
    <row r="38" spans="2:11" x14ac:dyDescent="0.3">
      <c r="D38" t="s">
        <v>7597</v>
      </c>
      <c r="E38" t="s">
        <v>7598</v>
      </c>
      <c r="F38" t="s">
        <v>4255</v>
      </c>
      <c r="G38" t="s">
        <v>7599</v>
      </c>
      <c r="H38" t="s">
        <v>7600</v>
      </c>
      <c r="I38" t="s">
        <v>7440</v>
      </c>
      <c r="J38" t="s">
        <v>7601</v>
      </c>
      <c r="K38" t="s">
        <v>7602</v>
      </c>
    </row>
    <row r="39" spans="2:11" x14ac:dyDescent="0.3">
      <c r="D39" t="s">
        <v>7603</v>
      </c>
      <c r="E39" t="s">
        <v>7604</v>
      </c>
      <c r="F39" t="s">
        <v>4255</v>
      </c>
      <c r="G39" t="s">
        <v>7605</v>
      </c>
      <c r="H39" t="s">
        <v>7606</v>
      </c>
      <c r="I39" t="s">
        <v>4496</v>
      </c>
      <c r="J39" t="s">
        <v>7607</v>
      </c>
      <c r="K39" t="s">
        <v>7608</v>
      </c>
    </row>
    <row r="40" spans="2:11" x14ac:dyDescent="0.3">
      <c r="D40" t="s">
        <v>7609</v>
      </c>
      <c r="E40" t="s">
        <v>7610</v>
      </c>
      <c r="F40" t="s">
        <v>4255</v>
      </c>
      <c r="G40" t="s">
        <v>7611</v>
      </c>
      <c r="H40" t="s">
        <v>7612</v>
      </c>
      <c r="I40" t="s">
        <v>7440</v>
      </c>
      <c r="J40" t="s">
        <v>7613</v>
      </c>
      <c r="K40" t="s">
        <v>7614</v>
      </c>
    </row>
    <row r="41" spans="2:11" x14ac:dyDescent="0.3">
      <c r="D41" t="s">
        <v>7615</v>
      </c>
      <c r="E41" t="s">
        <v>7616</v>
      </c>
      <c r="F41" t="s">
        <v>4255</v>
      </c>
      <c r="G41" t="s">
        <v>7617</v>
      </c>
      <c r="H41" t="s">
        <v>7618</v>
      </c>
      <c r="I41" t="s">
        <v>4496</v>
      </c>
      <c r="J41" t="s">
        <v>7619</v>
      </c>
      <c r="K41" t="s">
        <v>7620</v>
      </c>
    </row>
    <row r="42" spans="2:11" x14ac:dyDescent="0.3">
      <c r="B42" t="s">
        <v>7621</v>
      </c>
      <c r="C42" t="s">
        <v>7622</v>
      </c>
      <c r="D42" t="s">
        <v>7623</v>
      </c>
      <c r="E42" t="s">
        <v>7624</v>
      </c>
      <c r="F42" t="s">
        <v>4255</v>
      </c>
      <c r="G42" t="s">
        <v>7625</v>
      </c>
      <c r="H42" t="s">
        <v>7626</v>
      </c>
      <c r="I42" t="s">
        <v>7448</v>
      </c>
      <c r="J42" t="s">
        <v>7627</v>
      </c>
      <c r="K42" t="s">
        <v>7628</v>
      </c>
    </row>
    <row r="43" spans="2:11" x14ac:dyDescent="0.3">
      <c r="D43" t="s">
        <v>7629</v>
      </c>
      <c r="E43" t="s">
        <v>7630</v>
      </c>
      <c r="F43" t="s">
        <v>4255</v>
      </c>
      <c r="G43" t="s">
        <v>7631</v>
      </c>
      <c r="H43" t="s">
        <v>7632</v>
      </c>
      <c r="I43" t="s">
        <v>7440</v>
      </c>
      <c r="J43" t="s">
        <v>7633</v>
      </c>
      <c r="K43" t="s">
        <v>7634</v>
      </c>
    </row>
    <row r="44" spans="2:11" x14ac:dyDescent="0.3">
      <c r="D44" t="s">
        <v>7635</v>
      </c>
      <c r="E44" t="s">
        <v>7636</v>
      </c>
      <c r="F44" t="s">
        <v>4255</v>
      </c>
      <c r="G44" t="s">
        <v>7637</v>
      </c>
      <c r="H44" t="s">
        <v>7638</v>
      </c>
      <c r="I44" t="s">
        <v>4496</v>
      </c>
      <c r="J44" t="s">
        <v>7639</v>
      </c>
      <c r="K44" t="s">
        <v>7640</v>
      </c>
    </row>
    <row r="45" spans="2:11" x14ac:dyDescent="0.3">
      <c r="D45" t="s">
        <v>7641</v>
      </c>
      <c r="E45" t="s">
        <v>7642</v>
      </c>
      <c r="F45" t="s">
        <v>4255</v>
      </c>
      <c r="G45" t="s">
        <v>7643</v>
      </c>
      <c r="H45" t="s">
        <v>7644</v>
      </c>
      <c r="I45" t="s">
        <v>7440</v>
      </c>
      <c r="J45" t="s">
        <v>7645</v>
      </c>
      <c r="K45" t="s">
        <v>7646</v>
      </c>
    </row>
    <row r="46" spans="2:11" x14ac:dyDescent="0.3">
      <c r="D46" t="s">
        <v>7647</v>
      </c>
      <c r="E46" t="s">
        <v>7648</v>
      </c>
      <c r="F46" t="s">
        <v>4255</v>
      </c>
      <c r="G46" t="s">
        <v>7649</v>
      </c>
      <c r="H46" t="s">
        <v>7650</v>
      </c>
      <c r="I46" t="s">
        <v>7440</v>
      </c>
      <c r="J46" t="s">
        <v>7651</v>
      </c>
      <c r="K46" t="s">
        <v>7652</v>
      </c>
    </row>
    <row r="47" spans="2:11" x14ac:dyDescent="0.3">
      <c r="C47" t="s">
        <v>7653</v>
      </c>
      <c r="D47" t="s">
        <v>7654</v>
      </c>
      <c r="E47" t="s">
        <v>7655</v>
      </c>
      <c r="F47" t="s">
        <v>4255</v>
      </c>
      <c r="G47" t="s">
        <v>7656</v>
      </c>
      <c r="H47" t="s">
        <v>7657</v>
      </c>
      <c r="I47" t="s">
        <v>7448</v>
      </c>
      <c r="J47" t="s">
        <v>7658</v>
      </c>
      <c r="K47" t="s">
        <v>7659</v>
      </c>
    </row>
    <row r="48" spans="2:11" x14ac:dyDescent="0.3">
      <c r="D48" t="s">
        <v>7660</v>
      </c>
      <c r="E48" t="s">
        <v>7661</v>
      </c>
      <c r="F48" t="s">
        <v>4255</v>
      </c>
      <c r="G48" t="s">
        <v>7662</v>
      </c>
      <c r="H48" t="s">
        <v>7663</v>
      </c>
      <c r="I48" t="s">
        <v>7440</v>
      </c>
      <c r="J48" t="s">
        <v>7664</v>
      </c>
      <c r="K48" t="s">
        <v>7665</v>
      </c>
    </row>
    <row r="49" spans="2:11" x14ac:dyDescent="0.3">
      <c r="D49" t="s">
        <v>7666</v>
      </c>
      <c r="E49" t="s">
        <v>7667</v>
      </c>
      <c r="F49" t="s">
        <v>4255</v>
      </c>
      <c r="G49" t="s">
        <v>7668</v>
      </c>
      <c r="H49" t="s">
        <v>7669</v>
      </c>
      <c r="I49" t="s">
        <v>4496</v>
      </c>
      <c r="J49" t="s">
        <v>7670</v>
      </c>
      <c r="K49" t="s">
        <v>7671</v>
      </c>
    </row>
    <row r="50" spans="2:11" x14ac:dyDescent="0.3">
      <c r="D50" t="s">
        <v>7672</v>
      </c>
      <c r="E50" t="s">
        <v>7673</v>
      </c>
      <c r="F50" t="s">
        <v>4255</v>
      </c>
      <c r="G50" t="s">
        <v>7674</v>
      </c>
      <c r="H50" t="s">
        <v>7675</v>
      </c>
      <c r="I50" t="s">
        <v>7440</v>
      </c>
      <c r="J50" t="s">
        <v>7676</v>
      </c>
      <c r="K50" t="s">
        <v>7677</v>
      </c>
    </row>
    <row r="51" spans="2:11" x14ac:dyDescent="0.3">
      <c r="D51" t="s">
        <v>7678</v>
      </c>
      <c r="E51" t="s">
        <v>7679</v>
      </c>
      <c r="F51" t="s">
        <v>4255</v>
      </c>
      <c r="G51" t="s">
        <v>7680</v>
      </c>
      <c r="H51" t="s">
        <v>7681</v>
      </c>
      <c r="I51" t="s">
        <v>4496</v>
      </c>
      <c r="J51" t="s">
        <v>7682</v>
      </c>
      <c r="K51" t="s">
        <v>7683</v>
      </c>
    </row>
    <row r="52" spans="2:11" x14ac:dyDescent="0.3">
      <c r="C52" t="s">
        <v>7684</v>
      </c>
      <c r="D52" t="s">
        <v>7685</v>
      </c>
      <c r="E52" t="s">
        <v>7686</v>
      </c>
      <c r="F52" t="s">
        <v>4255</v>
      </c>
      <c r="G52" t="s">
        <v>7412</v>
      </c>
      <c r="H52" t="s">
        <v>7687</v>
      </c>
      <c r="I52" t="s">
        <v>4390</v>
      </c>
      <c r="J52" t="s">
        <v>7688</v>
      </c>
      <c r="K52" t="s">
        <v>7689</v>
      </c>
    </row>
    <row r="53" spans="2:11" x14ac:dyDescent="0.3">
      <c r="D53" t="s">
        <v>7690</v>
      </c>
      <c r="E53" t="s">
        <v>7691</v>
      </c>
      <c r="F53" t="s">
        <v>4255</v>
      </c>
      <c r="G53" t="s">
        <v>7692</v>
      </c>
      <c r="H53" t="s">
        <v>7693</v>
      </c>
      <c r="I53" t="s">
        <v>7440</v>
      </c>
      <c r="J53" t="s">
        <v>7694</v>
      </c>
      <c r="K53" t="s">
        <v>7695</v>
      </c>
    </row>
    <row r="54" spans="2:11" x14ac:dyDescent="0.3">
      <c r="D54" t="s">
        <v>7696</v>
      </c>
      <c r="E54" t="s">
        <v>7697</v>
      </c>
      <c r="F54" t="s">
        <v>4255</v>
      </c>
      <c r="G54" t="s">
        <v>7698</v>
      </c>
      <c r="H54" t="s">
        <v>7699</v>
      </c>
      <c r="I54" t="s">
        <v>4496</v>
      </c>
      <c r="J54" t="s">
        <v>7700</v>
      </c>
      <c r="K54" t="s">
        <v>7701</v>
      </c>
    </row>
    <row r="55" spans="2:11" x14ac:dyDescent="0.3">
      <c r="D55" t="s">
        <v>7702</v>
      </c>
      <c r="E55" t="s">
        <v>7703</v>
      </c>
      <c r="F55" t="s">
        <v>4255</v>
      </c>
      <c r="G55" t="s">
        <v>7704</v>
      </c>
      <c r="H55" t="s">
        <v>7705</v>
      </c>
      <c r="I55" t="s">
        <v>7706</v>
      </c>
      <c r="J55" t="s">
        <v>7707</v>
      </c>
      <c r="K55" t="s">
        <v>7708</v>
      </c>
    </row>
    <row r="56" spans="2:11" x14ac:dyDescent="0.3">
      <c r="D56" t="s">
        <v>7709</v>
      </c>
      <c r="E56" t="s">
        <v>7710</v>
      </c>
      <c r="F56" t="s">
        <v>4255</v>
      </c>
      <c r="G56" t="s">
        <v>7711</v>
      </c>
      <c r="H56" t="s">
        <v>7712</v>
      </c>
      <c r="I56" t="s">
        <v>7473</v>
      </c>
      <c r="J56" t="s">
        <v>7713</v>
      </c>
      <c r="K56" t="s">
        <v>7714</v>
      </c>
    </row>
    <row r="57" spans="2:11" x14ac:dyDescent="0.3">
      <c r="C57" t="s">
        <v>7715</v>
      </c>
      <c r="D57" t="s">
        <v>7716</v>
      </c>
      <c r="E57" t="s">
        <v>7717</v>
      </c>
      <c r="F57" t="s">
        <v>4255</v>
      </c>
      <c r="G57" t="s">
        <v>7718</v>
      </c>
      <c r="H57" t="s">
        <v>7719</v>
      </c>
      <c r="I57" t="s">
        <v>7480</v>
      </c>
      <c r="J57" t="s">
        <v>7720</v>
      </c>
      <c r="K57" t="s">
        <v>7721</v>
      </c>
    </row>
    <row r="58" spans="2:11" x14ac:dyDescent="0.3">
      <c r="D58" t="s">
        <v>7722</v>
      </c>
      <c r="E58" t="s">
        <v>7723</v>
      </c>
      <c r="F58" t="s">
        <v>4255</v>
      </c>
      <c r="G58" t="s">
        <v>7724</v>
      </c>
      <c r="H58" t="s">
        <v>7725</v>
      </c>
      <c r="I58" t="s">
        <v>4496</v>
      </c>
      <c r="J58" t="s">
        <v>7726</v>
      </c>
      <c r="K58" t="s">
        <v>7727</v>
      </c>
    </row>
    <row r="59" spans="2:11" x14ac:dyDescent="0.3">
      <c r="D59" t="s">
        <v>7728</v>
      </c>
      <c r="E59" t="s">
        <v>7729</v>
      </c>
      <c r="F59" t="s">
        <v>4255</v>
      </c>
      <c r="G59" t="s">
        <v>7730</v>
      </c>
      <c r="H59" t="s">
        <v>7731</v>
      </c>
      <c r="I59" t="s">
        <v>7440</v>
      </c>
      <c r="J59" t="s">
        <v>7732</v>
      </c>
      <c r="K59" t="s">
        <v>7733</v>
      </c>
    </row>
    <row r="60" spans="2:11" x14ac:dyDescent="0.3">
      <c r="D60" t="s">
        <v>7734</v>
      </c>
      <c r="E60" t="s">
        <v>7735</v>
      </c>
      <c r="F60" t="s">
        <v>4255</v>
      </c>
      <c r="G60" t="s">
        <v>7736</v>
      </c>
      <c r="H60" t="s">
        <v>7737</v>
      </c>
      <c r="I60" t="s">
        <v>7706</v>
      </c>
      <c r="J60" t="s">
        <v>7738</v>
      </c>
      <c r="K60" t="s">
        <v>7739</v>
      </c>
    </row>
    <row r="61" spans="2:11" x14ac:dyDescent="0.3">
      <c r="D61" t="s">
        <v>7740</v>
      </c>
      <c r="E61" t="s">
        <v>7741</v>
      </c>
      <c r="F61" t="s">
        <v>4255</v>
      </c>
      <c r="G61" t="s">
        <v>7742</v>
      </c>
      <c r="H61" t="s">
        <v>7743</v>
      </c>
      <c r="I61" t="s">
        <v>4496</v>
      </c>
      <c r="J61" t="s">
        <v>7744</v>
      </c>
      <c r="K61" t="s">
        <v>7745</v>
      </c>
    </row>
    <row r="62" spans="2:11" x14ac:dyDescent="0.3">
      <c r="B62" t="s">
        <v>7746</v>
      </c>
      <c r="C62" t="s">
        <v>7747</v>
      </c>
      <c r="D62" t="s">
        <v>7748</v>
      </c>
      <c r="E62" t="s">
        <v>7749</v>
      </c>
      <c r="F62" t="s">
        <v>7750</v>
      </c>
      <c r="G62" t="s">
        <v>7751</v>
      </c>
      <c r="H62" t="s">
        <v>7752</v>
      </c>
      <c r="I62" t="s">
        <v>7480</v>
      </c>
      <c r="J62" t="s">
        <v>7753</v>
      </c>
      <c r="K62" t="s">
        <v>7754</v>
      </c>
    </row>
    <row r="63" spans="2:11" x14ac:dyDescent="0.3">
      <c r="D63" t="s">
        <v>7755</v>
      </c>
      <c r="E63" t="s">
        <v>7756</v>
      </c>
      <c r="F63" t="s">
        <v>7750</v>
      </c>
      <c r="G63" t="s">
        <v>7757</v>
      </c>
      <c r="H63" t="s">
        <v>7758</v>
      </c>
      <c r="I63" t="s">
        <v>4496</v>
      </c>
      <c r="J63" t="s">
        <v>7759</v>
      </c>
      <c r="K63" t="s">
        <v>7760</v>
      </c>
    </row>
    <row r="64" spans="2:11" x14ac:dyDescent="0.3">
      <c r="D64" t="s">
        <v>7761</v>
      </c>
      <c r="E64" t="s">
        <v>7762</v>
      </c>
      <c r="F64" t="s">
        <v>7750</v>
      </c>
      <c r="G64" t="s">
        <v>7763</v>
      </c>
      <c r="H64" t="s">
        <v>7764</v>
      </c>
      <c r="I64" t="s">
        <v>4496</v>
      </c>
      <c r="J64" t="s">
        <v>7765</v>
      </c>
      <c r="K64" t="s">
        <v>7766</v>
      </c>
    </row>
    <row r="65" spans="3:11" x14ac:dyDescent="0.3">
      <c r="D65" t="s">
        <v>7767</v>
      </c>
      <c r="E65" t="s">
        <v>7768</v>
      </c>
      <c r="F65" t="s">
        <v>7750</v>
      </c>
      <c r="G65" t="s">
        <v>7769</v>
      </c>
      <c r="H65" t="s">
        <v>7770</v>
      </c>
      <c r="I65" t="s">
        <v>7706</v>
      </c>
      <c r="J65" t="s">
        <v>7771</v>
      </c>
      <c r="K65" t="s">
        <v>7772</v>
      </c>
    </row>
    <row r="66" spans="3:11" x14ac:dyDescent="0.3">
      <c r="D66" t="s">
        <v>7773</v>
      </c>
      <c r="E66" t="s">
        <v>7774</v>
      </c>
      <c r="F66" t="s">
        <v>7750</v>
      </c>
      <c r="G66" t="s">
        <v>7775</v>
      </c>
      <c r="H66" t="s">
        <v>7776</v>
      </c>
      <c r="I66" t="s">
        <v>4496</v>
      </c>
      <c r="J66" t="s">
        <v>7777</v>
      </c>
      <c r="K66" t="s">
        <v>7778</v>
      </c>
    </row>
    <row r="67" spans="3:11" x14ac:dyDescent="0.3">
      <c r="C67" t="s">
        <v>7779</v>
      </c>
      <c r="D67" t="s">
        <v>7780</v>
      </c>
      <c r="E67" t="s">
        <v>7781</v>
      </c>
      <c r="F67" t="s">
        <v>4255</v>
      </c>
      <c r="G67" t="s">
        <v>7782</v>
      </c>
      <c r="H67" t="s">
        <v>7783</v>
      </c>
      <c r="I67" t="s">
        <v>7784</v>
      </c>
      <c r="J67" t="s">
        <v>7785</v>
      </c>
      <c r="K67" t="s">
        <v>7786</v>
      </c>
    </row>
    <row r="68" spans="3:11" x14ac:dyDescent="0.3">
      <c r="D68" t="s">
        <v>7787</v>
      </c>
      <c r="E68" t="s">
        <v>7788</v>
      </c>
      <c r="F68" t="s">
        <v>4255</v>
      </c>
      <c r="G68" t="s">
        <v>7789</v>
      </c>
      <c r="H68" t="s">
        <v>7790</v>
      </c>
      <c r="I68" t="s">
        <v>4496</v>
      </c>
      <c r="J68" t="s">
        <v>7791</v>
      </c>
      <c r="K68" t="s">
        <v>7792</v>
      </c>
    </row>
    <row r="69" spans="3:11" x14ac:dyDescent="0.3">
      <c r="D69" t="s">
        <v>7793</v>
      </c>
      <c r="E69" t="s">
        <v>7794</v>
      </c>
      <c r="F69" t="s">
        <v>4255</v>
      </c>
      <c r="G69" t="s">
        <v>7795</v>
      </c>
      <c r="H69" t="s">
        <v>7796</v>
      </c>
      <c r="I69" t="s">
        <v>7706</v>
      </c>
      <c r="J69" t="s">
        <v>7797</v>
      </c>
      <c r="K69" t="s">
        <v>7798</v>
      </c>
    </row>
    <row r="70" spans="3:11" x14ac:dyDescent="0.3">
      <c r="D70" t="s">
        <v>7799</v>
      </c>
      <c r="E70" t="s">
        <v>7800</v>
      </c>
      <c r="F70" t="s">
        <v>4255</v>
      </c>
      <c r="G70" t="s">
        <v>7431</v>
      </c>
      <c r="H70" t="s">
        <v>7801</v>
      </c>
      <c r="I70" t="s">
        <v>4496</v>
      </c>
      <c r="J70" t="s">
        <v>7802</v>
      </c>
      <c r="K70" t="s">
        <v>7803</v>
      </c>
    </row>
    <row r="71" spans="3:11" x14ac:dyDescent="0.3">
      <c r="D71" t="s">
        <v>7804</v>
      </c>
      <c r="E71" t="s">
        <v>7805</v>
      </c>
      <c r="F71" t="s">
        <v>4255</v>
      </c>
      <c r="G71" t="s">
        <v>7806</v>
      </c>
      <c r="H71" t="s">
        <v>7807</v>
      </c>
      <c r="I71" t="s">
        <v>7706</v>
      </c>
      <c r="J71" t="s">
        <v>7808</v>
      </c>
      <c r="K71" t="s">
        <v>7809</v>
      </c>
    </row>
    <row r="72" spans="3:11" x14ac:dyDescent="0.3">
      <c r="C72" t="s">
        <v>7810</v>
      </c>
      <c r="D72" t="s">
        <v>7811</v>
      </c>
      <c r="E72" t="s">
        <v>7812</v>
      </c>
      <c r="F72" t="s">
        <v>4255</v>
      </c>
      <c r="G72" t="s">
        <v>7813</v>
      </c>
      <c r="H72" t="s">
        <v>7814</v>
      </c>
      <c r="I72" t="s">
        <v>7784</v>
      </c>
      <c r="J72" t="s">
        <v>7815</v>
      </c>
      <c r="K72" t="s">
        <v>7816</v>
      </c>
    </row>
    <row r="73" spans="3:11" x14ac:dyDescent="0.3">
      <c r="D73" t="s">
        <v>7817</v>
      </c>
      <c r="E73" t="s">
        <v>7818</v>
      </c>
      <c r="F73" t="s">
        <v>4255</v>
      </c>
      <c r="G73" t="s">
        <v>7819</v>
      </c>
      <c r="H73" t="s">
        <v>7820</v>
      </c>
      <c r="I73" t="s">
        <v>7706</v>
      </c>
      <c r="J73" t="s">
        <v>7821</v>
      </c>
      <c r="K73" t="s">
        <v>7822</v>
      </c>
    </row>
    <row r="74" spans="3:11" x14ac:dyDescent="0.3">
      <c r="D74" t="s">
        <v>7823</v>
      </c>
      <c r="E74" t="s">
        <v>7824</v>
      </c>
      <c r="F74" t="s">
        <v>4255</v>
      </c>
      <c r="G74" t="s">
        <v>7825</v>
      </c>
      <c r="H74" t="s">
        <v>7826</v>
      </c>
      <c r="I74" t="s">
        <v>4496</v>
      </c>
      <c r="J74" t="s">
        <v>7827</v>
      </c>
      <c r="K74" t="s">
        <v>7828</v>
      </c>
    </row>
    <row r="75" spans="3:11" x14ac:dyDescent="0.3">
      <c r="D75" t="s">
        <v>7829</v>
      </c>
      <c r="E75" t="s">
        <v>7830</v>
      </c>
      <c r="F75" t="s">
        <v>4255</v>
      </c>
      <c r="G75" t="s">
        <v>7831</v>
      </c>
      <c r="H75" t="s">
        <v>7832</v>
      </c>
      <c r="I75" t="s">
        <v>7706</v>
      </c>
      <c r="J75" t="s">
        <v>7833</v>
      </c>
      <c r="K75" t="s">
        <v>7834</v>
      </c>
    </row>
    <row r="76" spans="3:11" x14ac:dyDescent="0.3">
      <c r="D76" t="s">
        <v>7835</v>
      </c>
      <c r="E76" t="s">
        <v>7836</v>
      </c>
      <c r="F76" t="s">
        <v>4255</v>
      </c>
      <c r="G76" t="s">
        <v>7837</v>
      </c>
      <c r="H76" t="s">
        <v>7838</v>
      </c>
      <c r="I76" t="s">
        <v>4496</v>
      </c>
      <c r="J76" t="s">
        <v>7839</v>
      </c>
      <c r="K76" t="s">
        <v>7840</v>
      </c>
    </row>
    <row r="77" spans="3:11" x14ac:dyDescent="0.3">
      <c r="C77" t="s">
        <v>7841</v>
      </c>
      <c r="D77" t="s">
        <v>7842</v>
      </c>
      <c r="E77" t="s">
        <v>7843</v>
      </c>
      <c r="F77" t="s">
        <v>4255</v>
      </c>
      <c r="G77" t="s">
        <v>7844</v>
      </c>
      <c r="H77" t="s">
        <v>7845</v>
      </c>
      <c r="I77" t="s">
        <v>4390</v>
      </c>
      <c r="J77" t="s">
        <v>7846</v>
      </c>
      <c r="K77" t="s">
        <v>7847</v>
      </c>
    </row>
    <row r="78" spans="3:11" x14ac:dyDescent="0.3">
      <c r="D78" t="s">
        <v>7848</v>
      </c>
      <c r="E78" t="s">
        <v>7849</v>
      </c>
      <c r="F78" t="s">
        <v>4255</v>
      </c>
      <c r="G78" t="s">
        <v>7850</v>
      </c>
      <c r="H78" t="s">
        <v>7851</v>
      </c>
      <c r="I78" t="s">
        <v>4496</v>
      </c>
      <c r="J78" t="s">
        <v>7852</v>
      </c>
      <c r="K78" t="s">
        <v>7853</v>
      </c>
    </row>
    <row r="79" spans="3:11" x14ac:dyDescent="0.3">
      <c r="D79" t="s">
        <v>7854</v>
      </c>
      <c r="E79" t="s">
        <v>7855</v>
      </c>
      <c r="F79" t="s">
        <v>4255</v>
      </c>
      <c r="G79" t="s">
        <v>7856</v>
      </c>
      <c r="H79" t="s">
        <v>7857</v>
      </c>
      <c r="I79" t="s">
        <v>7706</v>
      </c>
      <c r="J79" t="s">
        <v>7858</v>
      </c>
      <c r="K79" t="s">
        <v>7859</v>
      </c>
    </row>
    <row r="80" spans="3:11" x14ac:dyDescent="0.3">
      <c r="D80" t="s">
        <v>7860</v>
      </c>
      <c r="E80" t="s">
        <v>7861</v>
      </c>
      <c r="F80" t="s">
        <v>4255</v>
      </c>
      <c r="G80" t="s">
        <v>7862</v>
      </c>
      <c r="H80" t="s">
        <v>7863</v>
      </c>
      <c r="I80" t="s">
        <v>4496</v>
      </c>
      <c r="J80" t="s">
        <v>7864</v>
      </c>
      <c r="K80" t="s">
        <v>7865</v>
      </c>
    </row>
    <row r="81" spans="3:11" x14ac:dyDescent="0.3">
      <c r="D81" t="s">
        <v>7866</v>
      </c>
      <c r="E81" t="s">
        <v>7867</v>
      </c>
      <c r="F81" t="s">
        <v>4255</v>
      </c>
      <c r="G81" t="s">
        <v>7868</v>
      </c>
      <c r="H81" t="s">
        <v>7869</v>
      </c>
      <c r="I81" t="s">
        <v>7870</v>
      </c>
      <c r="J81" t="s">
        <v>7871</v>
      </c>
      <c r="K81" t="s">
        <v>7872</v>
      </c>
    </row>
    <row r="82" spans="3:11" x14ac:dyDescent="0.3">
      <c r="C82" t="s">
        <v>7873</v>
      </c>
      <c r="D82" t="s">
        <v>7874</v>
      </c>
      <c r="E82" t="s">
        <v>7875</v>
      </c>
      <c r="F82" t="s">
        <v>7750</v>
      </c>
      <c r="G82" t="s">
        <v>7876</v>
      </c>
      <c r="H82" t="s">
        <v>7877</v>
      </c>
      <c r="I82" t="s">
        <v>7784</v>
      </c>
      <c r="J82" t="s">
        <v>7878</v>
      </c>
      <c r="K82" t="s">
        <v>7879</v>
      </c>
    </row>
    <row r="83" spans="3:11" x14ac:dyDescent="0.3">
      <c r="D83" t="s">
        <v>7880</v>
      </c>
      <c r="E83" t="s">
        <v>7881</v>
      </c>
      <c r="F83" t="s">
        <v>7750</v>
      </c>
      <c r="G83" t="s">
        <v>7882</v>
      </c>
      <c r="H83" t="s">
        <v>7883</v>
      </c>
      <c r="I83" t="s">
        <v>4496</v>
      </c>
      <c r="J83" t="s">
        <v>7884</v>
      </c>
      <c r="K83" t="s">
        <v>7885</v>
      </c>
    </row>
    <row r="84" spans="3:11" x14ac:dyDescent="0.3">
      <c r="D84" t="s">
        <v>7886</v>
      </c>
      <c r="E84" t="s">
        <v>7887</v>
      </c>
      <c r="F84" t="s">
        <v>7750</v>
      </c>
      <c r="G84" t="s">
        <v>7888</v>
      </c>
      <c r="H84" t="s">
        <v>7889</v>
      </c>
      <c r="I84" t="s">
        <v>7706</v>
      </c>
      <c r="J84" t="s">
        <v>7890</v>
      </c>
      <c r="K84" t="s">
        <v>7891</v>
      </c>
    </row>
    <row r="85" spans="3:11" x14ac:dyDescent="0.3">
      <c r="D85" t="s">
        <v>7892</v>
      </c>
      <c r="E85" t="s">
        <v>7893</v>
      </c>
      <c r="F85" t="s">
        <v>7750</v>
      </c>
      <c r="G85" t="s">
        <v>7894</v>
      </c>
      <c r="H85" t="s">
        <v>7895</v>
      </c>
      <c r="I85" t="s">
        <v>7706</v>
      </c>
      <c r="J85" t="s">
        <v>7896</v>
      </c>
      <c r="K85" t="s">
        <v>7897</v>
      </c>
    </row>
    <row r="86" spans="3:11" x14ac:dyDescent="0.3">
      <c r="D86" t="s">
        <v>7898</v>
      </c>
      <c r="E86" t="s">
        <v>7899</v>
      </c>
      <c r="F86" t="s">
        <v>7750</v>
      </c>
      <c r="G86" t="s">
        <v>7900</v>
      </c>
      <c r="H86" t="s">
        <v>7901</v>
      </c>
      <c r="I86" t="s">
        <v>7473</v>
      </c>
      <c r="J86" t="s">
        <v>7902</v>
      </c>
      <c r="K86" t="s">
        <v>7897</v>
      </c>
    </row>
    <row r="87" spans="3:11" x14ac:dyDescent="0.3">
      <c r="C87" t="s">
        <v>7903</v>
      </c>
      <c r="D87" t="s">
        <v>7904</v>
      </c>
      <c r="E87" t="s">
        <v>7905</v>
      </c>
      <c r="F87" t="s">
        <v>7750</v>
      </c>
      <c r="G87" t="s">
        <v>7906</v>
      </c>
      <c r="H87" t="s">
        <v>7907</v>
      </c>
      <c r="I87" t="s">
        <v>7784</v>
      </c>
      <c r="J87" t="s">
        <v>7908</v>
      </c>
      <c r="K87" t="s">
        <v>7909</v>
      </c>
    </row>
    <row r="88" spans="3:11" x14ac:dyDescent="0.3">
      <c r="D88" t="s">
        <v>7910</v>
      </c>
      <c r="E88" t="s">
        <v>7911</v>
      </c>
      <c r="F88" t="s">
        <v>7750</v>
      </c>
      <c r="G88" t="s">
        <v>7912</v>
      </c>
      <c r="H88" t="s">
        <v>7913</v>
      </c>
      <c r="I88" t="s">
        <v>4496</v>
      </c>
      <c r="J88" t="s">
        <v>7914</v>
      </c>
      <c r="K88" t="s">
        <v>7915</v>
      </c>
    </row>
    <row r="89" spans="3:11" x14ac:dyDescent="0.3">
      <c r="D89" t="s">
        <v>7916</v>
      </c>
      <c r="E89" t="s">
        <v>7917</v>
      </c>
      <c r="F89" t="s">
        <v>7750</v>
      </c>
      <c r="G89" t="s">
        <v>7918</v>
      </c>
      <c r="H89" t="s">
        <v>7919</v>
      </c>
      <c r="I89" t="s">
        <v>7706</v>
      </c>
      <c r="J89" t="s">
        <v>7920</v>
      </c>
      <c r="K89" t="s">
        <v>7921</v>
      </c>
    </row>
    <row r="90" spans="3:11" x14ac:dyDescent="0.3">
      <c r="D90" t="s">
        <v>7922</v>
      </c>
      <c r="E90" t="s">
        <v>7923</v>
      </c>
      <c r="F90" t="s">
        <v>7750</v>
      </c>
      <c r="G90" t="s">
        <v>7924</v>
      </c>
      <c r="H90" t="s">
        <v>7925</v>
      </c>
      <c r="I90" t="s">
        <v>4496</v>
      </c>
      <c r="J90" t="s">
        <v>7926</v>
      </c>
      <c r="K90" t="s">
        <v>7927</v>
      </c>
    </row>
    <row r="91" spans="3:11" x14ac:dyDescent="0.3">
      <c r="D91" t="s">
        <v>7928</v>
      </c>
      <c r="E91" t="s">
        <v>7929</v>
      </c>
      <c r="F91" t="s">
        <v>7750</v>
      </c>
      <c r="G91" t="s">
        <v>7930</v>
      </c>
      <c r="H91" t="s">
        <v>7931</v>
      </c>
      <c r="I91" t="s">
        <v>7473</v>
      </c>
      <c r="J91" t="s">
        <v>7932</v>
      </c>
      <c r="K91" t="s">
        <v>7933</v>
      </c>
    </row>
    <row r="92" spans="3:11" x14ac:dyDescent="0.3">
      <c r="C92" t="s">
        <v>7934</v>
      </c>
      <c r="D92" t="s">
        <v>7935</v>
      </c>
      <c r="E92" t="s">
        <v>7936</v>
      </c>
      <c r="F92" t="s">
        <v>4255</v>
      </c>
      <c r="G92" t="s">
        <v>7937</v>
      </c>
      <c r="H92" t="s">
        <v>7938</v>
      </c>
      <c r="I92" t="s">
        <v>7784</v>
      </c>
      <c r="J92" t="s">
        <v>7939</v>
      </c>
      <c r="K92" t="s">
        <v>7940</v>
      </c>
    </row>
    <row r="93" spans="3:11" x14ac:dyDescent="0.3">
      <c r="D93" t="s">
        <v>7941</v>
      </c>
      <c r="E93" t="s">
        <v>7942</v>
      </c>
      <c r="F93" t="s">
        <v>4255</v>
      </c>
      <c r="G93" t="s">
        <v>7943</v>
      </c>
      <c r="H93" t="s">
        <v>7944</v>
      </c>
      <c r="I93" t="s">
        <v>4496</v>
      </c>
      <c r="J93" t="s">
        <v>7945</v>
      </c>
      <c r="K93" t="s">
        <v>7946</v>
      </c>
    </row>
    <row r="94" spans="3:11" x14ac:dyDescent="0.3">
      <c r="D94" t="s">
        <v>7947</v>
      </c>
      <c r="E94" t="s">
        <v>7948</v>
      </c>
      <c r="F94" t="s">
        <v>4255</v>
      </c>
      <c r="G94" t="s">
        <v>7949</v>
      </c>
      <c r="H94" t="s">
        <v>7950</v>
      </c>
      <c r="I94" t="s">
        <v>4496</v>
      </c>
      <c r="J94" t="s">
        <v>7951</v>
      </c>
      <c r="K94" t="s">
        <v>7952</v>
      </c>
    </row>
    <row r="95" spans="3:11" x14ac:dyDescent="0.3">
      <c r="D95" t="s">
        <v>7953</v>
      </c>
      <c r="E95" t="s">
        <v>7954</v>
      </c>
      <c r="F95" t="s">
        <v>4255</v>
      </c>
      <c r="G95" t="s">
        <v>7955</v>
      </c>
      <c r="H95" t="s">
        <v>7956</v>
      </c>
      <c r="I95" t="s">
        <v>7706</v>
      </c>
      <c r="J95" t="s">
        <v>7957</v>
      </c>
      <c r="K95" t="s">
        <v>7958</v>
      </c>
    </row>
    <row r="96" spans="3:11" x14ac:dyDescent="0.3">
      <c r="D96" t="s">
        <v>7609</v>
      </c>
      <c r="E96" t="s">
        <v>7959</v>
      </c>
      <c r="F96" t="s">
        <v>4255</v>
      </c>
      <c r="G96" t="s">
        <v>7960</v>
      </c>
      <c r="H96" t="s">
        <v>7961</v>
      </c>
      <c r="I96" t="s">
        <v>7473</v>
      </c>
      <c r="J96" t="s">
        <v>7962</v>
      </c>
      <c r="K96" t="s">
        <v>7963</v>
      </c>
    </row>
    <row r="97" spans="2:11" x14ac:dyDescent="0.3">
      <c r="C97" t="s">
        <v>7964</v>
      </c>
      <c r="D97" t="s">
        <v>7965</v>
      </c>
      <c r="E97" t="s">
        <v>7966</v>
      </c>
      <c r="F97" t="s">
        <v>4255</v>
      </c>
      <c r="G97" t="s">
        <v>7967</v>
      </c>
      <c r="H97" t="s">
        <v>7968</v>
      </c>
      <c r="I97" t="s">
        <v>7784</v>
      </c>
      <c r="J97" t="s">
        <v>7969</v>
      </c>
      <c r="K97" t="s">
        <v>7970</v>
      </c>
    </row>
    <row r="98" spans="2:11" x14ac:dyDescent="0.3">
      <c r="D98" t="s">
        <v>7971</v>
      </c>
      <c r="E98" t="s">
        <v>7972</v>
      </c>
      <c r="F98" t="s">
        <v>4255</v>
      </c>
      <c r="G98" t="s">
        <v>7973</v>
      </c>
      <c r="H98" t="s">
        <v>7974</v>
      </c>
      <c r="I98" t="s">
        <v>4496</v>
      </c>
      <c r="J98" t="s">
        <v>7975</v>
      </c>
      <c r="K98" t="s">
        <v>7976</v>
      </c>
    </row>
    <row r="99" spans="2:11" x14ac:dyDescent="0.3">
      <c r="D99" t="s">
        <v>7977</v>
      </c>
      <c r="E99" t="s">
        <v>7978</v>
      </c>
      <c r="F99" t="s">
        <v>4255</v>
      </c>
      <c r="G99" t="s">
        <v>7979</v>
      </c>
      <c r="H99" t="s">
        <v>7980</v>
      </c>
      <c r="I99" t="s">
        <v>4496</v>
      </c>
      <c r="J99" t="s">
        <v>7981</v>
      </c>
      <c r="K99" t="s">
        <v>7982</v>
      </c>
    </row>
    <row r="100" spans="2:11" x14ac:dyDescent="0.3">
      <c r="D100" t="s">
        <v>7983</v>
      </c>
      <c r="E100" t="s">
        <v>7984</v>
      </c>
      <c r="F100" t="s">
        <v>4255</v>
      </c>
      <c r="G100" t="s">
        <v>7985</v>
      </c>
      <c r="H100" t="s">
        <v>4497</v>
      </c>
      <c r="I100" t="s">
        <v>7706</v>
      </c>
      <c r="J100" t="s">
        <v>7986</v>
      </c>
      <c r="K100" t="s">
        <v>7987</v>
      </c>
    </row>
    <row r="101" spans="2:11" x14ac:dyDescent="0.3">
      <c r="D101" t="s">
        <v>7988</v>
      </c>
      <c r="E101" t="s">
        <v>7989</v>
      </c>
      <c r="F101" t="s">
        <v>4255</v>
      </c>
      <c r="G101" t="s">
        <v>7990</v>
      </c>
      <c r="H101" t="s">
        <v>7991</v>
      </c>
      <c r="I101" t="s">
        <v>7473</v>
      </c>
      <c r="J101" t="s">
        <v>7992</v>
      </c>
      <c r="K101" t="s">
        <v>7993</v>
      </c>
    </row>
    <row r="102" spans="2:11" x14ac:dyDescent="0.3">
      <c r="B102" t="s">
        <v>7994</v>
      </c>
      <c r="C102" t="s">
        <v>7995</v>
      </c>
      <c r="D102" t="s">
        <v>7996</v>
      </c>
      <c r="E102" t="s">
        <v>7997</v>
      </c>
      <c r="F102" t="s">
        <v>7750</v>
      </c>
      <c r="G102" t="s">
        <v>7998</v>
      </c>
      <c r="H102" t="s">
        <v>7999</v>
      </c>
      <c r="I102" t="s">
        <v>4390</v>
      </c>
      <c r="J102" t="s">
        <v>8000</v>
      </c>
      <c r="K102" t="s">
        <v>8001</v>
      </c>
    </row>
    <row r="103" spans="2:11" x14ac:dyDescent="0.3">
      <c r="D103" t="s">
        <v>8002</v>
      </c>
      <c r="E103" t="s">
        <v>8003</v>
      </c>
      <c r="F103" t="s">
        <v>7750</v>
      </c>
      <c r="G103" t="s">
        <v>8004</v>
      </c>
      <c r="H103" t="s">
        <v>8005</v>
      </c>
      <c r="I103" t="s">
        <v>7706</v>
      </c>
      <c r="J103" t="s">
        <v>8006</v>
      </c>
      <c r="K103" t="s">
        <v>8007</v>
      </c>
    </row>
    <row r="104" spans="2:11" x14ac:dyDescent="0.3">
      <c r="D104" t="s">
        <v>8008</v>
      </c>
      <c r="E104" t="s">
        <v>8009</v>
      </c>
      <c r="F104" t="s">
        <v>7750</v>
      </c>
      <c r="G104" t="s">
        <v>8010</v>
      </c>
      <c r="H104" t="s">
        <v>8011</v>
      </c>
      <c r="I104" t="s">
        <v>4496</v>
      </c>
      <c r="J104" t="s">
        <v>8012</v>
      </c>
      <c r="K104" t="s">
        <v>8013</v>
      </c>
    </row>
    <row r="105" spans="2:11" x14ac:dyDescent="0.3">
      <c r="D105" t="s">
        <v>8014</v>
      </c>
      <c r="E105" t="s">
        <v>8015</v>
      </c>
      <c r="F105" t="s">
        <v>7750</v>
      </c>
      <c r="G105" t="s">
        <v>8016</v>
      </c>
      <c r="H105" t="s">
        <v>8017</v>
      </c>
      <c r="I105" t="s">
        <v>7706</v>
      </c>
      <c r="J105" t="s">
        <v>8018</v>
      </c>
      <c r="K105" t="s">
        <v>8019</v>
      </c>
    </row>
    <row r="106" spans="2:11" x14ac:dyDescent="0.3">
      <c r="D106" t="s">
        <v>8020</v>
      </c>
      <c r="E106" t="s">
        <v>8021</v>
      </c>
      <c r="F106" t="s">
        <v>7750</v>
      </c>
      <c r="G106" t="s">
        <v>8022</v>
      </c>
      <c r="H106" t="s">
        <v>8023</v>
      </c>
      <c r="I106" t="s">
        <v>7473</v>
      </c>
      <c r="J106" t="s">
        <v>8024</v>
      </c>
      <c r="K106" t="s">
        <v>8025</v>
      </c>
    </row>
    <row r="107" spans="2:11" x14ac:dyDescent="0.3">
      <c r="C107" t="s">
        <v>8026</v>
      </c>
      <c r="D107" t="s">
        <v>8027</v>
      </c>
      <c r="E107" t="s">
        <v>8028</v>
      </c>
      <c r="F107" t="s">
        <v>7750</v>
      </c>
      <c r="G107" t="s">
        <v>8029</v>
      </c>
      <c r="H107" t="s">
        <v>8030</v>
      </c>
      <c r="I107" t="s">
        <v>7784</v>
      </c>
      <c r="J107" t="s">
        <v>8031</v>
      </c>
      <c r="K107" t="s">
        <v>8032</v>
      </c>
    </row>
    <row r="108" spans="2:11" x14ac:dyDescent="0.3">
      <c r="D108" t="s">
        <v>8033</v>
      </c>
      <c r="E108" t="s">
        <v>8034</v>
      </c>
      <c r="F108" t="s">
        <v>7750</v>
      </c>
      <c r="G108" t="s">
        <v>8035</v>
      </c>
      <c r="H108" t="s">
        <v>8036</v>
      </c>
      <c r="I108" t="s">
        <v>7706</v>
      </c>
      <c r="J108" t="s">
        <v>8037</v>
      </c>
      <c r="K108" t="s">
        <v>8038</v>
      </c>
    </row>
    <row r="109" spans="2:11" x14ac:dyDescent="0.3">
      <c r="D109" t="s">
        <v>8039</v>
      </c>
      <c r="E109" t="s">
        <v>8040</v>
      </c>
      <c r="F109" t="s">
        <v>7750</v>
      </c>
      <c r="G109" t="s">
        <v>8041</v>
      </c>
      <c r="H109" t="s">
        <v>8042</v>
      </c>
      <c r="I109" t="s">
        <v>4496</v>
      </c>
      <c r="J109" t="s">
        <v>8043</v>
      </c>
      <c r="K109" t="s">
        <v>8044</v>
      </c>
    </row>
    <row r="110" spans="2:11" x14ac:dyDescent="0.3">
      <c r="D110" t="s">
        <v>8045</v>
      </c>
      <c r="E110" t="s">
        <v>7824</v>
      </c>
      <c r="F110" t="s">
        <v>7750</v>
      </c>
      <c r="G110" t="s">
        <v>8010</v>
      </c>
      <c r="H110" t="s">
        <v>8046</v>
      </c>
      <c r="I110" t="s">
        <v>4496</v>
      </c>
      <c r="J110" t="s">
        <v>8047</v>
      </c>
      <c r="K110" t="s">
        <v>8048</v>
      </c>
    </row>
    <row r="111" spans="2:11" x14ac:dyDescent="0.3">
      <c r="D111" t="s">
        <v>8049</v>
      </c>
      <c r="E111" t="s">
        <v>8050</v>
      </c>
      <c r="F111" t="s">
        <v>7750</v>
      </c>
      <c r="G111" t="s">
        <v>8051</v>
      </c>
      <c r="H111" t="s">
        <v>8052</v>
      </c>
      <c r="I111" t="s">
        <v>7870</v>
      </c>
      <c r="J111" t="s">
        <v>8053</v>
      </c>
      <c r="K111" t="s">
        <v>8054</v>
      </c>
    </row>
    <row r="112" spans="2:11" x14ac:dyDescent="0.3">
      <c r="C112" t="s">
        <v>8055</v>
      </c>
      <c r="D112" t="s">
        <v>8056</v>
      </c>
      <c r="E112" t="s">
        <v>8057</v>
      </c>
      <c r="F112" t="s">
        <v>7750</v>
      </c>
      <c r="G112" t="s">
        <v>8058</v>
      </c>
      <c r="H112" t="s">
        <v>8059</v>
      </c>
      <c r="I112" t="s">
        <v>4496</v>
      </c>
      <c r="J112" t="s">
        <v>8060</v>
      </c>
      <c r="K112" t="s">
        <v>8061</v>
      </c>
    </row>
    <row r="113" spans="2:11" x14ac:dyDescent="0.3">
      <c r="D113" t="s">
        <v>8062</v>
      </c>
      <c r="E113" t="s">
        <v>8063</v>
      </c>
      <c r="F113" t="s">
        <v>7750</v>
      </c>
      <c r="G113" t="s">
        <v>8064</v>
      </c>
      <c r="H113" t="s">
        <v>8065</v>
      </c>
      <c r="I113" t="s">
        <v>4496</v>
      </c>
      <c r="J113" t="s">
        <v>8066</v>
      </c>
      <c r="K113" t="s">
        <v>8067</v>
      </c>
    </row>
    <row r="114" spans="2:11" x14ac:dyDescent="0.3">
      <c r="D114" t="s">
        <v>8068</v>
      </c>
      <c r="E114" t="s">
        <v>8069</v>
      </c>
      <c r="F114" t="s">
        <v>7750</v>
      </c>
      <c r="G114" t="s">
        <v>8070</v>
      </c>
      <c r="H114" t="s">
        <v>8071</v>
      </c>
      <c r="I114" t="s">
        <v>7706</v>
      </c>
      <c r="J114" t="s">
        <v>8072</v>
      </c>
      <c r="K114" t="s">
        <v>8073</v>
      </c>
    </row>
    <row r="115" spans="2:11" x14ac:dyDescent="0.3">
      <c r="D115" t="s">
        <v>8074</v>
      </c>
      <c r="E115" t="s">
        <v>8075</v>
      </c>
      <c r="F115" t="s">
        <v>7750</v>
      </c>
      <c r="G115" t="s">
        <v>8076</v>
      </c>
      <c r="H115" t="s">
        <v>8077</v>
      </c>
      <c r="I115" t="s">
        <v>4496</v>
      </c>
      <c r="J115" t="s">
        <v>8078</v>
      </c>
      <c r="K115" t="s">
        <v>8079</v>
      </c>
    </row>
    <row r="116" spans="2:11" x14ac:dyDescent="0.3">
      <c r="D116" t="s">
        <v>8080</v>
      </c>
      <c r="E116" t="s">
        <v>8081</v>
      </c>
      <c r="F116" t="s">
        <v>7750</v>
      </c>
      <c r="G116" t="s">
        <v>8082</v>
      </c>
      <c r="H116" t="s">
        <v>8083</v>
      </c>
      <c r="I116" t="s">
        <v>7870</v>
      </c>
      <c r="J116" t="s">
        <v>8084</v>
      </c>
      <c r="K116" t="s">
        <v>8085</v>
      </c>
    </row>
    <row r="117" spans="2:11" x14ac:dyDescent="0.3">
      <c r="C117" t="s">
        <v>8086</v>
      </c>
      <c r="D117" t="s">
        <v>8087</v>
      </c>
      <c r="E117" t="s">
        <v>8088</v>
      </c>
      <c r="F117" t="s">
        <v>7750</v>
      </c>
      <c r="G117" t="s">
        <v>7998</v>
      </c>
      <c r="H117" t="s">
        <v>8089</v>
      </c>
      <c r="I117" t="s">
        <v>7870</v>
      </c>
      <c r="J117" t="s">
        <v>8090</v>
      </c>
      <c r="K117" t="s">
        <v>8091</v>
      </c>
    </row>
    <row r="118" spans="2:11" x14ac:dyDescent="0.3">
      <c r="D118" t="s">
        <v>8092</v>
      </c>
      <c r="E118" t="s">
        <v>8093</v>
      </c>
      <c r="F118" t="s">
        <v>7750</v>
      </c>
      <c r="G118" t="s">
        <v>8094</v>
      </c>
      <c r="H118" t="s">
        <v>8095</v>
      </c>
      <c r="I118" t="s">
        <v>7870</v>
      </c>
      <c r="J118" t="s">
        <v>8096</v>
      </c>
      <c r="K118" t="s">
        <v>8097</v>
      </c>
    </row>
    <row r="119" spans="2:11" x14ac:dyDescent="0.3">
      <c r="D119" t="s">
        <v>8098</v>
      </c>
      <c r="E119" t="s">
        <v>8099</v>
      </c>
      <c r="F119" t="s">
        <v>7750</v>
      </c>
      <c r="G119" t="s">
        <v>8100</v>
      </c>
      <c r="H119" t="s">
        <v>8101</v>
      </c>
      <c r="I119" t="s">
        <v>7870</v>
      </c>
      <c r="J119" t="s">
        <v>8102</v>
      </c>
      <c r="K119" t="s">
        <v>8103</v>
      </c>
    </row>
    <row r="120" spans="2:11" x14ac:dyDescent="0.3">
      <c r="D120" t="s">
        <v>8104</v>
      </c>
      <c r="E120" t="s">
        <v>8105</v>
      </c>
      <c r="F120" t="s">
        <v>7750</v>
      </c>
      <c r="G120" t="s">
        <v>8106</v>
      </c>
      <c r="H120" t="s">
        <v>8107</v>
      </c>
      <c r="I120" t="s">
        <v>7870</v>
      </c>
      <c r="J120" t="s">
        <v>8108</v>
      </c>
      <c r="K120" t="s">
        <v>8109</v>
      </c>
    </row>
    <row r="121" spans="2:11" x14ac:dyDescent="0.3">
      <c r="D121" t="s">
        <v>8110</v>
      </c>
      <c r="E121" t="s">
        <v>8111</v>
      </c>
      <c r="F121" t="s">
        <v>7750</v>
      </c>
      <c r="G121" t="s">
        <v>8112</v>
      </c>
      <c r="H121" t="s">
        <v>8113</v>
      </c>
      <c r="I121" t="s">
        <v>7870</v>
      </c>
      <c r="J121" t="s">
        <v>8114</v>
      </c>
      <c r="K121" t="s">
        <v>8115</v>
      </c>
    </row>
    <row r="122" spans="2:11" x14ac:dyDescent="0.3">
      <c r="B122" t="s">
        <v>8116</v>
      </c>
      <c r="C122" t="s">
        <v>8117</v>
      </c>
      <c r="D122" t="s">
        <v>8118</v>
      </c>
      <c r="E122" t="s">
        <v>8119</v>
      </c>
      <c r="F122" t="s">
        <v>4255</v>
      </c>
      <c r="G122" t="s">
        <v>8120</v>
      </c>
      <c r="H122" t="s">
        <v>8121</v>
      </c>
      <c r="I122" t="s">
        <v>4390</v>
      </c>
      <c r="J122" t="s">
        <v>8122</v>
      </c>
      <c r="K122" t="s">
        <v>8123</v>
      </c>
    </row>
    <row r="123" spans="2:11" x14ac:dyDescent="0.3">
      <c r="D123" t="s">
        <v>8124</v>
      </c>
      <c r="E123" t="s">
        <v>8125</v>
      </c>
      <c r="F123" t="s">
        <v>4255</v>
      </c>
      <c r="G123" t="s">
        <v>8126</v>
      </c>
      <c r="H123" t="s">
        <v>8127</v>
      </c>
      <c r="I123" t="s">
        <v>7706</v>
      </c>
      <c r="J123" t="s">
        <v>8128</v>
      </c>
      <c r="K123" t="s">
        <v>8129</v>
      </c>
    </row>
    <row r="124" spans="2:11" x14ac:dyDescent="0.3">
      <c r="D124" t="s">
        <v>8130</v>
      </c>
      <c r="E124" t="s">
        <v>8131</v>
      </c>
      <c r="F124" t="s">
        <v>4255</v>
      </c>
      <c r="G124" t="s">
        <v>8132</v>
      </c>
      <c r="H124" t="s">
        <v>8133</v>
      </c>
      <c r="I124" t="s">
        <v>4496</v>
      </c>
      <c r="J124" t="s">
        <v>8134</v>
      </c>
      <c r="K124" t="s">
        <v>8135</v>
      </c>
    </row>
    <row r="125" spans="2:11" x14ac:dyDescent="0.3">
      <c r="D125" t="s">
        <v>8136</v>
      </c>
      <c r="E125" t="s">
        <v>8137</v>
      </c>
      <c r="F125" t="s">
        <v>4255</v>
      </c>
      <c r="G125" t="s">
        <v>8138</v>
      </c>
      <c r="H125" t="s">
        <v>8139</v>
      </c>
      <c r="I125" t="s">
        <v>8140</v>
      </c>
      <c r="J125" t="s">
        <v>8141</v>
      </c>
      <c r="K125" t="s">
        <v>8142</v>
      </c>
    </row>
    <row r="126" spans="2:11" x14ac:dyDescent="0.3">
      <c r="D126" t="s">
        <v>8143</v>
      </c>
      <c r="E126" t="s">
        <v>8144</v>
      </c>
      <c r="F126" t="s">
        <v>4255</v>
      </c>
      <c r="G126" t="s">
        <v>8145</v>
      </c>
      <c r="H126" t="s">
        <v>8146</v>
      </c>
      <c r="I126" t="s">
        <v>8147</v>
      </c>
      <c r="J126" t="s">
        <v>8148</v>
      </c>
      <c r="K126" t="s">
        <v>8149</v>
      </c>
    </row>
    <row r="127" spans="2:11" x14ac:dyDescent="0.3">
      <c r="C127" t="s">
        <v>8150</v>
      </c>
      <c r="D127" t="s">
        <v>8151</v>
      </c>
      <c r="E127" t="s">
        <v>8152</v>
      </c>
      <c r="F127" t="s">
        <v>4255</v>
      </c>
      <c r="G127" t="s">
        <v>8153</v>
      </c>
      <c r="H127" t="s">
        <v>8154</v>
      </c>
      <c r="I127" t="s">
        <v>4390</v>
      </c>
      <c r="J127" t="s">
        <v>8155</v>
      </c>
      <c r="K127" t="s">
        <v>8156</v>
      </c>
    </row>
    <row r="128" spans="2:11" x14ac:dyDescent="0.3">
      <c r="D128" t="s">
        <v>8157</v>
      </c>
      <c r="E128" t="s">
        <v>8158</v>
      </c>
      <c r="F128" t="s">
        <v>4255</v>
      </c>
      <c r="G128" t="s">
        <v>8159</v>
      </c>
      <c r="H128" t="s">
        <v>7808</v>
      </c>
      <c r="I128" t="s">
        <v>4496</v>
      </c>
      <c r="J128" t="s">
        <v>8160</v>
      </c>
      <c r="K128" t="s">
        <v>8161</v>
      </c>
    </row>
    <row r="129" spans="3:11" x14ac:dyDescent="0.3">
      <c r="D129" t="s">
        <v>8162</v>
      </c>
      <c r="E129" t="s">
        <v>8163</v>
      </c>
      <c r="F129" t="s">
        <v>4255</v>
      </c>
      <c r="G129" t="s">
        <v>8164</v>
      </c>
      <c r="H129" t="s">
        <v>8165</v>
      </c>
      <c r="I129" t="s">
        <v>4496</v>
      </c>
      <c r="J129" t="s">
        <v>8166</v>
      </c>
      <c r="K129" t="s">
        <v>8167</v>
      </c>
    </row>
    <row r="130" spans="3:11" x14ac:dyDescent="0.3">
      <c r="D130" t="s">
        <v>8168</v>
      </c>
      <c r="E130" t="s">
        <v>8169</v>
      </c>
      <c r="F130" t="s">
        <v>4255</v>
      </c>
      <c r="G130" t="s">
        <v>8170</v>
      </c>
      <c r="H130" t="s">
        <v>7950</v>
      </c>
      <c r="I130" t="s">
        <v>4496</v>
      </c>
      <c r="J130" t="s">
        <v>4497</v>
      </c>
      <c r="K130" t="s">
        <v>8171</v>
      </c>
    </row>
    <row r="131" spans="3:11" x14ac:dyDescent="0.3">
      <c r="D131" t="s">
        <v>8172</v>
      </c>
      <c r="E131" t="s">
        <v>8173</v>
      </c>
      <c r="F131" t="s">
        <v>4255</v>
      </c>
      <c r="G131" t="s">
        <v>8174</v>
      </c>
      <c r="H131" t="s">
        <v>8175</v>
      </c>
      <c r="I131" t="s">
        <v>7473</v>
      </c>
      <c r="J131" t="s">
        <v>8176</v>
      </c>
      <c r="K131" t="s">
        <v>8177</v>
      </c>
    </row>
    <row r="132" spans="3:11" x14ac:dyDescent="0.3">
      <c r="C132" t="s">
        <v>8178</v>
      </c>
      <c r="D132" t="s">
        <v>8179</v>
      </c>
      <c r="E132" t="s">
        <v>8180</v>
      </c>
      <c r="F132" t="s">
        <v>7750</v>
      </c>
      <c r="G132" t="s">
        <v>8181</v>
      </c>
      <c r="H132" t="s">
        <v>8182</v>
      </c>
      <c r="I132" t="s">
        <v>4390</v>
      </c>
      <c r="J132" t="s">
        <v>8183</v>
      </c>
      <c r="K132" t="s">
        <v>8184</v>
      </c>
    </row>
    <row r="133" spans="3:11" x14ac:dyDescent="0.3">
      <c r="D133" t="s">
        <v>8185</v>
      </c>
      <c r="E133" t="s">
        <v>8186</v>
      </c>
      <c r="F133" t="s">
        <v>7750</v>
      </c>
      <c r="G133" t="s">
        <v>8187</v>
      </c>
      <c r="H133" t="s">
        <v>8188</v>
      </c>
      <c r="I133" t="s">
        <v>7706</v>
      </c>
      <c r="J133" t="s">
        <v>8189</v>
      </c>
      <c r="K133" t="s">
        <v>8190</v>
      </c>
    </row>
    <row r="134" spans="3:11" x14ac:dyDescent="0.3">
      <c r="D134" t="s">
        <v>8191</v>
      </c>
      <c r="E134" t="s">
        <v>8192</v>
      </c>
      <c r="F134" t="s">
        <v>7750</v>
      </c>
      <c r="G134" t="s">
        <v>8193</v>
      </c>
      <c r="H134" t="s">
        <v>8194</v>
      </c>
      <c r="I134" t="s">
        <v>4496</v>
      </c>
      <c r="J134" t="s">
        <v>8195</v>
      </c>
      <c r="K134" t="s">
        <v>8196</v>
      </c>
    </row>
    <row r="135" spans="3:11" x14ac:dyDescent="0.3">
      <c r="D135" t="s">
        <v>8197</v>
      </c>
      <c r="E135" t="s">
        <v>8198</v>
      </c>
      <c r="F135" t="s">
        <v>7750</v>
      </c>
      <c r="G135" t="s">
        <v>8199</v>
      </c>
      <c r="H135" t="s">
        <v>8200</v>
      </c>
      <c r="I135" t="s">
        <v>7706</v>
      </c>
      <c r="J135" t="s">
        <v>8201</v>
      </c>
      <c r="K135" t="s">
        <v>8202</v>
      </c>
    </row>
    <row r="136" spans="3:11" x14ac:dyDescent="0.3">
      <c r="D136" t="s">
        <v>8203</v>
      </c>
      <c r="E136" t="s">
        <v>8204</v>
      </c>
      <c r="F136" t="s">
        <v>7750</v>
      </c>
      <c r="G136" t="s">
        <v>8205</v>
      </c>
      <c r="H136" t="s">
        <v>8206</v>
      </c>
      <c r="I136" t="s">
        <v>7473</v>
      </c>
      <c r="J136" t="s">
        <v>8207</v>
      </c>
      <c r="K136" t="s">
        <v>8208</v>
      </c>
    </row>
    <row r="137" spans="3:11" x14ac:dyDescent="0.3">
      <c r="C137" t="s">
        <v>8209</v>
      </c>
      <c r="D137" t="s">
        <v>8210</v>
      </c>
      <c r="E137" t="s">
        <v>8211</v>
      </c>
      <c r="F137" t="s">
        <v>4255</v>
      </c>
      <c r="G137" t="s">
        <v>8212</v>
      </c>
      <c r="H137" t="s">
        <v>8213</v>
      </c>
      <c r="I137" t="s">
        <v>4390</v>
      </c>
      <c r="J137" t="s">
        <v>8214</v>
      </c>
      <c r="K137" t="s">
        <v>8215</v>
      </c>
    </row>
    <row r="138" spans="3:11" x14ac:dyDescent="0.3">
      <c r="D138" t="s">
        <v>8216</v>
      </c>
      <c r="E138" t="s">
        <v>8217</v>
      </c>
      <c r="F138" t="s">
        <v>4255</v>
      </c>
      <c r="G138" t="s">
        <v>8218</v>
      </c>
      <c r="H138" t="s">
        <v>8219</v>
      </c>
      <c r="I138" t="s">
        <v>4496</v>
      </c>
      <c r="J138" t="s">
        <v>8220</v>
      </c>
      <c r="K138" t="s">
        <v>8221</v>
      </c>
    </row>
    <row r="139" spans="3:11" x14ac:dyDescent="0.3">
      <c r="D139" t="s">
        <v>8222</v>
      </c>
      <c r="E139" t="s">
        <v>8223</v>
      </c>
      <c r="F139" t="s">
        <v>4255</v>
      </c>
      <c r="G139" t="s">
        <v>8224</v>
      </c>
      <c r="H139" t="s">
        <v>8225</v>
      </c>
      <c r="I139" t="s">
        <v>7706</v>
      </c>
      <c r="J139" t="s">
        <v>8226</v>
      </c>
      <c r="K139" t="s">
        <v>8227</v>
      </c>
    </row>
    <row r="140" spans="3:11" x14ac:dyDescent="0.3">
      <c r="D140" t="s">
        <v>8228</v>
      </c>
      <c r="E140" t="s">
        <v>8229</v>
      </c>
      <c r="F140" t="s">
        <v>4255</v>
      </c>
      <c r="G140" t="s">
        <v>8230</v>
      </c>
      <c r="H140" t="s">
        <v>8231</v>
      </c>
      <c r="I140" t="s">
        <v>4496</v>
      </c>
      <c r="J140" t="s">
        <v>8232</v>
      </c>
      <c r="K140" t="s">
        <v>8233</v>
      </c>
    </row>
    <row r="141" spans="3:11" x14ac:dyDescent="0.3">
      <c r="D141" t="s">
        <v>8234</v>
      </c>
      <c r="E141" t="s">
        <v>8235</v>
      </c>
      <c r="F141" t="s">
        <v>4255</v>
      </c>
      <c r="G141" t="s">
        <v>8236</v>
      </c>
      <c r="H141" t="s">
        <v>8237</v>
      </c>
      <c r="I141" t="s">
        <v>7870</v>
      </c>
      <c r="J141" t="s">
        <v>8238</v>
      </c>
      <c r="K141" t="s">
        <v>8239</v>
      </c>
    </row>
    <row r="142" spans="3:11" x14ac:dyDescent="0.3">
      <c r="C142" t="s">
        <v>8240</v>
      </c>
      <c r="D142" t="s">
        <v>8241</v>
      </c>
      <c r="E142" t="s">
        <v>8242</v>
      </c>
      <c r="F142" t="s">
        <v>4255</v>
      </c>
      <c r="G142" t="s">
        <v>8243</v>
      </c>
      <c r="H142" t="s">
        <v>8244</v>
      </c>
      <c r="I142" t="s">
        <v>4390</v>
      </c>
      <c r="J142" t="s">
        <v>8245</v>
      </c>
      <c r="K142" t="s">
        <v>8246</v>
      </c>
    </row>
    <row r="143" spans="3:11" x14ac:dyDescent="0.3">
      <c r="D143" t="s">
        <v>8247</v>
      </c>
      <c r="E143" t="s">
        <v>8248</v>
      </c>
      <c r="F143" t="s">
        <v>4255</v>
      </c>
      <c r="G143" t="s">
        <v>8249</v>
      </c>
      <c r="H143" t="s">
        <v>8250</v>
      </c>
      <c r="I143" t="s">
        <v>7706</v>
      </c>
      <c r="J143" t="s">
        <v>8251</v>
      </c>
      <c r="K143" t="s">
        <v>8252</v>
      </c>
    </row>
    <row r="144" spans="3:11" x14ac:dyDescent="0.3">
      <c r="D144" t="s">
        <v>8253</v>
      </c>
      <c r="E144" t="s">
        <v>8254</v>
      </c>
      <c r="F144" t="s">
        <v>4255</v>
      </c>
      <c r="G144" t="s">
        <v>8255</v>
      </c>
      <c r="H144" t="s">
        <v>8256</v>
      </c>
      <c r="I144" t="s">
        <v>4496</v>
      </c>
      <c r="J144" t="s">
        <v>8257</v>
      </c>
      <c r="K144" t="s">
        <v>8258</v>
      </c>
    </row>
    <row r="145" spans="2:11" x14ac:dyDescent="0.3">
      <c r="D145" t="s">
        <v>8259</v>
      </c>
      <c r="E145" t="s">
        <v>8260</v>
      </c>
      <c r="F145" t="s">
        <v>4255</v>
      </c>
      <c r="G145" t="s">
        <v>8261</v>
      </c>
      <c r="H145" t="s">
        <v>8262</v>
      </c>
      <c r="I145" t="s">
        <v>7706</v>
      </c>
      <c r="J145" t="s">
        <v>8263</v>
      </c>
      <c r="K145" t="s">
        <v>8264</v>
      </c>
    </row>
    <row r="146" spans="2:11" x14ac:dyDescent="0.3">
      <c r="D146" t="s">
        <v>8265</v>
      </c>
      <c r="E146" t="s">
        <v>8266</v>
      </c>
      <c r="F146" t="s">
        <v>4255</v>
      </c>
      <c r="G146" t="s">
        <v>8267</v>
      </c>
      <c r="H146" t="s">
        <v>8268</v>
      </c>
      <c r="I146" t="s">
        <v>7473</v>
      </c>
      <c r="J146" t="s">
        <v>8269</v>
      </c>
      <c r="K146" t="s">
        <v>8270</v>
      </c>
    </row>
    <row r="147" spans="2:11" x14ac:dyDescent="0.3">
      <c r="C147" t="s">
        <v>8271</v>
      </c>
      <c r="D147" t="s">
        <v>8272</v>
      </c>
      <c r="E147" t="s">
        <v>8273</v>
      </c>
      <c r="F147" t="s">
        <v>7750</v>
      </c>
      <c r="G147" t="s">
        <v>8274</v>
      </c>
      <c r="H147" t="s">
        <v>8275</v>
      </c>
      <c r="I147" t="s">
        <v>7784</v>
      </c>
      <c r="J147" t="s">
        <v>8276</v>
      </c>
      <c r="K147" t="s">
        <v>8277</v>
      </c>
    </row>
    <row r="148" spans="2:11" x14ac:dyDescent="0.3">
      <c r="D148" t="s">
        <v>8278</v>
      </c>
      <c r="E148" t="s">
        <v>8279</v>
      </c>
      <c r="F148" t="s">
        <v>7750</v>
      </c>
      <c r="G148" t="s">
        <v>8280</v>
      </c>
      <c r="H148" t="s">
        <v>8281</v>
      </c>
      <c r="I148" t="s">
        <v>7706</v>
      </c>
      <c r="J148" t="s">
        <v>8282</v>
      </c>
      <c r="K148" t="s">
        <v>8283</v>
      </c>
    </row>
    <row r="149" spans="2:11" x14ac:dyDescent="0.3">
      <c r="D149" t="s">
        <v>8284</v>
      </c>
      <c r="E149" t="s">
        <v>8285</v>
      </c>
      <c r="F149" t="s">
        <v>7750</v>
      </c>
      <c r="G149" t="s">
        <v>8286</v>
      </c>
      <c r="H149" t="s">
        <v>8287</v>
      </c>
      <c r="I149" t="s">
        <v>7706</v>
      </c>
      <c r="J149" t="s">
        <v>8288</v>
      </c>
      <c r="K149" t="s">
        <v>8289</v>
      </c>
    </row>
    <row r="150" spans="2:11" x14ac:dyDescent="0.3">
      <c r="D150" t="s">
        <v>8290</v>
      </c>
      <c r="E150" t="s">
        <v>8291</v>
      </c>
      <c r="F150" t="s">
        <v>7750</v>
      </c>
      <c r="G150" t="s">
        <v>8292</v>
      </c>
      <c r="H150" t="s">
        <v>8293</v>
      </c>
      <c r="I150" t="s">
        <v>4496</v>
      </c>
      <c r="J150" t="s">
        <v>8294</v>
      </c>
      <c r="K150" t="s">
        <v>8295</v>
      </c>
    </row>
    <row r="151" spans="2:11" x14ac:dyDescent="0.3">
      <c r="D151" t="s">
        <v>8296</v>
      </c>
      <c r="E151" t="s">
        <v>8297</v>
      </c>
      <c r="F151" t="s">
        <v>7750</v>
      </c>
      <c r="G151" t="s">
        <v>8298</v>
      </c>
      <c r="H151" t="s">
        <v>8299</v>
      </c>
      <c r="I151" t="s">
        <v>7870</v>
      </c>
      <c r="J151" t="s">
        <v>8300</v>
      </c>
      <c r="K151" t="s">
        <v>8301</v>
      </c>
    </row>
    <row r="152" spans="2:11" x14ac:dyDescent="0.3">
      <c r="B152" t="s">
        <v>8302</v>
      </c>
      <c r="C152" t="s">
        <v>8303</v>
      </c>
      <c r="D152" t="s">
        <v>8304</v>
      </c>
      <c r="E152" t="s">
        <v>8305</v>
      </c>
      <c r="F152" t="s">
        <v>7750</v>
      </c>
      <c r="G152" t="s">
        <v>8306</v>
      </c>
      <c r="H152" t="s">
        <v>8307</v>
      </c>
      <c r="I152" t="s">
        <v>4390</v>
      </c>
      <c r="J152" t="s">
        <v>8308</v>
      </c>
      <c r="K152" t="s">
        <v>8309</v>
      </c>
    </row>
    <row r="153" spans="2:11" x14ac:dyDescent="0.3">
      <c r="D153" t="s">
        <v>8310</v>
      </c>
      <c r="E153" t="s">
        <v>8311</v>
      </c>
      <c r="F153" t="s">
        <v>7750</v>
      </c>
      <c r="G153" t="s">
        <v>8312</v>
      </c>
      <c r="H153" t="s">
        <v>8313</v>
      </c>
      <c r="I153" t="s">
        <v>7706</v>
      </c>
      <c r="J153" t="s">
        <v>8314</v>
      </c>
      <c r="K153" t="s">
        <v>8315</v>
      </c>
    </row>
    <row r="154" spans="2:11" x14ac:dyDescent="0.3">
      <c r="D154" t="s">
        <v>8316</v>
      </c>
      <c r="E154" t="s">
        <v>8317</v>
      </c>
      <c r="F154" t="s">
        <v>7750</v>
      </c>
      <c r="G154" t="s">
        <v>8318</v>
      </c>
      <c r="H154" t="s">
        <v>7808</v>
      </c>
      <c r="I154" t="s">
        <v>4496</v>
      </c>
      <c r="J154" t="s">
        <v>8319</v>
      </c>
      <c r="K154" t="s">
        <v>8320</v>
      </c>
    </row>
    <row r="155" spans="2:11" x14ac:dyDescent="0.3">
      <c r="D155" t="s">
        <v>8321</v>
      </c>
      <c r="E155" t="s">
        <v>8322</v>
      </c>
      <c r="F155" t="s">
        <v>7750</v>
      </c>
      <c r="G155" t="s">
        <v>8323</v>
      </c>
      <c r="H155" t="s">
        <v>8324</v>
      </c>
      <c r="I155" t="s">
        <v>7706</v>
      </c>
      <c r="J155" t="s">
        <v>8325</v>
      </c>
      <c r="K155" t="s">
        <v>8326</v>
      </c>
    </row>
    <row r="156" spans="2:11" x14ac:dyDescent="0.3">
      <c r="D156" t="s">
        <v>8327</v>
      </c>
      <c r="E156" t="s">
        <v>8328</v>
      </c>
      <c r="F156" t="s">
        <v>7750</v>
      </c>
      <c r="G156" t="s">
        <v>8329</v>
      </c>
      <c r="H156" t="s">
        <v>8330</v>
      </c>
      <c r="I156" t="s">
        <v>7473</v>
      </c>
      <c r="J156" t="s">
        <v>8331</v>
      </c>
      <c r="K156" t="s">
        <v>8332</v>
      </c>
    </row>
    <row r="157" spans="2:11" x14ac:dyDescent="0.3">
      <c r="C157" t="s">
        <v>8333</v>
      </c>
      <c r="D157" t="s">
        <v>8334</v>
      </c>
      <c r="E157" t="s">
        <v>8335</v>
      </c>
      <c r="F157" t="s">
        <v>7750</v>
      </c>
      <c r="G157" t="s">
        <v>8336</v>
      </c>
      <c r="H157" t="s">
        <v>8337</v>
      </c>
      <c r="I157" t="s">
        <v>4496</v>
      </c>
      <c r="J157" t="s">
        <v>8338</v>
      </c>
      <c r="K157" t="s">
        <v>8339</v>
      </c>
    </row>
    <row r="158" spans="2:11" x14ac:dyDescent="0.3">
      <c r="D158" t="s">
        <v>8340</v>
      </c>
      <c r="E158" t="s">
        <v>8341</v>
      </c>
      <c r="F158" t="s">
        <v>7750</v>
      </c>
      <c r="G158" t="s">
        <v>8342</v>
      </c>
      <c r="H158" t="s">
        <v>8343</v>
      </c>
      <c r="I158" t="s">
        <v>7706</v>
      </c>
      <c r="J158" t="s">
        <v>8344</v>
      </c>
      <c r="K158" t="s">
        <v>8345</v>
      </c>
    </row>
    <row r="159" spans="2:11" x14ac:dyDescent="0.3">
      <c r="D159" t="s">
        <v>8346</v>
      </c>
      <c r="E159" t="s">
        <v>8347</v>
      </c>
      <c r="F159" t="s">
        <v>7750</v>
      </c>
      <c r="G159" t="s">
        <v>8348</v>
      </c>
      <c r="H159" t="s">
        <v>8349</v>
      </c>
      <c r="I159" t="s">
        <v>4496</v>
      </c>
      <c r="J159" t="s">
        <v>8350</v>
      </c>
      <c r="K159" t="s">
        <v>8351</v>
      </c>
    </row>
    <row r="160" spans="2:11" x14ac:dyDescent="0.3">
      <c r="D160" t="s">
        <v>8352</v>
      </c>
      <c r="E160" t="s">
        <v>8353</v>
      </c>
      <c r="F160" t="s">
        <v>7750</v>
      </c>
      <c r="G160" t="s">
        <v>8354</v>
      </c>
      <c r="H160" t="s">
        <v>8355</v>
      </c>
      <c r="I160" t="s">
        <v>7706</v>
      </c>
      <c r="J160" t="s">
        <v>8356</v>
      </c>
      <c r="K160" t="s">
        <v>8339</v>
      </c>
    </row>
    <row r="161" spans="3:11" x14ac:dyDescent="0.3">
      <c r="D161" t="s">
        <v>8357</v>
      </c>
      <c r="E161" t="s">
        <v>8358</v>
      </c>
      <c r="F161" t="s">
        <v>7750</v>
      </c>
      <c r="G161" t="s">
        <v>8359</v>
      </c>
      <c r="H161" t="s">
        <v>8360</v>
      </c>
      <c r="I161" t="s">
        <v>8361</v>
      </c>
      <c r="J161" t="s">
        <v>8362</v>
      </c>
      <c r="K161" t="s">
        <v>8345</v>
      </c>
    </row>
    <row r="162" spans="3:11" x14ac:dyDescent="0.3">
      <c r="C162" t="s">
        <v>8363</v>
      </c>
      <c r="D162" t="s">
        <v>8364</v>
      </c>
      <c r="E162" t="s">
        <v>8365</v>
      </c>
      <c r="F162" t="s">
        <v>7750</v>
      </c>
      <c r="G162" t="s">
        <v>8366</v>
      </c>
      <c r="H162" t="s">
        <v>8367</v>
      </c>
      <c r="I162" t="s">
        <v>7448</v>
      </c>
      <c r="J162" t="s">
        <v>8368</v>
      </c>
      <c r="K162" t="s">
        <v>8369</v>
      </c>
    </row>
    <row r="163" spans="3:11" x14ac:dyDescent="0.3">
      <c r="D163" t="s">
        <v>8370</v>
      </c>
      <c r="E163" t="s">
        <v>8371</v>
      </c>
      <c r="F163" t="s">
        <v>7750</v>
      </c>
      <c r="G163" t="s">
        <v>8372</v>
      </c>
      <c r="H163" t="s">
        <v>8373</v>
      </c>
      <c r="I163" t="s">
        <v>4496</v>
      </c>
      <c r="J163" t="s">
        <v>7945</v>
      </c>
      <c r="K163" t="s">
        <v>8374</v>
      </c>
    </row>
    <row r="164" spans="3:11" x14ac:dyDescent="0.3">
      <c r="D164" t="s">
        <v>8375</v>
      </c>
      <c r="E164" t="s">
        <v>8376</v>
      </c>
      <c r="F164" t="s">
        <v>7750</v>
      </c>
      <c r="G164" t="s">
        <v>8377</v>
      </c>
      <c r="H164" t="s">
        <v>8378</v>
      </c>
      <c r="I164" t="s">
        <v>7706</v>
      </c>
      <c r="J164" t="s">
        <v>8379</v>
      </c>
      <c r="K164" t="s">
        <v>8380</v>
      </c>
    </row>
    <row r="165" spans="3:11" x14ac:dyDescent="0.3">
      <c r="D165" t="s">
        <v>8381</v>
      </c>
      <c r="E165" t="s">
        <v>8382</v>
      </c>
      <c r="F165" t="s">
        <v>7750</v>
      </c>
      <c r="G165" t="s">
        <v>8383</v>
      </c>
      <c r="H165" t="s">
        <v>8384</v>
      </c>
      <c r="I165" t="s">
        <v>7440</v>
      </c>
      <c r="J165" t="s">
        <v>8385</v>
      </c>
      <c r="K165" t="s">
        <v>8386</v>
      </c>
    </row>
    <row r="166" spans="3:11" x14ac:dyDescent="0.3">
      <c r="D166" t="s">
        <v>8387</v>
      </c>
      <c r="E166" t="s">
        <v>8388</v>
      </c>
      <c r="F166" t="s">
        <v>7750</v>
      </c>
      <c r="G166" t="s">
        <v>8389</v>
      </c>
      <c r="H166" t="s">
        <v>8390</v>
      </c>
      <c r="I166" t="s">
        <v>7473</v>
      </c>
      <c r="J166" t="s">
        <v>8391</v>
      </c>
      <c r="K166" t="s">
        <v>8392</v>
      </c>
    </row>
    <row r="167" spans="3:11" x14ac:dyDescent="0.3">
      <c r="C167" t="s">
        <v>8393</v>
      </c>
      <c r="D167" t="s">
        <v>8394</v>
      </c>
      <c r="E167" t="s">
        <v>8395</v>
      </c>
      <c r="F167" t="s">
        <v>7750</v>
      </c>
      <c r="G167" t="s">
        <v>8396</v>
      </c>
      <c r="H167" t="s">
        <v>8397</v>
      </c>
      <c r="I167" t="s">
        <v>4390</v>
      </c>
      <c r="J167" t="s">
        <v>8398</v>
      </c>
      <c r="K167" t="s">
        <v>8399</v>
      </c>
    </row>
    <row r="168" spans="3:11" x14ac:dyDescent="0.3">
      <c r="D168" t="s">
        <v>8400</v>
      </c>
      <c r="E168" t="s">
        <v>8401</v>
      </c>
      <c r="F168" t="s">
        <v>7750</v>
      </c>
      <c r="G168" t="s">
        <v>8402</v>
      </c>
      <c r="H168" t="s">
        <v>8403</v>
      </c>
      <c r="I168" t="s">
        <v>7440</v>
      </c>
      <c r="J168" t="s">
        <v>8404</v>
      </c>
      <c r="K168" t="s">
        <v>8405</v>
      </c>
    </row>
    <row r="169" spans="3:11" x14ac:dyDescent="0.3">
      <c r="D169" t="s">
        <v>8406</v>
      </c>
      <c r="E169" t="s">
        <v>8407</v>
      </c>
      <c r="F169" t="s">
        <v>7750</v>
      </c>
      <c r="G169" t="s">
        <v>8408</v>
      </c>
      <c r="H169" t="s">
        <v>8409</v>
      </c>
      <c r="I169" t="s">
        <v>4496</v>
      </c>
      <c r="J169" t="s">
        <v>8410</v>
      </c>
      <c r="K169" t="s">
        <v>8411</v>
      </c>
    </row>
    <row r="170" spans="3:11" x14ac:dyDescent="0.3">
      <c r="D170" t="s">
        <v>8412</v>
      </c>
      <c r="E170" t="s">
        <v>8413</v>
      </c>
      <c r="F170" t="s">
        <v>7750</v>
      </c>
      <c r="G170" t="s">
        <v>8414</v>
      </c>
      <c r="H170" t="s">
        <v>8415</v>
      </c>
      <c r="I170" t="s">
        <v>7706</v>
      </c>
      <c r="J170" t="s">
        <v>7726</v>
      </c>
      <c r="K170" t="s">
        <v>8416</v>
      </c>
    </row>
    <row r="171" spans="3:11" x14ac:dyDescent="0.3">
      <c r="D171" t="s">
        <v>8417</v>
      </c>
      <c r="E171" t="s">
        <v>8418</v>
      </c>
      <c r="F171" t="s">
        <v>7750</v>
      </c>
      <c r="G171" t="s">
        <v>8419</v>
      </c>
      <c r="H171" t="s">
        <v>8420</v>
      </c>
      <c r="I171" t="s">
        <v>8361</v>
      </c>
      <c r="J171" t="s">
        <v>8421</v>
      </c>
      <c r="K171" t="s">
        <v>8422</v>
      </c>
    </row>
    <row r="172" spans="3:11" x14ac:dyDescent="0.3">
      <c r="C172" t="s">
        <v>8423</v>
      </c>
      <c r="D172" t="s">
        <v>8424</v>
      </c>
      <c r="E172" t="s">
        <v>8425</v>
      </c>
      <c r="F172" t="s">
        <v>4255</v>
      </c>
      <c r="G172" t="s">
        <v>8426</v>
      </c>
      <c r="H172" t="s">
        <v>8427</v>
      </c>
      <c r="I172" t="s">
        <v>7440</v>
      </c>
      <c r="J172" t="s">
        <v>8428</v>
      </c>
      <c r="K172" t="s">
        <v>8429</v>
      </c>
    </row>
    <row r="173" spans="3:11" x14ac:dyDescent="0.3">
      <c r="D173" t="s">
        <v>8430</v>
      </c>
      <c r="E173" t="s">
        <v>8431</v>
      </c>
      <c r="F173" t="s">
        <v>4255</v>
      </c>
      <c r="G173" t="s">
        <v>8432</v>
      </c>
      <c r="H173" t="s">
        <v>8433</v>
      </c>
      <c r="I173" t="s">
        <v>4496</v>
      </c>
      <c r="J173" t="s">
        <v>8434</v>
      </c>
      <c r="K173" t="s">
        <v>8435</v>
      </c>
    </row>
    <row r="174" spans="3:11" x14ac:dyDescent="0.3">
      <c r="D174" t="s">
        <v>8436</v>
      </c>
      <c r="E174" t="s">
        <v>8437</v>
      </c>
      <c r="F174" t="s">
        <v>4255</v>
      </c>
      <c r="G174" t="s">
        <v>8438</v>
      </c>
      <c r="H174" t="s">
        <v>7808</v>
      </c>
      <c r="I174" t="s">
        <v>7440</v>
      </c>
      <c r="J174" t="s">
        <v>8439</v>
      </c>
      <c r="K174" t="s">
        <v>8440</v>
      </c>
    </row>
    <row r="175" spans="3:11" x14ac:dyDescent="0.3">
      <c r="D175" t="s">
        <v>8441</v>
      </c>
      <c r="E175" t="s">
        <v>8442</v>
      </c>
      <c r="F175" t="s">
        <v>4255</v>
      </c>
      <c r="G175" t="s">
        <v>8443</v>
      </c>
      <c r="H175" t="s">
        <v>8444</v>
      </c>
      <c r="I175" t="s">
        <v>4496</v>
      </c>
      <c r="J175" t="s">
        <v>8445</v>
      </c>
      <c r="K175" t="s">
        <v>8446</v>
      </c>
    </row>
    <row r="176" spans="3:11" x14ac:dyDescent="0.3">
      <c r="D176" t="s">
        <v>8447</v>
      </c>
      <c r="E176" t="s">
        <v>8448</v>
      </c>
      <c r="F176" t="s">
        <v>4255</v>
      </c>
      <c r="G176" t="s">
        <v>8449</v>
      </c>
      <c r="H176" t="s">
        <v>8450</v>
      </c>
      <c r="I176" t="s">
        <v>8361</v>
      </c>
      <c r="J176" t="s">
        <v>8451</v>
      </c>
      <c r="K176" t="s">
        <v>8429</v>
      </c>
    </row>
    <row r="177" spans="2:11" x14ac:dyDescent="0.3">
      <c r="C177" t="s">
        <v>8452</v>
      </c>
      <c r="D177" t="s">
        <v>8453</v>
      </c>
      <c r="E177" t="s">
        <v>8454</v>
      </c>
      <c r="F177" t="s">
        <v>4255</v>
      </c>
      <c r="G177" t="s">
        <v>8455</v>
      </c>
      <c r="H177" t="s">
        <v>8456</v>
      </c>
      <c r="I177" t="s">
        <v>7440</v>
      </c>
      <c r="J177" t="s">
        <v>8457</v>
      </c>
      <c r="K177" t="s">
        <v>8458</v>
      </c>
    </row>
    <row r="178" spans="2:11" x14ac:dyDescent="0.3">
      <c r="D178" t="s">
        <v>8459</v>
      </c>
      <c r="E178" t="s">
        <v>8460</v>
      </c>
      <c r="F178" t="s">
        <v>4255</v>
      </c>
      <c r="G178" t="s">
        <v>8461</v>
      </c>
      <c r="H178" t="s">
        <v>8462</v>
      </c>
      <c r="I178" t="s">
        <v>4496</v>
      </c>
      <c r="J178" t="s">
        <v>8463</v>
      </c>
      <c r="K178" t="s">
        <v>8464</v>
      </c>
    </row>
    <row r="179" spans="2:11" x14ac:dyDescent="0.3">
      <c r="D179" t="s">
        <v>8465</v>
      </c>
      <c r="E179" t="s">
        <v>8466</v>
      </c>
      <c r="F179" t="s">
        <v>4255</v>
      </c>
      <c r="G179" t="s">
        <v>8467</v>
      </c>
      <c r="H179" t="s">
        <v>8468</v>
      </c>
      <c r="I179" t="s">
        <v>7440</v>
      </c>
      <c r="J179" t="s">
        <v>8469</v>
      </c>
      <c r="K179" t="s">
        <v>8470</v>
      </c>
    </row>
    <row r="180" spans="2:11" x14ac:dyDescent="0.3">
      <c r="D180" t="s">
        <v>8471</v>
      </c>
      <c r="E180" t="s">
        <v>8472</v>
      </c>
      <c r="F180" t="s">
        <v>4255</v>
      </c>
      <c r="G180" t="s">
        <v>8473</v>
      </c>
      <c r="H180" t="s">
        <v>8474</v>
      </c>
      <c r="I180" t="s">
        <v>4496</v>
      </c>
      <c r="J180" t="s">
        <v>8475</v>
      </c>
      <c r="K180" t="s">
        <v>8476</v>
      </c>
    </row>
    <row r="181" spans="2:11" x14ac:dyDescent="0.3">
      <c r="D181" t="s">
        <v>8477</v>
      </c>
      <c r="E181" t="s">
        <v>8478</v>
      </c>
      <c r="F181" t="s">
        <v>4255</v>
      </c>
      <c r="G181" t="s">
        <v>8473</v>
      </c>
      <c r="H181" t="s">
        <v>8474</v>
      </c>
      <c r="I181" t="s">
        <v>4496</v>
      </c>
      <c r="J181" t="s">
        <v>8463</v>
      </c>
      <c r="K181" t="s">
        <v>8435</v>
      </c>
    </row>
    <row r="182" spans="2:11" x14ac:dyDescent="0.3">
      <c r="C182" t="s">
        <v>8479</v>
      </c>
      <c r="D182" t="s">
        <v>8480</v>
      </c>
      <c r="E182" t="s">
        <v>8481</v>
      </c>
      <c r="F182" t="s">
        <v>4255</v>
      </c>
      <c r="G182" t="s">
        <v>8473</v>
      </c>
      <c r="H182" t="s">
        <v>8474</v>
      </c>
      <c r="I182" t="s">
        <v>4496</v>
      </c>
      <c r="J182" t="s">
        <v>8463</v>
      </c>
      <c r="K182" t="s">
        <v>8435</v>
      </c>
    </row>
    <row r="183" spans="2:11" x14ac:dyDescent="0.3">
      <c r="D183" t="s">
        <v>8482</v>
      </c>
      <c r="E183" t="s">
        <v>8483</v>
      </c>
      <c r="F183" t="s">
        <v>4255</v>
      </c>
      <c r="G183" t="s">
        <v>8473</v>
      </c>
      <c r="H183" t="s">
        <v>8474</v>
      </c>
      <c r="I183" t="s">
        <v>4496</v>
      </c>
      <c r="J183" t="s">
        <v>8463</v>
      </c>
      <c r="K183" t="s">
        <v>8435</v>
      </c>
    </row>
    <row r="184" spans="2:11" x14ac:dyDescent="0.3">
      <c r="D184" t="s">
        <v>8484</v>
      </c>
      <c r="E184" t="s">
        <v>8485</v>
      </c>
      <c r="F184" t="s">
        <v>4255</v>
      </c>
      <c r="G184" t="s">
        <v>8473</v>
      </c>
      <c r="H184" t="s">
        <v>8474</v>
      </c>
      <c r="I184" t="s">
        <v>4496</v>
      </c>
      <c r="J184" t="s">
        <v>8463</v>
      </c>
      <c r="K184" t="s">
        <v>8435</v>
      </c>
    </row>
    <row r="185" spans="2:11" x14ac:dyDescent="0.3">
      <c r="D185" t="s">
        <v>8486</v>
      </c>
      <c r="E185" t="s">
        <v>8487</v>
      </c>
      <c r="F185" t="s">
        <v>4255</v>
      </c>
      <c r="G185" t="s">
        <v>8473</v>
      </c>
      <c r="H185" t="s">
        <v>8474</v>
      </c>
      <c r="I185" t="s">
        <v>4496</v>
      </c>
      <c r="J185" t="s">
        <v>8463</v>
      </c>
      <c r="K185" t="s">
        <v>8435</v>
      </c>
    </row>
    <row r="186" spans="2:11" x14ac:dyDescent="0.3">
      <c r="D186" t="s">
        <v>8488</v>
      </c>
      <c r="E186" t="s">
        <v>8489</v>
      </c>
      <c r="F186" t="s">
        <v>4255</v>
      </c>
      <c r="G186" t="s">
        <v>8473</v>
      </c>
      <c r="H186" t="s">
        <v>8474</v>
      </c>
      <c r="I186" t="s">
        <v>4496</v>
      </c>
      <c r="J186" t="s">
        <v>8463</v>
      </c>
      <c r="K186" t="s">
        <v>8435</v>
      </c>
    </row>
    <row r="187" spans="2:11" x14ac:dyDescent="0.3">
      <c r="C187" t="s">
        <v>8490</v>
      </c>
      <c r="D187" t="s">
        <v>8491</v>
      </c>
      <c r="E187" t="s">
        <v>8492</v>
      </c>
      <c r="F187" t="s">
        <v>4255</v>
      </c>
      <c r="G187" t="s">
        <v>8473</v>
      </c>
      <c r="H187" t="s">
        <v>8474</v>
      </c>
      <c r="I187" t="s">
        <v>4496</v>
      </c>
      <c r="J187" t="s">
        <v>8463</v>
      </c>
      <c r="K187" t="s">
        <v>8435</v>
      </c>
    </row>
    <row r="188" spans="2:11" x14ac:dyDescent="0.3">
      <c r="D188" t="s">
        <v>8493</v>
      </c>
      <c r="E188" t="s">
        <v>8494</v>
      </c>
      <c r="F188" t="s">
        <v>4255</v>
      </c>
      <c r="G188" t="s">
        <v>8473</v>
      </c>
      <c r="H188" t="s">
        <v>8474</v>
      </c>
      <c r="I188" t="s">
        <v>4496</v>
      </c>
      <c r="J188" t="s">
        <v>8463</v>
      </c>
      <c r="K188" t="s">
        <v>8435</v>
      </c>
    </row>
    <row r="189" spans="2:11" x14ac:dyDescent="0.3">
      <c r="D189" t="s">
        <v>8495</v>
      </c>
      <c r="E189" t="s">
        <v>8496</v>
      </c>
      <c r="F189" t="s">
        <v>4255</v>
      </c>
      <c r="G189" t="s">
        <v>8473</v>
      </c>
      <c r="H189" t="s">
        <v>8474</v>
      </c>
      <c r="I189" t="s">
        <v>4496</v>
      </c>
      <c r="J189" t="s">
        <v>8463</v>
      </c>
      <c r="K189" t="s">
        <v>8435</v>
      </c>
    </row>
    <row r="190" spans="2:11" x14ac:dyDescent="0.3">
      <c r="D190" t="s">
        <v>8497</v>
      </c>
      <c r="E190" t="s">
        <v>8498</v>
      </c>
      <c r="F190" t="s">
        <v>4255</v>
      </c>
      <c r="G190" t="s">
        <v>8473</v>
      </c>
      <c r="H190" t="s">
        <v>8474</v>
      </c>
      <c r="I190" t="s">
        <v>4496</v>
      </c>
      <c r="J190" t="s">
        <v>8463</v>
      </c>
      <c r="K190" t="s">
        <v>8435</v>
      </c>
    </row>
    <row r="191" spans="2:11" x14ac:dyDescent="0.3">
      <c r="D191" t="s">
        <v>8499</v>
      </c>
      <c r="E191" t="s">
        <v>8500</v>
      </c>
      <c r="F191" t="s">
        <v>4255</v>
      </c>
      <c r="G191" t="s">
        <v>8473</v>
      </c>
      <c r="H191" t="s">
        <v>8474</v>
      </c>
      <c r="I191" t="s">
        <v>4496</v>
      </c>
      <c r="J191" t="s">
        <v>8463</v>
      </c>
      <c r="K191" t="s">
        <v>8435</v>
      </c>
    </row>
    <row r="192" spans="2:11" x14ac:dyDescent="0.3">
      <c r="B192" t="s">
        <v>8501</v>
      </c>
      <c r="C192" t="s">
        <v>8502</v>
      </c>
      <c r="D192" t="s">
        <v>8503</v>
      </c>
      <c r="E192" t="s">
        <v>8504</v>
      </c>
      <c r="F192" t="s">
        <v>4255</v>
      </c>
      <c r="G192" t="s">
        <v>8473</v>
      </c>
      <c r="H192" t="s">
        <v>8474</v>
      </c>
      <c r="I192" t="s">
        <v>4496</v>
      </c>
      <c r="J192" t="s">
        <v>8463</v>
      </c>
      <c r="K192" t="s">
        <v>8435</v>
      </c>
    </row>
    <row r="193" spans="3:11" x14ac:dyDescent="0.3">
      <c r="D193" t="s">
        <v>8505</v>
      </c>
      <c r="E193" t="s">
        <v>8506</v>
      </c>
      <c r="F193" t="s">
        <v>4255</v>
      </c>
      <c r="G193" t="s">
        <v>8473</v>
      </c>
      <c r="H193" t="s">
        <v>8474</v>
      </c>
      <c r="I193" t="s">
        <v>4496</v>
      </c>
      <c r="J193" t="s">
        <v>8463</v>
      </c>
      <c r="K193" t="s">
        <v>8435</v>
      </c>
    </row>
    <row r="194" spans="3:11" x14ac:dyDescent="0.3">
      <c r="D194" t="s">
        <v>8507</v>
      </c>
      <c r="E194" t="s">
        <v>8508</v>
      </c>
      <c r="F194" t="s">
        <v>4255</v>
      </c>
      <c r="G194" t="s">
        <v>8473</v>
      </c>
      <c r="H194" t="s">
        <v>8474</v>
      </c>
      <c r="I194" t="s">
        <v>4496</v>
      </c>
      <c r="J194" t="s">
        <v>8463</v>
      </c>
      <c r="K194" t="s">
        <v>8435</v>
      </c>
    </row>
    <row r="195" spans="3:11" x14ac:dyDescent="0.3">
      <c r="D195" t="s">
        <v>8509</v>
      </c>
      <c r="E195" t="s">
        <v>8510</v>
      </c>
      <c r="F195" t="s">
        <v>4255</v>
      </c>
      <c r="G195" t="s">
        <v>8473</v>
      </c>
      <c r="H195" t="s">
        <v>8474</v>
      </c>
      <c r="I195" t="s">
        <v>4496</v>
      </c>
      <c r="J195" t="s">
        <v>8463</v>
      </c>
      <c r="K195" t="s">
        <v>8435</v>
      </c>
    </row>
    <row r="196" spans="3:11" x14ac:dyDescent="0.3">
      <c r="D196" t="s">
        <v>8511</v>
      </c>
      <c r="E196" t="s">
        <v>8512</v>
      </c>
      <c r="F196" t="s">
        <v>4255</v>
      </c>
      <c r="G196" t="s">
        <v>8473</v>
      </c>
      <c r="H196" t="s">
        <v>8474</v>
      </c>
      <c r="I196" t="s">
        <v>4496</v>
      </c>
      <c r="J196" t="s">
        <v>8463</v>
      </c>
      <c r="K196" t="s">
        <v>8435</v>
      </c>
    </row>
    <row r="197" spans="3:11" x14ac:dyDescent="0.3">
      <c r="C197" t="s">
        <v>8513</v>
      </c>
      <c r="D197" t="s">
        <v>8514</v>
      </c>
      <c r="E197" t="s">
        <v>8515</v>
      </c>
      <c r="F197" t="s">
        <v>4255</v>
      </c>
      <c r="G197" t="s">
        <v>8473</v>
      </c>
      <c r="H197" t="s">
        <v>8474</v>
      </c>
      <c r="I197" t="s">
        <v>4496</v>
      </c>
      <c r="J197" t="s">
        <v>8463</v>
      </c>
      <c r="K197" t="s">
        <v>8435</v>
      </c>
    </row>
    <row r="198" spans="3:11" x14ac:dyDescent="0.3">
      <c r="D198" t="s">
        <v>8516</v>
      </c>
      <c r="E198" t="s">
        <v>8517</v>
      </c>
      <c r="F198" t="s">
        <v>4255</v>
      </c>
      <c r="G198" t="s">
        <v>8473</v>
      </c>
      <c r="H198" t="s">
        <v>8474</v>
      </c>
      <c r="I198" t="s">
        <v>4496</v>
      </c>
      <c r="J198" t="s">
        <v>8463</v>
      </c>
      <c r="K198" t="s">
        <v>8435</v>
      </c>
    </row>
    <row r="199" spans="3:11" x14ac:dyDescent="0.3">
      <c r="D199" t="s">
        <v>8518</v>
      </c>
      <c r="E199" t="s">
        <v>8519</v>
      </c>
      <c r="F199" t="s">
        <v>4255</v>
      </c>
      <c r="G199" t="s">
        <v>8473</v>
      </c>
      <c r="H199" t="s">
        <v>8474</v>
      </c>
      <c r="I199" t="s">
        <v>4496</v>
      </c>
      <c r="J199" t="s">
        <v>8463</v>
      </c>
      <c r="K199" t="s">
        <v>8435</v>
      </c>
    </row>
    <row r="200" spans="3:11" x14ac:dyDescent="0.3">
      <c r="D200" t="s">
        <v>8520</v>
      </c>
      <c r="E200" t="s">
        <v>8521</v>
      </c>
      <c r="F200" t="s">
        <v>4255</v>
      </c>
      <c r="G200" t="s">
        <v>8473</v>
      </c>
      <c r="H200" t="s">
        <v>8474</v>
      </c>
      <c r="I200" t="s">
        <v>4496</v>
      </c>
      <c r="J200" t="s">
        <v>8463</v>
      </c>
      <c r="K200" t="s">
        <v>8435</v>
      </c>
    </row>
    <row r="201" spans="3:11" x14ac:dyDescent="0.3">
      <c r="D201" t="s">
        <v>8522</v>
      </c>
      <c r="E201" t="s">
        <v>8523</v>
      </c>
      <c r="F201" t="s">
        <v>4255</v>
      </c>
      <c r="G201" t="s">
        <v>8473</v>
      </c>
      <c r="H201" t="s">
        <v>8474</v>
      </c>
      <c r="I201" t="s">
        <v>4496</v>
      </c>
      <c r="J201" t="s">
        <v>8463</v>
      </c>
      <c r="K201" t="s">
        <v>8435</v>
      </c>
    </row>
    <row r="202" spans="3:11" x14ac:dyDescent="0.3">
      <c r="C202" t="s">
        <v>8524</v>
      </c>
      <c r="D202" t="s">
        <v>8525</v>
      </c>
      <c r="E202" t="s">
        <v>8526</v>
      </c>
      <c r="F202" t="s">
        <v>4255</v>
      </c>
      <c r="G202" t="s">
        <v>8473</v>
      </c>
      <c r="H202" t="s">
        <v>8474</v>
      </c>
      <c r="I202" t="s">
        <v>4496</v>
      </c>
      <c r="J202" t="s">
        <v>8463</v>
      </c>
      <c r="K202" t="s">
        <v>8435</v>
      </c>
    </row>
    <row r="203" spans="3:11" x14ac:dyDescent="0.3">
      <c r="D203" t="s">
        <v>8527</v>
      </c>
      <c r="E203" t="s">
        <v>8528</v>
      </c>
      <c r="F203" t="s">
        <v>4255</v>
      </c>
      <c r="G203" t="s">
        <v>8473</v>
      </c>
      <c r="H203" t="s">
        <v>8474</v>
      </c>
      <c r="I203" t="s">
        <v>4496</v>
      </c>
      <c r="J203" t="s">
        <v>8463</v>
      </c>
      <c r="K203" t="s">
        <v>8435</v>
      </c>
    </row>
    <row r="204" spans="3:11" x14ac:dyDescent="0.3">
      <c r="D204" t="s">
        <v>8529</v>
      </c>
      <c r="E204" t="s">
        <v>8530</v>
      </c>
      <c r="F204" t="s">
        <v>4255</v>
      </c>
      <c r="G204" t="s">
        <v>8473</v>
      </c>
      <c r="H204" t="s">
        <v>8474</v>
      </c>
      <c r="I204" t="s">
        <v>4496</v>
      </c>
      <c r="J204" t="s">
        <v>8463</v>
      </c>
      <c r="K204" t="s">
        <v>8435</v>
      </c>
    </row>
    <row r="205" spans="3:11" x14ac:dyDescent="0.3">
      <c r="D205" t="s">
        <v>8531</v>
      </c>
      <c r="E205" t="s">
        <v>8532</v>
      </c>
      <c r="F205" t="s">
        <v>4255</v>
      </c>
      <c r="G205" t="s">
        <v>8473</v>
      </c>
      <c r="H205" t="s">
        <v>8474</v>
      </c>
      <c r="I205" t="s">
        <v>4496</v>
      </c>
      <c r="J205" t="s">
        <v>8463</v>
      </c>
      <c r="K205" t="s">
        <v>8435</v>
      </c>
    </row>
    <row r="206" spans="3:11" x14ac:dyDescent="0.3">
      <c r="D206" t="s">
        <v>8533</v>
      </c>
      <c r="E206" t="s">
        <v>8534</v>
      </c>
      <c r="F206" t="s">
        <v>4255</v>
      </c>
      <c r="G206" t="s">
        <v>8473</v>
      </c>
      <c r="H206" t="s">
        <v>8474</v>
      </c>
      <c r="I206" t="s">
        <v>4496</v>
      </c>
      <c r="J206" t="s">
        <v>8463</v>
      </c>
      <c r="K206" t="s">
        <v>8435</v>
      </c>
    </row>
    <row r="207" spans="3:11" x14ac:dyDescent="0.3">
      <c r="C207" t="s">
        <v>8535</v>
      </c>
      <c r="D207" t="s">
        <v>8536</v>
      </c>
      <c r="E207" t="s">
        <v>8537</v>
      </c>
      <c r="F207" t="s">
        <v>4255</v>
      </c>
      <c r="G207" t="s">
        <v>8473</v>
      </c>
      <c r="H207" t="s">
        <v>8474</v>
      </c>
      <c r="I207" t="s">
        <v>4496</v>
      </c>
      <c r="J207" t="s">
        <v>8463</v>
      </c>
      <c r="K207" t="s">
        <v>8435</v>
      </c>
    </row>
    <row r="208" spans="3:11" x14ac:dyDescent="0.3">
      <c r="D208" t="s">
        <v>8538</v>
      </c>
      <c r="E208" t="s">
        <v>8539</v>
      </c>
      <c r="F208" t="s">
        <v>4255</v>
      </c>
      <c r="G208" t="s">
        <v>8473</v>
      </c>
      <c r="H208" t="s">
        <v>8474</v>
      </c>
      <c r="I208" t="s">
        <v>4496</v>
      </c>
      <c r="J208" t="s">
        <v>8463</v>
      </c>
      <c r="K208" t="s">
        <v>8435</v>
      </c>
    </row>
    <row r="209" spans="2:11" x14ac:dyDescent="0.3">
      <c r="D209" t="s">
        <v>8540</v>
      </c>
      <c r="E209" t="s">
        <v>8541</v>
      </c>
      <c r="F209" t="s">
        <v>4255</v>
      </c>
      <c r="G209" t="s">
        <v>8473</v>
      </c>
      <c r="H209" t="s">
        <v>8474</v>
      </c>
      <c r="I209" t="s">
        <v>4496</v>
      </c>
      <c r="J209" t="s">
        <v>8463</v>
      </c>
      <c r="K209" t="s">
        <v>8435</v>
      </c>
    </row>
    <row r="210" spans="2:11" x14ac:dyDescent="0.3">
      <c r="D210" t="s">
        <v>8542</v>
      </c>
      <c r="E210" t="s">
        <v>8543</v>
      </c>
      <c r="F210" t="s">
        <v>4255</v>
      </c>
      <c r="G210" t="s">
        <v>8473</v>
      </c>
      <c r="H210" t="s">
        <v>8474</v>
      </c>
      <c r="I210" t="s">
        <v>4496</v>
      </c>
      <c r="J210" t="s">
        <v>8463</v>
      </c>
      <c r="K210" t="s">
        <v>8435</v>
      </c>
    </row>
    <row r="211" spans="2:11" x14ac:dyDescent="0.3">
      <c r="D211" t="s">
        <v>6951</v>
      </c>
      <c r="E211" t="s">
        <v>8544</v>
      </c>
      <c r="F211" t="s">
        <v>7750</v>
      </c>
      <c r="G211" t="s">
        <v>8545</v>
      </c>
      <c r="H211" t="s">
        <v>8546</v>
      </c>
      <c r="I211" t="s">
        <v>7784</v>
      </c>
      <c r="J211" t="s">
        <v>8547</v>
      </c>
      <c r="K211" t="s">
        <v>8548</v>
      </c>
    </row>
    <row r="212" spans="2:11" x14ac:dyDescent="0.3">
      <c r="C212" t="s">
        <v>8549</v>
      </c>
      <c r="D212" t="s">
        <v>8550</v>
      </c>
      <c r="E212" t="s">
        <v>8551</v>
      </c>
      <c r="F212" t="s">
        <v>7750</v>
      </c>
      <c r="G212" t="s">
        <v>8552</v>
      </c>
      <c r="H212" t="s">
        <v>8553</v>
      </c>
      <c r="I212" t="s">
        <v>7706</v>
      </c>
      <c r="J212" t="s">
        <v>7878</v>
      </c>
      <c r="K212" t="s">
        <v>8554</v>
      </c>
    </row>
    <row r="213" spans="2:11" x14ac:dyDescent="0.3">
      <c r="D213" t="s">
        <v>8555</v>
      </c>
      <c r="E213" t="s">
        <v>8556</v>
      </c>
      <c r="F213" t="s">
        <v>7750</v>
      </c>
      <c r="G213" t="s">
        <v>8557</v>
      </c>
      <c r="H213" t="s">
        <v>8558</v>
      </c>
      <c r="I213" t="s">
        <v>4496</v>
      </c>
      <c r="J213" t="s">
        <v>8559</v>
      </c>
      <c r="K213" t="s">
        <v>8560</v>
      </c>
    </row>
    <row r="214" spans="2:11" x14ac:dyDescent="0.3">
      <c r="D214" t="s">
        <v>8561</v>
      </c>
      <c r="E214" t="s">
        <v>8562</v>
      </c>
      <c r="F214" t="s">
        <v>7750</v>
      </c>
      <c r="G214" t="s">
        <v>8563</v>
      </c>
      <c r="H214" t="s">
        <v>8564</v>
      </c>
      <c r="I214" t="s">
        <v>7440</v>
      </c>
      <c r="J214" t="s">
        <v>8565</v>
      </c>
      <c r="K214" t="s">
        <v>8566</v>
      </c>
    </row>
    <row r="215" spans="2:11" x14ac:dyDescent="0.3">
      <c r="D215" t="s">
        <v>8567</v>
      </c>
      <c r="E215" t="s">
        <v>8568</v>
      </c>
      <c r="F215" t="s">
        <v>7750</v>
      </c>
      <c r="G215" t="s">
        <v>8569</v>
      </c>
      <c r="H215" t="s">
        <v>8570</v>
      </c>
      <c r="I215" t="s">
        <v>7870</v>
      </c>
      <c r="J215" t="s">
        <v>8571</v>
      </c>
      <c r="K215" t="s">
        <v>8548</v>
      </c>
    </row>
    <row r="216" spans="2:11" x14ac:dyDescent="0.3">
      <c r="D216" t="s">
        <v>8572</v>
      </c>
      <c r="E216" t="s">
        <v>8573</v>
      </c>
      <c r="F216" t="s">
        <v>7750</v>
      </c>
      <c r="G216" t="s">
        <v>8545</v>
      </c>
      <c r="H216" t="s">
        <v>8546</v>
      </c>
      <c r="I216" t="s">
        <v>7784</v>
      </c>
      <c r="J216" t="s">
        <v>8547</v>
      </c>
      <c r="K216" t="s">
        <v>8554</v>
      </c>
    </row>
    <row r="217" spans="2:11" x14ac:dyDescent="0.3">
      <c r="B217" t="s">
        <v>8574</v>
      </c>
      <c r="C217" t="s">
        <v>8575</v>
      </c>
      <c r="D217" t="s">
        <v>8576</v>
      </c>
      <c r="E217" t="s">
        <v>8577</v>
      </c>
      <c r="F217" t="s">
        <v>7750</v>
      </c>
      <c r="G217" t="s">
        <v>8552</v>
      </c>
      <c r="H217" t="s">
        <v>8553</v>
      </c>
      <c r="I217" t="s">
        <v>7706</v>
      </c>
      <c r="J217" t="s">
        <v>7878</v>
      </c>
      <c r="K217" t="s">
        <v>8560</v>
      </c>
    </row>
    <row r="218" spans="2:11" x14ac:dyDescent="0.3">
      <c r="D218" t="s">
        <v>8578</v>
      </c>
      <c r="E218" t="s">
        <v>8579</v>
      </c>
      <c r="F218" t="s">
        <v>7750</v>
      </c>
      <c r="G218" t="s">
        <v>8557</v>
      </c>
      <c r="H218" t="s">
        <v>8558</v>
      </c>
      <c r="I218" t="s">
        <v>4496</v>
      </c>
      <c r="J218" t="s">
        <v>8559</v>
      </c>
      <c r="K218" t="s">
        <v>8566</v>
      </c>
    </row>
    <row r="219" spans="2:11" x14ac:dyDescent="0.3">
      <c r="D219" t="s">
        <v>8580</v>
      </c>
      <c r="E219" t="s">
        <v>8581</v>
      </c>
      <c r="F219" t="s">
        <v>7750</v>
      </c>
      <c r="G219" t="s">
        <v>8563</v>
      </c>
      <c r="H219" t="s">
        <v>8564</v>
      </c>
      <c r="I219" t="s">
        <v>7440</v>
      </c>
      <c r="J219" t="s">
        <v>8565</v>
      </c>
      <c r="K219" t="s">
        <v>8548</v>
      </c>
    </row>
    <row r="220" spans="2:11" x14ac:dyDescent="0.3">
      <c r="D220" t="s">
        <v>8582</v>
      </c>
      <c r="E220" t="s">
        <v>8583</v>
      </c>
      <c r="F220" t="s">
        <v>7750</v>
      </c>
      <c r="G220" t="s">
        <v>8569</v>
      </c>
      <c r="H220" t="s">
        <v>8570</v>
      </c>
      <c r="I220" t="s">
        <v>7870</v>
      </c>
      <c r="J220" t="s">
        <v>8571</v>
      </c>
      <c r="K220" t="s">
        <v>8554</v>
      </c>
    </row>
    <row r="221" spans="2:11" x14ac:dyDescent="0.3">
      <c r="D221" t="s">
        <v>8584</v>
      </c>
      <c r="E221" t="s">
        <v>8585</v>
      </c>
      <c r="F221" t="s">
        <v>7750</v>
      </c>
      <c r="H221" t="s">
        <v>8546</v>
      </c>
      <c r="I221" t="s">
        <v>7784</v>
      </c>
      <c r="J221" t="s">
        <v>8547</v>
      </c>
      <c r="K221" t="s">
        <v>8560</v>
      </c>
    </row>
    <row r="222" spans="2:11" x14ac:dyDescent="0.3">
      <c r="C222" t="s">
        <v>8586</v>
      </c>
      <c r="D222" t="s">
        <v>8587</v>
      </c>
      <c r="E222" t="s">
        <v>8588</v>
      </c>
      <c r="F222" t="s">
        <v>7750</v>
      </c>
      <c r="G222" t="s">
        <v>8545</v>
      </c>
      <c r="H222" t="s">
        <v>8553</v>
      </c>
      <c r="I222" t="s">
        <v>7706</v>
      </c>
      <c r="J222" t="s">
        <v>7878</v>
      </c>
      <c r="K222" t="s">
        <v>8566</v>
      </c>
    </row>
    <row r="223" spans="2:11" x14ac:dyDescent="0.3">
      <c r="D223" t="s">
        <v>8589</v>
      </c>
      <c r="E223" t="s">
        <v>8590</v>
      </c>
      <c r="F223" t="s">
        <v>7750</v>
      </c>
      <c r="G223" t="s">
        <v>8552</v>
      </c>
      <c r="H223" t="s">
        <v>8558</v>
      </c>
      <c r="I223" t="s">
        <v>4496</v>
      </c>
      <c r="J223" t="s">
        <v>8559</v>
      </c>
      <c r="K223" t="s">
        <v>8548</v>
      </c>
    </row>
    <row r="224" spans="2:11" x14ac:dyDescent="0.3">
      <c r="D224" t="s">
        <v>8591</v>
      </c>
      <c r="E224" t="s">
        <v>8592</v>
      </c>
      <c r="F224" t="s">
        <v>7750</v>
      </c>
      <c r="G224" t="s">
        <v>8557</v>
      </c>
      <c r="H224" t="s">
        <v>8564</v>
      </c>
      <c r="I224" t="s">
        <v>7440</v>
      </c>
      <c r="J224" t="s">
        <v>8565</v>
      </c>
      <c r="K224" t="s">
        <v>8554</v>
      </c>
    </row>
    <row r="225" spans="3:11" x14ac:dyDescent="0.3">
      <c r="D225" t="s">
        <v>8593</v>
      </c>
      <c r="E225" t="s">
        <v>8594</v>
      </c>
      <c r="F225" t="s">
        <v>7750</v>
      </c>
      <c r="G225" t="s">
        <v>8563</v>
      </c>
      <c r="H225" t="s">
        <v>8570</v>
      </c>
      <c r="I225" t="s">
        <v>7870</v>
      </c>
      <c r="J225" t="s">
        <v>8571</v>
      </c>
      <c r="K225" t="s">
        <v>8560</v>
      </c>
    </row>
    <row r="226" spans="3:11" x14ac:dyDescent="0.3">
      <c r="D226" t="s">
        <v>8595</v>
      </c>
      <c r="E226" t="s">
        <v>8596</v>
      </c>
      <c r="F226" t="s">
        <v>7750</v>
      </c>
      <c r="G226" t="s">
        <v>8569</v>
      </c>
      <c r="H226" t="s">
        <v>8546</v>
      </c>
      <c r="I226" t="s">
        <v>7784</v>
      </c>
      <c r="J226" t="s">
        <v>8547</v>
      </c>
      <c r="K226" t="s">
        <v>8566</v>
      </c>
    </row>
    <row r="227" spans="3:11" x14ac:dyDescent="0.3">
      <c r="C227" t="s">
        <v>8597</v>
      </c>
      <c r="D227" t="s">
        <v>8598</v>
      </c>
      <c r="E227" t="s">
        <v>8599</v>
      </c>
      <c r="F227" t="s">
        <v>7750</v>
      </c>
      <c r="H227" t="s">
        <v>8553</v>
      </c>
      <c r="I227" t="s">
        <v>7706</v>
      </c>
      <c r="J227" t="s">
        <v>7878</v>
      </c>
      <c r="K227" t="s">
        <v>8548</v>
      </c>
    </row>
    <row r="228" spans="3:11" x14ac:dyDescent="0.3">
      <c r="D228" t="s">
        <v>8600</v>
      </c>
      <c r="E228" t="s">
        <v>8601</v>
      </c>
      <c r="F228" t="s">
        <v>7750</v>
      </c>
      <c r="G228" t="s">
        <v>8545</v>
      </c>
      <c r="H228" t="s">
        <v>8558</v>
      </c>
      <c r="I228" t="s">
        <v>4496</v>
      </c>
      <c r="J228" t="s">
        <v>8559</v>
      </c>
      <c r="K228" t="s">
        <v>8554</v>
      </c>
    </row>
    <row r="229" spans="3:11" x14ac:dyDescent="0.3">
      <c r="D229" t="s">
        <v>8602</v>
      </c>
      <c r="E229" t="s">
        <v>8603</v>
      </c>
      <c r="F229" t="s">
        <v>7750</v>
      </c>
      <c r="G229" t="s">
        <v>8552</v>
      </c>
      <c r="H229" t="s">
        <v>8564</v>
      </c>
      <c r="I229" t="s">
        <v>7440</v>
      </c>
      <c r="J229" t="s">
        <v>8565</v>
      </c>
      <c r="K229" t="s">
        <v>8560</v>
      </c>
    </row>
    <row r="230" spans="3:11" x14ac:dyDescent="0.3">
      <c r="D230" t="s">
        <v>8604</v>
      </c>
      <c r="E230" t="s">
        <v>8605</v>
      </c>
      <c r="F230" t="s">
        <v>7750</v>
      </c>
      <c r="G230" t="s">
        <v>8557</v>
      </c>
      <c r="H230" t="s">
        <v>8570</v>
      </c>
      <c r="I230" t="s">
        <v>7870</v>
      </c>
      <c r="J230" t="s">
        <v>8571</v>
      </c>
      <c r="K230" t="s">
        <v>8566</v>
      </c>
    </row>
    <row r="231" spans="3:11" x14ac:dyDescent="0.3">
      <c r="D231" t="s">
        <v>8606</v>
      </c>
      <c r="E231" t="s">
        <v>8607</v>
      </c>
      <c r="F231" t="s">
        <v>7750</v>
      </c>
      <c r="G231" t="s">
        <v>8563</v>
      </c>
      <c r="H231" t="s">
        <v>8546</v>
      </c>
      <c r="I231" t="s">
        <v>7784</v>
      </c>
      <c r="J231" t="s">
        <v>8547</v>
      </c>
      <c r="K231" t="s">
        <v>8548</v>
      </c>
    </row>
    <row r="232" spans="3:11" x14ac:dyDescent="0.3">
      <c r="C232" t="s">
        <v>8608</v>
      </c>
      <c r="D232" t="s">
        <v>8609</v>
      </c>
      <c r="E232" t="s">
        <v>8610</v>
      </c>
      <c r="F232" t="s">
        <v>7750</v>
      </c>
      <c r="G232" t="s">
        <v>8569</v>
      </c>
      <c r="H232" t="s">
        <v>8553</v>
      </c>
      <c r="I232" t="s">
        <v>7706</v>
      </c>
      <c r="J232" t="s">
        <v>7878</v>
      </c>
      <c r="K232" t="s">
        <v>8554</v>
      </c>
    </row>
    <row r="233" spans="3:11" x14ac:dyDescent="0.3">
      <c r="D233" t="s">
        <v>8611</v>
      </c>
      <c r="E233" t="s">
        <v>8612</v>
      </c>
      <c r="F233" t="s">
        <v>7750</v>
      </c>
      <c r="G233" t="s">
        <v>8613</v>
      </c>
      <c r="H233" t="s">
        <v>8614</v>
      </c>
      <c r="I233" t="s">
        <v>7440</v>
      </c>
      <c r="J233" t="s">
        <v>8615</v>
      </c>
      <c r="K233" t="s">
        <v>8616</v>
      </c>
    </row>
    <row r="234" spans="3:11" x14ac:dyDescent="0.3">
      <c r="D234" t="s">
        <v>8617</v>
      </c>
      <c r="E234" t="s">
        <v>8618</v>
      </c>
      <c r="F234" t="s">
        <v>7750</v>
      </c>
      <c r="G234" t="s">
        <v>8619</v>
      </c>
      <c r="H234" t="s">
        <v>8620</v>
      </c>
      <c r="I234" t="s">
        <v>7440</v>
      </c>
      <c r="J234" t="s">
        <v>8621</v>
      </c>
      <c r="K234" t="s">
        <v>8622</v>
      </c>
    </row>
    <row r="235" spans="3:11" x14ac:dyDescent="0.3">
      <c r="D235" t="s">
        <v>8623</v>
      </c>
      <c r="E235" t="s">
        <v>8624</v>
      </c>
      <c r="F235" t="s">
        <v>7750</v>
      </c>
      <c r="G235" t="s">
        <v>8625</v>
      </c>
      <c r="H235" t="s">
        <v>8626</v>
      </c>
      <c r="I235" t="s">
        <v>4496</v>
      </c>
      <c r="J235" t="s">
        <v>8627</v>
      </c>
      <c r="K235" t="s">
        <v>8628</v>
      </c>
    </row>
    <row r="236" spans="3:11" x14ac:dyDescent="0.3">
      <c r="D236" t="s">
        <v>8629</v>
      </c>
      <c r="E236" t="s">
        <v>8630</v>
      </c>
      <c r="F236" t="s">
        <v>7750</v>
      </c>
      <c r="G236" t="s">
        <v>7438</v>
      </c>
      <c r="H236" t="s">
        <v>8631</v>
      </c>
      <c r="I236" t="s">
        <v>4496</v>
      </c>
      <c r="J236" t="s">
        <v>8632</v>
      </c>
      <c r="K236" t="s">
        <v>8633</v>
      </c>
    </row>
    <row r="237" spans="3:11" x14ac:dyDescent="0.3">
      <c r="C237" t="s">
        <v>8634</v>
      </c>
      <c r="D237" t="s">
        <v>8635</v>
      </c>
      <c r="E237" t="s">
        <v>8636</v>
      </c>
      <c r="F237" t="s">
        <v>7750</v>
      </c>
      <c r="G237" t="s">
        <v>8637</v>
      </c>
      <c r="H237" t="s">
        <v>8638</v>
      </c>
      <c r="I237" t="s">
        <v>4496</v>
      </c>
      <c r="J237" t="s">
        <v>8078</v>
      </c>
      <c r="K237" t="s">
        <v>8639</v>
      </c>
    </row>
    <row r="238" spans="3:11" x14ac:dyDescent="0.3">
      <c r="D238" t="s">
        <v>8640</v>
      </c>
      <c r="E238" t="s">
        <v>8641</v>
      </c>
      <c r="F238" t="s">
        <v>7750</v>
      </c>
      <c r="H238" t="s">
        <v>8614</v>
      </c>
      <c r="I238" t="s">
        <v>7440</v>
      </c>
      <c r="J238" t="s">
        <v>8615</v>
      </c>
      <c r="K238" t="s">
        <v>8639</v>
      </c>
    </row>
    <row r="239" spans="3:11" x14ac:dyDescent="0.3">
      <c r="D239" t="s">
        <v>8642</v>
      </c>
      <c r="E239" t="s">
        <v>8643</v>
      </c>
      <c r="F239" t="s">
        <v>7750</v>
      </c>
      <c r="G239" t="s">
        <v>8613</v>
      </c>
      <c r="H239" t="s">
        <v>8620</v>
      </c>
      <c r="I239" t="s">
        <v>7440</v>
      </c>
      <c r="J239" t="s">
        <v>8621</v>
      </c>
      <c r="K239" t="s">
        <v>8639</v>
      </c>
    </row>
    <row r="240" spans="3:11" x14ac:dyDescent="0.3">
      <c r="D240" t="s">
        <v>8644</v>
      </c>
      <c r="E240" t="s">
        <v>8645</v>
      </c>
      <c r="F240" t="s">
        <v>7750</v>
      </c>
      <c r="G240" t="s">
        <v>8619</v>
      </c>
      <c r="H240" t="s">
        <v>8626</v>
      </c>
      <c r="I240" t="s">
        <v>4496</v>
      </c>
      <c r="J240" t="s">
        <v>8627</v>
      </c>
      <c r="K240" t="s">
        <v>8639</v>
      </c>
    </row>
    <row r="241" spans="3:11" x14ac:dyDescent="0.3">
      <c r="D241" t="s">
        <v>8646</v>
      </c>
      <c r="E241" t="s">
        <v>8647</v>
      </c>
      <c r="F241" t="s">
        <v>7750</v>
      </c>
      <c r="G241" t="s">
        <v>8625</v>
      </c>
      <c r="H241" t="s">
        <v>8631</v>
      </c>
      <c r="I241" t="s">
        <v>4496</v>
      </c>
      <c r="J241" t="s">
        <v>8632</v>
      </c>
      <c r="K241" t="s">
        <v>8639</v>
      </c>
    </row>
    <row r="242" spans="3:11" x14ac:dyDescent="0.3">
      <c r="C242" t="s">
        <v>8648</v>
      </c>
      <c r="D242" t="s">
        <v>8649</v>
      </c>
      <c r="E242" t="s">
        <v>8650</v>
      </c>
      <c r="F242" t="s">
        <v>7750</v>
      </c>
      <c r="G242" t="s">
        <v>7438</v>
      </c>
      <c r="H242" t="s">
        <v>8638</v>
      </c>
      <c r="I242" t="s">
        <v>4496</v>
      </c>
      <c r="J242" t="s">
        <v>8078</v>
      </c>
      <c r="K242" t="s">
        <v>8639</v>
      </c>
    </row>
    <row r="243" spans="3:11" x14ac:dyDescent="0.3">
      <c r="D243" t="s">
        <v>8651</v>
      </c>
      <c r="E243" t="s">
        <v>8652</v>
      </c>
      <c r="F243" t="s">
        <v>7750</v>
      </c>
      <c r="G243" t="s">
        <v>8637</v>
      </c>
      <c r="H243" t="s">
        <v>8614</v>
      </c>
      <c r="I243" t="s">
        <v>7440</v>
      </c>
      <c r="J243" t="s">
        <v>8615</v>
      </c>
      <c r="K243" t="s">
        <v>8639</v>
      </c>
    </row>
    <row r="244" spans="3:11" x14ac:dyDescent="0.3">
      <c r="D244" t="s">
        <v>8653</v>
      </c>
      <c r="E244" t="s">
        <v>8654</v>
      </c>
      <c r="F244" t="s">
        <v>7750</v>
      </c>
      <c r="H244" t="s">
        <v>8620</v>
      </c>
      <c r="I244" t="s">
        <v>7440</v>
      </c>
      <c r="J244" t="s">
        <v>8621</v>
      </c>
      <c r="K244" t="s">
        <v>8639</v>
      </c>
    </row>
    <row r="245" spans="3:11" x14ac:dyDescent="0.3">
      <c r="D245" t="s">
        <v>8655</v>
      </c>
      <c r="E245" t="s">
        <v>8656</v>
      </c>
      <c r="F245" t="s">
        <v>7750</v>
      </c>
      <c r="G245" t="s">
        <v>8613</v>
      </c>
      <c r="H245" t="s">
        <v>8626</v>
      </c>
      <c r="I245" t="s">
        <v>4496</v>
      </c>
      <c r="J245" t="s">
        <v>8627</v>
      </c>
      <c r="K245" t="s">
        <v>8639</v>
      </c>
    </row>
    <row r="246" spans="3:11" x14ac:dyDescent="0.3">
      <c r="D246" t="s">
        <v>8657</v>
      </c>
      <c r="E246" t="s">
        <v>8658</v>
      </c>
      <c r="F246" t="s">
        <v>7750</v>
      </c>
      <c r="G246" t="s">
        <v>8619</v>
      </c>
      <c r="H246" t="s">
        <v>8631</v>
      </c>
      <c r="I246" t="s">
        <v>4496</v>
      </c>
      <c r="J246" t="s">
        <v>8632</v>
      </c>
      <c r="K246" t="s">
        <v>8639</v>
      </c>
    </row>
    <row r="247" spans="3:11" x14ac:dyDescent="0.3">
      <c r="C247" t="s">
        <v>8659</v>
      </c>
      <c r="D247" t="s">
        <v>8660</v>
      </c>
      <c r="E247" t="s">
        <v>8661</v>
      </c>
      <c r="F247" t="s">
        <v>7750</v>
      </c>
      <c r="G247" t="s">
        <v>8625</v>
      </c>
      <c r="H247" t="s">
        <v>8638</v>
      </c>
      <c r="I247" t="s">
        <v>4496</v>
      </c>
      <c r="J247" t="s">
        <v>8078</v>
      </c>
      <c r="K247" t="s">
        <v>8639</v>
      </c>
    </row>
    <row r="248" spans="3:11" x14ac:dyDescent="0.3">
      <c r="D248" t="s">
        <v>8662</v>
      </c>
      <c r="E248" t="s">
        <v>8663</v>
      </c>
      <c r="F248" t="s">
        <v>7750</v>
      </c>
      <c r="G248" t="s">
        <v>7438</v>
      </c>
      <c r="H248" t="s">
        <v>8614</v>
      </c>
      <c r="I248" t="s">
        <v>7440</v>
      </c>
      <c r="J248" t="s">
        <v>8615</v>
      </c>
      <c r="K248" t="s">
        <v>8639</v>
      </c>
    </row>
    <row r="249" spans="3:11" x14ac:dyDescent="0.3">
      <c r="D249" t="s">
        <v>8664</v>
      </c>
      <c r="E249" t="s">
        <v>8665</v>
      </c>
      <c r="F249" t="s">
        <v>7750</v>
      </c>
      <c r="G249" t="s">
        <v>8637</v>
      </c>
      <c r="H249" t="s">
        <v>8620</v>
      </c>
      <c r="I249" t="s">
        <v>7440</v>
      </c>
      <c r="J249" t="s">
        <v>8621</v>
      </c>
      <c r="K249" t="s">
        <v>8639</v>
      </c>
    </row>
    <row r="250" spans="3:11" x14ac:dyDescent="0.3">
      <c r="D250" t="s">
        <v>8666</v>
      </c>
      <c r="E250" t="s">
        <v>8667</v>
      </c>
      <c r="F250" t="s">
        <v>7750</v>
      </c>
      <c r="H250" t="s">
        <v>8626</v>
      </c>
      <c r="I250" t="s">
        <v>4496</v>
      </c>
      <c r="J250" t="s">
        <v>8627</v>
      </c>
      <c r="K250" t="s">
        <v>8639</v>
      </c>
    </row>
    <row r="251" spans="3:11" x14ac:dyDescent="0.3">
      <c r="D251" t="s">
        <v>8668</v>
      </c>
      <c r="E251" t="s">
        <v>8669</v>
      </c>
      <c r="F251" t="s">
        <v>7750</v>
      </c>
      <c r="G251" t="s">
        <v>8613</v>
      </c>
      <c r="H251" t="s">
        <v>8631</v>
      </c>
      <c r="I251" t="s">
        <v>4496</v>
      </c>
      <c r="J251" t="s">
        <v>8632</v>
      </c>
      <c r="K251" t="s">
        <v>8639</v>
      </c>
    </row>
    <row r="252" spans="3:11" x14ac:dyDescent="0.3">
      <c r="C252" t="s">
        <v>8670</v>
      </c>
      <c r="D252" t="s">
        <v>8671</v>
      </c>
      <c r="E252" t="s">
        <v>8672</v>
      </c>
      <c r="F252" t="s">
        <v>7750</v>
      </c>
      <c r="G252" t="s">
        <v>8619</v>
      </c>
      <c r="H252" t="s">
        <v>8638</v>
      </c>
      <c r="I252" t="s">
        <v>4496</v>
      </c>
      <c r="J252" t="s">
        <v>8078</v>
      </c>
      <c r="K252" t="s">
        <v>8639</v>
      </c>
    </row>
    <row r="253" spans="3:11" x14ac:dyDescent="0.3">
      <c r="D253" t="s">
        <v>8673</v>
      </c>
      <c r="E253" t="s">
        <v>8674</v>
      </c>
      <c r="F253" t="s">
        <v>7750</v>
      </c>
      <c r="G253" t="s">
        <v>8625</v>
      </c>
      <c r="H253" t="s">
        <v>8614</v>
      </c>
      <c r="I253" t="s">
        <v>7440</v>
      </c>
      <c r="J253" t="s">
        <v>8615</v>
      </c>
      <c r="K253" t="s">
        <v>8639</v>
      </c>
    </row>
    <row r="254" spans="3:11" x14ac:dyDescent="0.3">
      <c r="D254" t="s">
        <v>8675</v>
      </c>
      <c r="E254" t="s">
        <v>8676</v>
      </c>
      <c r="F254" t="s">
        <v>7750</v>
      </c>
      <c r="G254" t="s">
        <v>7438</v>
      </c>
      <c r="H254" t="s">
        <v>8620</v>
      </c>
      <c r="I254" t="s">
        <v>7440</v>
      </c>
      <c r="J254" t="s">
        <v>8621</v>
      </c>
      <c r="K254" t="s">
        <v>8639</v>
      </c>
    </row>
    <row r="255" spans="3:11" x14ac:dyDescent="0.3">
      <c r="D255" t="s">
        <v>8677</v>
      </c>
      <c r="E255" t="s">
        <v>8678</v>
      </c>
      <c r="F255" t="s">
        <v>7750</v>
      </c>
      <c r="G255" t="s">
        <v>8637</v>
      </c>
      <c r="H255" t="s">
        <v>8626</v>
      </c>
      <c r="I255" t="s">
        <v>4496</v>
      </c>
      <c r="J255" t="s">
        <v>8627</v>
      </c>
      <c r="K255" t="s">
        <v>8639</v>
      </c>
    </row>
    <row r="256" spans="3:11" x14ac:dyDescent="0.3">
      <c r="D256" t="s">
        <v>8679</v>
      </c>
      <c r="E256" t="s">
        <v>8680</v>
      </c>
      <c r="F256" t="s">
        <v>7750</v>
      </c>
      <c r="H256" t="s">
        <v>8631</v>
      </c>
      <c r="I256" t="s">
        <v>4496</v>
      </c>
      <c r="J256" t="s">
        <v>8632</v>
      </c>
      <c r="K256" t="s">
        <v>8639</v>
      </c>
    </row>
    <row r="257" spans="2:11" x14ac:dyDescent="0.3">
      <c r="C257" t="s">
        <v>8681</v>
      </c>
      <c r="D257" t="s">
        <v>8682</v>
      </c>
      <c r="E257" t="s">
        <v>8683</v>
      </c>
      <c r="F257" t="s">
        <v>7750</v>
      </c>
      <c r="G257" t="s">
        <v>8613</v>
      </c>
      <c r="H257" t="s">
        <v>8638</v>
      </c>
      <c r="I257" t="s">
        <v>4496</v>
      </c>
      <c r="J257" t="s">
        <v>8078</v>
      </c>
      <c r="K257" t="s">
        <v>8639</v>
      </c>
    </row>
    <row r="258" spans="2:11" x14ac:dyDescent="0.3">
      <c r="D258" t="s">
        <v>8684</v>
      </c>
      <c r="E258" t="s">
        <v>8685</v>
      </c>
      <c r="F258" t="s">
        <v>7750</v>
      </c>
      <c r="G258" t="s">
        <v>8619</v>
      </c>
      <c r="H258" t="s">
        <v>8614</v>
      </c>
      <c r="I258" t="s">
        <v>7440</v>
      </c>
      <c r="J258" t="s">
        <v>8615</v>
      </c>
      <c r="K258" t="s">
        <v>8639</v>
      </c>
    </row>
    <row r="259" spans="2:11" x14ac:dyDescent="0.3">
      <c r="D259" t="s">
        <v>8686</v>
      </c>
      <c r="E259" t="s">
        <v>8687</v>
      </c>
      <c r="F259" t="s">
        <v>7750</v>
      </c>
      <c r="G259" t="s">
        <v>8625</v>
      </c>
      <c r="H259" t="s">
        <v>8620</v>
      </c>
      <c r="I259" t="s">
        <v>7440</v>
      </c>
      <c r="J259" t="s">
        <v>8621</v>
      </c>
      <c r="K259" t="s">
        <v>8639</v>
      </c>
    </row>
    <row r="260" spans="2:11" x14ac:dyDescent="0.3">
      <c r="D260" t="s">
        <v>8688</v>
      </c>
      <c r="E260" t="s">
        <v>8689</v>
      </c>
      <c r="F260" t="s">
        <v>7750</v>
      </c>
      <c r="G260" t="s">
        <v>7438</v>
      </c>
      <c r="H260" t="s">
        <v>8626</v>
      </c>
      <c r="I260" t="s">
        <v>4496</v>
      </c>
      <c r="J260" t="s">
        <v>8627</v>
      </c>
      <c r="K260" t="s">
        <v>8639</v>
      </c>
    </row>
    <row r="261" spans="2:11" x14ac:dyDescent="0.3">
      <c r="D261" t="s">
        <v>8690</v>
      </c>
      <c r="E261" t="s">
        <v>8691</v>
      </c>
      <c r="F261" t="s">
        <v>7750</v>
      </c>
      <c r="G261" t="s">
        <v>8637</v>
      </c>
      <c r="H261" t="s">
        <v>8631</v>
      </c>
      <c r="I261" t="s">
        <v>4496</v>
      </c>
      <c r="J261" t="s">
        <v>8632</v>
      </c>
      <c r="K261" t="s">
        <v>8639</v>
      </c>
    </row>
    <row r="262" spans="2:11" x14ac:dyDescent="0.3">
      <c r="B262" t="s">
        <v>8692</v>
      </c>
      <c r="C262" t="s">
        <v>8693</v>
      </c>
      <c r="D262" t="s">
        <v>8694</v>
      </c>
      <c r="E262" t="s">
        <v>8695</v>
      </c>
      <c r="F262" t="s">
        <v>7750</v>
      </c>
      <c r="H262" t="s">
        <v>8638</v>
      </c>
      <c r="I262" t="s">
        <v>4496</v>
      </c>
      <c r="J262" t="s">
        <v>8078</v>
      </c>
      <c r="K262" t="s">
        <v>8639</v>
      </c>
    </row>
    <row r="263" spans="2:11" x14ac:dyDescent="0.3">
      <c r="D263" t="s">
        <v>8696</v>
      </c>
      <c r="E263" t="s">
        <v>8697</v>
      </c>
      <c r="F263" t="s">
        <v>7750</v>
      </c>
      <c r="G263" t="s">
        <v>8613</v>
      </c>
      <c r="H263" t="s">
        <v>8614</v>
      </c>
      <c r="I263" t="s">
        <v>7440</v>
      </c>
      <c r="J263" t="s">
        <v>8615</v>
      </c>
      <c r="K263" t="s">
        <v>8639</v>
      </c>
    </row>
    <row r="264" spans="2:11" x14ac:dyDescent="0.3">
      <c r="D264" t="s">
        <v>8698</v>
      </c>
      <c r="E264" t="s">
        <v>8699</v>
      </c>
      <c r="F264" t="s">
        <v>7750</v>
      </c>
      <c r="G264" t="s">
        <v>8700</v>
      </c>
      <c r="H264" t="s">
        <v>8701</v>
      </c>
      <c r="I264" t="s">
        <v>7440</v>
      </c>
      <c r="J264" t="s">
        <v>8702</v>
      </c>
      <c r="K264" t="s">
        <v>8639</v>
      </c>
    </row>
    <row r="265" spans="2:11" x14ac:dyDescent="0.3">
      <c r="D265" t="s">
        <v>8703</v>
      </c>
      <c r="E265" t="s">
        <v>8704</v>
      </c>
      <c r="F265" t="s">
        <v>7750</v>
      </c>
      <c r="G265" t="s">
        <v>8705</v>
      </c>
      <c r="H265" t="s">
        <v>8706</v>
      </c>
      <c r="I265" t="s">
        <v>4496</v>
      </c>
      <c r="J265" t="s">
        <v>8707</v>
      </c>
      <c r="K265" t="s">
        <v>8639</v>
      </c>
    </row>
    <row r="266" spans="2:11" x14ac:dyDescent="0.3">
      <c r="D266" t="s">
        <v>8708</v>
      </c>
      <c r="E266" t="s">
        <v>8709</v>
      </c>
      <c r="F266" t="s">
        <v>7750</v>
      </c>
      <c r="G266" t="s">
        <v>8710</v>
      </c>
      <c r="H266" t="s">
        <v>8711</v>
      </c>
      <c r="I266" t="s">
        <v>7440</v>
      </c>
      <c r="J266" t="s">
        <v>8712</v>
      </c>
      <c r="K266" t="s">
        <v>8639</v>
      </c>
    </row>
    <row r="267" spans="2:11" x14ac:dyDescent="0.3">
      <c r="C267" t="s">
        <v>8713</v>
      </c>
      <c r="D267" t="s">
        <v>8714</v>
      </c>
      <c r="E267" t="s">
        <v>8715</v>
      </c>
      <c r="F267" t="s">
        <v>7750</v>
      </c>
      <c r="G267" t="s">
        <v>8716</v>
      </c>
      <c r="H267" t="s">
        <v>8717</v>
      </c>
      <c r="I267" t="s">
        <v>4496</v>
      </c>
      <c r="J267" t="s">
        <v>4497</v>
      </c>
      <c r="K267" t="s">
        <v>8639</v>
      </c>
    </row>
    <row r="268" spans="2:11" x14ac:dyDescent="0.3">
      <c r="D268" t="s">
        <v>8718</v>
      </c>
      <c r="E268" t="s">
        <v>8719</v>
      </c>
      <c r="F268" t="s">
        <v>7750</v>
      </c>
      <c r="G268" t="s">
        <v>8720</v>
      </c>
      <c r="H268" t="s">
        <v>8721</v>
      </c>
      <c r="I268" t="s">
        <v>8722</v>
      </c>
      <c r="J268" t="s">
        <v>8723</v>
      </c>
      <c r="K268" t="s">
        <v>8639</v>
      </c>
    </row>
    <row r="269" spans="2:11" x14ac:dyDescent="0.3">
      <c r="D269" t="s">
        <v>8724</v>
      </c>
      <c r="E269" t="s">
        <v>8725</v>
      </c>
      <c r="F269" t="s">
        <v>7750</v>
      </c>
      <c r="G269" t="s">
        <v>8700</v>
      </c>
      <c r="H269" t="s">
        <v>8701</v>
      </c>
      <c r="I269" t="s">
        <v>7440</v>
      </c>
      <c r="J269" t="s">
        <v>8702</v>
      </c>
      <c r="K269" t="s">
        <v>8639</v>
      </c>
    </row>
    <row r="270" spans="2:11" x14ac:dyDescent="0.3">
      <c r="D270" t="s">
        <v>8726</v>
      </c>
      <c r="E270" t="s">
        <v>8727</v>
      </c>
      <c r="F270" t="s">
        <v>7750</v>
      </c>
      <c r="G270" t="s">
        <v>8705</v>
      </c>
      <c r="H270" t="s">
        <v>8706</v>
      </c>
      <c r="I270" t="s">
        <v>4496</v>
      </c>
      <c r="J270" t="s">
        <v>8707</v>
      </c>
      <c r="K270" t="s">
        <v>8639</v>
      </c>
    </row>
    <row r="271" spans="2:11" x14ac:dyDescent="0.3">
      <c r="D271" t="s">
        <v>8728</v>
      </c>
      <c r="E271" t="s">
        <v>8729</v>
      </c>
      <c r="F271" t="s">
        <v>7750</v>
      </c>
      <c r="G271" t="s">
        <v>8710</v>
      </c>
      <c r="H271" t="s">
        <v>8711</v>
      </c>
      <c r="I271" t="s">
        <v>7440</v>
      </c>
      <c r="J271" t="s">
        <v>8712</v>
      </c>
      <c r="K271" t="s">
        <v>8639</v>
      </c>
    </row>
    <row r="272" spans="2:11" x14ac:dyDescent="0.3">
      <c r="C272" t="s">
        <v>8730</v>
      </c>
      <c r="D272" t="s">
        <v>8731</v>
      </c>
      <c r="E272" t="s">
        <v>8732</v>
      </c>
      <c r="F272" t="s">
        <v>7750</v>
      </c>
      <c r="G272" t="s">
        <v>8716</v>
      </c>
      <c r="H272" t="s">
        <v>8717</v>
      </c>
      <c r="I272" t="s">
        <v>4496</v>
      </c>
      <c r="J272" t="s">
        <v>4497</v>
      </c>
      <c r="K272" t="s">
        <v>8639</v>
      </c>
    </row>
    <row r="273" spans="3:11" x14ac:dyDescent="0.3">
      <c r="D273" t="s">
        <v>8733</v>
      </c>
      <c r="E273" t="s">
        <v>8734</v>
      </c>
      <c r="F273" t="s">
        <v>7750</v>
      </c>
      <c r="G273" t="s">
        <v>8720</v>
      </c>
      <c r="H273" t="s">
        <v>8721</v>
      </c>
      <c r="I273" t="s">
        <v>8722</v>
      </c>
      <c r="J273" t="s">
        <v>8723</v>
      </c>
      <c r="K273" t="s">
        <v>8639</v>
      </c>
    </row>
    <row r="274" spans="3:11" x14ac:dyDescent="0.3">
      <c r="D274" t="s">
        <v>8735</v>
      </c>
      <c r="E274" t="s">
        <v>8736</v>
      </c>
      <c r="F274" t="s">
        <v>7750</v>
      </c>
      <c r="G274" t="s">
        <v>8700</v>
      </c>
      <c r="H274" t="s">
        <v>8701</v>
      </c>
      <c r="I274" t="s">
        <v>7440</v>
      </c>
      <c r="J274" t="s">
        <v>8702</v>
      </c>
      <c r="K274" t="s">
        <v>8639</v>
      </c>
    </row>
    <row r="275" spans="3:11" x14ac:dyDescent="0.3">
      <c r="D275" t="s">
        <v>8606</v>
      </c>
      <c r="E275" t="s">
        <v>8737</v>
      </c>
      <c r="F275" t="s">
        <v>7750</v>
      </c>
      <c r="G275" t="s">
        <v>8705</v>
      </c>
      <c r="H275" t="s">
        <v>8706</v>
      </c>
      <c r="I275" t="s">
        <v>4496</v>
      </c>
      <c r="J275" t="s">
        <v>8707</v>
      </c>
      <c r="K275" t="s">
        <v>8639</v>
      </c>
    </row>
    <row r="276" spans="3:11" x14ac:dyDescent="0.3">
      <c r="D276" t="s">
        <v>8738</v>
      </c>
      <c r="E276" t="s">
        <v>8739</v>
      </c>
      <c r="F276" t="s">
        <v>7750</v>
      </c>
      <c r="G276" t="s">
        <v>8710</v>
      </c>
      <c r="H276" t="s">
        <v>8711</v>
      </c>
      <c r="I276" t="s">
        <v>7440</v>
      </c>
      <c r="J276" t="s">
        <v>8712</v>
      </c>
      <c r="K276" t="s">
        <v>8639</v>
      </c>
    </row>
    <row r="277" spans="3:11" x14ac:dyDescent="0.3">
      <c r="C277" t="s">
        <v>8740</v>
      </c>
      <c r="D277" t="s">
        <v>8741</v>
      </c>
      <c r="E277" t="s">
        <v>8742</v>
      </c>
      <c r="F277" t="s">
        <v>7750</v>
      </c>
      <c r="G277" t="s">
        <v>8716</v>
      </c>
      <c r="H277" t="s">
        <v>8717</v>
      </c>
      <c r="I277" t="s">
        <v>4496</v>
      </c>
      <c r="J277" t="s">
        <v>4497</v>
      </c>
      <c r="K277" t="s">
        <v>8639</v>
      </c>
    </row>
    <row r="278" spans="3:11" x14ac:dyDescent="0.3">
      <c r="D278" t="s">
        <v>8743</v>
      </c>
      <c r="E278" t="s">
        <v>8744</v>
      </c>
      <c r="F278" t="s">
        <v>7750</v>
      </c>
      <c r="G278" t="s">
        <v>8720</v>
      </c>
      <c r="H278" t="s">
        <v>8721</v>
      </c>
      <c r="I278" t="s">
        <v>8722</v>
      </c>
      <c r="J278" t="s">
        <v>8723</v>
      </c>
      <c r="K278" t="s">
        <v>8639</v>
      </c>
    </row>
    <row r="279" spans="3:11" x14ac:dyDescent="0.3">
      <c r="D279" t="s">
        <v>8745</v>
      </c>
      <c r="E279" t="s">
        <v>8746</v>
      </c>
      <c r="F279" t="s">
        <v>7750</v>
      </c>
      <c r="G279" t="s">
        <v>8700</v>
      </c>
      <c r="H279" t="s">
        <v>8701</v>
      </c>
      <c r="I279" t="s">
        <v>7440</v>
      </c>
      <c r="J279" t="s">
        <v>8702</v>
      </c>
      <c r="K279" t="s">
        <v>8639</v>
      </c>
    </row>
    <row r="280" spans="3:11" x14ac:dyDescent="0.3">
      <c r="D280" t="s">
        <v>8747</v>
      </c>
      <c r="E280" t="s">
        <v>8748</v>
      </c>
      <c r="F280" t="s">
        <v>7750</v>
      </c>
      <c r="G280" t="s">
        <v>8705</v>
      </c>
      <c r="H280" t="s">
        <v>8706</v>
      </c>
      <c r="I280" t="s">
        <v>4496</v>
      </c>
      <c r="J280" t="s">
        <v>8707</v>
      </c>
      <c r="K280" t="s">
        <v>8639</v>
      </c>
    </row>
    <row r="281" spans="3:11" x14ac:dyDescent="0.3">
      <c r="D281" t="s">
        <v>8749</v>
      </c>
      <c r="E281" t="s">
        <v>8750</v>
      </c>
      <c r="F281" t="s">
        <v>7750</v>
      </c>
      <c r="G281" t="s">
        <v>8710</v>
      </c>
      <c r="H281" t="s">
        <v>8711</v>
      </c>
      <c r="I281" t="s">
        <v>7440</v>
      </c>
      <c r="J281" t="s">
        <v>8712</v>
      </c>
      <c r="K281" t="s">
        <v>8639</v>
      </c>
    </row>
    <row r="282" spans="3:11" x14ac:dyDescent="0.3">
      <c r="C282" t="s">
        <v>8751</v>
      </c>
      <c r="D282" t="s">
        <v>8752</v>
      </c>
      <c r="E282" t="s">
        <v>8753</v>
      </c>
      <c r="F282" t="s">
        <v>7750</v>
      </c>
      <c r="G282" t="s">
        <v>8716</v>
      </c>
      <c r="H282" t="s">
        <v>8717</v>
      </c>
      <c r="I282" t="s">
        <v>4496</v>
      </c>
      <c r="J282" t="s">
        <v>4497</v>
      </c>
      <c r="K282" t="s">
        <v>8639</v>
      </c>
    </row>
    <row r="283" spans="3:11" x14ac:dyDescent="0.3">
      <c r="D283" t="s">
        <v>8754</v>
      </c>
      <c r="E283" t="s">
        <v>8755</v>
      </c>
      <c r="F283" t="s">
        <v>7750</v>
      </c>
      <c r="G283" t="s">
        <v>8720</v>
      </c>
      <c r="H283" t="s">
        <v>8721</v>
      </c>
      <c r="I283" t="s">
        <v>8722</v>
      </c>
      <c r="J283" t="s">
        <v>8723</v>
      </c>
      <c r="K283" t="s">
        <v>8639</v>
      </c>
    </row>
    <row r="284" spans="3:11" x14ac:dyDescent="0.3">
      <c r="D284" t="s">
        <v>8756</v>
      </c>
      <c r="E284" t="s">
        <v>8757</v>
      </c>
      <c r="F284" t="s">
        <v>7750</v>
      </c>
      <c r="G284" t="s">
        <v>8700</v>
      </c>
      <c r="H284" t="s">
        <v>8701</v>
      </c>
      <c r="I284" t="s">
        <v>7440</v>
      </c>
      <c r="J284" t="s">
        <v>8702</v>
      </c>
      <c r="K284" t="s">
        <v>8639</v>
      </c>
    </row>
    <row r="285" spans="3:11" x14ac:dyDescent="0.3">
      <c r="D285" t="s">
        <v>8758</v>
      </c>
      <c r="E285" t="s">
        <v>8759</v>
      </c>
      <c r="F285" t="s">
        <v>7750</v>
      </c>
      <c r="G285" t="s">
        <v>8705</v>
      </c>
      <c r="H285" t="s">
        <v>8706</v>
      </c>
      <c r="I285" t="s">
        <v>4496</v>
      </c>
      <c r="J285" t="s">
        <v>8707</v>
      </c>
      <c r="K285" t="s">
        <v>8639</v>
      </c>
    </row>
    <row r="286" spans="3:11" x14ac:dyDescent="0.3">
      <c r="D286" t="s">
        <v>8760</v>
      </c>
      <c r="E286" t="s">
        <v>8761</v>
      </c>
      <c r="F286" t="s">
        <v>7750</v>
      </c>
      <c r="G286" t="s">
        <v>8710</v>
      </c>
      <c r="H286" t="s">
        <v>8711</v>
      </c>
      <c r="I286" t="s">
        <v>7440</v>
      </c>
      <c r="J286" t="s">
        <v>8712</v>
      </c>
      <c r="K286" t="s">
        <v>8639</v>
      </c>
    </row>
    <row r="287" spans="3:11" x14ac:dyDescent="0.3">
      <c r="C287" t="s">
        <v>8762</v>
      </c>
      <c r="D287" t="s">
        <v>8763</v>
      </c>
      <c r="E287" t="s">
        <v>8764</v>
      </c>
      <c r="F287" t="s">
        <v>7750</v>
      </c>
      <c r="G287" t="s">
        <v>8765</v>
      </c>
      <c r="H287" t="s">
        <v>8766</v>
      </c>
      <c r="I287" t="s">
        <v>7448</v>
      </c>
      <c r="J287" t="s">
        <v>8767</v>
      </c>
      <c r="K287" t="s">
        <v>8768</v>
      </c>
    </row>
    <row r="288" spans="3:11" x14ac:dyDescent="0.3">
      <c r="D288" t="s">
        <v>8769</v>
      </c>
      <c r="E288" t="s">
        <v>8770</v>
      </c>
      <c r="F288" t="s">
        <v>7750</v>
      </c>
      <c r="G288" t="s">
        <v>8771</v>
      </c>
      <c r="H288" t="s">
        <v>8772</v>
      </c>
      <c r="I288" t="s">
        <v>4496</v>
      </c>
      <c r="J288" t="s">
        <v>8773</v>
      </c>
      <c r="K288" t="s">
        <v>8774</v>
      </c>
    </row>
    <row r="289" spans="2:11" x14ac:dyDescent="0.3">
      <c r="D289" t="s">
        <v>8775</v>
      </c>
      <c r="E289" t="s">
        <v>8776</v>
      </c>
      <c r="F289" t="s">
        <v>7750</v>
      </c>
      <c r="G289" t="s">
        <v>8777</v>
      </c>
      <c r="H289" t="s">
        <v>8778</v>
      </c>
      <c r="I289" t="s">
        <v>7440</v>
      </c>
      <c r="J289" t="s">
        <v>8779</v>
      </c>
      <c r="K289" t="s">
        <v>8780</v>
      </c>
    </row>
    <row r="290" spans="2:11" x14ac:dyDescent="0.3">
      <c r="D290" t="s">
        <v>8781</v>
      </c>
      <c r="E290" t="s">
        <v>8782</v>
      </c>
      <c r="F290" t="s">
        <v>7750</v>
      </c>
      <c r="G290" t="s">
        <v>8783</v>
      </c>
      <c r="H290" t="s">
        <v>8784</v>
      </c>
      <c r="I290" t="s">
        <v>4496</v>
      </c>
      <c r="J290" t="s">
        <v>8785</v>
      </c>
      <c r="K290" t="s">
        <v>8786</v>
      </c>
    </row>
    <row r="291" spans="2:11" x14ac:dyDescent="0.3">
      <c r="D291" t="s">
        <v>8787</v>
      </c>
      <c r="E291" t="s">
        <v>8788</v>
      </c>
      <c r="F291" t="s">
        <v>7750</v>
      </c>
      <c r="G291" t="s">
        <v>8789</v>
      </c>
      <c r="H291" t="s">
        <v>8790</v>
      </c>
      <c r="I291" t="s">
        <v>4496</v>
      </c>
      <c r="J291" t="s">
        <v>8767</v>
      </c>
      <c r="K291" t="s">
        <v>8791</v>
      </c>
    </row>
    <row r="292" spans="2:11" x14ac:dyDescent="0.3">
      <c r="C292" t="s">
        <v>8792</v>
      </c>
      <c r="D292" t="s">
        <v>8793</v>
      </c>
      <c r="E292" t="s">
        <v>8794</v>
      </c>
      <c r="F292" t="s">
        <v>7750</v>
      </c>
      <c r="G292" t="s">
        <v>8765</v>
      </c>
      <c r="H292" t="s">
        <v>8766</v>
      </c>
      <c r="I292" t="s">
        <v>7448</v>
      </c>
      <c r="J292" t="s">
        <v>8773</v>
      </c>
      <c r="K292" t="s">
        <v>8768</v>
      </c>
    </row>
    <row r="293" spans="2:11" x14ac:dyDescent="0.3">
      <c r="D293" t="s">
        <v>8795</v>
      </c>
      <c r="E293" t="s">
        <v>8796</v>
      </c>
      <c r="F293" t="s">
        <v>7750</v>
      </c>
      <c r="G293" t="s">
        <v>8771</v>
      </c>
      <c r="H293" t="s">
        <v>8772</v>
      </c>
      <c r="I293" t="s">
        <v>4496</v>
      </c>
      <c r="J293" t="s">
        <v>8779</v>
      </c>
      <c r="K293" t="s">
        <v>8774</v>
      </c>
    </row>
    <row r="294" spans="2:11" x14ac:dyDescent="0.3">
      <c r="D294" t="s">
        <v>8797</v>
      </c>
      <c r="E294" t="s">
        <v>8798</v>
      </c>
      <c r="F294" t="s">
        <v>7750</v>
      </c>
      <c r="G294" t="s">
        <v>8777</v>
      </c>
      <c r="H294" t="s">
        <v>8778</v>
      </c>
      <c r="I294" t="s">
        <v>7440</v>
      </c>
      <c r="J294" t="s">
        <v>8785</v>
      </c>
      <c r="K294" t="s">
        <v>8780</v>
      </c>
    </row>
    <row r="295" spans="2:11" x14ac:dyDescent="0.3">
      <c r="D295" t="s">
        <v>8799</v>
      </c>
      <c r="E295" t="s">
        <v>8800</v>
      </c>
      <c r="F295" t="s">
        <v>7750</v>
      </c>
      <c r="G295" t="s">
        <v>8783</v>
      </c>
      <c r="H295" t="s">
        <v>8784</v>
      </c>
      <c r="I295" t="s">
        <v>4496</v>
      </c>
      <c r="J295" t="s">
        <v>8767</v>
      </c>
      <c r="K295" t="s">
        <v>8786</v>
      </c>
    </row>
    <row r="296" spans="2:11" x14ac:dyDescent="0.3">
      <c r="D296" t="s">
        <v>8801</v>
      </c>
      <c r="E296" t="s">
        <v>8802</v>
      </c>
      <c r="F296" t="s">
        <v>7750</v>
      </c>
      <c r="G296" t="s">
        <v>8789</v>
      </c>
      <c r="H296" t="s">
        <v>8790</v>
      </c>
      <c r="I296" t="s">
        <v>4496</v>
      </c>
      <c r="J296" t="s">
        <v>8773</v>
      </c>
      <c r="K296" t="s">
        <v>8791</v>
      </c>
    </row>
    <row r="297" spans="2:11" x14ac:dyDescent="0.3">
      <c r="C297" t="s">
        <v>8803</v>
      </c>
      <c r="D297" t="s">
        <v>8804</v>
      </c>
      <c r="E297" t="s">
        <v>8805</v>
      </c>
      <c r="F297" t="s">
        <v>7750</v>
      </c>
      <c r="G297" t="s">
        <v>8765</v>
      </c>
      <c r="H297" t="s">
        <v>8766</v>
      </c>
      <c r="I297" t="s">
        <v>7448</v>
      </c>
      <c r="J297" t="s">
        <v>8779</v>
      </c>
      <c r="K297" t="s">
        <v>8768</v>
      </c>
    </row>
    <row r="298" spans="2:11" x14ac:dyDescent="0.3">
      <c r="D298" t="s">
        <v>8806</v>
      </c>
      <c r="E298" t="s">
        <v>8807</v>
      </c>
      <c r="F298" t="s">
        <v>7750</v>
      </c>
      <c r="G298" t="s">
        <v>8771</v>
      </c>
      <c r="H298" t="s">
        <v>8772</v>
      </c>
      <c r="I298" t="s">
        <v>4496</v>
      </c>
      <c r="J298" t="s">
        <v>8785</v>
      </c>
      <c r="K298" t="s">
        <v>8768</v>
      </c>
    </row>
    <row r="299" spans="2:11" x14ac:dyDescent="0.3">
      <c r="D299" t="s">
        <v>8808</v>
      </c>
      <c r="E299" t="s">
        <v>8809</v>
      </c>
      <c r="F299" t="s">
        <v>7750</v>
      </c>
      <c r="G299" t="s">
        <v>8777</v>
      </c>
      <c r="H299" t="s">
        <v>8778</v>
      </c>
      <c r="I299" t="s">
        <v>7440</v>
      </c>
      <c r="J299" t="s">
        <v>8767</v>
      </c>
      <c r="K299" t="s">
        <v>8768</v>
      </c>
    </row>
    <row r="300" spans="2:11" x14ac:dyDescent="0.3">
      <c r="D300" t="s">
        <v>8810</v>
      </c>
      <c r="E300" t="s">
        <v>8811</v>
      </c>
      <c r="F300" t="s">
        <v>4255</v>
      </c>
      <c r="G300" t="s">
        <v>8812</v>
      </c>
      <c r="H300" t="s">
        <v>8813</v>
      </c>
      <c r="I300" t="s">
        <v>7440</v>
      </c>
      <c r="J300" t="s">
        <v>8814</v>
      </c>
      <c r="K300" t="s">
        <v>8815</v>
      </c>
    </row>
    <row r="301" spans="2:11" x14ac:dyDescent="0.3">
      <c r="D301" t="s">
        <v>8816</v>
      </c>
      <c r="E301" t="s">
        <v>8817</v>
      </c>
      <c r="F301" t="s">
        <v>7750</v>
      </c>
      <c r="G301" t="s">
        <v>8818</v>
      </c>
      <c r="H301" t="s">
        <v>8819</v>
      </c>
      <c r="I301" t="s">
        <v>4496</v>
      </c>
      <c r="J301" t="s">
        <v>8820</v>
      </c>
      <c r="K301" t="s">
        <v>8821</v>
      </c>
    </row>
    <row r="302" spans="2:11" x14ac:dyDescent="0.3">
      <c r="B302" t="s">
        <v>8822</v>
      </c>
      <c r="C302" t="s">
        <v>8823</v>
      </c>
      <c r="D302" t="s">
        <v>8824</v>
      </c>
      <c r="E302" t="s">
        <v>8825</v>
      </c>
      <c r="F302" t="s">
        <v>7750</v>
      </c>
      <c r="G302" t="s">
        <v>8826</v>
      </c>
      <c r="H302" t="s">
        <v>8827</v>
      </c>
      <c r="I302" t="s">
        <v>7440</v>
      </c>
      <c r="J302" t="s">
        <v>7878</v>
      </c>
      <c r="K302" t="s">
        <v>8828</v>
      </c>
    </row>
    <row r="303" spans="2:11" x14ac:dyDescent="0.3">
      <c r="D303" t="s">
        <v>8829</v>
      </c>
      <c r="E303" t="s">
        <v>8830</v>
      </c>
      <c r="F303" t="s">
        <v>7750</v>
      </c>
      <c r="G303" t="s">
        <v>8831</v>
      </c>
      <c r="H303" t="s">
        <v>8832</v>
      </c>
      <c r="I303" t="s">
        <v>7706</v>
      </c>
      <c r="J303" t="s">
        <v>8833</v>
      </c>
      <c r="K303" t="s">
        <v>8834</v>
      </c>
    </row>
    <row r="304" spans="2:11" x14ac:dyDescent="0.3">
      <c r="D304" t="s">
        <v>8835</v>
      </c>
      <c r="E304" t="s">
        <v>8836</v>
      </c>
      <c r="F304" t="s">
        <v>7750</v>
      </c>
      <c r="G304" t="s">
        <v>8837</v>
      </c>
      <c r="H304" t="s">
        <v>8838</v>
      </c>
      <c r="I304" t="s">
        <v>4496</v>
      </c>
      <c r="J304" t="s">
        <v>7694</v>
      </c>
      <c r="K304" t="s">
        <v>8815</v>
      </c>
    </row>
    <row r="305" spans="3:11" x14ac:dyDescent="0.3">
      <c r="D305" t="s">
        <v>8839</v>
      </c>
      <c r="E305" t="s">
        <v>8840</v>
      </c>
      <c r="F305" t="s">
        <v>7750</v>
      </c>
      <c r="G305" t="s">
        <v>8812</v>
      </c>
      <c r="H305" t="s">
        <v>8813</v>
      </c>
      <c r="I305" t="s">
        <v>7440</v>
      </c>
      <c r="J305" t="s">
        <v>8814</v>
      </c>
      <c r="K305" t="s">
        <v>8821</v>
      </c>
    </row>
    <row r="306" spans="3:11" x14ac:dyDescent="0.3">
      <c r="D306" t="s">
        <v>8841</v>
      </c>
      <c r="E306" t="s">
        <v>8842</v>
      </c>
      <c r="F306" t="s">
        <v>7750</v>
      </c>
      <c r="G306" t="s">
        <v>8818</v>
      </c>
      <c r="H306" t="s">
        <v>8819</v>
      </c>
      <c r="I306" t="s">
        <v>4496</v>
      </c>
      <c r="J306" t="s">
        <v>8820</v>
      </c>
      <c r="K306" t="s">
        <v>8828</v>
      </c>
    </row>
    <row r="307" spans="3:11" x14ac:dyDescent="0.3">
      <c r="C307" t="s">
        <v>8843</v>
      </c>
      <c r="D307" t="s">
        <v>8844</v>
      </c>
      <c r="E307" t="s">
        <v>8845</v>
      </c>
      <c r="F307" t="s">
        <v>7750</v>
      </c>
      <c r="G307" t="s">
        <v>8826</v>
      </c>
      <c r="H307" t="s">
        <v>8827</v>
      </c>
      <c r="I307" t="s">
        <v>7440</v>
      </c>
      <c r="J307" t="s">
        <v>7878</v>
      </c>
      <c r="K307" t="s">
        <v>8834</v>
      </c>
    </row>
    <row r="308" spans="3:11" x14ac:dyDescent="0.3">
      <c r="D308" t="s">
        <v>8846</v>
      </c>
      <c r="E308" t="s">
        <v>8847</v>
      </c>
      <c r="F308" t="s">
        <v>7750</v>
      </c>
      <c r="G308" t="s">
        <v>8831</v>
      </c>
      <c r="H308" t="s">
        <v>8832</v>
      </c>
      <c r="I308" t="s">
        <v>7706</v>
      </c>
      <c r="J308" t="s">
        <v>8833</v>
      </c>
      <c r="K308" t="s">
        <v>8815</v>
      </c>
    </row>
    <row r="309" spans="3:11" x14ac:dyDescent="0.3">
      <c r="D309" t="s">
        <v>8848</v>
      </c>
      <c r="E309" t="s">
        <v>8849</v>
      </c>
      <c r="F309" t="s">
        <v>7750</v>
      </c>
      <c r="G309" t="s">
        <v>8837</v>
      </c>
      <c r="H309" t="s">
        <v>8838</v>
      </c>
      <c r="I309" t="s">
        <v>4496</v>
      </c>
      <c r="J309" t="s">
        <v>7694</v>
      </c>
      <c r="K309" t="s">
        <v>8821</v>
      </c>
    </row>
    <row r="310" spans="3:11" x14ac:dyDescent="0.3">
      <c r="D310" t="s">
        <v>8850</v>
      </c>
      <c r="E310" t="s">
        <v>8851</v>
      </c>
      <c r="F310" t="s">
        <v>4255</v>
      </c>
      <c r="G310" t="s">
        <v>7775</v>
      </c>
      <c r="H310" t="s">
        <v>8852</v>
      </c>
      <c r="I310" t="s">
        <v>4390</v>
      </c>
      <c r="J310" t="s">
        <v>8853</v>
      </c>
      <c r="K310" t="s">
        <v>8854</v>
      </c>
    </row>
    <row r="311" spans="3:11" x14ac:dyDescent="0.3">
      <c r="D311" t="s">
        <v>8855</v>
      </c>
      <c r="E311" t="s">
        <v>8856</v>
      </c>
      <c r="F311" t="s">
        <v>4255</v>
      </c>
      <c r="G311" t="s">
        <v>8857</v>
      </c>
      <c r="H311" t="s">
        <v>8858</v>
      </c>
      <c r="I311" t="s">
        <v>4496</v>
      </c>
      <c r="J311" t="s">
        <v>8859</v>
      </c>
      <c r="K311" t="s">
        <v>8860</v>
      </c>
    </row>
    <row r="312" spans="3:11" x14ac:dyDescent="0.3">
      <c r="C312" t="s">
        <v>8861</v>
      </c>
      <c r="D312" t="s">
        <v>8862</v>
      </c>
      <c r="E312" t="s">
        <v>8863</v>
      </c>
      <c r="F312" t="s">
        <v>4255</v>
      </c>
      <c r="G312" t="s">
        <v>8864</v>
      </c>
      <c r="H312" t="s">
        <v>8865</v>
      </c>
      <c r="I312" t="s">
        <v>7440</v>
      </c>
      <c r="J312" t="s">
        <v>8866</v>
      </c>
      <c r="K312" t="s">
        <v>8867</v>
      </c>
    </row>
    <row r="313" spans="3:11" x14ac:dyDescent="0.3">
      <c r="D313" t="s">
        <v>8868</v>
      </c>
      <c r="E313" t="s">
        <v>8869</v>
      </c>
      <c r="F313" t="s">
        <v>4255</v>
      </c>
      <c r="G313" t="s">
        <v>8870</v>
      </c>
      <c r="H313" t="s">
        <v>8871</v>
      </c>
      <c r="I313" t="s">
        <v>7706</v>
      </c>
      <c r="J313" t="s">
        <v>8872</v>
      </c>
      <c r="K313" t="s">
        <v>8873</v>
      </c>
    </row>
    <row r="314" spans="3:11" x14ac:dyDescent="0.3">
      <c r="D314" t="s">
        <v>8874</v>
      </c>
      <c r="E314" t="s">
        <v>8875</v>
      </c>
      <c r="F314" t="s">
        <v>4255</v>
      </c>
      <c r="G314" t="s">
        <v>8876</v>
      </c>
      <c r="H314" t="s">
        <v>8877</v>
      </c>
      <c r="I314" t="s">
        <v>4496</v>
      </c>
      <c r="J314" t="s">
        <v>8878</v>
      </c>
      <c r="K314" t="s">
        <v>8879</v>
      </c>
    </row>
    <row r="315" spans="3:11" x14ac:dyDescent="0.3">
      <c r="D315" t="s">
        <v>8880</v>
      </c>
      <c r="E315" t="s">
        <v>8881</v>
      </c>
      <c r="F315" t="s">
        <v>4255</v>
      </c>
      <c r="G315" t="s">
        <v>7775</v>
      </c>
      <c r="H315" t="s">
        <v>8852</v>
      </c>
      <c r="I315" t="s">
        <v>4390</v>
      </c>
      <c r="K315" t="s">
        <v>8854</v>
      </c>
    </row>
    <row r="316" spans="3:11" x14ac:dyDescent="0.3">
      <c r="D316" t="s">
        <v>8882</v>
      </c>
      <c r="E316" t="s">
        <v>8883</v>
      </c>
      <c r="F316" t="s">
        <v>4255</v>
      </c>
      <c r="G316" t="s">
        <v>8857</v>
      </c>
      <c r="H316" t="s">
        <v>8858</v>
      </c>
      <c r="I316" t="s">
        <v>4496</v>
      </c>
      <c r="J316" t="s">
        <v>8853</v>
      </c>
      <c r="K316" t="s">
        <v>8860</v>
      </c>
    </row>
    <row r="317" spans="3:11" x14ac:dyDescent="0.3">
      <c r="C317" t="s">
        <v>8884</v>
      </c>
      <c r="D317" t="s">
        <v>8885</v>
      </c>
      <c r="E317" t="s">
        <v>8886</v>
      </c>
      <c r="F317" t="s">
        <v>4255</v>
      </c>
      <c r="G317" t="s">
        <v>8864</v>
      </c>
      <c r="H317" t="s">
        <v>8865</v>
      </c>
      <c r="I317" t="s">
        <v>7440</v>
      </c>
      <c r="J317" t="s">
        <v>8859</v>
      </c>
      <c r="K317" t="s">
        <v>8867</v>
      </c>
    </row>
    <row r="318" spans="3:11" x14ac:dyDescent="0.3">
      <c r="D318" t="s">
        <v>8887</v>
      </c>
      <c r="E318" t="s">
        <v>8888</v>
      </c>
      <c r="F318" t="s">
        <v>4255</v>
      </c>
      <c r="G318" t="s">
        <v>8870</v>
      </c>
      <c r="H318" t="s">
        <v>8871</v>
      </c>
      <c r="I318" t="s">
        <v>7706</v>
      </c>
      <c r="J318" t="s">
        <v>8866</v>
      </c>
      <c r="K318" t="s">
        <v>8873</v>
      </c>
    </row>
    <row r="319" spans="3:11" x14ac:dyDescent="0.3">
      <c r="D319" t="s">
        <v>8889</v>
      </c>
      <c r="E319" t="s">
        <v>8890</v>
      </c>
      <c r="F319" t="s">
        <v>4255</v>
      </c>
      <c r="G319" t="s">
        <v>8876</v>
      </c>
      <c r="H319" t="s">
        <v>8877</v>
      </c>
      <c r="I319" t="s">
        <v>4496</v>
      </c>
      <c r="J319" t="s">
        <v>8872</v>
      </c>
      <c r="K319" t="s">
        <v>8879</v>
      </c>
    </row>
    <row r="320" spans="3:11" x14ac:dyDescent="0.3">
      <c r="D320" t="s">
        <v>8891</v>
      </c>
      <c r="E320" t="s">
        <v>8892</v>
      </c>
      <c r="F320" t="s">
        <v>4255</v>
      </c>
      <c r="G320" t="s">
        <v>7775</v>
      </c>
      <c r="H320" t="s">
        <v>8852</v>
      </c>
      <c r="I320" t="s">
        <v>4390</v>
      </c>
      <c r="J320" t="s">
        <v>8878</v>
      </c>
      <c r="K320" t="s">
        <v>8854</v>
      </c>
    </row>
    <row r="321" spans="3:11" x14ac:dyDescent="0.3">
      <c r="D321" t="s">
        <v>8893</v>
      </c>
      <c r="E321" t="s">
        <v>8894</v>
      </c>
      <c r="F321" t="s">
        <v>4255</v>
      </c>
      <c r="G321" t="s">
        <v>8857</v>
      </c>
      <c r="H321" t="s">
        <v>8858</v>
      </c>
      <c r="I321" t="s">
        <v>4496</v>
      </c>
      <c r="K321" t="s">
        <v>8860</v>
      </c>
    </row>
    <row r="322" spans="3:11" x14ac:dyDescent="0.3">
      <c r="C322" t="s">
        <v>8895</v>
      </c>
      <c r="D322" t="s">
        <v>8896</v>
      </c>
      <c r="E322" t="s">
        <v>8897</v>
      </c>
      <c r="F322" t="s">
        <v>4255</v>
      </c>
      <c r="G322" t="s">
        <v>8864</v>
      </c>
      <c r="H322" t="s">
        <v>8865</v>
      </c>
      <c r="I322" t="s">
        <v>7440</v>
      </c>
      <c r="J322" t="s">
        <v>8853</v>
      </c>
      <c r="K322" t="s">
        <v>8867</v>
      </c>
    </row>
    <row r="323" spans="3:11" x14ac:dyDescent="0.3">
      <c r="D323" t="s">
        <v>8898</v>
      </c>
      <c r="E323" t="s">
        <v>8899</v>
      </c>
      <c r="F323" t="s">
        <v>4255</v>
      </c>
      <c r="G323" t="s">
        <v>8870</v>
      </c>
      <c r="H323" t="s">
        <v>8871</v>
      </c>
      <c r="I323" t="s">
        <v>7706</v>
      </c>
      <c r="J323" t="s">
        <v>8859</v>
      </c>
      <c r="K323" t="s">
        <v>8873</v>
      </c>
    </row>
    <row r="324" spans="3:11" x14ac:dyDescent="0.3">
      <c r="D324" t="s">
        <v>8900</v>
      </c>
      <c r="E324" t="s">
        <v>8901</v>
      </c>
      <c r="F324" t="s">
        <v>4255</v>
      </c>
      <c r="G324" t="s">
        <v>8876</v>
      </c>
      <c r="H324" t="s">
        <v>8877</v>
      </c>
      <c r="I324" t="s">
        <v>4496</v>
      </c>
      <c r="J324" t="s">
        <v>8866</v>
      </c>
      <c r="K324" t="s">
        <v>8879</v>
      </c>
    </row>
    <row r="325" spans="3:11" x14ac:dyDescent="0.3">
      <c r="D325" t="s">
        <v>8902</v>
      </c>
      <c r="E325" t="s">
        <v>8903</v>
      </c>
      <c r="F325" t="s">
        <v>4255</v>
      </c>
      <c r="G325" t="s">
        <v>7775</v>
      </c>
      <c r="H325" t="s">
        <v>8852</v>
      </c>
      <c r="I325" t="s">
        <v>4390</v>
      </c>
      <c r="J325" t="s">
        <v>8872</v>
      </c>
      <c r="K325" t="s">
        <v>8854</v>
      </c>
    </row>
    <row r="326" spans="3:11" x14ac:dyDescent="0.3">
      <c r="D326" t="s">
        <v>8904</v>
      </c>
      <c r="E326" t="s">
        <v>8905</v>
      </c>
      <c r="F326" t="s">
        <v>4255</v>
      </c>
      <c r="G326" t="s">
        <v>8857</v>
      </c>
      <c r="H326" t="s">
        <v>8858</v>
      </c>
      <c r="I326" t="s">
        <v>4496</v>
      </c>
      <c r="J326" t="s">
        <v>8878</v>
      </c>
      <c r="K326" t="s">
        <v>8860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11"/>
  <sheetViews>
    <sheetView workbookViewId="0">
      <selection activeCell="C6" sqref="C6"/>
    </sheetView>
  </sheetViews>
  <sheetFormatPr baseColWidth="10" defaultRowHeight="14.4" x14ac:dyDescent="0.3"/>
  <cols>
    <col min="3" max="3" width="47.33203125" customWidth="1"/>
  </cols>
  <sheetData>
    <row r="4" spans="2:9" ht="15" thickBot="1" x14ac:dyDescent="0.35"/>
    <row r="5" spans="2:9" x14ac:dyDescent="0.3">
      <c r="B5" s="46" t="s">
        <v>8906</v>
      </c>
      <c r="C5" s="47" t="s">
        <v>8907</v>
      </c>
      <c r="D5" s="47" t="s">
        <v>8908</v>
      </c>
      <c r="E5" s="47" t="s">
        <v>8909</v>
      </c>
      <c r="F5" s="47" t="s">
        <v>8910</v>
      </c>
      <c r="G5" s="47" t="s">
        <v>8911</v>
      </c>
      <c r="H5" s="48" t="s">
        <v>8912</v>
      </c>
      <c r="I5" s="49" t="s">
        <v>8913</v>
      </c>
    </row>
    <row r="6" spans="2:9" x14ac:dyDescent="0.3">
      <c r="B6" s="50">
        <v>1</v>
      </c>
      <c r="C6" s="51" t="s">
        <v>8914</v>
      </c>
      <c r="D6" s="51">
        <f>COUNTIF('[1]4,1'!J2:J506,"Oui")</f>
        <v>0</v>
      </c>
      <c r="E6" s="51">
        <f>COUNTIF([2]Q_Resp_Comptes!C2:C181,"Non")</f>
        <v>35</v>
      </c>
      <c r="F6" s="51">
        <f>COUNTIF([2]Q_Resp_Comptes!C2:C181,"Pas")</f>
        <v>0</v>
      </c>
      <c r="G6" s="51">
        <f>SUM(D6:F6)</f>
        <v>35</v>
      </c>
      <c r="H6" s="52">
        <f>D6/G6</f>
        <v>0</v>
      </c>
      <c r="I6" s="53">
        <f>D6/G6</f>
        <v>0</v>
      </c>
    </row>
    <row r="7" spans="2:9" x14ac:dyDescent="0.3">
      <c r="B7" s="50">
        <v>2</v>
      </c>
      <c r="C7" t="s">
        <v>3069</v>
      </c>
      <c r="D7" s="51">
        <f>COUNTIF([2]Q_Resp_Saisies!C2:C181,"oui")</f>
        <v>45</v>
      </c>
      <c r="E7" s="51">
        <f>COUNTIF([2]Q_Resp_Saisies!C2:C181,"Non")</f>
        <v>45</v>
      </c>
      <c r="F7" s="51">
        <f>COUNTIF([2]Q_Resp_Saisies!C2:C181,"PAS")</f>
        <v>0</v>
      </c>
      <c r="G7" s="51">
        <f t="shared" ref="G7:G10" si="0">SUM(D7:F7)</f>
        <v>90</v>
      </c>
      <c r="H7" s="52">
        <f t="shared" ref="H7:H11" si="1">D7/G7</f>
        <v>0.5</v>
      </c>
      <c r="I7" s="53">
        <f t="shared" ref="I7:I11" si="2">D7/G7</f>
        <v>0.5</v>
      </c>
    </row>
    <row r="8" spans="2:9" x14ac:dyDescent="0.3">
      <c r="B8" s="50">
        <v>3</v>
      </c>
      <c r="C8" t="s">
        <v>4225</v>
      </c>
      <c r="D8" s="51">
        <f>E8</f>
        <v>42</v>
      </c>
      <c r="E8" s="51">
        <f>COUNTIF([2]Q_Resp_GestionClientFournisseur!C2:C241,"Non")</f>
        <v>42</v>
      </c>
      <c r="F8" s="51">
        <f>COUNTIF([2]Q_Resp_GestionClientFournisseur!C2:C241,"Pas")</f>
        <v>29</v>
      </c>
      <c r="G8" s="51">
        <f t="shared" si="0"/>
        <v>113</v>
      </c>
      <c r="H8" s="52">
        <f t="shared" si="1"/>
        <v>0.37168141592920356</v>
      </c>
      <c r="I8" s="53">
        <f t="shared" si="2"/>
        <v>0.37168141592920356</v>
      </c>
    </row>
    <row r="9" spans="2:9" x14ac:dyDescent="0.3">
      <c r="B9" s="50">
        <v>4</v>
      </c>
      <c r="C9" t="s">
        <v>6253</v>
      </c>
      <c r="D9" s="51">
        <f>COUNTIF([2]Q_Resp_Facturation!C2:C147,"Oui")</f>
        <v>32</v>
      </c>
      <c r="E9" s="51">
        <f>COUNTIF([2]Q_Resp_Facturation!C2:C147,"Non")</f>
        <v>26</v>
      </c>
      <c r="F9" s="51">
        <f>COUNTIF([2]Q_Resp_Facturation!C2:C147,"Pas")</f>
        <v>15</v>
      </c>
      <c r="G9" s="51">
        <f t="shared" si="0"/>
        <v>73</v>
      </c>
      <c r="H9" s="52">
        <f t="shared" si="1"/>
        <v>0.43835616438356162</v>
      </c>
      <c r="I9" s="53">
        <f t="shared" si="2"/>
        <v>0.43835616438356162</v>
      </c>
    </row>
    <row r="10" spans="2:9" x14ac:dyDescent="0.3">
      <c r="B10" s="50">
        <v>5</v>
      </c>
      <c r="C10" t="s">
        <v>7376</v>
      </c>
      <c r="D10" s="51">
        <f>COUNTIF([2]Q_Rep_Trésorerie!C2:C121,"Oui")</f>
        <v>50</v>
      </c>
      <c r="E10" s="51">
        <f>COUNTIF([2]Q_Rep_Trésorerie!C2:C121,"Non")</f>
        <v>10</v>
      </c>
      <c r="F10" s="51">
        <f>COUNTIF([2]Q_Rep_Trésorerie!C2:C121,"Pas")</f>
        <v>0</v>
      </c>
      <c r="G10" s="51">
        <f t="shared" si="0"/>
        <v>60</v>
      </c>
      <c r="H10" s="52">
        <f t="shared" si="1"/>
        <v>0.83333333333333337</v>
      </c>
      <c r="I10" s="53">
        <f t="shared" si="2"/>
        <v>0.83333333333333337</v>
      </c>
    </row>
    <row r="11" spans="2:9" ht="15" thickBot="1" x14ac:dyDescent="0.35">
      <c r="B11" s="54" t="s">
        <v>8911</v>
      </c>
      <c r="C11" s="55"/>
      <c r="D11" s="56">
        <f>SUM(D6:D10)</f>
        <v>169</v>
      </c>
      <c r="E11" s="56">
        <f>SUM(E6:E10)</f>
        <v>158</v>
      </c>
      <c r="F11" s="56">
        <f>SUM(F6:F10)</f>
        <v>44</v>
      </c>
      <c r="G11" s="56">
        <f>SUM(D11:F11)</f>
        <v>371</v>
      </c>
      <c r="H11" s="57">
        <f t="shared" si="1"/>
        <v>0.4555256064690027</v>
      </c>
      <c r="I11" s="53">
        <f t="shared" si="2"/>
        <v>0.4555256064690027</v>
      </c>
    </row>
  </sheetData>
  <mergeCells count="1">
    <mergeCell ref="B11:C11"/>
  </mergeCells>
  <conditionalFormatting sqref="H6:H11">
    <cfRule type="iconSet" priority="1">
      <iconSet>
        <cfvo type="percent" val="0"/>
        <cfvo type="percent" val="33"/>
        <cfvo type="percent" val="67"/>
      </iconSet>
    </cfRule>
  </conditionalFormatting>
  <conditionalFormatting sqref="I5:I11">
    <cfRule type="iconSet" priority="2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Audit_Appli_Service</vt:lpstr>
      <vt:lpstr>Audit_Fonction_Info</vt:lpstr>
      <vt:lpstr>Audit_Contrôle</vt:lpstr>
      <vt:lpstr>Audit_support</vt:lpstr>
      <vt:lpstr>Audit_Secu_Info</vt:lpstr>
      <vt:lpstr>Synthèse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CARE</dc:creator>
  <cp:lastModifiedBy>COMPUTER CARE</cp:lastModifiedBy>
  <dcterms:created xsi:type="dcterms:W3CDTF">2025-04-16T21:21:25Z</dcterms:created>
  <dcterms:modified xsi:type="dcterms:W3CDTF">2025-04-16T21:33:14Z</dcterms:modified>
</cp:coreProperties>
</file>