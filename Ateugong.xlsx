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827"/>
  <workbookPr/>
  <mc:AlternateContent xmlns:mc="http://schemas.openxmlformats.org/markup-compatibility/2006">
    <mc:Choice Requires="x15">
      <x15ac:absPath xmlns:x15ac="http://schemas.microsoft.com/office/spreadsheetml/2010/11/ac" url="C:\Users\DELL E5580\Desktop\"/>
    </mc:Choice>
  </mc:AlternateContent>
  <xr:revisionPtr revIDLastSave="0" documentId="13_ncr:1_{427BDC7C-9070-41A3-9DD2-6B7A52130671}" xr6:coauthVersionLast="45" xr6:coauthVersionMax="45" xr10:uidLastSave="{00000000-0000-0000-0000-000000000000}"/>
  <bookViews>
    <workbookView xWindow="-108" yWindow="-108" windowWidth="23256" windowHeight="12576" tabRatio="779" xr2:uid="{00000000-000D-0000-FFFF-FFFF00000000}"/>
  </bookViews>
  <sheets>
    <sheet name="Synthèse" sheetId="9" r:id="rId1"/>
    <sheet name="Ref_Appli_Serv" sheetId="1" r:id="rId2"/>
    <sheet name="Ref_fontion_informatique" sheetId="2" r:id="rId3"/>
    <sheet name="Ref_control_projet_informatique" sheetId="4" r:id="rId4"/>
    <sheet name="Ref_Support_utili_gestion_parc" sheetId="5" r:id="rId5"/>
    <sheet name="Ref_sécurité-informatique" sheetId="6" r:id="rId6"/>
    <sheet name="Ref_COSO" sheetId="7" r:id="rId7"/>
  </sheets>
  <externalReferences>
    <externalReference r:id="rId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12" i="9" l="1"/>
  <c r="G11" i="9"/>
  <c r="G10" i="9"/>
  <c r="G9" i="9"/>
  <c r="G8" i="9"/>
  <c r="G7" i="9"/>
  <c r="F12" i="9"/>
  <c r="F11" i="9"/>
  <c r="F10" i="9"/>
  <c r="F9" i="9"/>
  <c r="F8" i="9"/>
  <c r="E12" i="9"/>
  <c r="E11" i="9"/>
  <c r="E10" i="9"/>
  <c r="E9" i="9"/>
  <c r="E8" i="9"/>
  <c r="F7" i="9"/>
  <c r="E7" i="9"/>
  <c r="H8" i="9" l="1"/>
  <c r="I8" i="9" s="1"/>
  <c r="H10" i="9"/>
  <c r="G13" i="9"/>
  <c r="F13" i="9"/>
  <c r="H11" i="9"/>
  <c r="I11" i="9" s="1"/>
  <c r="H7" i="9"/>
  <c r="I7" i="9" s="1"/>
  <c r="E13" i="9"/>
  <c r="I10" i="9"/>
  <c r="H12" i="9"/>
  <c r="I12" i="9" s="1"/>
  <c r="H9" i="9"/>
  <c r="I9" i="9" s="1"/>
  <c r="H13" i="9" l="1"/>
  <c r="I13" i="9" s="1"/>
</calcChain>
</file>

<file path=xl/sharedStrings.xml><?xml version="1.0" encoding="utf-8"?>
<sst xmlns="http://schemas.openxmlformats.org/spreadsheetml/2006/main" count="13189" uniqueCount="9104">
  <si>
    <t>Domaines</t>
  </si>
  <si>
    <t>points de contrôles</t>
  </si>
  <si>
    <t>objectifs de contrôle</t>
  </si>
  <si>
    <t>critères d'évaluation</t>
  </si>
  <si>
    <t>questions d'évaluation</t>
  </si>
  <si>
    <t>Réponses</t>
  </si>
  <si>
    <t>Documents requis</t>
  </si>
  <si>
    <t>Risques</t>
  </si>
  <si>
    <t>Criticités</t>
  </si>
  <si>
    <t>conséquences</t>
  </si>
  <si>
    <t>Recommandations</t>
  </si>
  <si>
    <t>Organisation</t>
  </si>
  <si>
    <t>S’assurer de l’existence d'un comité informatique</t>
  </si>
  <si>
    <t>Élevée</t>
  </si>
  <si>
    <t>Moyenne</t>
  </si>
  <si>
    <t>S’assurer que les rôle et responsabilités des utilisateurs sont bien définis</t>
  </si>
  <si>
    <t>S’assurer qu’une analyse des risques a été réalisée</t>
  </si>
  <si>
    <t>S’assurer que le prolongement de l'analyse de risque et de son expansion ont été réalisés</t>
  </si>
  <si>
    <t>S’assurer que l’analyse et évaluation du niveau de sensibilité a été réalisée</t>
  </si>
  <si>
    <t>Faible</t>
  </si>
  <si>
    <t>Vérifier l’existence d’un manuel d'administration de l'application</t>
  </si>
  <si>
    <t>Vérifier l’existence de procédures formalisées</t>
  </si>
  <si>
    <t>S’assurer de l’existence et de la mise à disposition du compte rendu mensuel au propriétaire</t>
  </si>
  <si>
    <t xml:space="preserve"> S’assurer de l’existence d'un guide d'utilisateur, manuel de procédure</t>
  </si>
  <si>
    <t>Application</t>
  </si>
  <si>
    <t>S'assurer que l'accès aux ressources de l'application (données et transactions) est restreint par un système de gestion d'accès</t>
  </si>
  <si>
    <t>S’assurer qu’une procédure de gestion des profils utilisateurs 
existe</t>
  </si>
  <si>
    <t>Vérifier que l’identification des utilisateurs est réalisée</t>
  </si>
  <si>
    <t xml:space="preserve">Vérifier qu’un mot de passe est associé à l'identifiant </t>
  </si>
  <si>
    <t>S’assurer que les tentatives de connexions infructueuses à 
l'application sont suivies</t>
  </si>
  <si>
    <t xml:space="preserve">Dégradation de la qualité de service  </t>
  </si>
  <si>
    <t xml:space="preserve">Vérifier que le niveau d’information et de moyen de contrôle 
adapté </t>
  </si>
  <si>
    <t>Vérifier que les contrôles utilisateurs des états de sortie sont 
effectifs</t>
  </si>
  <si>
    <t xml:space="preserve">S’assurer que les procédures de validation des résultats 
existent </t>
  </si>
  <si>
    <t>S’assurer que l'intégrité et l'exhaustivité des données 
transmises entre les différents modules est garantie</t>
  </si>
  <si>
    <t>Fonction informatique</t>
  </si>
  <si>
    <t xml:space="preserve">S’assurer que les tâches relatives au développement et à 
l'exploitation de l'application sont bien suivies et documentées </t>
  </si>
  <si>
    <t>Vérifier que la maintenance de la séparation des tâches est 
effective</t>
  </si>
  <si>
    <t>Vérifier que les nouvelles versions (développement interne, 
progiciel) sont suivies</t>
  </si>
  <si>
    <t>S’assurer que la documentation de l'application est effective</t>
  </si>
  <si>
    <t xml:space="preserve">Vérifier que la gestion des incidents en général et les procédures 
d'urgence en particulier est bien documentée </t>
  </si>
  <si>
    <t>S’assurer de l’existence de la documentation d'exploitation</t>
  </si>
  <si>
    <t>Les tableaux de bord sont-ils régulièrement mis à jour ?</t>
  </si>
  <si>
    <t>S’assurer que le niveau de service est effectué par l’analyse des 
tableaux de bord</t>
  </si>
  <si>
    <t>Vérifier que les sauvegardes sont effectives</t>
  </si>
  <si>
    <t xml:space="preserve">
Vérifier que les accès aux commandes système, aux 
bibliothèques et bases de données de production sont réglementés </t>
  </si>
  <si>
    <t>Adéquation de l'application aux besoins</t>
  </si>
  <si>
    <t>Vérifier qu’un Schéma-directeur du système d’information 
existe et est à jour</t>
  </si>
  <si>
    <t>S’assurer qu’une évaluation de l’alignement stratégique de 
l’application avec les orientation de l’entreprise a été réalisée</t>
  </si>
  <si>
    <t>S’assurer que la définition des spécifications ou les critères de 
choix de la solution a été clairement établie</t>
  </si>
  <si>
    <t>Vérifier que les tâches des utilisateurs dans l’application sont 
clairement définies</t>
  </si>
  <si>
    <t>Vérifier que des systèmes parallèles sont maintenus en activité</t>
  </si>
  <si>
    <t>S’assurer qu’une évaluation de l’évaluation de l’adéquation aux 
besoins des utilisateurs a été réalisée</t>
  </si>
  <si>
    <t xml:space="preserve">Performance et de la rentabilité </t>
  </si>
  <si>
    <t xml:space="preserve">Vérifier qu’une évaluation de la rentabilité existe </t>
  </si>
  <si>
    <t xml:space="preserve">S’assurer qu’une intégration des coûts de déploiement a été 
réalisée </t>
  </si>
  <si>
    <t>Vérifier que les délais de mise en œuvre de l’application ont été 
pris en compte</t>
  </si>
  <si>
    <t>S’assurer qu’un bilan post-projet a été réalisé</t>
  </si>
  <si>
    <t xml:space="preserve">Vérifier que des améliorations non quantifiables ont été pris en 
compte </t>
  </si>
  <si>
    <t>Vérifier que les processus métiers ont été pris en compte</t>
  </si>
  <si>
    <t>S’assurer que les traitements ont été pris en compte</t>
  </si>
  <si>
    <t>Vérifier que l’architecture technique est prise en compte</t>
  </si>
  <si>
    <t>S’assurer que les outils de mesure de la performance et les 
tableaux de bord sont disponibles</t>
  </si>
  <si>
    <t xml:space="preserve">Evolutivité/pérennité de l'application </t>
  </si>
  <si>
    <t>Vérifier que les technologies utilisées sont conformes aux 
aspirations de l’entité</t>
  </si>
  <si>
    <t xml:space="preserve">Vérifier que les technologies utilisées sont matures </t>
  </si>
  <si>
    <t>S’assurer que les technologies utilisées peuvent s’adapter à la 
croissance</t>
  </si>
  <si>
    <t xml:space="preserve">S’assurer que l’application est modulaire et adaptable </t>
  </si>
  <si>
    <t>Vérifier que structure en charge de la maintenance est 
autonome et compétente</t>
  </si>
  <si>
    <t>S’assurer que le niveau de dépendance vis-à-vis de la structure 
de développement de l’application est acceptable</t>
  </si>
  <si>
    <t>S’assurer que la version du progiciel installée dans 
l’organisation est la plus récente</t>
  </si>
  <si>
    <t>S’assurer que les développements spécifiques sont bien suivis</t>
  </si>
  <si>
    <t>S’assurer que l’entité a un contrat de maintenance avec 
l’éditeur</t>
  </si>
  <si>
    <t>Rôle et positionnement de l'informatique dans l'organisation</t>
  </si>
  <si>
    <t>Vérifier qu’ont été créés des Comités « informatique » regroupant les différentes directions de l’Organisation en charge de recenser les besoins et les opportunités, gérer les priorités et suivre les projets</t>
  </si>
  <si>
    <t>Vérifier l’existence d’une charte informatique ou de tout autre document définissant le rôle et le périmètre de responsabilité de la DSI</t>
  </si>
  <si>
    <t>Évaluer le degré d’implication et de maîtrise des organes de gestion dans les systèmes d’information de l’Organisation</t>
  </si>
  <si>
    <t>Vérifier en pratique que le leadership des grands projets est assuré par les organes de gestion</t>
  </si>
  <si>
    <t>Vérifier que les métiers assurent leur rôle de MOA</t>
  </si>
  <si>
    <t>Planification stratégique</t>
  </si>
  <si>
    <t>Vérifier la couverture du périmètre fonctionnel</t>
  </si>
  <si>
    <t>Vérifier l’existence d’une analyse à jour des procédures de pilotage et de mise à jour du plan informatique</t>
  </si>
  <si>
    <t>Vérifier l’existence des documents à jour d’urbanisme de l’Organisation</t>
  </si>
  <si>
    <t>Vérifier l’existence d’une analyse à jour des procédures de pilotage et de mise à jour du plan d’occupation des sols (POS)</t>
  </si>
  <si>
    <t>Vérifier la cohérence et l’homogénéité des technologies</t>
  </si>
  <si>
    <t>Vérifier l’existence et l’unicité des référentiels (clients, fournisseurs, articles…) et des saisies</t>
  </si>
  <si>
    <t>Registre des incidents éthiques</t>
  </si>
  <si>
    <t>Procédure de signalement</t>
  </si>
  <si>
    <t>Charte de gouvernance</t>
  </si>
  <si>
    <t>Procédure de gestion des incidents</t>
  </si>
  <si>
    <t>Organigramme officiel</t>
  </si>
  <si>
    <t>Politique de recrutement</t>
  </si>
  <si>
    <t>Évaluation des Risques</t>
  </si>
  <si>
    <t>Spécification des objectifs appropriés</t>
  </si>
  <si>
    <t>Activités de Surveillance</t>
  </si>
  <si>
    <t>Évaluations continues et indépendantes</t>
  </si>
  <si>
    <t>Évaluation des déficiences</t>
  </si>
  <si>
    <t>Mesure et suivi de la performance informatique</t>
  </si>
  <si>
    <t>Vérifier que des objectifs de court, moyen et long termes existent et sont assignés à la DSI (approche BSC ) et que ces objectifs sont déclinés au sein de l’entité</t>
  </si>
  <si>
    <t>Vérifier l’existence d’un comité informatique regroupant les différentes directions de l’organisation</t>
  </si>
  <si>
    <t>Évaluer la pertinence des indicateurs de qualité et de performance ainsi que les moyens et outils de mesure</t>
  </si>
  <si>
    <t>Vérifier que la DSI tient un tableau de bord (idéalement de type BSC) permettant un suivi consolidé de la performance (opérationnelle et financière) et de la qualité des prestations informatiques</t>
  </si>
  <si>
    <t>Vérifier qu’il est systématiquement effectué un bilan après chaque projet et notamment un bilan économique (bilan rapproché des prévisions de l’étude préalable)</t>
  </si>
  <si>
    <t>Organisation et structure de la DSI</t>
  </si>
  <si>
    <t>Vérifier l’existence d’un organigramme à jour de la DSI</t>
  </si>
  <si>
    <t>Vérifier l’existence d’une définition de fonction et d’un partage clair des rôles et des responsabilités pour chaque poste figurant sur l’organigramme</t>
  </si>
  <si>
    <t>Vérifier que l’ensemble des composantes d’une fonction informatique est convenablement pris en compte, notamment la veille technologique, la sécurité informatique, la fonction qualité &amp; méthodes, la gestion des ressources humaines, le contrôle de gestion, le support utilisateurs (de proximité et à distance), l’administration des serveurs</t>
  </si>
  <si>
    <t>Évaluer l’adéquation des effectifs aux besoins et aux enjeux</t>
  </si>
  <si>
    <t>Évaluer l’adéquation des qualifications du personnel avec les fonctions qu’ils occupent</t>
  </si>
  <si>
    <t>Vérifier que l’expression des besoins, les spécifications fonctionnelles et la recette des applications sont effectuées par les utilisateurs</t>
  </si>
  <si>
    <t>Vérifier que les tâches, les locaux et les environnements relatifs aux fonctions études et exploitation, qu’ils soient assurés ou fournis en interne, ou externalisés, sont séparés</t>
  </si>
  <si>
    <t>Vérifier l’existence d’une procédure de mise en production</t>
  </si>
  <si>
    <t>Lorsque les organisations le permettent, vérifier que les différentes tâches d'administration des bases de données -DBA- sont séparées entre les études et l’exploitation</t>
  </si>
  <si>
    <t>Vérifier que la séparation des tâches est maintenue et assurée lors de la rotation des équipes, des vacances et du départ d'un personnel</t>
  </si>
  <si>
    <t>Évaluer le caractère « raisonnable » du turn-over de la DSI (5 à 15% / an)</t>
  </si>
  <si>
    <t>Évaluer la capacité de l’Organisation à gérer les carrières des informaticiens</t>
  </si>
  <si>
    <t>Vérifier l’adéquation du niveau de rémunération du personnel informatique et évaluer le « moral » des équipes</t>
  </si>
  <si>
    <t>Évaluer la dépendance de l’Organisation vis-à-vis d’une ou plusieurs personnes</t>
  </si>
  <si>
    <t>Vérifier que les contrats des informaticiens contiennent des clauses spécifiques de confidentialité et de non-concurrence</t>
  </si>
  <si>
    <t>Vérifier si les informaticiens sont- dispensés de préavis en cas de rupture brutale du contrat de travail</t>
  </si>
  <si>
    <t>Vérifier l’existence d’un plan de formation nominatif pour l’ensemble des informaticiens</t>
  </si>
  <si>
    <t>Vérifier que l’effort de formation est adapté, suffisant et qu’il s’inscrit dans la durée.</t>
  </si>
  <si>
    <t>Cadre législatif et réglementaire Camerounais</t>
  </si>
  <si>
    <t>Vérifier que les prescriptions légales découlant des loi de 2010 sur le cybersécurité et la cyber criminalité ; ainsi que les transactions électroniques sont connues et respectées</t>
  </si>
  <si>
    <t>Vérifier que les articles sur la fraude informatique sont connus et que des mesures préventives ont été prises</t>
  </si>
  <si>
    <t>Vérifier que les articles sur l’usage de moyens de chiffrement et de la signature électronique sont connues respectées</t>
  </si>
  <si>
    <t>Vérifier que la loi sur l’archivage électronique est connue et respectée</t>
  </si>
  <si>
    <t>Vérifier que les articles sur la propriété intellectuelle / logiciel « pirate » sont connus respectés</t>
  </si>
  <si>
    <t>Objectifs et enjeux du projet</t>
  </si>
  <si>
    <t>S’assurer qu’une étude de la valeur et des études d'opportunité 
et d'impacts ont été réalisées</t>
  </si>
  <si>
    <t>S’assurer que le choix de recourir à un nouveau système est 
obtenu après optimisation des processus concernés et vérification 
que cette optimisation ne suffit pas à apporter par elle-même les gains 
de performance attendus</t>
  </si>
  <si>
    <t>S’assurer que les principales orientations du système cible ont 
été explicitées</t>
  </si>
  <si>
    <t>S’assurer que les principaux acteurs sont identifiés</t>
  </si>
  <si>
    <t>S’assurer que les coûts sont évalués</t>
  </si>
  <si>
    <t>Étude d'opportunité et expression des besoins</t>
  </si>
  <si>
    <t>S’assurer que le projet est cohérent avec le SI actuel ou futur</t>
  </si>
  <si>
    <t>S’assurer que la direction est bien impliquée dans le projet</t>
  </si>
  <si>
    <t>Planification</t>
  </si>
  <si>
    <t>S’assurer qu’il existe un planning directeur commun à tout le projet</t>
  </si>
  <si>
    <t>S’assurer qu’il existe un plan de projet initial</t>
  </si>
  <si>
    <t>S’assurer que ce plan de projet a été révisé</t>
  </si>
  <si>
    <t>S’assurer qu’il existe des plans détaillés</t>
  </si>
  <si>
    <t>S’assurer que ces plans ont été révisés</t>
  </si>
  <si>
    <t>Instances de pilotage</t>
  </si>
  <si>
    <t>S’assurer que les objectifs des délégations sont atteints</t>
  </si>
  <si>
    <t>S’assurer qu’il existe un comité de pilotage</t>
  </si>
  <si>
    <t>S’assurer qu’il existe un comité de projet</t>
  </si>
  <si>
    <t>Méthodes et outils</t>
  </si>
  <si>
    <t>S’assurer que la méthode repose sur un outil de planification</t>
  </si>
  <si>
    <t>S’assurer que la méthode repose sur des outils</t>
  </si>
  <si>
    <t>Qualité</t>
  </si>
  <si>
    <t>Conception générale et analyse</t>
  </si>
  <si>
    <t>S’assurer que les contrôles d'exploitation ont été identifiés</t>
  </si>
  <si>
    <t>Conception détaillée</t>
  </si>
  <si>
    <t>S’assurer qu’il existe une méthode d'analyse et de conception</t>
  </si>
  <si>
    <t>S’assurer que cette méthode est correctement utilisée</t>
  </si>
  <si>
    <t>S’assurer que la conception détaillée a été revue</t>
  </si>
  <si>
    <t>Développement, réalisation ou paramétrage</t>
  </si>
  <si>
    <t>S’assurer qu’il existe une méthode de développement</t>
  </si>
  <si>
    <t>S’assurer qu’il existe des normes de documentation</t>
  </si>
  <si>
    <t>S’assurer que les développements sont bien documentés</t>
  </si>
  <si>
    <t>Tests et recettes</t>
  </si>
  <si>
    <t>S’assurer que la MOE réalise des tests</t>
  </si>
  <si>
    <t>S’assurer que des tests utilisateurs sont réalisés</t>
  </si>
  <si>
    <t>S’assurer qu’il existe des tests de pré-exploitation</t>
  </si>
  <si>
    <t>S’assurer que l'évaluation des changements a été validée</t>
  </si>
  <si>
    <t>Documentation</t>
  </si>
  <si>
    <t>S’assurer qu’il existe un manuel d'utilisation</t>
  </si>
  <si>
    <t>Structures mises en place à l'occasion du projet</t>
  </si>
  <si>
    <t>S’assurer qu’il existe un engagement de résultat</t>
  </si>
  <si>
    <t>Gestion des évolutions</t>
  </si>
  <si>
    <t>Mise en production</t>
  </si>
  <si>
    <t>Fonction support : audit fiabilité et sécurité</t>
  </si>
  <si>
    <t>S’assurer de la couverture géographique du HD</t>
  </si>
  <si>
    <t>Fonction support : audit d'efficacité et de performance</t>
  </si>
  <si>
    <t>Vérifier l’existence d’une base de connaissance</t>
  </si>
  <si>
    <t>S’assurer que les appels sont enregistrés</t>
  </si>
  <si>
    <t>Gestion du parc matériel et logiciel : audit fiabilité et sécurité</t>
  </si>
  <si>
    <t>S’assurer qu’il existe des revues régulières des licences</t>
  </si>
  <si>
    <t>Vérifier que des audits sont réalisés</t>
  </si>
  <si>
    <t>Vérifier qu’une politique logicielle existe</t>
  </si>
  <si>
    <t>Politique de sécurité</t>
  </si>
  <si>
    <t>Vérifier que des procédures de gestion des incidents existent</t>
  </si>
  <si>
    <t>S’assurer que tous les audits réglementaires sont réalisés</t>
  </si>
  <si>
    <t>S’assurer qu’un responsable conformité est désigné</t>
  </si>
  <si>
    <t>Gestion des identifiants et des mots de passe</t>
  </si>
  <si>
    <t>Vérifier qu'il y a un seul utilisateur par identifiant</t>
  </si>
  <si>
    <t>Vérifier que ces règles sont respectées</t>
  </si>
  <si>
    <t>Contrôle des accès</t>
  </si>
  <si>
    <t>S’assurer que la gestion des accès utilisateurs est effective</t>
  </si>
  <si>
    <t>Vérifier que le contrôle des accès aux réseaux est effectif</t>
  </si>
  <si>
    <t>S’assurer que les exigences de sécurité des systèmes existent</t>
  </si>
  <si>
    <t>S’assurer qu’un protocole de recette existe</t>
  </si>
  <si>
    <t>S’assurer que le protocole de recette a été testé</t>
  </si>
  <si>
    <t>S’assurer que la sécurité des fichiers est prise en compte</t>
  </si>
  <si>
    <t>Points de Contrôle</t>
  </si>
  <si>
    <t>Objectifs de Contrôle </t>
  </si>
  <si>
    <t>Critère d’Évaluation </t>
  </si>
  <si>
    <t>Question d’Évaluation </t>
  </si>
  <si>
    <t>Documents Requis </t>
  </si>
  <si>
    <t>Conséquences</t>
  </si>
  <si>
    <t>Audit des Applications en Service</t>
  </si>
  <si>
    <t>Un comité informatique est officiellement constitué et documenté.</t>
  </si>
  <si>
    <t>Un comité informatique est-il formellement mis en place ?</t>
  </si>
  <si>
    <t>OUI</t>
  </si>
  <si>
    <t>Charte du comité, Organigramme du comité</t>
  </si>
  <si>
    <t>Absence de gouvernance informatique</t>
  </si>
  <si>
    <t>- La liste des membres du comité est disponible et mise à jour.</t>
  </si>
  <si>
    <t>La liste des membres du comité est-elle tenue à jour ?</t>
  </si>
  <si>
    <t>NON</t>
  </si>
  <si>
    <t>Liste des membres, PV de nomination</t>
  </si>
  <si>
    <t>Manque de clarté sur les responsabilités</t>
  </si>
  <si>
    <t>- Le comité se réunit régulièrement (ex. : mensuellement ou trimestriellement).</t>
  </si>
  <si>
    <t>Le comité informatique tient-il des réunions régulières ?</t>
  </si>
  <si>
    <t>Calendrier des réunions, PV des réunions</t>
  </si>
  <si>
    <t>Manque de suivi des décisions stratégiques</t>
  </si>
  <si>
    <t>- Des comptes rendus de réunion sont archivés et accessibles.</t>
  </si>
  <si>
    <t>Les comptes rendus des réunions sont-ils archivés et consultables ?</t>
  </si>
  <si>
    <t>Registre des comptes rendus, Plateforme de stockage documentaire</t>
  </si>
  <si>
    <t>Manque de traçabilité des décisions</t>
  </si>
  <si>
    <t>- Le comité prend des décisions stratégiques et suit des actions correctives.</t>
  </si>
  <si>
    <t>Le comité suit-il l’exécution des décisions et actions correctives ?</t>
  </si>
  <si>
    <t>Plan d’actions, Rapports de suivi</t>
  </si>
  <si>
    <t>Actions non suivies ou inefficaces</t>
  </si>
  <si>
    <t>Chaque utilisateur a un rôle clairement défini dans l’organisation.</t>
  </si>
  <si>
    <t>Les rôles des utilisateurs sont-ils documentés ?</t>
  </si>
  <si>
    <t>Manuel des responsabilités, Organigramme</t>
  </si>
  <si>
    <t>Confusion des responsabilités</t>
  </si>
  <si>
    <t>- Un document officiel détaille les responsabilités de chaque rôle.</t>
  </si>
  <si>
    <t>Un document formel précise-t-il les responsabilités de chaque poste ?</t>
  </si>
  <si>
    <t>Fiches de poste, Manuel interne</t>
  </si>
  <si>
    <t>Attribution floue des responsabilités</t>
  </si>
  <si>
    <t>- Les utilisateurs ont accès uniquement aux fonctionnalités nécessaires à leur travail.</t>
  </si>
  <si>
    <t>Les accès des utilisateurs sont-ils restreints à leurs besoins ?</t>
  </si>
  <si>
    <t>Liste des droits d’accès, Rapports de permissions</t>
  </si>
  <si>
    <t>Accès excessifs aux ressources</t>
  </si>
  <si>
    <t>- Les droits et accès sont revus périodiquement pour éviter les abus.</t>
  </si>
  <si>
    <t>Un audit des accès est-il effectué régulièrement ?</t>
  </si>
  <si>
    <t>Rapports d’audit d’accès, Politique de gestion des accès</t>
  </si>
  <si>
    <t>Risque d’abus ou de fraude</t>
  </si>
  <si>
    <t>- Une procédure existe pour modifier ou supprimer des droits en cas de changement de poste.</t>
  </si>
  <si>
    <t>Un processus formel gère-t-il les modifications d’accès ?</t>
  </si>
  <si>
    <t>PAS</t>
  </si>
  <si>
    <t>Procédure de gestion des droits, Journal des modifications d’accès</t>
  </si>
  <si>
    <t>Maintien d’accès injustifiés</t>
  </si>
  <si>
    <t>Une analyse des risques a été formellement menée et documentée.</t>
  </si>
  <si>
    <t>Une analyse des risques SI a-t-elle été réalisée ?</t>
  </si>
  <si>
    <t>Rapport d’analyse des risques, Cartographie des risques</t>
  </si>
  <si>
    <t>Manque de visibilité sur les menaces</t>
  </si>
  <si>
    <t>- Les risques identifiés sont classés en fonction de leur criticité.</t>
  </si>
  <si>
    <t>Les risques SI sont-ils classés selon leur criticité ?</t>
  </si>
  <si>
    <t>Matrice des risques, Liste des risques classifiés</t>
  </si>
  <si>
    <t>Gestion inefficace des priorités</t>
  </si>
  <si>
    <t>- Des mesures de mitigation des risques ont été définies.</t>
  </si>
  <si>
    <t>Des mesures de mitigation des risques ont-elles été établies ?</t>
  </si>
  <si>
    <t>Plan de mitigation, Rapports de suivi des risques</t>
  </si>
  <si>
    <t>Absence de stratégie de réduction des risques</t>
  </si>
  <si>
    <t>- L’analyse des risques est revue périodiquement.</t>
  </si>
  <si>
    <t>L’analyse des risques est-elle régulièrement mise à jour ?</t>
  </si>
  <si>
    <t>Planning des revues, Historique des mises à jour</t>
  </si>
  <si>
    <t>Risques non pris en compte</t>
  </si>
  <si>
    <t>- La direction a validé et approuvé les résultats de l’analyse</t>
  </si>
  <si>
    <t>La direction valide-t-elle l’analyse des risques ?</t>
  </si>
  <si>
    <t>PV d’approbation, Rapports aux décideurs</t>
  </si>
  <si>
    <t>Absence de soutien stratégique</t>
  </si>
  <si>
    <t>L’analyse des risques est mise à jour après chaque évolution majeure de l’application.</t>
  </si>
  <si>
    <t>L’analyse des risques est-elle mise à jour après un changement majeur ?</t>
  </si>
  <si>
    <t>Rapports de mise à jour, Liste des nouvelles menaces</t>
  </si>
  <si>
    <t>Failles de sécurité non identifiées</t>
  </si>
  <si>
    <t>- Les nouveaux risques identifiés sont ajoutés et évalués.</t>
  </si>
  <si>
    <t>Les nouveaux risques sont-ils évalués lors des mises à jour ?</t>
  </si>
  <si>
    <t>Matrice des risques, Registre des incidents</t>
  </si>
  <si>
    <t>Menaces émergentes non anticipées</t>
  </si>
  <si>
    <t>- Les mesures de contrôle sont adaptées en fonction des nouvelles menaces.</t>
  </si>
  <si>
    <t>Les contrôles de sécurité évoluent-ils selon les nouvelles menaces ?</t>
  </si>
  <si>
    <t>Rapport de mise à jour des contrôles, Registre des actions correctives</t>
  </si>
  <si>
    <t>Mesures inadaptées aux menaces actuelles</t>
  </si>
  <si>
    <t>- Les responsables sont informés des mises à jour de l’analyse de risque.</t>
  </si>
  <si>
    <t>Les responsables sont-ils informés des mises à jour des risques ?</t>
  </si>
  <si>
    <t>Notes de service, Comptes rendus de réunion</t>
  </si>
  <si>
    <t>Manque de sensibilisation des parties prenantes</t>
  </si>
  <si>
    <t>- Un suivi est effectué pour s’assurer que les nouvelles mesures sont appliquées.</t>
  </si>
  <si>
    <t>Les mesures correctives sont-elles suivies et validées ?</t>
  </si>
  <si>
    <t>Rapports de conformité, Journal des actions mises en œuvre</t>
  </si>
  <si>
    <t>Absence de suivi des correctifs</t>
  </si>
  <si>
    <t>Un document définit les niveaux de sensibilité des données de l’application.</t>
  </si>
  <si>
    <t>Un document de classification des données existe-t-il ?</t>
  </si>
  <si>
    <t>Politique de classification des données, Registre des données sensibles</t>
  </si>
  <si>
    <t>Manque de gestion des données sensibles</t>
  </si>
  <si>
    <t>- La classification des données est basée sur leur impact potentiel en cas de perte.</t>
  </si>
  <si>
    <t>Les niveaux de classification tiennent-ils compte des impacts potentiels ?</t>
  </si>
  <si>
    <t>Étude d’impact, Registre de classification</t>
  </si>
  <si>
    <t>Mauvaise catégorisation des données</t>
  </si>
  <si>
    <t>- Les données sensibles ont des mesures de protection spécifiques.</t>
  </si>
  <si>
    <t>Des mesures spécifiques protègent-elles les données sensibles ?</t>
  </si>
  <si>
    <t>Politique de sécurité des données, Rapport d’audit de sécurité</t>
  </si>
  <si>
    <t>Protection insuffisante des données critiques</t>
  </si>
  <si>
    <t>- Une procédure existe pour modifier la classification en cas d’évolution.</t>
  </si>
  <si>
    <t>Une procédure de mise à jour de la classification est-elle en place ?</t>
  </si>
  <si>
    <t>Procédure de modification des classifications, Journal des modifications</t>
  </si>
  <si>
    <t>Classification obsolète</t>
  </si>
  <si>
    <t>- L’accès aux données sensibles est restreint et contrôlé.</t>
  </si>
  <si>
    <t>L’accès aux données sensibles est-il limité et surveillé ?</t>
  </si>
  <si>
    <t>Liste des accès aux données sensibles, Logs d’accès</t>
  </si>
  <si>
    <t>Accès non autorisés aux données sensibles</t>
  </si>
  <si>
    <t>Un manuel d’administration est disponible et à jour.</t>
  </si>
  <si>
    <t>Un manuel d’administration est-il disponible ?</t>
  </si>
  <si>
    <t>Manuel d’administration, Documentation technique</t>
  </si>
  <si>
    <t>Manque de référence pour les administrateurs</t>
  </si>
  <si>
    <t>- Il décrit les configurations techniques et les paramètres de l’application.</t>
  </si>
  <si>
    <t>Le manuel contient-il les configurations techniques et les paramètres de l’application ?</t>
  </si>
  <si>
    <t>Manuel d’administration, Liste des configurations</t>
  </si>
  <si>
    <t>Mauvaise gestion des configurations</t>
  </si>
  <si>
    <t>- Les procédures de maintenance et de dépannage y sont documentées.</t>
  </si>
  <si>
    <t>Les procédures de maintenance et de dépannage sont-elles documentées ?</t>
  </si>
  <si>
    <t>Manuel d’administration, Guide de dépannage</t>
  </si>
  <si>
    <t>Temps d’arrêt prolongé en cas d’incident</t>
  </si>
  <si>
    <t>- Seuls les administrateurs autorisés ont accès au manuel.</t>
  </si>
  <si>
    <t>L’accès au manuel d’administration est-il restreint aux administrateurs ?</t>
  </si>
  <si>
    <t>Liste des administrateurs autorisés, Registre des accès</t>
  </si>
  <si>
    <t>Risque d’accès non autorisé à des informations sensibles</t>
  </si>
  <si>
    <t>- Le manuel est régulièrement mis à jour en cas de changement dans l’application.</t>
  </si>
  <si>
    <t>Le manuel d’administration est-il mis à jour après chaque modification majeure ?</t>
  </si>
  <si>
    <t>Historique des mises à jour, Procédure de validation des mises à jour</t>
  </si>
  <si>
    <t>Utilisation de configurations obsolètes</t>
  </si>
  <si>
    <t>Toutes les procédures liées à l’application sont documentées.</t>
  </si>
  <si>
    <t>Toutes les procédures de l’application sont-elles documentées ?</t>
  </si>
  <si>
    <t>Référentiel des procédures, Guide utilisateur</t>
  </si>
  <si>
    <t>Manque de standardisation des processus</t>
  </si>
  <si>
    <t>- Les documents sont accessibles aux utilisateurs concernés.</t>
  </si>
  <si>
    <t>Les documents sont-ils accessibles uniquement aux utilisateurs concernés ?</t>
  </si>
  <si>
    <t>Liste des accès aux documents, Plateforme documentaire</t>
  </si>
  <si>
    <t>Accès non autorisé aux documents sensibles</t>
  </si>
  <si>
    <t>- Les procédures couvrent les opérations courantes et exceptionnelles.</t>
  </si>
  <si>
    <t>Les procédures documentées couvrent-elles toutes les opérations ?</t>
  </si>
  <si>
    <t>Manuel des procédures, Rapports d’incidents</t>
  </si>
  <si>
    <t>Mauvaise gestion des situations exceptionnelles</t>
  </si>
  <si>
    <t>- Elles sont validées par les responsables avant leur mise en application.</t>
  </si>
  <si>
    <t>Les responsables valident-ils les procédures avant leur application ?</t>
  </si>
  <si>
    <t>PV de validation, Workflow d’approbation</t>
  </si>
  <si>
    <t>Procédures non conformes aux exigences</t>
  </si>
  <si>
    <t>- Un processus de mise à jour des procédures est défini</t>
  </si>
  <si>
    <t>Un processus de mise à jour des procédures est-il formalisé ?</t>
  </si>
  <si>
    <t>Plan de mise à jour des procédures, Historique des révisions</t>
  </si>
  <si>
    <t>Utilisation de procédures obsolètes</t>
  </si>
  <si>
    <t>Un compte rendu est produit chaque mois.</t>
  </si>
  <si>
    <t>Un compte rendu sur l’application est-il produit mensuellement ?</t>
  </si>
  <si>
    <t>Rapports mensuels, Registre des comptes rendus</t>
  </si>
  <si>
    <t>Manque de suivi des performances et anomalies</t>
  </si>
  <si>
    <t>- Il contient des informations sur l’utilisation et la performance de l’application.</t>
  </si>
  <si>
    <t>Le compte rendu contient-il des indicateurs de performance ?</t>
  </si>
  <si>
    <t>Modèle de compte rendu, Tableau de bord des performances</t>
  </si>
  <si>
    <t>Absence d’indicateurs de suivi</t>
  </si>
  <si>
    <t>- Le propriétaire de l’application reçoit et valide ce compte rendu.</t>
  </si>
  <si>
    <t>Le propriétaire de l’application valide-t-il le compte rendu mensuel ?</t>
  </si>
  <si>
    <t>PV de validation, Liste des destinataires du rapport</t>
  </si>
  <si>
    <t>Décisions non prises sur la base d’informations validées</t>
  </si>
  <si>
    <t>- Des actions correctives sont proposées en cas d’anomalie.</t>
  </si>
  <si>
    <t>Des actions correctives sont-elles proposées dans les comptes rendus ?</t>
  </si>
  <si>
    <t>Plan d’actions correctives, Historique des corrections</t>
  </si>
  <si>
    <t>Non-prise en charge des anomalies identifiées</t>
  </si>
  <si>
    <t>- Les comptes rendus sont archivés pour référence future.</t>
  </si>
  <si>
    <t>Les comptes rendus sont-ils archivés et accessibles ?</t>
  </si>
  <si>
    <t>Registre des comptes rendus, Plateforme de stockage</t>
  </si>
  <si>
    <t>Perte d’historique et de traçabilité</t>
  </si>
  <si>
    <t>Un guide d’utilisateur est disponible et facile à comprendre.</t>
  </si>
  <si>
    <t>Un guide utilisateur est-il disponible ?</t>
  </si>
  <si>
    <t>Guide utilisateur, Manuel de prise en main</t>
  </si>
  <si>
    <t>Difficulté d’utilisation de l’application</t>
  </si>
  <si>
    <t>Il couvre les fonctionnalités principales de l’application.</t>
  </si>
  <si>
    <t>Le guide utilisateur couvre-t-il toutes les fonctionnalités principales ?</t>
  </si>
  <si>
    <t>Guide utilisateur, Liste des fonctionnalités</t>
  </si>
  <si>
    <t>Manque de compréhension des fonctionnalités</t>
  </si>
  <si>
    <t xml:space="preserve">Il est mis à jour à chaque changement majeur.  </t>
  </si>
  <si>
    <t>Le guide utilisateur est-il mis à jour après chaque évolution majeure ?</t>
  </si>
  <si>
    <t>Utilisation d’informations obsolètes</t>
  </si>
  <si>
    <t>Les nouveaux utilisateurs reçoivent une formation basée sur ce guide.</t>
  </si>
  <si>
    <t>Une formation basée sur le guide utilisateur est-elle dispensée aux nouveaux utilisateurs ?</t>
  </si>
  <si>
    <t>Plan de formation, Liste des participants aux formations</t>
  </si>
  <si>
    <t>Manque de compétences des nouveaux utilisateurs</t>
  </si>
  <si>
    <t>Le guide est accessible aux utilisateurs autorisés.</t>
  </si>
  <si>
    <t>L’accès au guide utilisateur est-il restreint aux utilisateurs concernés ?</t>
  </si>
  <si>
    <t>Accès non contrôlé au guide utilisateur</t>
  </si>
  <si>
    <t xml:space="preserve">Existence d'un système formalisé de gestion des accès </t>
  </si>
  <si>
    <t>Existe-t-il un système formalisé de gestion des accès ?</t>
  </si>
  <si>
    <t>Politique de sécurité des accès (document officiel)</t>
  </si>
  <si>
    <t>Non-conformité avec les standards de sécurité (ISO 27001, RGPD)</t>
  </si>
  <si>
    <t>Elevée</t>
  </si>
  <si>
    <t>Le système est activé et effectivement appliqué sur l'application</t>
  </si>
  <si>
    <t>Le système est-il activé et effectivement appliqué sur l'application?</t>
  </si>
  <si>
    <t xml:space="preserve">Preuve de configuration </t>
  </si>
  <si>
    <t>Accès non contrôlés exposant à des violations de données</t>
  </si>
  <si>
    <t>Les accès aux fonctions sensibles (données critiques, transactions) sont spécifiquement restreints</t>
  </si>
  <si>
    <t>Les accès aux fonctions sensibles (données critiques, transactions) sont-elles spécifiquement restreints?</t>
  </si>
  <si>
    <t>Matrice des droits (tableau des accès par rôle/métier)</t>
  </si>
  <si>
    <t>Fraude ou fuite de données critiques</t>
  </si>
  <si>
    <t xml:space="preserve">Les droits d'accès sont attribués en fonction des rôles et responsabilités des utilisateurs </t>
  </si>
  <si>
    <t>Les droits d'accès sont-ils attribués en fonction des rôles et responsabilités des utilisateurs ?</t>
  </si>
  <si>
    <t>Fiches de poste ou descriptions des responsabilités</t>
  </si>
  <si>
    <t>Privilèges excessifs (violation du principe de moindre privilège)</t>
  </si>
  <si>
    <t>Les révocations d'accès sont immédiates en cas de changement de poste ou de départ</t>
  </si>
  <si>
    <t>Les révocations d'accès sont-elles immédiates en cas de changement de poste ou de départ?</t>
  </si>
  <si>
    <t>Procédure de départ et journal des désactivations</t>
  </si>
  <si>
    <t>Accès résiduels exploités par d'anciens collaborateurs</t>
  </si>
  <si>
    <t>Existence d’une procédure écrite de gestion des profils utilisateurs</t>
  </si>
  <si>
    <t>Existe t-il une procédure écrite de gestion des profils utilisateurs?</t>
  </si>
  <si>
    <t>Manuel des procédures utilisateurs</t>
  </si>
  <si>
    <t>Incohérence dans la gestion des profils</t>
  </si>
  <si>
    <t>La procédure définit clairement les rôles et permissions associés</t>
  </si>
  <si>
    <t>La procédure définit-elle clairement les rôles et permissions associés?</t>
  </si>
  <si>
    <t xml:space="preserve">Arbre des rôles </t>
  </si>
  <si>
    <t>Attribution arbitraire des droits</t>
  </si>
  <si>
    <t>Les demandes de création/modification de profils suivent un processus formalisé</t>
  </si>
  <si>
    <t>Les demandes de création/modification de profils suivent-elles un processus formalisé?</t>
  </si>
  <si>
    <t xml:space="preserve">Formulaires de demande </t>
  </si>
  <si>
    <t>Création de profils non autorisés</t>
  </si>
  <si>
    <t>Les profils inactifs ou obsolètes sont régulièrement supprimés ou désactivés</t>
  </si>
  <si>
    <t>Les profils inactifs ou obsolètes sont-ils régulièrement supprimés ou désactivés?</t>
  </si>
  <si>
    <t>Rapport des comptes désactivés (historique 6 mois)</t>
  </si>
  <si>
    <t>Portes dérobées pour attaques (comptes zombies)</t>
  </si>
  <si>
    <t>Un suivi des modifications apportées aux profils est maintenu et auditable.</t>
  </si>
  <si>
    <t>Un suivi des modifications apportées aux profils est-il maintenu et auditable?</t>
  </si>
  <si>
    <t>Logs des changements (exports Active Directory/outil IAM)</t>
  </si>
  <si>
    <t>Impossible de tracer les changements frauduleux</t>
  </si>
  <si>
    <t>Chaque utilisateur possède un identifiant unique et personnel</t>
  </si>
  <si>
    <t>Chaque utilisateur possède t-il un identifiant unique et personnel?</t>
  </si>
  <si>
    <t>Liste des comptes actifs de l'application</t>
  </si>
  <si>
    <t>Impossible d'imputer les actions aux utilisateurs</t>
  </si>
  <si>
    <t>L’authentification requiert au moins un facteur robuste (mot de passe complexe, MFA, etc.)</t>
  </si>
  <si>
    <t>L’authentification requiert-il au moins un facteur robuste (mot de passe complexe, ,,.)?</t>
  </si>
  <si>
    <t>Preuve de configuration</t>
  </si>
  <si>
    <t>Compromission facile des comptes</t>
  </si>
  <si>
    <t>Les comptes génériques ou partagés sont interdits ou strictement contrôlés</t>
  </si>
  <si>
    <t>Les comptes génériques ou partagés sont-ils interdits ou strictement contrôlés?</t>
  </si>
  <si>
    <t>Audit des comptes (recherche de comptes génériques)</t>
  </si>
  <si>
    <t>Point d'entrée pour attaques internes</t>
  </si>
  <si>
    <t xml:space="preserve">Le système bloque les tentatives d’accès après plusieurs échecs d’authentification </t>
  </si>
  <si>
    <t xml:space="preserve">Le système bloque t-il  les tentatives d’accès après plusieurs échecs d’authentification? </t>
  </si>
  <si>
    <t>Paramètres de sécurité (seuil de verrouillage)</t>
  </si>
  <si>
    <t>Attaques par force brute possibles</t>
  </si>
  <si>
    <t>Les identifiants inactifs sont automatiquement désactivés après une période définie</t>
  </si>
  <si>
    <t>Les identifiants inactifs sont-ils automatiquement désactivés après une période définie?</t>
  </si>
  <si>
    <t>Politique d'inactivité et liste des comptes désactivés</t>
  </si>
  <si>
    <t>Réutilisation par des tiers malveillants</t>
  </si>
  <si>
    <t>Tous les identifiants actifs disposent d'un mot de passe enregistré</t>
  </si>
  <si>
    <t>Tous les identifiants actifs disposent-ils d'un mot de passe enregistré?</t>
  </si>
  <si>
    <t>Test de connexion (vérification sur échantillon)</t>
  </si>
  <si>
    <t>Accès sans authentification</t>
  </si>
  <si>
    <t>Les mots de passe répondent aux exigences de complexité définies</t>
  </si>
  <si>
    <t>Les mots de passe répondent-ils aux exigences de complexité définiesv</t>
  </si>
  <si>
    <t xml:space="preserve">Règles de sécurité </t>
  </si>
  <si>
    <t>Cassage facile des mots de passe</t>
  </si>
  <si>
    <t>Le stockage des mots de passe est chiffré et sécurisé</t>
  </si>
  <si>
    <t>Le stockage des mots de passe est-il chiffré et sécurisé?</t>
  </si>
  <si>
    <t>Preuve de hachage</t>
  </si>
  <si>
    <t>Fuite des credentials en clair</t>
  </si>
  <si>
    <t>La réinitialisation du mot de passe nécessite une validation sécurisée</t>
  </si>
  <si>
    <t>La réinitialisation du mot de passe nécessite t-il une validation sécurisée?</t>
  </si>
  <si>
    <t xml:space="preserve">Processus de reset </t>
  </si>
  <si>
    <t>Détournement de compte</t>
  </si>
  <si>
    <t>Les mots de passe sont renouvelés périodiquement selon la politique établie</t>
  </si>
  <si>
    <t>Les mots de passe sont-ils renouvelés périodiquement selon la politique établie?</t>
  </si>
  <si>
    <t>Historique des changements (logs de rotations)</t>
  </si>
  <si>
    <t>Mots de passe périmés toujours actifs</t>
  </si>
  <si>
    <t>Toutes les tentatives de connexion infructueuses sont enregistrées dans un fichier de logs dédié</t>
  </si>
  <si>
    <t>Toutes les tentatives de connexion infructueuses sont-elles enregistrées dans un fichier de logs dédié?</t>
  </si>
  <si>
    <t xml:space="preserve">Fichiers de logs </t>
  </si>
  <si>
    <t>Impossible de détecter les attaques</t>
  </si>
  <si>
    <t>Les logs contiennent systématiquement l'identifiant utilisé, l'horodatage et l'adresse IP source</t>
  </si>
  <si>
    <t>Les logs contiennent-ils systématiquement l'identifiant utilisé ?</t>
  </si>
  <si>
    <t>fichier de logs</t>
  </si>
  <si>
    <t>Investigation impossible après incident</t>
  </si>
  <si>
    <t>Un mécanisme de blocage temporaire est déclenché après X tentatives infructueuses consécutives</t>
  </si>
  <si>
    <t>Un mécanisme de blocage temporaire est-il déclenché après X tentatives infructueuses consécutives?</t>
  </si>
  <si>
    <t xml:space="preserve">Paramètres de verrouillage </t>
  </si>
  <si>
    <t>Attaques par dictionnaire facilitées</t>
  </si>
  <si>
    <t>Les logs des tentatives infructueuses sont conservés pendant une durée minimale de Y jours</t>
  </si>
  <si>
    <t>Les logs des tentatives infructueuses sont-ils conservés pendant une durée minimale de Y jours?</t>
  </si>
  <si>
    <t xml:space="preserve">Politique de rétention </t>
  </si>
  <si>
    <t>Non-conformité réglementaire</t>
  </si>
  <si>
    <t>Une alerte automatique est générée en cas de nombre anormal de tentatives infructueuses</t>
  </si>
  <si>
    <t>Une alerte automatique est-elle générée en cas de nombre anormal de tentatives infructueuses?</t>
  </si>
  <si>
    <t xml:space="preserve">Rapports d'alertes </t>
  </si>
  <si>
    <t>Détection tardive des intrusions</t>
  </si>
  <si>
    <t>S'assurer que les informations critiques sont accessibles aux parties prenantes concernées.</t>
  </si>
  <si>
    <t>Les informations critiques sont-elles accessibles aux parties prenantes concernées ?</t>
  </si>
  <si>
    <t>Politique de gestion des accès</t>
  </si>
  <si>
    <t>Accès non autorisé aux informations critiques</t>
  </si>
  <si>
    <t>Vérifier que les moyens de contrôle mis en place couvrent efficacement les risques identifiés.</t>
  </si>
  <si>
    <t>Les moyens de contrôle mis en place couvrent-ils efficacement les risques identifiés ?</t>
  </si>
  <si>
    <t>Cartographie des risques</t>
  </si>
  <si>
    <t>Risques non couverts pouvant impacter l’organisation</t>
  </si>
  <si>
    <t>Confirmer que les outils et ressources utilisés pour le contrôle sont adaptés aux besoins de l'organisation.</t>
  </si>
  <si>
    <t>Les outils et ressources utilisés pour le contrôle sont-ils adaptés aux besoins de l'organisation ?</t>
  </si>
  <si>
    <t>Inventaire des outils de contrôle</t>
  </si>
  <si>
    <t>Utilisation d’outils inadaptés entraînant des contrôles inefficaces</t>
  </si>
  <si>
    <t>Garantir que les processus de contrôle sont documentés et mis à jour régulièrement.</t>
  </si>
  <si>
    <t>Les processus de contrôle sont-ils documentés et mis à jour régulièrement ?</t>
  </si>
  <si>
    <t>Procédures de contrôle interne</t>
  </si>
  <si>
    <t>Procédures de contrôle obsolètes ou inexistantes</t>
  </si>
  <si>
    <t>Évaluer l'efficacité des contrôles en analysant les résultats et en identifiant d'éventuelles lacunes.</t>
  </si>
  <si>
    <t>L’efficacité des contrôles est-elle évaluée à travers l’analyse des résultats et l’identification des lacunes ?</t>
  </si>
  <si>
    <t>Rapports d’audit interne</t>
  </si>
  <si>
    <t>Détection tardive des failles de contrôle</t>
  </si>
  <si>
    <t>Confirmer que les utilisateurs effectuent des vérifications sur les états de sortie avant leur utilisation.</t>
  </si>
  <si>
    <t>Les utilisateurs effectuent-ils des vérifications sur les états de sortie avant leur utilisation ?</t>
  </si>
  <si>
    <t>Journal des vérifications utilisateur</t>
  </si>
  <si>
    <t>Utilisation de données erronées en raison d’un manque de vérification</t>
  </si>
  <si>
    <t>Vérifier la traçabilité des contrôles réalisés par les utilisateurs.</t>
  </si>
  <si>
    <t>Existe-t-il une traçabilité des contrôles réalisés par les utilisateurs ?</t>
  </si>
  <si>
    <t>Logs d’audit des systèmes</t>
  </si>
  <si>
    <t>Absence de traçabilité rendant difficile l’identification des erreurs</t>
  </si>
  <si>
    <t>S'assurer que des actions correctives sont mises en place en cas d'erreur détectée.</t>
  </si>
  <si>
    <t>Des actions correctives sont-elles mises en place en cas d'erreur détectée ?</t>
  </si>
  <si>
    <t>Registre des anomalies et corrections</t>
  </si>
  <si>
    <t>Non-correction des erreurs pouvant entraîner des impacts financiers ou opérationnels</t>
  </si>
  <si>
    <t>Évaluer la formation des utilisateurs sur les contrôles à effectuer.</t>
  </si>
  <si>
    <t>Les utilisateurs sont-ils formés aux contrôles à effectuer ?</t>
  </si>
  <si>
    <t>Registre des formations</t>
  </si>
  <si>
    <t>Manque de compétences des utilisateurs sur les contrôles à effectuer</t>
  </si>
  <si>
    <t>Vérifier que les outils utilisés pour la vérification des états de sortie sont adaptés et performants.</t>
  </si>
  <si>
    <t>Les outils utilisés pour la vérification des états de sortie sont-ils adaptés et performants ?</t>
  </si>
  <si>
    <t>Rapports de performance des outils</t>
  </si>
  <si>
    <t>Faible fiabilité des outils de vérification entraînant des erreurs non détectées</t>
  </si>
  <si>
    <t>Vérifier l'existence de procédures documentées de validation des résultats.</t>
  </si>
  <si>
    <t>Existe-t-il des procédures documentées de validation des résultats ?</t>
  </si>
  <si>
    <t>Manuel des procédures</t>
  </si>
  <si>
    <t>Absence de validation des résultats pouvant fausser les décisions</t>
  </si>
  <si>
    <t>S'assurer que ces procédures sont appliquées de manière systématique.</t>
  </si>
  <si>
    <t>Ces procédures sont-elles appliquées de manière systématique ?</t>
  </si>
  <si>
    <t>Journal des validations effectuées</t>
  </si>
  <si>
    <t>Procédures de validation non appliquées, compromettant la qualité des données</t>
  </si>
  <si>
    <t>Confirmer que les validations sont effectuées par des personnes autorisées.</t>
  </si>
  <si>
    <t>Les validations sont-elles effectuées par des personnes autorisées ?</t>
  </si>
  <si>
    <t>Liste des personnes habilitées</t>
  </si>
  <si>
    <t>Validations effectuées par des personnes non autorisées, augmentant le risque d’erreurs</t>
  </si>
  <si>
    <t>Vérifier que les résultats validés sont archivés de manière sécurisée.</t>
  </si>
  <si>
    <t>Les résultats validés sont-ils archivés de manière sécurisée ?</t>
  </si>
  <si>
    <t>Politique d’archivage</t>
  </si>
  <si>
    <t>Perte ou falsification des résultats validés</t>
  </si>
  <si>
    <t>Évaluer l'efficacité des procédures à travers des tests ou des simulations.</t>
  </si>
  <si>
    <t>L’efficacité des procédures est-elle évaluée à travers des tests ou des simulations ?</t>
  </si>
  <si>
    <t>Rapports de tests</t>
  </si>
  <si>
    <t>Procédures inefficaces ne permettant pas d’identifier les anomalies</t>
  </si>
  <si>
    <t>Vérifier l'existence de mécanismes de contrôle garantissant l'intégrité des données transmises.</t>
  </si>
  <si>
    <t>Des mécanismes de contrôle garantissent-ils l'intégrité des données transmises ?</t>
  </si>
  <si>
    <t>Documentation des mécanismes de validation des données</t>
  </si>
  <si>
    <t>Altération ou perte de données lors des transmissions</t>
  </si>
  <si>
    <t>S'assurer que les données transmises entre modules ne subissent pas de perte ou d'altération.</t>
  </si>
  <si>
    <t>Les données transmises entre modules subissent-elles une perte ou une altération ?</t>
  </si>
  <si>
    <t>Rapports de comparaison avant/après transmission</t>
  </si>
  <si>
    <t>Transmission incomplète ou corrompue des données entre modules</t>
  </si>
  <si>
    <t>Vérifier que des mécanismes de journalisation et de traçabilité des échanges existent.</t>
  </si>
  <si>
    <t>Des mécanismes de journalisation et de traçabilité des échanges existent-ils ?</t>
  </si>
  <si>
    <t>Logs de transaction</t>
  </si>
  <si>
    <t>Absence de journalisation empêchant la traçabilité des échanges</t>
  </si>
  <si>
    <t>Évaluer la gestion des erreurs en cas d'incohérence des données.</t>
  </si>
  <si>
    <t>La gestion des erreurs en cas d'incohérence des données est-elle efficace ?</t>
  </si>
  <si>
    <t>Registre des erreurs et incidents</t>
  </si>
  <si>
    <t>Données erronées non détectées à temps</t>
  </si>
  <si>
    <t>Confirmer que des tests réguliers sont réalisés pour garantir l’exactitude des transmissions.</t>
  </si>
  <si>
    <t>Des tests réguliers sont-ils réalisés pour garantir l’exactitude des transmissions ?</t>
  </si>
  <si>
    <t>Planning des tests</t>
  </si>
  <si>
    <t>Défauts non corrigés entraînant des décisions basées sur des informations incorrectes</t>
  </si>
  <si>
    <t>Vérifier l'existence d'une documentation détaillée pour le développement et l’exploitation.</t>
  </si>
  <si>
    <t>Existe-t-il une documentation détaillée pour le développement et l’exploitation ?</t>
  </si>
  <si>
    <t>Documentation technique de l’application</t>
  </si>
  <si>
    <t>Manque de documentation entraînant des difficultés de maintenance et d’exploitation</t>
  </si>
  <si>
    <t>S'assurer que les modifications et mises à jour sont bien suivies et validées.</t>
  </si>
  <si>
    <t>Les modifications et mises à jour sont-elles bien suivies et validées ?</t>
  </si>
  <si>
    <t>Registre des modifications</t>
  </si>
  <si>
    <t>Changements non maîtrisés pouvant générer des dysfonctionnements</t>
  </si>
  <si>
    <t>Confirmer que les rôles et responsabilités des intervenants sont définis et respectés.</t>
  </si>
  <si>
    <t>Les rôles et responsabilités des intervenants sont-ils définis et respectés ?</t>
  </si>
  <si>
    <t>Organigramme des responsabilités</t>
  </si>
  <si>
    <t>Absence de définition des responsabilités entraînant une mauvaise répartition des tâches</t>
  </si>
  <si>
    <t>Vérifier la mise en place d’un processus de gestion des incidents et des anomalies.</t>
  </si>
  <si>
    <t>Un processus de gestion des incidents et des anomalies est-il mis en place ?</t>
  </si>
  <si>
    <t>Non-traitement des incidents pouvant perturber l’activité</t>
  </si>
  <si>
    <t>S'assurer que des audits internes ou revues régulières sont réalisés pour garantir le suivi et la documentation.</t>
  </si>
  <si>
    <t>Des audits internes ou revues régulières sont-ils réalisés pour garantir le suivi et la documentation ?</t>
  </si>
  <si>
    <t>Plan d’audit interne</t>
  </si>
  <si>
    <t>Manque d’audits internes favorisant la persistance des failles et des erreurs</t>
  </si>
  <si>
    <t>Les responsabilités des différents utilisateurs sont distinctes et clairement attribuées.</t>
  </si>
  <si>
    <t>Les responsabilités des utilisateurs sont-elles clairement définies ?</t>
  </si>
  <si>
    <t>Organigramme des responsabilités, Fiches de poste</t>
  </si>
  <si>
    <t>Confusion des rôles et responsabilités</t>
  </si>
  <si>
    <t>- Il existe un mécanisme de contrôle empêchant les conflits d’intérêt dans les tâches critiques.</t>
  </si>
  <si>
    <t>Un contrôle empêche-t-il les conflits d’intérêts ?</t>
  </si>
  <si>
    <t>Matrice de séparation des tâches, Rapport d’audit interne</t>
  </si>
  <si>
    <t>Risque de fraude interne</t>
  </si>
  <si>
    <t>- Les accès aux environnements de développement, test et production sont bien séparés.</t>
  </si>
  <si>
    <t>Les accès aux environnements sont-ils strictement séparés ?</t>
  </si>
  <si>
    <t>Politique de gestion des accès, Liste des utilisateurs autorisés</t>
  </si>
  <si>
    <t>Risque d’erreurs en production</t>
  </si>
  <si>
    <t>- Toute modification des droits est soumise à une validation formelle.</t>
  </si>
  <si>
    <t>Une validation formelle est-elle requise pour modifier les droits ?</t>
  </si>
  <si>
    <t>Procédure de gestion des accès, Journal des modifications</t>
  </si>
  <si>
    <t>Risque d’accès non autorisé</t>
  </si>
  <si>
    <t>- Un audit périodique des rôles et responsabilités est réalisé pour éviter les abus</t>
  </si>
  <si>
    <t>Un audit des rôles et responsabilités est-il réalisé régulièrement ?</t>
  </si>
  <si>
    <t>Rapport d’audit des rôles, Liste des accès autorisés</t>
  </si>
  <si>
    <t>Risque d’abus de privilèges</t>
  </si>
  <si>
    <t>Un registre des versions de l’application est tenu à jour.</t>
  </si>
  <si>
    <t>Un registre des versions est-il maintenu à jour ?</t>
  </si>
  <si>
    <t>Registre des versions, Plan de mise en production</t>
  </si>
  <si>
    <t>Risque de déploiement non maîtrisé</t>
  </si>
  <si>
    <t>- Chaque mise à jour fait l’objet d’une validation avant déploiement en production.</t>
  </si>
  <si>
    <t>Les mises à jour sont-elles validées avant leur déploiement ?</t>
  </si>
  <si>
    <t>Procédure de validation, PV de recette</t>
  </si>
  <si>
    <t>Risque d’introduction de bugs en production</t>
  </si>
  <si>
    <t>- Les tests de non-régression sont réalisés systématiquement avant la mise en service.</t>
  </si>
  <si>
    <t>Les tests de non-régression sont-ils effectués avant chaque mise en production ?</t>
  </si>
  <si>
    <t>Cahier de tests, Rapports de tests</t>
  </si>
  <si>
    <t>Risque de régression fonctionnelle</t>
  </si>
  <si>
    <t>- Une communication est faite aux utilisateurs sur les changements apportés par chaque version.</t>
  </si>
  <si>
    <t>Les utilisateurs sont-ils informés des changements après chaque mise à jour ?</t>
  </si>
  <si>
    <t>Notes de version, Emails de communication</t>
  </si>
  <si>
    <t>Mauvaise adoption des nouvelles fonctionnalités</t>
  </si>
  <si>
    <t>- Un mécanisme de suivi des anomalies post-déploiement est en place</t>
  </si>
  <si>
    <t>Existe-t-il un suivi des anomalies après déploiement ?</t>
  </si>
  <si>
    <t>Registre des anomalies, Plan d’actions correctives</t>
  </si>
  <si>
    <t>Risque d’anomalies non corrigées</t>
  </si>
  <si>
    <t>Une documentation technique détaillant l’architecture et les fonctionnalités est disponible.</t>
  </si>
  <si>
    <t>Une documentation technique est-elle disponible ?</t>
  </si>
  <si>
    <t>Documentation technique, Schéma d’architecture</t>
  </si>
  <si>
    <t>Manque de compréhension des systèmes</t>
  </si>
  <si>
    <t>- Le guide utilisateur est mis à jour après chaque évolution majeure.</t>
  </si>
  <si>
    <t>Le guide utilisateur est-il mis à jour après chaque mise à jour ?</t>
  </si>
  <si>
    <t>Historique des mises à jour, Guide utilisateur</t>
  </si>
  <si>
    <t>- Les procédures de configuration et d’installation sont clairement définies.</t>
  </si>
  <si>
    <t>Les procédures de configuration et d’installation sont-elles documentées ?</t>
  </si>
  <si>
    <t>Manuel d’installation, Guide de configuration</t>
  </si>
  <si>
    <t>Risque d’erreur lors de l’installation</t>
  </si>
  <si>
    <t>- Les documents sont accessibles aux parties prenantes autorisées.</t>
  </si>
  <si>
    <t>L’accès à la documentation est-il restreint aux parties prenantes concernées ?</t>
  </si>
  <si>
    <t>Liste des accès documentaires, Registre des accès</t>
  </si>
  <si>
    <t>Risque de fuite d’informations sensibles</t>
  </si>
  <si>
    <t>- Un responsable est désigné pour assurer la mise à jour régulière de la documentation.</t>
  </si>
  <si>
    <t>Un responsable est-il désigné pour mettre à jour la documentation ?</t>
  </si>
  <si>
    <t>Liste des responsables, Plan de mise à jour documentaire</t>
  </si>
  <si>
    <t>Risque de documentation obsolète</t>
  </si>
  <si>
    <t>Un processus formalisé de gestion des incidents est défini et accessible.</t>
  </si>
  <si>
    <t>Existe-t-il un processus de gestion des incidents formalisé et accessible ?</t>
  </si>
  <si>
    <t>Plan de gestion des incidents, Procédure de signalement</t>
  </si>
  <si>
    <t>Risque de gestion inefficace des incidents</t>
  </si>
  <si>
    <t>- Les incidents sont enregistrés et suivis avec des actions correctives.</t>
  </si>
  <si>
    <t>Les incidents sont-ils enregistrés et font-ils l’objet d’un suivi ?</t>
  </si>
  <si>
    <t>Registre des incidents, Plan d’actions correctives</t>
  </si>
  <si>
    <t>Risque de répétition des incidents</t>
  </si>
  <si>
    <t>- Les utilisateurs savent comment signaler un incident grâce à une procédure claire.</t>
  </si>
  <si>
    <t>Une procédure claire de signalement d’incidents est-elle disponible pour les utilisateurs ?</t>
  </si>
  <si>
    <t>Manuel de gestion des incidents, Formulaire de signalement</t>
  </si>
  <si>
    <t>Mauvaise gestion des incidents</t>
  </si>
  <si>
    <t>- Un plan de gestion des urgences est disponible et testé régulièrement.</t>
  </si>
  <si>
    <t>Un plan de gestion des urgences est-il en place et testé régulièrement ?</t>
  </si>
  <si>
    <t>Plan de gestion des urgences, Rapports de tests</t>
  </si>
  <si>
    <t>Mauvaise réaction en cas de crise</t>
  </si>
  <si>
    <t>- Un rapport périodique des incidents est généré pour analyse et amélioration.</t>
  </si>
  <si>
    <t>Un rapport périodique des incidents est-il produit ?</t>
  </si>
  <si>
    <t>Registre des incidents, Rapport d’analyse des incidents</t>
  </si>
  <si>
    <t>Absence d’amélioration continue</t>
  </si>
  <si>
    <t>Un manuel d’exploitation précisant les tâches quotidiennes et périodiques est disponible.</t>
  </si>
  <si>
    <t>Un manuel d’exploitation décrivant les tâches quotidiennes et périodiques est-il disponible ?</t>
  </si>
  <si>
    <t>Manuel d’exploitation, Procédure des opérations</t>
  </si>
  <si>
    <t>Risque d’erreur dans l’exploitation</t>
  </si>
  <si>
    <t>- Les procédures de démarrage, d’arrêt et de reprise en cas d’incident sont bien définies.</t>
  </si>
  <si>
    <t>Les procédures de démarrage, d’arrêt et de reprise sont-elles documentées ?</t>
  </si>
  <si>
    <t>Manuel des procédures, Guide de reprise d’activité</t>
  </si>
  <si>
    <t>Risque de perturbation prolongée</t>
  </si>
  <si>
    <t>- L’exploitation de l’application suit des consignes écrites et validées.</t>
  </si>
  <si>
    <t>Les consignes d’exploitation sont-elles bien définies et validées ?</t>
  </si>
  <si>
    <t>Guide d’exploitation, Procédures validées</t>
  </si>
  <si>
    <t>Risque d’exploitation non maîtrisée</t>
  </si>
  <si>
    <t>- Les intervenants techniques connaissent et appliquent ces procédures.</t>
  </si>
  <si>
    <t>Les intervenants techniques sont-ils formés aux procédures ?</t>
  </si>
  <si>
    <t>Plan de formation, Liste des formations suivies</t>
  </si>
  <si>
    <t>Risque d’erreurs d’exploitation</t>
  </si>
  <si>
    <t>- Un mécanisme de mise à jour de la documentation est en place.</t>
  </si>
  <si>
    <t>Existe-t-il un mécanisme de mise à jour de la documentation ?</t>
  </si>
  <si>
    <t>Procédure de mise à jour, Historique des révisions</t>
  </si>
  <si>
    <t>Risque d’informations obsolètes</t>
  </si>
  <si>
    <t>Des indicateurs de performance sont définis et suivis régulièrement.</t>
  </si>
  <si>
    <t>Les indicateurs de performance sont-ils définis et suivis ?</t>
  </si>
  <si>
    <t>Tableau de bord de performance, Rapport de suivi</t>
  </si>
  <si>
    <t>Manque de visibilité sur la performance</t>
  </si>
  <si>
    <t>- Les tableaux de bord sont mis à jour avec des données précises et fiables.</t>
  </si>
  <si>
    <t>Registre des mises à jour, Données de performance</t>
  </si>
  <si>
    <t>Mauvaise prise de décision</t>
  </si>
  <si>
    <t>- Les écarts par rapport aux objectifs de service sont identifiés et analysés.</t>
  </si>
  <si>
    <t>Les écarts de performance sont-ils identifiés et analysés ?</t>
  </si>
  <si>
    <t>Analyse des écarts, Plan de correction</t>
  </si>
  <si>
    <t>- Des mesures correctives sont mises en place en cas de non-respect des niveaux de service.</t>
  </si>
  <si>
    <t>Un plan de sauvegarde est-il défini et documenté ?</t>
  </si>
  <si>
    <t>Plan de sauvegarde, Procédures de restauration</t>
  </si>
  <si>
    <t>Perte de données en cas d’incident</t>
  </si>
  <si>
    <t>- La direction est informée périodiquement des performances de l’application.</t>
  </si>
  <si>
    <t>Les sauvegardes sont-elles réalisées selon un calendrier établi ?</t>
  </si>
  <si>
    <t>Journal des sauvegardes, Planification des tâches</t>
  </si>
  <si>
    <t>Risque de perte de données critiques</t>
  </si>
  <si>
    <t>Un plan de sauvegarde définissant la fréquence et le périmètre est documenté.</t>
  </si>
  <si>
    <t>Des tests de restauration sont-ils réalisés régulièrement ?</t>
  </si>
  <si>
    <t>Rapports de tests de restauration, Journal des opérations</t>
  </si>
  <si>
    <t>Risque de sauvegarde inutilisable</t>
  </si>
  <si>
    <t>- Les sauvegardes sont effectuées conformément au calendrier établi.</t>
  </si>
  <si>
    <t>Les sauvegardes sont-elles stockées en toute sécurité ?</t>
  </si>
  <si>
    <t>Registre des accès, Politique de sécurité des sauvegardes</t>
  </si>
  <si>
    <t>Risque de compromission des sauvegardes</t>
  </si>
  <si>
    <t>- Les tests de restauration sont réalisés régulièrement pour vérifier l’intégrité des sauvegardes.</t>
  </si>
  <si>
    <t>es sauvegardes sont stockées en toute sécurité et protégées contre les accès non autorisés</t>
  </si>
  <si>
    <t>Les sauvegardes sont-elles stockées de manière sécurisée ?</t>
  </si>
  <si>
    <t>Registre des accès aux sauvegardes, Politique de stockage sécurisé</t>
  </si>
  <si>
    <t>Un suivi des sauvegardes est assuré avec des journaux d’exécution consultables.</t>
  </si>
  <si>
    <t>Un suivi des sauvegardes est-il mis en place et documenté ?</t>
  </si>
  <si>
    <t>Journal d’exécution des sauvegardes, Plan de supervision des sauvegardes</t>
  </si>
  <si>
    <t>Risque de perte de données non détectée</t>
  </si>
  <si>
    <t>Existence de règles d'accès définies pour les commandes système et les ressources critiques</t>
  </si>
  <si>
    <t>Les technologies adoptées sont-elles en adéquation avec les objectifs stratégiques ?</t>
  </si>
  <si>
    <t>Plan stratégique SI, analyse des besoins</t>
  </si>
  <si>
    <t>Technologies non alignées avec les objectifs de l'organisation</t>
  </si>
  <si>
    <t>Mise en place d’une authentification forte pour les utilisateurs ayant accès aux bases de données de production</t>
  </si>
  <si>
    <t>Une authentification forte est-elle mise en place pour les utilisateurs ayant accès aux bases de données de production ?</t>
  </si>
  <si>
    <t>Politique de gestion des accès, architecture de sécurité</t>
  </si>
  <si>
    <t>Accès non sécurisé aux données de production, risque de compromission</t>
  </si>
  <si>
    <t>Contrôle régulier des accès afin de s’assurer que seuls les utilisateurs autorisés peuvent accéder aux ressources sensibles</t>
  </si>
  <si>
    <t>Les accès aux ressources sensibles sont-ils contrôlés régulièrement pour s’assurer que seuls les utilisateurs autorisés y ont accès ?</t>
  </si>
  <si>
    <t>Procédures de contrôle d'accès, journaux d'audit</t>
  </si>
  <si>
    <t>Accès non autorisés aux ressources sensibles, risque de fraude et d'erreurs</t>
  </si>
  <si>
    <t>Suivi de la gestion des privilèges d’accès pour garantir que les permissions sont attribuées en fonction des rôles et responsabilités</t>
  </si>
  <si>
    <t>La gestion des privilèges d’accès est-elle suivie afin de garantir que les permissions attribuées correspondent aux rôles et responsabilités des utilisateurs ?</t>
  </si>
  <si>
    <t>Politique de gestion des accès, matrice des rôles et responsabilités</t>
  </si>
  <si>
    <t>Attribution de privilèges inappropriés, risque d'accès excessif</t>
  </si>
  <si>
    <t>Révision périodique des accès pour s'assurer qu'aucune personne non autorisée ne bénéficie d'un accès aux systèmes critiques</t>
  </si>
  <si>
    <t>Une révision périodique des accès est-elle effectuée pour éviter que des personnes non autorisées bénéficient d’un accès aux systèmes critiques ?</t>
  </si>
  <si>
    <t>Procédures de revue des accès, rapports de revue</t>
  </si>
  <si>
    <t>Maintien d'accès non nécessaires, risque d'utilisation abusive des systèmes</t>
  </si>
  <si>
    <t>Vérification de l’existence d’un schéma directeur du système d’information qui définit clairement les objectifs et les orientations du SI</t>
  </si>
  <si>
    <t>Un schéma directeur du système d’information existe-t-il et définit-il clairement les objectifs et les orientations du SI ?</t>
  </si>
  <si>
    <t>Schéma directeur du système d’information</t>
  </si>
  <si>
    <t>Schéma directeur non conforme aux objectifs stratégiques.</t>
  </si>
  <si>
    <t>Évaluation de la mise à jour régulière du schéma directeur pour tenir compte des évolutions technologiques et des besoins de l’entreprise</t>
  </si>
  <si>
    <t>Le schéma directeur est-il mis à jour régulièrement pour tenir compte des évolutions technologiques et des besoins de l’entreprise ?</t>
  </si>
  <si>
    <t>Schéma directeur obsolète ou non mis à jour régulièrement.</t>
  </si>
  <si>
    <t>Contrôle de la validation du schéma directeur par les parties prenantes concernées, notamment la direction et les responsables de l’IT</t>
  </si>
  <si>
    <t>Le schéma directeur est-il validé par les parties prenantes concernées, notamment la direction et les responsables de l’IT ?</t>
  </si>
  <si>
    <t>Non-validation du schéma directeur par les parties prenantes clés.</t>
  </si>
  <si>
    <t>Vérification de l’alignement du schéma directeur avec la stratégie globale de l’entreprise et ses objectifs à long terme</t>
  </si>
  <si>
    <t>Le schéma directeur est-il aligné avec la stratégie globale de l’entreprise et ses objectifs à long terme ?</t>
  </si>
  <si>
    <t>Alignement stratégique insuffisant entre le schéma directeur et la stratégie de l'entreprise.</t>
  </si>
  <si>
    <t>Suivi de la documentation associée au schéma directeur pour s'assurer qu’elle est complète et facilement accessible pour les audits et les évaluations internes</t>
  </si>
  <si>
    <t>La documentation associée au schéma directeur est-elle complète et facilement accessible pour les audits et les évaluations internes ?</t>
  </si>
  <si>
    <t>Manuel des procédures de la DSI</t>
  </si>
  <si>
    <t>Documentation inaccessible ou incomplète pour les audits et évaluations internes.</t>
  </si>
  <si>
    <t>Vérification de l’existence d’une analyse formelle de l’alignement stratégique de l’application avec les objectifs de l’entreprise</t>
  </si>
  <si>
    <t>Une analyse formelle de l’alignement stratégique de l’application avec les objectifs de l’entreprise existe-t-elle ?</t>
  </si>
  <si>
    <t>Analyse stratégique non formalisée.</t>
  </si>
  <si>
    <t>Évaluation de la prise en compte des besoins actuels et futurs de l’entreprise dans l’évaluation de l’alignement stratégique</t>
  </si>
  <si>
    <t>L’évaluation de l’alignement stratégique prend-elle en compte les besoins actuels et futurs de l’entreprise ?</t>
  </si>
  <si>
    <t>Évaluation de l’alignement stratégique négligeant les besoins futurs.</t>
  </si>
  <si>
    <t>Contrôle de la participation des parties prenantes clés de l’entreprise dans le processus d’évaluation de l’alignement stratégique</t>
  </si>
  <si>
    <t>Les parties prenantes clés de l’entreprise participent-elles au processus d’évaluation de l’alignement stratégique ?</t>
  </si>
  <si>
    <t>Comptes rendus des comités ou groupes de travail</t>
  </si>
  <si>
    <t>Manque d'implication des parties prenantes clés dans l’évaluation de l’alignement stratégique.</t>
  </si>
  <si>
    <t>Vérification de l’intégration des résultats de l’évaluation dans la planification et l’amélioration continue des systèmes</t>
  </si>
  <si>
    <t>Les résultats de l’évaluation de l’alignement stratégique sont-ils intégrés dans la planification et l’amélioration continue des systèmes ?</t>
  </si>
  <si>
    <t>Résultats de l’évaluation stratégique non intégrés dans l’amélioration continue des systèmes.</t>
  </si>
  <si>
    <t>Analyse de l’impact de l’alignement stratégique sur les décisions prises concernant l’évolution de l’application et de ses fonctionnalités</t>
  </si>
  <si>
    <t>L’alignement stratégique influence-t-il les décisions prises concernant l’évolution de l’application et de ses fonctionnalités ?</t>
  </si>
  <si>
    <t>Absence de prise en compte de l’alignement stratégique dans les décisions d’évolution des applications.</t>
  </si>
  <si>
    <t>Vérification de la clarté des spécifications fonctionnelles et techniques définissant les critères de choix de la solution</t>
  </si>
  <si>
    <t>Les spécifications fonctionnelles et techniques définissant les critères de choix de la solution sont-elles clairement établies ?</t>
  </si>
  <si>
    <t>Cahier des charges</t>
  </si>
  <si>
    <t>Spécifications fonctionnelles et techniques peu claires ou insuffisantes.</t>
  </si>
  <si>
    <t>Évaluation de la rigueur du processus de sélection de la solution en fonction des critères de performance, de coût et d’adéquation avec les besoins de l’entreprise</t>
  </si>
  <si>
    <t>Le processus de sélection de la solution est-il rigoureux et basé sur des critères de performance, de coût et d’adéquation avec les besoins de l’entreprise ?</t>
  </si>
  <si>
    <t>Processus de sélection de la solution non rigoureux, basé sur des critères imprécis.</t>
  </si>
  <si>
    <t>Contrôle de la validation des spécifications et des critères par les parties prenantes concernées, incluant les utilisateurs finaux et les équipes techniques</t>
  </si>
  <si>
    <t>Les spécifications et critères de sélection sont-ils validés par les parties prenantes concernées, incluant les utilisateurs finaux et les équipes techniques ?</t>
  </si>
  <si>
    <t>Absence de validation des spécifications et critères de sélection par les parties prenantes.</t>
  </si>
  <si>
    <t>Vérification de la prise en compte de l’analyse des risques et des impacts dans la définition des spécifications et des critères de sélection</t>
  </si>
  <si>
    <t>L’analyse des risques et des impacts a-t-elle été prise en compte dans la définition des spécifications et des critères de sélection ?</t>
  </si>
  <si>
    <t>Analyse des risques</t>
  </si>
  <si>
    <t>Analyse des risques négligée dans la définition des critères de sélection.</t>
  </si>
  <si>
    <t>Examen de la traçabilité et de la transparence dans le processus de décision concernant le choix de la solution</t>
  </si>
  <si>
    <t>Le processus de décision concernant le choix de la solution est-il traçable et transparent ?</t>
  </si>
  <si>
    <t>Processus de décision opaque ou difficilement traçable.</t>
  </si>
  <si>
    <t>Vérification de la documentation des tâches des utilisateurs dans l’application, avec une description claire de leurs rôles et responsabilités</t>
  </si>
  <si>
    <t>La documentation des tâches des utilisateurs dans l’application décrit-elle clairement leurs rôles et responsabilités ?</t>
  </si>
  <si>
    <t>Manuel des utilisateurs</t>
  </si>
  <si>
    <t>Documentation des tâches des utilisateurs insuffisante ou imprécise.</t>
  </si>
  <si>
    <t>Évaluation de l’adéquation des tâches définies avec les compétences et les besoins réels des utilisateurs dans l’application</t>
  </si>
  <si>
    <t>Les tâches définies dans l’application sont-elles en adéquation avec les compétences et les besoins réels des utilisateurs ?</t>
  </si>
  <si>
    <t>Inadéquation des tâches des utilisateurs avec leurs compétences et besoins.</t>
  </si>
  <si>
    <t>Contrôle de la communication et de la formation des utilisateurs concernant leurs tâches dans l’application</t>
  </si>
  <si>
    <t>Une communication et une formation adaptées sont-elles mises en place pour informer les utilisateurs de leurs tâches dans l’application ?</t>
  </si>
  <si>
    <t>Plan de formation</t>
  </si>
  <si>
    <t>Absence de formation et de communication adaptées aux utilisateurs.</t>
  </si>
  <si>
    <t>Suivi de la mise à jour des tâches des utilisateurs en fonction de l’évolution des processus métier et des fonctionnalités de l’application</t>
  </si>
  <si>
    <t>Les tâches des utilisateurs sont-elles mises à jour en fonction de l’évolution des processus métier et des fonctionnalités de l’application ?</t>
  </si>
  <si>
    <t>Mise à jour irrégulière des tâches des utilisateurs en fonction de l'évolution des processus métier.</t>
  </si>
  <si>
    <t>Analyse de la gestion des accès et des permissions des utilisateurs pour s’assurer qu’ils ont bien les droits nécessaires pour accomplir leurs tâches efficacement</t>
  </si>
  <si>
    <t>La gestion des accès et des permissions des utilisateurs garantit-elle qu’ils disposent des droits nécessaires pour accomplir leurs tâches efficacement ?</t>
  </si>
  <si>
    <t>Matrice des autorisations/droits d’accès</t>
  </si>
  <si>
    <t>Gestion des accès non optimale, entraînant des droits excessifs ou insuffisants pour certains utilisateurs.</t>
  </si>
  <si>
    <t>Vérification de l’existence de systèmes parallèles actifs qui assurent la continuité des services en cas de défaillance d’un système principal</t>
  </si>
  <si>
    <t>Des systèmes parallèles actifs existent-ils pour assurer la continuité des services en cas de défaillance d’un système principal ?</t>
  </si>
  <si>
    <t>Plan de continuité des activités</t>
  </si>
  <si>
    <t>Systèmes parallèles inefficaces ou inexistants pour garantir la continuité des services.</t>
  </si>
  <si>
    <t>Évaluation de l’efficacité des systèmes parallèles dans la gestion des risques liés à la disponibilité des services</t>
  </si>
  <si>
    <t>Les systèmes parallèles sont-ils efficaces dans la gestion des risques liés à la disponibilité des services ?</t>
  </si>
  <si>
    <t>Non-efficacité des systèmes parallèles dans la gestion des risques liés à la disponibilité.</t>
  </si>
  <si>
    <t>Contrôle de l’intégration des systèmes parallèles dans la stratégie globale de continuité des activités et de reprise après sinistre</t>
  </si>
  <si>
    <t>L’intégration des systèmes parallèles fait-elle partie de la stratégie globale de continuité des activités et de reprise après sinistre ?</t>
  </si>
  <si>
    <t>Absence d’intégration des systèmes parallèles dans la stratégie de continuité des activités.</t>
  </si>
  <si>
    <t>Vérification de la mise à jour régulière des systèmes parallèles pour garantir qu’ils sont capables de prendre en charge les opérations critiques</t>
  </si>
  <si>
    <t>Les systèmes parallèles sont-ils mis à jour régulièrement pour garantir leur capacité à prendre en charge les opérations critiques ?</t>
  </si>
  <si>
    <t>Systèmes parallèles non mis à jour pour garantir la prise en charge des opérations critiques.</t>
  </si>
  <si>
    <t>Examen des tests effectués pour s’assurer que les systèmes parallèles fonctionnent correctement et qu’ils répondent aux exigences de disponibilité et de performance</t>
  </si>
  <si>
    <t>Des tests sont-ils effectués pour s’assurer que les systèmes parallèles fonctionnent correctement et répondent aux exigences de disponibilité et de performance ?</t>
  </si>
  <si>
    <t>Plan de reprise des activités</t>
  </si>
  <si>
    <t>Absence de tests réguliers pour s’assurer de l’efficacité des systèmes parallèles.</t>
  </si>
  <si>
    <t>Vérification de l’existence d’une évaluation formelle des besoins des utilisateurs dans le cadre du développement ou de la mise à jour de l’application</t>
  </si>
  <si>
    <t>Une évaluation formelle des besoins des utilisateurs est-elle réalisée lors du développement ou de la mise à jour de l’application ?</t>
  </si>
  <si>
    <t>Enquête de satisfaction des utilisateurs</t>
  </si>
  <si>
    <t>Manque d’évaluation formelle des besoins des utilisateurs dans le développement ou la mise à jour de l’application.</t>
  </si>
  <si>
    <t>Évaluation de la prise en compte des retours des utilisateurs dans le processus d’amélioration continue de l’application</t>
  </si>
  <si>
    <t>Les retours des utilisateurs sont-ils pris en compte dans le processus d’amélioration continue de l’application ?</t>
  </si>
  <si>
    <t>Retours des utilisateurs négligés dans le processus d’amélioration continue.</t>
  </si>
  <si>
    <t>Contrôle de la fréquence de l’évaluation pour s’assurer qu’elle est réalisée régulièrement, en tenant compte des évolutions des besoins des utilisateurs</t>
  </si>
  <si>
    <t>L’évaluation des besoins des utilisateurs est-elle effectuée régulièrement pour tenir compte de leurs évolutions ?</t>
  </si>
  <si>
    <t>Évaluation des besoins des utilisateurs irrégulière, ne prenant pas en compte leurs évolutions.</t>
  </si>
  <si>
    <t>Vérification de l’implication des utilisateurs finaux dans le processus d’évaluation, pour garantir que leurs besoins sont bien compris et pris en compte</t>
  </si>
  <si>
    <t>Les utilisateurs finaux sont-ils impliqués dans le processus d’évaluation pour garantir que leurs besoins sont bien compris et pris en compte ?</t>
  </si>
  <si>
    <t>Non-implication des utilisateurs finaux dans le processus d’évaluation.</t>
  </si>
  <si>
    <t>Analyse des actions correctives mises en place à la suite de l’évaluation de l’adéquation pour améliorer la solution en fonction des besoins exprimés par les utilisateurs</t>
  </si>
  <si>
    <t>Des actions correctives sont-elles mises en place à la suite de l’évaluation pour améliorer la solution en fonction des besoins exprimés par les utilisateurs ?</t>
  </si>
  <si>
    <t>Absence d’actions correctives suite à l’évaluation des besoins des utilisateurs.</t>
  </si>
  <si>
    <t>Analyse des indicateurs financiers utilisés pour mesurer la rentabilité.</t>
  </si>
  <si>
    <t>Les indicateurs financiers sont-ils efficaces pour évaluer la rentabilité ?</t>
  </si>
  <si>
    <t>Rapport financier annuel.</t>
  </si>
  <si>
    <t>présentation inexacte des données financières.</t>
  </si>
  <si>
    <t>Comparaison des coûts engagés et des bénéfices générés.</t>
  </si>
  <si>
    <t>Les coûts engagés sont-ils équilibrés par rapport aux bénéfices obtenus ?</t>
  </si>
  <si>
    <t>Analyse coût-bénéfice.</t>
  </si>
  <si>
    <t>sous-estimation des coûts ou des bénéfices.</t>
  </si>
  <si>
    <t>Documentation des hypothèses utilisées pour l’évaluation.</t>
  </si>
  <si>
    <t>Les hypothèses d’évaluation sont-elles correctement documentées ?</t>
  </si>
  <si>
    <t>Document d’hypothèses validées</t>
  </si>
  <si>
    <t>validation d’hypothèses erronées.</t>
  </si>
  <si>
    <t>Validation des calculs de rentabilité par une instance compétente.</t>
  </si>
  <si>
    <t>Les impacts économiques sur l'organisation sont-ils clairement identifiés ?</t>
  </si>
  <si>
    <t>Étude d’impact économique.</t>
  </si>
  <si>
    <t>Risque d'évaluations économiques irréalistes.</t>
  </si>
  <si>
    <t>Identification des impacts économiques sur les activités de l’organisation.</t>
  </si>
  <si>
    <t>Les prévisions de coûts ont-elles été validées par les parties prenantes ?</t>
  </si>
  <si>
    <t>Approbation des prévisions budgétaires.</t>
  </si>
  <si>
    <t>dépassement budgétaire non anticipé</t>
  </si>
  <si>
    <t>Inclusion des coûts de déploiement dans le budget global.</t>
  </si>
  <si>
    <t>Les coûts de déploiement sont-ils inclus dans le budget global du projet ?</t>
  </si>
  <si>
    <t>Budget global du projet.</t>
  </si>
  <si>
    <t>mauvaise allocation des ressources financières.</t>
  </si>
  <si>
    <t>Répartition claire des coûts directs et indirects du projet.</t>
  </si>
  <si>
    <t>La répartition des coûts directs et indirects est-elle transparente ?</t>
  </si>
  <si>
    <t>Tableau des coûts directs et indirects.</t>
  </si>
  <si>
    <t>coûts indirects mal identifiés.</t>
  </si>
  <si>
    <t>Documentation des dépenses engagées durant le déploiement.</t>
  </si>
  <si>
    <t>Les dépenses liées au déploiement sont-elles entièrement documentées ?</t>
  </si>
  <si>
    <t>Journal détaillé des dépenses.</t>
  </si>
  <si>
    <t>non-transparence dans les dépenses enregistrées.</t>
  </si>
  <si>
    <t>Validation des prévisions de coûts avec la direction.</t>
  </si>
  <si>
    <t>Les écarts entre coûts prévus et réels sont-ils correctement suivis ?</t>
  </si>
  <si>
    <t>Rapport de suivi des coûts prévus et réels.</t>
  </si>
  <si>
    <t>divergence non justifiée entre coûts prévus et réels.</t>
  </si>
  <si>
    <t>Suivi des écarts entre les coûts prévus et réels.</t>
  </si>
  <si>
    <t>6. Les validations financières du projet respectent-elles les estimations initiales ?</t>
  </si>
  <si>
    <t>Dossier de validation financière</t>
  </si>
  <si>
    <t>non-conformité des validations aux règles établies.</t>
  </si>
  <si>
    <t>Élaboration d’un calendrier détaillé pour chaque étape du projet.</t>
  </si>
  <si>
    <t>Le projet suit-il un calendrier détaillé et validé par les parties prenantes ?</t>
  </si>
  <si>
    <t>Chronogramme validé.</t>
  </si>
  <si>
    <t>non-respect des échéances planifiées.</t>
  </si>
  <si>
    <t>Documentation des délais fixés pour la mise en œuvre de l’application.</t>
  </si>
  <si>
    <t>Les écarts entre délais prévus et réels sont-ils mesurés systématiquement ?</t>
  </si>
  <si>
    <t>Suivi des écarts entre délais prévus et réalisés.</t>
  </si>
  <si>
    <t>retards non gérés efficacement</t>
  </si>
  <si>
    <t>Suivi des écarts entre les délais planifiés et les délais réels.</t>
  </si>
  <si>
    <t>Les risques liés aux retards sont-ils identifiés et traités efficacement ?</t>
  </si>
  <si>
    <t>Plan de gestion des risques liés aux délais.</t>
  </si>
  <si>
    <t>absence de stratégies d’atténuation adaptées</t>
  </si>
  <si>
    <t>Identification des risques liés aux retards dans la mise en œuvre.</t>
  </si>
  <si>
    <t>Les délais de mise en œuvre garantissent-ils l'atteinte des objectifs ?</t>
  </si>
  <si>
    <t>Plan de mise en œuvre.</t>
  </si>
  <si>
    <t>non-coordination des tâches prévues.</t>
  </si>
  <si>
    <t>Validation du respect des délais par les parties prenantes.</t>
  </si>
  <si>
    <t>Les délais ont-ils été validés et ajustés si nécessaire ?</t>
  </si>
  <si>
    <t>Document d’ajustement des délais.</t>
  </si>
  <si>
    <t>ajustements fréquents déstabilisant les équipes.</t>
  </si>
  <si>
    <t>Documentation des résultats obtenus comparés aux objectifs initiaux.</t>
  </si>
  <si>
    <t>Les résultats obtenus sont-ils analysés par rapport aux objectifs initiaux ?</t>
  </si>
  <si>
    <t>Analyse comparative des résultats.</t>
  </si>
  <si>
    <t>conclusions basées sur des données incohérentes.</t>
  </si>
  <si>
    <t>Identification des succès et des échecs rencontrés durant le projet.</t>
  </si>
  <si>
    <t>Les succès et échecs du projet sont-ils clairement identifiés et documentés ?</t>
  </si>
  <si>
    <t>Rapport d’évaluation du projet.</t>
  </si>
  <si>
    <t>analyse partielle ou biaisée du projet.</t>
  </si>
  <si>
    <t>Analyse des leçons apprises pour améliorer les futurs projets.</t>
  </si>
  <si>
    <t>Les leçons apprises sont-elles utilisées pour améliorer les futurs projets ?</t>
  </si>
  <si>
    <t>Synthèse des enseignements tirés.</t>
  </si>
  <si>
    <t>non-utilisation des leçons apprises dans les projets futurs.</t>
  </si>
  <si>
    <t>Évaluation de l’impact organisationnel et financier du projet.</t>
  </si>
  <si>
    <t>Les impacts organisationnels et financiers du projet sont-ils évalués ?</t>
  </si>
  <si>
    <t>Évaluation des impacts organisationnels.</t>
  </si>
  <si>
    <t>sous-estimation des conséquences négatives.</t>
  </si>
  <si>
    <t>Partage des conclusions du bilan avec les équipes concernées</t>
  </si>
  <si>
    <t>Les conclusions du bilan sont-elles partagées avec toutes les parties concernées ?</t>
  </si>
  <si>
    <t>Rapport de bilan final.</t>
  </si>
  <si>
    <t>objectifs mal définis ou non atteints.</t>
  </si>
  <si>
    <t>Identification des avantages qualitatifs apportés par le projet.</t>
  </si>
  <si>
    <t>Les avantages qualitatifs du projet sont-ils clairement documentés ?</t>
  </si>
  <si>
    <t>Rapport sur les bénéfices qualitatifs.</t>
  </si>
  <si>
    <t>surestimation ou omission des bénéfices immatériels.</t>
  </si>
  <si>
    <t>Évaluation de l’impact sur la satisfaction des utilisateurs ou des clients</t>
  </si>
  <si>
    <t>Les impacts sur la satisfaction des utilisateurs ou clients sont-ils mesurés ?</t>
  </si>
  <si>
    <t>Résultats d’enquêtes de satisfaction.</t>
  </si>
  <si>
    <t>données biaisées ou peu représentatives.</t>
  </si>
  <si>
    <t>Documentation des innovations ou améliorations organisationnelles mises en œuvre</t>
  </si>
  <si>
    <t>Les innovations organisationnelles issues du projet sont-elles identifiées ?</t>
  </si>
  <si>
    <t>Rapport d’innovation organisationnelle détaillé.</t>
  </si>
  <si>
    <t>ne pas refléter les innovations pertinentes ou réalistes</t>
  </si>
  <si>
    <t>Analyse des bénéfices immatériels liés à l’application du projet.</t>
  </si>
  <si>
    <t>Les bénéfices immatériels du projet sont-ils pris en compte dans l'évaluation globale ?</t>
  </si>
  <si>
    <t>Analyse des bénéfices immatériels.</t>
  </si>
  <si>
    <t>biais dans la prise en compte des avantages non quantifiables.</t>
  </si>
  <si>
    <t>Validation des améliorations non quantifiables par les parties prenantes.</t>
  </si>
  <si>
    <t>Les parties prenantes valident-elles les améliorations non quantifiables apportées par le projet ?</t>
  </si>
  <si>
    <t xml:space="preserve"> Compte-rendu de validation des parties prenantes.</t>
  </si>
  <si>
    <t>validation insuffisante ou non représentative.</t>
  </si>
  <si>
    <t>Identification des processus métiers critiques dans la stratégie organisationnelle.</t>
  </si>
  <si>
    <t>Les processus métiers critiques sont-ils intégrés dans la stratégie organisationnelle ?</t>
  </si>
  <si>
    <t>Diagrammes de processus métiers</t>
  </si>
  <si>
    <t>incohérences entre les processus théoriques et réels.</t>
  </si>
  <si>
    <t>Cohérence entre les processus métiers et les objectifs opérationnels.</t>
  </si>
  <si>
    <t>Les processus métiers sont-ils alignés sur les objectifs opérationnels définis ?</t>
  </si>
  <si>
    <t>Tableaux de bord de suivi des processus.</t>
  </si>
  <si>
    <t>données incorrectes ou incomplètes.</t>
  </si>
  <si>
    <t>Mise à jour des processus métiers pour répondre aux besoins actuels.</t>
  </si>
  <si>
    <t>Les flux d’information associés aux processus métiers sont-ils documentés avec précision ?</t>
  </si>
  <si>
    <t>Cartographie des flux d'information.</t>
  </si>
  <si>
    <t>flux critiques non pris en compte.</t>
  </si>
  <si>
    <t>Documentation des flux d’information associés aux processus métiers.</t>
  </si>
  <si>
    <t>Les processus métiers sont-ils régulièrement mis à jour pour répondre aux évolutions des besoins ?</t>
  </si>
  <si>
    <t>Historique des modifications des processus métiers.</t>
  </si>
  <si>
    <t>perte d’information sur les ajustements passés</t>
  </si>
  <si>
    <t>Vérification de l’impact des processus métiers sur l’efficacité globale de l’organisation.</t>
  </si>
  <si>
    <t>Les impacts des processus métiers sur l’efficacité globale sont-ils correctement évalués ?</t>
  </si>
  <si>
    <t>Étude d'impact organisationnel.</t>
  </si>
  <si>
    <t>mauvaise anticipation des impacts négatifs.</t>
  </si>
  <si>
    <t>Identification et classification des différents traitements opérationnels</t>
  </si>
  <si>
    <t>Les différents traitements opérationnels sont-ils identifiés et classifiés de manière exhaustive ?</t>
  </si>
  <si>
    <t>Catalogue des traitements identifiés.</t>
  </si>
  <si>
    <t>omission de traitements critiques.</t>
  </si>
  <si>
    <t>Documentation des spécifications des traitements et de leurs interactions</t>
  </si>
  <si>
    <t>Les spécifications des traitements et leurs interactions sont-elles clairement documentées ?</t>
  </si>
  <si>
    <t>Fiches techniques ou cahiers des charges.</t>
  </si>
  <si>
    <t>spécifications non conformes aux besoins</t>
  </si>
  <si>
    <t>Validation des traitements par rapport aux normes et réglementations applicables</t>
  </si>
  <si>
    <t>Les traitements respectent-ils les normes et réglementations en vigueur ?</t>
  </si>
  <si>
    <t>Rapports d'audits réglementaires.</t>
  </si>
  <si>
    <t>non-conformité détectée mais non corrigée.</t>
  </si>
  <si>
    <t>Analyse des performances des traitements pour garantir leur efficacité</t>
  </si>
  <si>
    <t>Les performances des traitements sont-elles régulièrement analysées pour garantir leur efficacité ?</t>
  </si>
  <si>
    <t>Tableaux de performances des traitements.</t>
  </si>
  <si>
    <t>’indicateurs mal interprétés ou faussés.</t>
  </si>
  <si>
    <t>Mise en place de mécanismes de suivi et de contrôle des traitements</t>
  </si>
  <si>
    <t>Des mécanismes de suivi et de contrôle des traitements ont-ils été mis en place ?</t>
  </si>
  <si>
    <t>Procédures ou outils de suivi des traitements.</t>
  </si>
  <si>
    <t>utilisation incohérente des outils de suivi.</t>
  </si>
  <si>
    <t>Documentation des composants de l'architecture technique et de leur interopérabilité.</t>
  </si>
  <si>
    <t>Les composants de l’architecture technique sont-ils bien documentés ?</t>
  </si>
  <si>
    <t>Schéma d'architecture technique.</t>
  </si>
  <si>
    <t>d’erreurs dans la représentation des composants.</t>
  </si>
  <si>
    <t>Conformité de l'architecture technique aux standards industriels.</t>
  </si>
  <si>
    <t>L’architecture technique respecte-t-elle les standards industriels ?</t>
  </si>
  <si>
    <t>Liste des normes industrielles appliquées.</t>
  </si>
  <si>
    <t>non-respect de normes critiques.</t>
  </si>
  <si>
    <t>Validation de la capacité de l'architecture technique à répondre aux exigences métiers.</t>
  </si>
  <si>
    <t>L’architecture peut-elle répondre efficacement aux besoins métiers ?</t>
  </si>
  <si>
    <t>Étude de faisabilité technique.</t>
  </si>
  <si>
    <t>évaluer incorrectement la viabilité du projet.</t>
  </si>
  <si>
    <t>Évaluation de la résilience et de la sécurité de l'architecture technique</t>
  </si>
  <si>
    <t>La sécurité et la résilience de l’architecture sont-elles évaluées régulièrement ?</t>
  </si>
  <si>
    <t>Rapports d'évaluation de la sécurité et des tests de résilience.</t>
  </si>
  <si>
    <t>menaces non détectées malgré les tests.</t>
  </si>
  <si>
    <t>Mise à jour de l'architecture pour intégrer des technologies innovantes.</t>
  </si>
  <si>
    <t>L’architecture est-elle mise à jour pour intégrer des technologies innovantes ?</t>
  </si>
  <si>
    <t>Historique des modifications techniques.</t>
  </si>
  <si>
    <t>ne pas retracer les ajustements critiques.</t>
  </si>
  <si>
    <t>Existence d’outils permettant de mesurer efficacement la performance opérationnelle.</t>
  </si>
  <si>
    <t>Les outils permettent-ils une mesure efficace des performances ?</t>
  </si>
  <si>
    <t>Liste des outils utilisés pour mesurer la performance.</t>
  </si>
  <si>
    <t>outils non adaptés ou mal configurés.</t>
  </si>
  <si>
    <t>Développement de tableaux de bord synthétiques et faciles à exploiter.</t>
  </si>
  <si>
    <t>Les tableaux de bord sont-ils synthétiques et exploitables par les parties prenantes ?</t>
  </si>
  <si>
    <t>Modèles de tableaux de bord générés.</t>
  </si>
  <si>
    <t>onception peu claire ou de surcharge d’informations.</t>
  </si>
  <si>
    <t>Mise à jour régulière des outils de mesure pour refléter les besoins en données actuels</t>
  </si>
  <si>
    <t>Les outils de mesure sont-ils régulièrement mis à jour pour répondre aux besoins actuels ?</t>
  </si>
  <si>
    <t>Historique des révisions des tableaux de bord.</t>
  </si>
  <si>
    <t>perte d’informations pertinentes sur les versions passées.</t>
  </si>
  <si>
    <t>Conformité des outils et tableaux de bord aux standards de gestion.</t>
  </si>
  <si>
    <t>Les tableaux de bord respectent-ils les standards de gestion et de visualisation ?</t>
  </si>
  <si>
    <t>Documentation des standards appliqués aux tableaux de bord.</t>
  </si>
  <si>
    <t>standards obsolètes ou non appliqués.</t>
  </si>
  <si>
    <t>Intégration des outils dans les processus décisionnels pour améliorer les performances.</t>
  </si>
  <si>
    <t>Les outils et tableaux de bord aident-ils à améliorer la prise de décision ?</t>
  </si>
  <si>
    <t>Études de cas ou exemples montrant l'impact des tableaux de bord sur les décisions.</t>
  </si>
  <si>
    <t>études peu représentatives ou incomplètes.</t>
  </si>
  <si>
    <t>Les technologies adoptées répondent aux besoins stratégiques de l’organisation.</t>
  </si>
  <si>
    <t>Les technologies adoptées sont-elles alignées avec la stratégie de l’organisation ?</t>
  </si>
  <si>
    <t>Stratégie IT, Étude des besoins technologiques</t>
  </si>
  <si>
    <t>Risque de non-alignement avec les objectifs stratégiques</t>
  </si>
  <si>
    <t>- Une veille technologique est réalisée pour assurer l’alignement avec les objectifs de l’entité.</t>
  </si>
  <si>
    <t>Un processus de veille technologique est-il mis en place ?</t>
  </si>
  <si>
    <t>Rapports de veille technologique, Études de marché</t>
  </si>
  <si>
    <t>Risque d’obsolescence technologique</t>
  </si>
  <si>
    <t>- Les choix technologiques sont validés par la direction informatique.</t>
  </si>
  <si>
    <t>La direction informatique valide-t-elle les choix technologiques ?</t>
  </si>
  <si>
    <t>Procès-verbal de validation, Cahier des charges technique</t>
  </si>
  <si>
    <t>Adoption de technologies inadaptées</t>
  </si>
  <si>
    <t>- Une roadmap technologique existe et est régulièrement mise à jour.</t>
  </si>
  <si>
    <t>Une roadmap technologique est-elle définie et mise à jour ?</t>
  </si>
  <si>
    <t>Roadmap technologique, Plans d’évolution IT</t>
  </si>
  <si>
    <t>Manque de vision à long terme sur les technologies</t>
  </si>
  <si>
    <t>- Les utilisateurs sont consultés pour évaluer l’adéquation des technologies avec leurs besoins.</t>
  </si>
  <si>
    <t>Les utilisateurs sont-ils consultés lors du choix des technologies ?</t>
  </si>
  <si>
    <t>Rapports de consultation, Enquêtes utilisateurs</t>
  </si>
  <si>
    <t>Technologies inadaptées aux besoins métier</t>
  </si>
  <si>
    <t>Les solutions adoptées ont déjà été éprouvées dans le secteur d’activité de l’entité.</t>
  </si>
  <si>
    <t>Les solutions sont-elles utilisées dans des entreprises similaires ?</t>
  </si>
  <si>
    <t>Références clients, Études de cas</t>
  </si>
  <si>
    <t>Adoption de technologies non éprouvées</t>
  </si>
  <si>
    <t>- Les technologies choisies sont soutenues par une communauté active ou un éditeur fiable.</t>
  </si>
  <si>
    <t>Les technologies bénéficient-elles d’un support et d’une communauté active ?</t>
  </si>
  <si>
    <t>Documentation des éditeurs, Forums techniques</t>
  </si>
  <si>
    <t>Manque de support technique en cas de problème</t>
  </si>
  <si>
    <t>- Les versions utilisées bénéficient d’un support officiel et de mises à jour régulières.</t>
  </si>
  <si>
    <t>La version utilisée est-elle supportée officiellement ?</t>
  </si>
  <si>
    <t>Contrats de support, Historique des mises à jour</t>
  </si>
  <si>
    <t>Utilisation d’une version obsolète non sécurisée</t>
  </si>
  <si>
    <t>- Une analyse des risques liés aux technologies émergentes est effectuée avant adoption.</t>
  </si>
  <si>
    <t>Une analyse des risques des nouvelles technologies est-elle réalisée ?</t>
  </si>
  <si>
    <t>Rapports d’analyse des risques, Études d’impact</t>
  </si>
  <si>
    <t>Adoption précipitée de technologies instables</t>
  </si>
  <si>
    <t>- L’organisation dispose de l’expertise nécessaire pour exploiter ces technologies.</t>
  </si>
  <si>
    <t>L’organisation possède-t-elle les compétences pour exploiter les technologies adoptées ?</t>
  </si>
  <si>
    <t>Registre des compétences, Plan de formation</t>
  </si>
  <si>
    <t>Dépendance excessive à des prestataires externes</t>
  </si>
  <si>
    <t>L’infrastructure est dimensionnée pour supporter une augmentation du volume d’utilisateurs et de données.</t>
  </si>
  <si>
    <t>L’infrastructure peut-elle supporter une montée en charge importante ?</t>
  </si>
  <si>
    <t>Études de capacité, Rapports de performance</t>
  </si>
  <si>
    <t>Risque de saturation des ressources</t>
  </si>
  <si>
    <t>- Les performances de l’application restent optimales en cas de montée en charge.</t>
  </si>
  <si>
    <t>L’application maintient-elle ses performances sous forte charge ?</t>
  </si>
  <si>
    <t>Rapports de tests de performance, Monitoring des ressources</t>
  </si>
  <si>
    <t>Dégradation des performances en période de forte activité</t>
  </si>
  <si>
    <t>- Des tests de scalabilité ont été réalisés pour anticiper les besoins futurs.</t>
  </si>
  <si>
    <t>Des tests de scalabilité ont-ils été réalisés ?</t>
  </si>
  <si>
    <t>Rapports de tests de scalabilité, Plan de montée en charge</t>
  </si>
  <si>
    <t>Manque d’anticipation sur l’évolution des besoins</t>
  </si>
  <si>
    <t>- Les technologies permettent une extension sans nécessiter un remplacement complet.</t>
  </si>
  <si>
    <t>L’architecture permet-elle une extension sans refonte complète ?</t>
  </si>
  <si>
    <t>Documentation d’architecture, Études d’évolutivité</t>
  </si>
  <si>
    <t>Coût élevé d’évolution technologique</t>
  </si>
  <si>
    <t>- Une stratégie de mise à l’échelle est définie et documentée.</t>
  </si>
  <si>
    <t>Une stratégie de mise à l’échelle est-elle définie et appliquée ?</t>
  </si>
  <si>
    <t>Plan de scalabilité, Documentation technique</t>
  </si>
  <si>
    <t>Difficulté à gérer une croissance rapide</t>
  </si>
  <si>
    <t>L’architecture logicielle permet l’ajout de nouvelles fonctionnalités sans refonte majeure.</t>
  </si>
  <si>
    <t>L’application permet-elle d’ajouter des fonctionnalités sans refonte ?</t>
  </si>
  <si>
    <t>Documentation d’architecture, Étude d’extensibilité</t>
  </si>
  <si>
    <t>Coût élevé d’évolution et rigidité technologique</t>
  </si>
  <si>
    <t>- Les modules de l’application peuvent être activés ou désactivés selon les besoins.</t>
  </si>
  <si>
    <t>L’application permet-elle d’activer ou désactiver des modules ?</t>
  </si>
  <si>
    <t>Guide de configuration des modules, Manuel d’administration</t>
  </si>
  <si>
    <t>Manque de flexibilité fonctionnelle</t>
  </si>
  <si>
    <t>- Une documentation détaillant les possibilités d’extension est disponible.</t>
  </si>
  <si>
    <t>Une documentation sur l’extensibilité de l’application est-elle disponible ?</t>
  </si>
  <si>
    <t>Documentation technique d’extension, Manuel de développement</t>
  </si>
  <si>
    <t>Difficulté à faire évoluer l’application</t>
  </si>
  <si>
    <t>- Les interfaces permettent une intégration avec d’autres systèmes facilement.</t>
  </si>
  <si>
    <t>L’application offre-t-elle des interfaces ouvertes pour l’intégration ?</t>
  </si>
  <si>
    <t>Documentation API, Guide d’intégration système</t>
  </si>
  <si>
    <t>Risque d’incompatibilité avec d’autres systèmes</t>
  </si>
  <si>
    <t>- Les mises à jour ou évolutions sont réalisées sans interruption majeure du service.</t>
  </si>
  <si>
    <t>Les mises à jour peuvent-elles être réalisées sans interruption prolongée ?</t>
  </si>
  <si>
    <t>Plan de mise à jour, Procédure de déploiement</t>
  </si>
  <si>
    <t>Risque d’interruption prolongée des services</t>
  </si>
  <si>
    <t>L’équipe de maintenance dispose des compétences nécessaires pour gérer l’application.</t>
  </si>
  <si>
    <t>L’équipe de maintenance a-t-elle les compétences nécessaires ?</t>
  </si>
  <si>
    <t>Dépendance excessive au fournisseur</t>
  </si>
  <si>
    <t>- Une formation régulière est assurée pour maintenir les connaissances à jour.</t>
  </si>
  <si>
    <t>Une formation est-elle régulièrement organisée pour l’équipe de maintenance ?</t>
  </si>
  <si>
    <t>Plan de formation, Attestations de formation</t>
  </si>
  <si>
    <t>Risque de compétences obsolètes</t>
  </si>
  <si>
    <t>- L’équipe de maintenance est capable d’intervenir sans dépendre systématiquement du fournisseur.</t>
  </si>
  <si>
    <t>L’équipe peut-elle intervenir sans assistance du fournisseur ?</t>
  </si>
  <si>
    <t>Documentation de maintenance, Guide d’exploitation</t>
  </si>
  <si>
    <t>Délais prolongés de résolution des incidents</t>
  </si>
  <si>
    <t>- Des outils et procédures clairs sont mis en place pour assurer une maintenance efficace.</t>
  </si>
  <si>
    <t>Des procédures et outils de maintenance sont-ils en place ?</t>
  </si>
  <si>
    <t>Manuel de maintenance, Liste des outils de diagnostic</t>
  </si>
  <si>
    <t>Risque d’intervention inefficace en cas d’incident</t>
  </si>
  <si>
    <t>- Une documentation technique complète est disponible pour faciliter la maintenance.</t>
  </si>
  <si>
    <t>Une documentation technique à jour est-elle disponible ?</t>
  </si>
  <si>
    <t>Documentation technique, Dossier d’architecture</t>
  </si>
  <si>
    <t>Risque d’erreurs lors des interventions techniques</t>
  </si>
  <si>
    <t>Un plan de transfert de compétences est en place pour limiter la dépendance à l’éditeur.</t>
  </si>
  <si>
    <t>Un plan de transfert de compétences est-il défini et appliqué ?</t>
  </si>
  <si>
    <t>Plan de transfert de compétences, Rapports de formation</t>
  </si>
  <si>
    <t>Dépendance excessive à l’éditeur</t>
  </si>
  <si>
    <t>- Des ressources internes sont capables de gérer les évolutions courantes.</t>
  </si>
  <si>
    <t>Des ressources internes sont-elles formées pour gérer les évolutions ?</t>
  </si>
  <si>
    <t>Dépendance aux prestataires externes</t>
  </si>
  <si>
    <t>- Les contrats avec l’éditeur définissent clairement les engagements et niveaux de service.</t>
  </si>
  <si>
    <t>Les contrats avec l’éditeur précisent-ils les niveaux de service ?</t>
  </si>
  <si>
    <t>Contrat de maintenance, Accord de niveau de service (SLA)</t>
  </si>
  <si>
    <t>Manque de clarté sur les responsabilités de l’éditeur</t>
  </si>
  <si>
    <t>- Des alternatives (autres prestataires, solutions de remplacement) sont identifiées en cas de besoin.</t>
  </si>
  <si>
    <t>Des solutions alternatives à l’éditeur sont-elles prévues ?</t>
  </si>
  <si>
    <t>Liste des prestataires alternatifs, Études de marché</t>
  </si>
  <si>
    <t>Difficulté à assurer la continuité en cas de défaillance de l’éditeur</t>
  </si>
  <si>
    <t>- Une évaluation périodique de la dépendance technologique est réalisée.</t>
  </si>
  <si>
    <t>Une évaluation de la dépendance à l’éditeur est-elle effectuée ?</t>
  </si>
  <si>
    <t>Rapports d’audit technologique, Étude de dépendance</t>
  </si>
  <si>
    <t>Risque de verrouillage technologique</t>
  </si>
  <si>
    <t>Un suivi des mises à jour du progiciel est assuré régulièrement.</t>
  </si>
  <si>
    <t>Un processus de suivi des mises à jour est-il mis en place ?</t>
  </si>
  <si>
    <t>Plan de gestion des mises à jour, Historique des mises à jour</t>
  </si>
  <si>
    <t>- La version installée est compatible avec les exigences de l’organisation.</t>
  </si>
  <si>
    <t>La version du progiciel répond-elle aux besoins de l’organisation ?</t>
  </si>
  <si>
    <t>Cahier des charges, Rapport de conformité</t>
  </si>
  <si>
    <t>Incompatibilité avec les processus métiers</t>
  </si>
  <si>
    <t>- Une procédure de mise à jour est définie et appliquée.</t>
  </si>
  <si>
    <t>Une procédure de mise à jour du progiciel est-elle en place ?</t>
  </si>
  <si>
    <t>Documentation des mises à jour, Plan de déploiement</t>
  </si>
  <si>
    <t>Risque d’échec ou d’erreur lors des mises à jour</t>
  </si>
  <si>
    <t>- Les tests de validation des nouvelles versions sont effectués avant déploiement.</t>
  </si>
  <si>
    <t>Les nouvelles versions sont-elles systématiquement testées avant mise en production ?</t>
  </si>
  <si>
    <t>Rapports de tests, Cahier de tests</t>
  </si>
  <si>
    <t>Introduction de bugs non détectés avant déploiement</t>
  </si>
  <si>
    <t>- L’éditeur garantit la continuité du support pour la version utilisée.</t>
  </si>
  <si>
    <t>L’éditeur assure-t-il un support pour la version actuelle ?</t>
  </si>
  <si>
    <t>Contrat de support, Documentation de support</t>
  </si>
  <si>
    <t>Perte de support et absence de correctifs</t>
  </si>
  <si>
    <t>Un registre des développements spécifiques est tenu à jour.</t>
  </si>
  <si>
    <t>Un registre des développements spécifiques est-il maintenu ?</t>
  </si>
  <si>
    <t>Registre des développements, Documentation technique</t>
  </si>
  <si>
    <t>Difficulté à comprendre et maintenir les développements spécifiques</t>
  </si>
  <si>
    <t>- Chaque évolution est validée avant intégration dans l’application.</t>
  </si>
  <si>
    <t>Les évolutions sont-elles validées avant leur intégration ?</t>
  </si>
  <si>
    <t>Rapports de validation, Cahier de tests</t>
  </si>
  <si>
    <t>Risque d’intégration de fonctionnalités instables</t>
  </si>
  <si>
    <t>- Une documentation détaillée des développements spécifiques est disponible.</t>
  </si>
  <si>
    <t>Une documentation sur les développements spécifiques est-elle accessible ?</t>
  </si>
  <si>
    <t>Documentation des développements, Guide technique</t>
  </si>
  <si>
    <t>Risque de perte de connaissances en cas de départ d’un expert</t>
  </si>
  <si>
    <t>- Les modifications sont testées et validées avant mise en production.</t>
  </si>
  <si>
    <t>Des tests sont-ils réalisés avant chaque mise en production ?</t>
  </si>
  <si>
    <t>Plans de tests, Rapports de validation</t>
  </si>
  <si>
    <t>Introduction de régressions et d’anomalies</t>
  </si>
  <si>
    <t>- Un suivi des impacts des développements spécifiques sur l’application globale est assuré.</t>
  </si>
  <si>
    <t>L’impact des développements spécifiques est-il évalué ?</t>
  </si>
  <si>
    <t>Rapports d’impact, Cahier de suivi des évolutions</t>
  </si>
  <si>
    <t>Risque de conflits avec les mises à jour standards</t>
  </si>
  <si>
    <t>Un contrat de maintenance valide est signé avec l’éditeur.</t>
  </si>
  <si>
    <t>Un contrat de maintenance en cours de validité est-il signé ?</t>
  </si>
  <si>
    <t>Contrat de maintenance, Factures de renouvellement</t>
  </si>
  <si>
    <t>Absence de support en cas de panne critique</t>
  </si>
  <si>
    <t>- Les engagements de support et les niveaux de service sont clairement définis.</t>
  </si>
  <si>
    <t>Les niveaux de service sont-ils définis dans le contrat ?</t>
  </si>
  <si>
    <t>SLA, Contrat de maintenance</t>
  </si>
  <si>
    <t>Manque de garantie sur la réactivité du support</t>
  </si>
  <si>
    <t>- L’éditeur propose des mises à jour régulières et une assistance technique.</t>
  </si>
  <si>
    <t>L’éditeur fournit-il des mises à jour et une assistance technique ?</t>
  </si>
  <si>
    <t>Historique des mises à jour, Contrat de support</t>
  </si>
  <si>
    <t>Non-disponibilité des correctifs en cas de faille de sécurité</t>
  </si>
  <si>
    <t>Une procédure de recours est prévue en cas de non-respect des engagements.</t>
  </si>
  <si>
    <t>Une procédure de recours est-elle prévue en cas de défaillance de l’éditeur ?</t>
  </si>
  <si>
    <t>Procédure de recours, Contrat de maintenance</t>
  </si>
  <si>
    <t>Difficulté à faire valoir les obligations de l’éditeur</t>
  </si>
  <si>
    <t>- Un suivi des prestations de maintenance est assuré par l’entité.</t>
  </si>
  <si>
    <t>Un suivi des prestations de maintenance est-il mis en place ?</t>
  </si>
  <si>
    <t>Rapports de suivi, Tableau de bord des interventions</t>
  </si>
  <si>
    <t>Manque de contrôle sur la qualité du support technique</t>
  </si>
  <si>
    <t>Audit de la Fonction Informatique</t>
  </si>
  <si>
    <t xml:space="preserve">Environnement de Contrôle </t>
  </si>
  <si>
    <t xml:space="preserve"> Engagement envers l’intégrité et les valeurs 
éthiques </t>
  </si>
  <si>
    <t xml:space="preserve">S’assurer que l'organisation dispose d'une charte éthique formelle  qui couvre l'ensemble des pratiques professionnelles et des interactions au sein de l'organisation, y compris les activités liées aux systèmes d'information. </t>
  </si>
  <si>
    <t>Existence d’un document officiel décrivant la charte éthique.</t>
  </si>
  <si>
    <t>Inclusion explicite des pratiques liées aux systèmes d’information dans la charte.</t>
  </si>
  <si>
    <t>Validation et approbation de la charte par la direction et les instances compétentes.</t>
  </si>
  <si>
    <t>Disponibilité et accessibilité de la charte pour tous les employés et partenaires.</t>
  </si>
  <si>
    <t>Mise à jour régulière de la charte en fonction des évolutions réglementaires et technologiques.</t>
  </si>
  <si>
    <t xml:space="preserve">Vérifier que des mécanismes existent pour garantir que tous les 
acteurs (employés, partenaires, prestataires) respectent cette charte 
éthique dans leurs activités professionnelles, y compris dans leur 
utilisation des systèmes d'information </t>
  </si>
  <si>
    <t>Existence de procédures de contrôle et de suivi du respect de la charte.</t>
  </si>
  <si>
    <t>Signature d’un engagement de conformité à la charte par les employés, partenaires et prestataires.</t>
  </si>
  <si>
    <t>Mise en place de sanctions claires et appliquées en cas de non-respect.</t>
  </si>
  <si>
    <t>Réalisation d’audits périodiques pour évaluer le respect des règles éthiques.</t>
  </si>
  <si>
    <t>Présence d’un responsable ou d’un comité chargé du suivi de la conformité à la charte.</t>
  </si>
  <si>
    <t xml:space="preserve">S’assurer que des actions de sensibilisation, telles que des 
formations régulières, sont mises en place pour garantir que tous les 
employés et intervenants comprennent et appliquent les principes 
éthiques dans leurs interactions avec les systèmes d'information </t>
  </si>
  <si>
    <t>Existence d’un programme de formation régulier sur l’éthique et l’utilisation des systèmes d’information.</t>
  </si>
  <si>
    <t>Obligation pour les employés et intervenants de suivre ces formations.</t>
  </si>
  <si>
    <t>Évaluation des connaissances acquises après chaque session de formation.</t>
  </si>
  <si>
    <t>Enregistrement et suivi des employés ayant suivi la formation.</t>
  </si>
  <si>
    <t>Mise à jour des supports de formation en fonction des évolutions des bonnes pratiques et des réglementations.</t>
  </si>
  <si>
    <t>S’assurer que l'organisation dispose d'un mécanisme de suivi et de 
gestion des violations éthiques, permettant de détecter, traiter et 
sanctionner tout comportement contraire à la charte éthique, y 
compris dans le cadre des activités liées aux systèmes 
d'information.</t>
  </si>
  <si>
    <t>Existence d’un processus formel de signalement et de traitement des violations éthiques.</t>
  </si>
  <si>
    <t>Définition de sanctions proportionnées en fonction de la gravité des violations.</t>
  </si>
  <si>
    <t>Mise en place d’un système de suivi des incidents éthiques.</t>
  </si>
  <si>
    <t>Communication transparente des mesures correctives prises en cas de violation.</t>
  </si>
  <si>
    <t>Audit périodique pour évaluer l’efficacité du mécanisme de gestion des violations éthiques.</t>
  </si>
  <si>
    <t>S’assurer que l’organisation dispose d’un canal de signalement confidentiel et accessible, permettant aux employés, partenaires et prestataires de signaler toute violation éthique, notamment en lien avec l’utilisation des systèmes d’information, sans crainte de représailles.</t>
  </si>
  <si>
    <t>Mise en place d’un canal de signalement anonyme et sécurisé (ex : hotline, plateforme en ligne).</t>
  </si>
  <si>
    <t>Garantie de la confidentialité des signalements pour protéger les lanceurs d’alerte.</t>
  </si>
  <si>
    <t>Communication claire sur l’existence et l’accessibilité de ce canal à tous les employés et partenaires.</t>
  </si>
  <si>
    <t>Existence d’une procédure d’enquête et de traitement des signalements reçus.</t>
  </si>
  <si>
    <t>Suivi des signalements et évaluation de l’efficacité du canal mis en place.</t>
  </si>
  <si>
    <t xml:space="preserve"> Structures, autorités et responsabilités </t>
  </si>
  <si>
    <t xml:space="preserve">S’assurer que la structure organisationnelle est clairement définie, 
incluant les rattachements hiérarchiques, les rôles, les 
responsabilités et les pouvoirs de chaque collaborateur. </t>
  </si>
  <si>
    <t>Existence d’un organigramme détaillé décrivant les rôles et responsabilités.</t>
  </si>
  <si>
    <t>Définition formelle des attributions et pouvoirs de chaque poste.</t>
  </si>
  <si>
    <t>Mise en place de fiches de poste précisant les responsabilités de chaque collaborateur.</t>
  </si>
  <si>
    <t>Présence d’un cadre de référence pour clarifier les relations hiérarchiques et fonctionnelles.</t>
  </si>
  <si>
    <t>Accessibilité de la structure organisationnelle à tous les employés via un support officiel (intranet, manuel interne, etc.).</t>
  </si>
  <si>
    <t xml:space="preserve">Vérifier que les responsabilités et laes pouvoirs sont attribués de 
manière appropriée, en fonction des compétences et des objectifs 
stratégiques de l’organisation. </t>
  </si>
  <si>
    <t>Processus formalisé d’attribution des responsabilités basé sur les compétences et qualifications.</t>
  </si>
  <si>
    <t>Cohérence entre les attributions de pouvoir et les objectifs stratégiques de l’organisation.</t>
  </si>
  <si>
    <t>Présence de mécanismes de contrôle pour éviter la concentration excessive de pouvoirs.</t>
  </si>
  <si>
    <t>Existence d’un processus d’évaluation des compétences avant l’attribution de nouvelles responsabilités.</t>
  </si>
  <si>
    <t>Vérification régulière de l’adéquation entre les responsabilités attribuées et les résultats attendus.</t>
  </si>
  <si>
    <t xml:space="preserve">Vérifier que le management reçoit l’approbation du Conseil pour les 
modifications de la structure organisationnelle, afin d’assurer une 
supervision adéquate des changements importants. </t>
  </si>
  <si>
    <t>Existence d’un processus formel de validation des changements structurels par le Conseil.</t>
  </si>
  <si>
    <t>Documentation des décisions et des motivations derrière chaque modification de la structure.</t>
  </si>
  <si>
    <t>Participation active du Conseil dans l’analyse des impacts des changements organisationnels.</t>
  </si>
  <si>
    <t>Intégration des recommandations du Conseil avant la mise en œuvre des modifications.</t>
  </si>
  <si>
    <t>Vérification de la conformité des modifications avec les objectifs et les valeurs de l’organisation.</t>
  </si>
  <si>
    <t xml:space="preserve">S’assurer que des mécanismes sont en place pour communiquer la 
structure organisationnelle à tous les collaborateurs, afin qu'ils 
comprennent clairement leurs rôles et leurs responsabilités. </t>
  </si>
  <si>
    <t>Disponibilité d’un document officiel décrivant la structure organisationnelle.</t>
  </si>
  <si>
    <t>Organisation de sessions d’information ou de formation sur la structure et les responsabilités.</t>
  </si>
  <si>
    <t>Accès facile aux documents via l’intranet ou tout autre moyen de diffusion interne.</t>
  </si>
  <si>
    <t>Mise en place d’un point de contact pour répondre aux questions des employés sur l’organisation.</t>
  </si>
  <si>
    <t>Vérification de la compréhension de la structure organisationnelle par les employés via des enquêtes ou des entretiens.</t>
  </si>
  <si>
    <t>Vérifier que les structures, les rattachements et les responsabilités 
sont clairement documentés et accessibles pour consultation, 
garantissant une traçabilité des décisions organisation</t>
  </si>
  <si>
    <t>Existence d’un document officiel mis à jour sur les rattachements et responsabilités.</t>
  </si>
  <si>
    <t>Archivage des modifications structurelles avec justification et validation.</t>
  </si>
  <si>
    <t>Accessibilité des documents organisationnels aux managers et employés concernés.</t>
  </si>
  <si>
    <t>Présence d’un processus de contrôle pour garantir la cohérence des documents avec la réalité opérationnelle.</t>
  </si>
  <si>
    <t>Intégration des documents organisationnels dans un référentiel structuré et centralisé.</t>
  </si>
  <si>
    <t xml:space="preserve">Compétences des individus </t>
  </si>
  <si>
    <t>S’assurer que l’organisation dispose de processus clairs et 
formalisés pour attirer des talents qualifiés dans les domaines 
nécessaires à son fonctionnement, y compris pour les systèmes 
d’information.</t>
  </si>
  <si>
    <t>Existence d’une politique de recrutement détaillant les besoins en compétences clés.</t>
  </si>
  <si>
    <t>Présence d’un processus structuré de sélection des candidats basé sur des critères objectifs.</t>
  </si>
  <si>
    <t>Utilisation de canaux de recrutement adaptés (plateformes spécialisées, réseaux professionnels, partenariats avec des universités).</t>
  </si>
  <si>
    <t>Intégration d’une grille d’évaluation pour s’assurer de l’adéquation entre les profils recrutés et les besoins organisationnels.</t>
  </si>
  <si>
    <t>Suivi et évaluation des performances des nouvelles recrues pour valider leur adaptation et efficacité.</t>
  </si>
  <si>
    <t xml:space="preserve">Vérifier que l’organisation met en place des programmes de 
formation continue pour ses collaborateurs, en particulier dans les 
domaines stratégiques comme la gestion des systèmes 
d'information et la cybersécurité. </t>
  </si>
  <si>
    <t>Existence d’un plan de formation annuel couvrant les domaines clés, dont les systèmes d’information et la cybersécurité.</t>
  </si>
  <si>
    <t>Participation active des employés aux formations et certification des compétences acquises.</t>
  </si>
  <si>
    <t>Disponibilité de ressources pédagogiques accessibles (plateformes en ligne, formations en présentiel, webinaires).</t>
  </si>
  <si>
    <t>Évaluation périodique de l’efficacité des formations à travers des tests et des retours des participants.</t>
  </si>
  <si>
    <t>Alignement des formations avec les évolutions technologiques et les besoins stratégiques de l’organisation.</t>
  </si>
  <si>
    <t xml:space="preserve">S’assurer que des mécanismes de fidélisation des talents sont en 
place, tels que des parcours de carrière, des avantages compétitifs 
et des opportunités de développement personnel, pour encourager 
les collaborateurs à rester au sein de l’organisation. </t>
  </si>
  <si>
    <t>Mise en place de plans de carrière clairs et évolutifs pour les employés.</t>
  </si>
  <si>
    <t>Présence d’un système d’avantages compétitifs (rémunération attractive, primes, flexibilité de travail).</t>
  </si>
  <si>
    <t>Existence de programmes de mentorat et d’accompagnement professionnel.</t>
  </si>
  <si>
    <t>Organisation régulière d’activités de team-building et de reconnaissance des performances.</t>
  </si>
  <si>
    <t>Suivi des taux de rétention et identification des raisons de départs volontaires.</t>
  </si>
  <si>
    <t>Vérifier que des évaluations régulières de la performance des 
collaborateurs sont menées, avec des retours constructifs et des 
opportunités de développement, afin d’assurer leur progression 
professionnelle.</t>
  </si>
  <si>
    <t>Existence d’un système d’évaluation de la performance basé sur des critères objectifs et mesurables.</t>
  </si>
  <si>
    <t>Organisation d’entretiens d’évaluation périodiques avec des retours constructifs.</t>
  </si>
  <si>
    <t>Mise en place de plans de développement personnalisés pour chaque employé.</t>
  </si>
  <si>
    <t>Suivi des progrès individuels et ajustement des objectifs en fonction des résultats.</t>
  </si>
  <si>
    <t>Implication des managers dans le processus d’évaluation et de développement des compétences.</t>
  </si>
  <si>
    <t>S’assurer que les responsabilités de chaque collaborateur en 
matière de contrôle interne sont clairement définies, documentées 
et communiquées à l’ensemble de l’organisation.</t>
  </si>
  <si>
    <t>Existence d’un document officiel décrivant les responsabilités de chaque collaborateur en matière de contrôle interne.</t>
  </si>
  <si>
    <t>Diffusion et accessibilité des documents de référence pour l’ensemble des collaborateurs.</t>
  </si>
  <si>
    <t>Organisation de sessions d’information et de sensibilisation sur les responsabilités en matière de contrôle interne.</t>
  </si>
  <si>
    <t>Mise à jour régulière des rôles et responsabilités en fonction des évolutions organisationnelles et réglementaires.</t>
  </si>
  <si>
    <t>Vérification de la compréhension des collaborateurs à travers des tests ou des évaluations internes.</t>
  </si>
  <si>
    <t xml:space="preserve">Vérifier que des mécanismes de suivi sont mis en place pour 
s’assurer que les responsables respectent leurs responsabilités en 
matière de contrôle interne et rendent compte de leur gestion. </t>
  </si>
  <si>
    <t>Mise en place d’un système de suivi des activités des responsables du contrôle interne.</t>
  </si>
  <si>
    <t>Définition d’indicateurs de performance pour évaluer la conformité des actions avec les attentes.</t>
  </si>
  <si>
    <t>Existence de revues périodiques par la direction ou le conseil pour évaluer le respect des responsabilités.</t>
  </si>
  <si>
    <t>Documentation et archivage des rapports de suivi et des comptes rendus de réunions.</t>
  </si>
  <si>
    <t>Mise en œuvre d’un processus de signalement des manquements observés.</t>
  </si>
  <si>
    <t xml:space="preserve">S’assurer que des processus de reporting sont en place pour 
permettre à chaque responsable de rendre compte de 
l’accomplissement de ses tâches liées au contrôle interne, avec des 
indicateurs de performance définis. </t>
  </si>
  <si>
    <t>Définition claire des formats et contenus des rapports de contrôle interne.</t>
  </si>
  <si>
    <t>Fréquence définie et respectée pour la transmission des rapports de suivi.</t>
  </si>
  <si>
    <t>Intégration d’indicateurs de performance précis pour mesurer l’efficacité des actions menées.</t>
  </si>
  <si>
    <t>Analyse et validation des rapports par une instance de supervision dédiée.</t>
  </si>
  <si>
    <t>Existence de retours et recommandations suite à l’analyse des rapports soumis.</t>
  </si>
  <si>
    <t xml:space="preserve">Vérifier que des procédures de contrôle sont en place pour évaluer 
la conformité des actions des responsables avec les normes de 
contrôle interne, et pour identifier les non-conformités ou les écarts. </t>
  </si>
  <si>
    <t>Existence d’un cadre normatif de référence pour l’évaluation des actions des responsables.</t>
  </si>
  <si>
    <t>Mise en place d’audits réguliers pour contrôler la conformité des actions avec les normes établies.</t>
  </si>
  <si>
    <t>Définition de critères d’évaluation clairs pour identifier les écarts et les non-conformités.</t>
  </si>
  <si>
    <t>Documentation et suivi des écarts identifiés avec des recommandations d’amélioration.</t>
  </si>
  <si>
    <t>Mise en place de sanctions ou de corrections en cas de non-respect des procédures de contrôle interne.</t>
  </si>
  <si>
    <t xml:space="preserve">Vérifier que des mécanismes de formation et de sensibilisation sont 
mis en place pour renforcer la compréhension et l'engagement de 
chaque collaborateur vis-à-vis de ses responsabilités en matière de 
contrôle interne. </t>
  </si>
  <si>
    <t>Déploiement d’un programme de formation dédié au contrôle interne.</t>
  </si>
  <si>
    <t>Organisation régulière de sessions de sensibilisation pour les collaborateurs.</t>
  </si>
  <si>
    <t>Mise à disposition de supports pédagogiques accessibles (guides, vidéos, e-learning).</t>
  </si>
  <si>
    <t>Évaluation de l’efficacité des formations par des tests ou des études d’impact.</t>
  </si>
  <si>
    <t>Mise à jour des contenus de formation en fonction des évolutions réglementaires et organisationnelles.</t>
  </si>
  <si>
    <t xml:space="preserve"> Identification et analyse des risques</t>
  </si>
  <si>
    <t xml:space="preserve">S’assurer que l’organisation dispose d’une structure 
organisationnelle clairement définie, incluant les rôles et 
responsabilités relatifs à la gestion des systèmes d’information. </t>
  </si>
  <si>
    <t>Existence d’un organigramme détaillant les rôles et responsabilités liés aux systèmes d’information.</t>
  </si>
  <si>
    <t>Documentation des attributions spécifiques aux fonctions SI (DSI, RSSI, administrateurs, etc.).</t>
  </si>
  <si>
    <t>Communication de la structure organisationnelle aux collaborateurs concernés.</t>
  </si>
  <si>
    <t>Alignement de la structure organisationnelle avec les besoins stratégiques en SI.</t>
  </si>
  <si>
    <t>Mise à jour régulière de la structure organisationnelle en fonction des évolutions technologiques et réglementaires.</t>
  </si>
  <si>
    <t xml:space="preserve">Vérifier que les responsabilités liées à la sécurité des systèmes 
d’information et à la gestion des données sont attribuées à des 
postes spécifiques, avec des descriptions de rôle formalisées. </t>
  </si>
  <si>
    <t>Attribution claire des responsabilités en cybersécurité et gestion des données.</t>
  </si>
  <si>
    <t>Existence de fiches de poste détaillant les tâches spécifiques de chaque acteur clé.</t>
  </si>
  <si>
    <t>Accès facilité aux documents de référence pour les collaborateurs concernés.</t>
  </si>
  <si>
    <t>Vérification de la conformité des descriptions de rôle avec les réglementations en vigueur.</t>
  </si>
  <si>
    <t>Mise en place d’un processus de validation et de révision des rôles en fonction des besoins.</t>
  </si>
  <si>
    <t>S’assurer que les responsables des systèmes d’information, ainsi 
que les autres parties prenantes, sont dotés des ressources et des 
autorisations nécessaires pour exercer efficacement leurs 
responsabilités.</t>
  </si>
  <si>
    <t>Disponibilité des outils et infrastructures nécessaires à la gestion efficace des SI.</t>
  </si>
  <si>
    <t>Accès approprié aux ressources critiques pour les responsables SI.</t>
  </si>
  <si>
    <t>Validation des budgets alloués aux équipes SI pour garantir leur bon fonctionnement.</t>
  </si>
  <si>
    <t>Existence de procédures de gestion des accès et des autorisations.</t>
  </si>
  <si>
    <t>Évaluation périodique de la suffisance des ressources allouées aux SI.</t>
  </si>
  <si>
    <t xml:space="preserve">Vérifier que des mécanismes de communication efficaces existent 
pour assurer une coordination fluide entre les différents 
départements et les responsables des systèmes d’information. </t>
  </si>
  <si>
    <t>Existence de réunions régulières entre les SI et les autres départements.</t>
  </si>
  <si>
    <t>Utilisation d’outils de communication collaborative pour faciliter les échanges.</t>
  </si>
  <si>
    <t>Définition claire des circuits d’information et de validation entre équipes.</t>
  </si>
  <si>
    <t>Formalisation de processus de remontée et d’escalade en cas d’incident.</t>
  </si>
  <si>
    <t>Mesure de l’efficacité des canaux de communication via des feedbacks internes.</t>
  </si>
  <si>
    <t xml:space="preserve">S’assurer qu’il existe une hiérarchie de responsabilité permettant de 
rendre compte de la performance des systèmes d’information, avec 
des rapports réguliers destinés à la direction. </t>
  </si>
  <si>
    <t>Mise en place d’un cadre de reporting structuré sur la performance des SI.</t>
  </si>
  <si>
    <t>Définition d’indicateurs clés pour évaluer l’efficacité des systèmes d’information.</t>
  </si>
  <si>
    <t>Fréquence définie pour la remise des rapports à la direction.</t>
  </si>
  <si>
    <t>Analyse et exploitation des rapports pour améliorer les processus SI.</t>
  </si>
  <si>
    <t>Existence de plans d’amélioration basés sur les observations issues des rapports.</t>
  </si>
  <si>
    <t xml:space="preserve"> Identification et analyse des changements 
significatifs </t>
  </si>
  <si>
    <t>S’assurer que l’organisation met en place un processus structuré 
pour identifier les changements, qu’ils soient internes 
(réorganisations, nouvelles technologies, etc.) ou externes 
(évolutions réglementaires, marché, etc.), susceptibles d’affecter le 
système de contrôle interne.</t>
  </si>
  <si>
    <t>Définition de plans d’action détaillés pour adapter les contrôles internes.</t>
  </si>
  <si>
    <t>Mise en œuvre de tests pilotes avant généralisation des nouvelles mesures.</t>
  </si>
  <si>
    <t>Existence d’un calendrier précis de mise à jour des procédures de contrôle.</t>
  </si>
  <si>
    <t>Suivi et évaluation de l’efficacité des ajustements apportés.</t>
  </si>
  <si>
    <t>Documentation systématique des modifications et de leurs impacts sur l’organisation.</t>
  </si>
  <si>
    <t xml:space="preserve">Vérifier que les changements identifiés sont évalués de manière 
formelle et structurée, avec une analyse de l’impact potentiel sur les 
contrôles internes et les risques associés. </t>
  </si>
  <si>
    <t>Existence d'une procédure formelle pour l’évaluation des changements.</t>
  </si>
  <si>
    <t>Documentation des analyses d’impact effectuées sur les contrôles internes.</t>
  </si>
  <si>
    <t>Prise en compte des risques associés dans l’évaluation des changements.</t>
  </si>
  <si>
    <t>Validation des évaluations par les parties prenantes concernées.</t>
  </si>
  <si>
    <t>Suivi des décisions prises suite à l’évaluation des changements.</t>
  </si>
  <si>
    <t xml:space="preserve">S’assurer que les responsables du contrôle interne sont impliqués 
dans l’identification et l’évaluation des changements, afin qu’ils 
puissent adapter les contrôles en conséquence. </t>
  </si>
  <si>
    <t>Présence des responsables du contrôle interne dans les comités de gestion du changement.</t>
  </si>
  <si>
    <t>- Traçabilité de leur participation dans les revues de changements.</t>
  </si>
  <si>
    <t>- Intégration de leurs recommandations dans les décisions finales.</t>
  </si>
  <si>
    <t>- Existence d’une communication formelle entre les équipes en charge des changements et le contrôle interne.</t>
  </si>
  <si>
    <t>- Formation continue des responsables du contrôle interne sur les évolutions du système.</t>
  </si>
  <si>
    <t>Vérifier que des plans d’action sont mis en place pour ajuster le 
système de contrôle interne en fonction des changements identifiés, 
y compris des processus de mise à jour et de révision des contrôles 
existants.</t>
  </si>
  <si>
    <t>Élaboration systématique de plans d’action détaillés pour chaque changement majeur.</t>
  </si>
  <si>
    <t>- Existence d’un processus de validation et de mise en œuvre des plans d’action.</t>
  </si>
  <si>
    <t>- Mise à jour régulière des procédures et contrôles internes documentés.</t>
  </si>
  <si>
    <t>- Attribution claire des responsabilités pour l’application des ajustements.</t>
  </si>
  <si>
    <t>- Suivi de l’exécution des plans d’action et évaluation de leur efficacité.</t>
  </si>
  <si>
    <t xml:space="preserve">S’assurer que les changements et leur impact sur le système de 
contrôle interne sont régulièrement suivis et que des rapports 
détaillés sont fournis à la direction pour assurer une prise de 
décision informée. </t>
  </si>
  <si>
    <t>Mise en place d’un système de reporting régulier sur les changements et leur impact.</t>
  </si>
  <si>
    <t>- Existence d’indicateurs de suivi des modifications du contrôle interne.</t>
  </si>
  <si>
    <t>- Fréquence et qualité des rapports transmis à la direction.</t>
  </si>
  <si>
    <t>- Intégration des recommandations issues des rapports dans les décisions stratégiques.</t>
  </si>
  <si>
    <t>- Accès des parties prenantes concernées aux informations critiques sur les changements.</t>
  </si>
  <si>
    <t xml:space="preserve"> Activités de Contrôle</t>
  </si>
  <si>
    <t xml:space="preserve">Développement des activités de contrôle sur les technologies </t>
  </si>
  <si>
    <t xml:space="preserve">S’assurer que l’organisation sélectionne des activités de contrôle 
adaptées aux risques identifiés, en prenant en compte la nature, 
l’ampleur et la criticité des risques. </t>
  </si>
  <si>
    <t>Existence d’une analyse des risques documentée et mise à jour périodiquement.</t>
  </si>
  <si>
    <t>Alignement des activités de contrôle avec la criticité des risques identifiés.</t>
  </si>
  <si>
    <t>Prise en compte des spécificités opérationnelles dans le choix des contrôles.</t>
  </si>
  <si>
    <t>Validation des contrôles sélectionnés par les instances de gouvernance.</t>
  </si>
  <si>
    <t>Ajustement des contrôles en fonction des nouvelles menaces et vulnérabilités.</t>
  </si>
  <si>
    <t>Vérifier que des mécanismes de suivi sont mis en place pour évaluer 
l’efficacité des activités de contrôle dans la réduction des risques à 
des niveaux acceptables.</t>
  </si>
  <si>
    <t>Mise en place d’indicateurs de performance pour mesurer l’efficacité des contrôles.</t>
  </si>
  <si>
    <t>Réalisation d’audits internes et externes pour évaluer les contrôles.</t>
  </si>
  <si>
    <t>Documentation des écarts identifiés et mise en place de mesures correctives.</t>
  </si>
  <si>
    <t>Suivi régulier des niveaux de risques après l’application des contrôles.</t>
  </si>
  <si>
    <t>Présentation des résultats des évaluations aux instances de décision.</t>
  </si>
  <si>
    <t>S’assurer que les activités de contrôle sont intégrées dans les 
processus opérationnels de l’organisation, de manière à garantir que 
les risques sont gérés de manière continue et proactive.</t>
  </si>
  <si>
    <t>Intégration des contrôles dans les procédures et workflows opérationnels.</t>
  </si>
  <si>
    <t>Formation du personnel sur l’application des contrôles dans les processus métiers.</t>
  </si>
  <si>
    <t>Automatisation des contrôles pour assurer leur application systématique.</t>
  </si>
  <si>
    <t>Suivi des incidents opérationnels pour identifier les éventuelles failles de contrôle.</t>
  </si>
  <si>
    <t>Responsabilisation des équipes opérationnelles dans la mise en œuvre des contrôles.</t>
  </si>
  <si>
    <t>Vérifier que les activités de contrôle sont adaptées à l’évolution des 
risques, avec des ajustements réguliers pour garantir qu'elles restent 
efficaces face à des risques changeants.</t>
  </si>
  <si>
    <t>Mise à jour périodique des contrôles en fonction des analyses de risques.</t>
  </si>
  <si>
    <t>Surveillance continue des nouvelles menaces et vulnérabilités.</t>
  </si>
  <si>
    <t>Réalisation d’évaluations post-incident pour ajuster les contrôles en place.</t>
  </si>
  <si>
    <t>Implication des experts en gestion des risques dans la révision des contrôles.</t>
  </si>
  <si>
    <t>Adaptation des contrôles aux évolutions technologiques et réglementaires.</t>
  </si>
  <si>
    <t xml:space="preserve">S’assurer que les responsabilités des différentes parties prenantes 
concernant les activités de contrôle sont clairement définies et que 
les ressources nécessaires sont allouées pour leur mise en œuvre. </t>
  </si>
  <si>
    <t>Attribution formelle des rôles et responsabilités en matière de contrôle.</t>
  </si>
  <si>
    <t>Existence d’une documentation précisant les obligations de chaque acteur.</t>
  </si>
  <si>
    <t>Allocation de budgets et de ressources pour la mise en œuvre des contrôles.</t>
  </si>
  <si>
    <t>Suivi des actions des parties prenantes pour assurer leur implication effective.</t>
  </si>
  <si>
    <t>Mise en place de formations pour renforcer les compétences en gestion des contrôles.</t>
  </si>
  <si>
    <t xml:space="preserve">Vérifier que les résultats des activités de contrôle sont documentés 
et partagés avec la direction, permettant une évaluation régulière et 
un ajustement des stratégies de gestion des risques. </t>
  </si>
  <si>
    <t>Existence de rapports réguliers sur l’état des contrôles et leur efficacité.</t>
  </si>
  <si>
    <t>Communication des résultats des contrôles aux instances décisionnelles.</t>
  </si>
  <si>
    <t>Prise en compte des recommandations issues des évaluations de contrôle.</t>
  </si>
  <si>
    <t>Conservation des documents d’audit pour assurer la traçabilité des actions.</t>
  </si>
  <si>
    <t>Mise en place d’un processus de retour d’information pour améliorer les contrôles.</t>
  </si>
  <si>
    <t xml:space="preserve">Mise en œuvre des politiques et procédures </t>
  </si>
  <si>
    <t>S’assurer que l’organisation sélectionne des contrôles généraux 
informatiques appropriés pour protéger les systèmes d'information 
contre les menaces internes et externes.</t>
  </si>
  <si>
    <t>Identification et classification des menaces internes et externes affectant les systèmes d'information.</t>
  </si>
  <si>
    <t>Existence d’un cadre de contrôle aligné sur les meilleures pratiques de cybersécurité.</t>
  </si>
  <si>
    <t>Mise en place de mesures de protection adaptées aux risques identifiés.</t>
  </si>
  <si>
    <t>Existence de plans de réponse aux incidents en cas de compromission.</t>
  </si>
  <si>
    <t>Validation des contrôles sélectionnés par la direction et les experts en sécurité.</t>
  </si>
  <si>
    <t>Vérifier que les contrôles généraux informatiques sont conçus pour 
être efficaces à tous les niveaux de l’infrastructure informatique, 
incluant les réseaux, les bases de données, les applications et les 
dispositifs matériels.</t>
  </si>
  <si>
    <t>Présence de contrôles de sécurité à chaque niveau de l’architecture informatique.</t>
  </si>
  <si>
    <t>Intégration des contrôles dans les politiques de gestion des accès et des identités.</t>
  </si>
  <si>
    <t>Existence de mécanismes de surveillance pour détecter les vulnérabilités.</t>
  </si>
  <si>
    <t>Tests réguliers pour vérifier l’efficacité des contrôles sur l’ensemble des infrastructures.</t>
  </si>
  <si>
    <t>Documentation détaillée des contrôles mis en place sur chaque composant du SI.</t>
  </si>
  <si>
    <t>S’assurer que des règles de contrôle claires et bien définies sont 
mises en place pour chaque domaine critique, et qu’elles couvrent 
toutes les activités pertinentes pour assurer la conformité et la 
gestion des risques.</t>
  </si>
  <si>
    <t>Définition explicite des règles de contrôle applicables à chaque domaine critique.</t>
  </si>
  <si>
    <t>Alignement des règles de contrôle avec les réglementations en vigueur.</t>
  </si>
  <si>
    <t>Mise en place de mécanismes de contrôle pour assurer l’application des règles.</t>
  </si>
  <si>
    <t>Documentation des règles de contrôle et des responsabilités associées.</t>
  </si>
  <si>
    <t>Vérification de l’adéquation des règles avec les objectifs de sécurité et de conformité.</t>
  </si>
  <si>
    <t xml:space="preserve">Vérifier que des procédures détaillées sont établies pour mettre en 
œuvre les règles de contrôle, avec des instructions précises sur la 
manière de suivre et de maintenir ces règles dans les opérations 
quotidiennes. </t>
  </si>
  <si>
    <t>Formalisation des procédures de mise en œuvre des règles de contrôle.</t>
  </si>
  <si>
    <t>Intégration des instructions dans les politiques et guides de sécurité.</t>
  </si>
  <si>
    <t>Mise en place de formations pour sensibiliser les utilisateurs aux règles de contrôle.</t>
  </si>
  <si>
    <t>Surveillance de l’application des procédures et identification des écarts.</t>
  </si>
  <si>
    <t>Mise à jour des procédures en fonction des évolutions des règles de contrôle.</t>
  </si>
  <si>
    <t xml:space="preserve">S’assurer que les règles et procédures sont régulièrement révisées et 
mises à jour pour refléter les changements dans l’environnement 
interne et externe, les évolutions réglementaires ou les améliorations 
des meilleures pratiques. </t>
  </si>
  <si>
    <t>Planification des révisions périodiques des règles et procédures de contrôle.</t>
  </si>
  <si>
    <t>Suivi des évolutions réglementaires et technologiques impactant les contrôles.</t>
  </si>
  <si>
    <t>Consultation des parties prenantes lors des mises à jour des procédures.</t>
  </si>
  <si>
    <t>Documentation des modifications apportées et communication aux équipes concernées.</t>
  </si>
  <si>
    <t>Intégration des retours d’expérience dans l’amélioration continue des procédures.</t>
  </si>
  <si>
    <t xml:space="preserve"> Information et Communication</t>
  </si>
  <si>
    <t xml:space="preserve">Utilisation d’informations de qualité </t>
  </si>
  <si>
    <t xml:space="preserve">S’assurer que des mécanismes de suivi sont en place pour garantir 
le respect des règles et procédures de contrôle, avec des rapports 
réguliers sur leur mise en œuvre et des audits pour vérifier leur 
efficacité. </t>
  </si>
  <si>
    <t xml:space="preserve">Vérifier que des actions correctives sont prises lorsque des écarts 
sont identifiés dans l’application des règles et procédures de 
contrôle, avec des processus de mise à jour ou de renforcement des 
contrôles si nécessaire. </t>
  </si>
  <si>
    <t xml:space="preserve">S’assurer que des formations régulières sont proposées aux 
collaborateurs pour garantir leur compréhension et leur capacité à 
mettre en œuvre correctement les règles et procédures de contrôle. </t>
  </si>
  <si>
    <t>S’assurer que des mécanismes sont en place pour collecter des 
informations fiables et pertinentes sur les activités de l’organisation, 
en particulier celles liées au contrôle interne.</t>
  </si>
  <si>
    <t xml:space="preserve">Vérifier que les informations générées sont complètes, précises et à 
jour, de manière à refléter fidèlement la situation de l’organisation et 
ses performances en matière de contrôle interne. </t>
  </si>
  <si>
    <t>Communication interne</t>
  </si>
  <si>
    <t xml:space="preserve">Vérifier que des processus formels de validation des informations 
sont mis en place pour garantir leur exactitude, leur fiabilité et leur 
cohérence avant leur utilisation dans les autres composantes du 
contrôle interne. </t>
  </si>
  <si>
    <t xml:space="preserve">S’assurer que les informations relatives aux risques et aux contrôles 
internes sont régulièrement mises à jour et partagées avec les 
parties prenantes pertinentes, y compris la direction et le Conseil. </t>
  </si>
  <si>
    <t>Vérifier que des outils de gestion de l'information et des technologies 
appropriées sont utilisés pour faciliter la collecte, l'analyse et la 
distribution des informations pertinentes relatives au contrôle 
interne.</t>
  </si>
  <si>
    <t>S’assurer que l’organisation a mis en place des processus formels 
pour communiquer de manière régulière et transparente les 
informations nécessaires au fonctionnement du contrôle interne à 
tous les niveaux de l’organisation.</t>
  </si>
  <si>
    <t xml:space="preserve">Vérifier que les informations sont partagées de manière appropriée, 
en fonction des rôles et des responsabilités des différentes parties 
prenantes, et qu'elles sont adaptées à leur niveau de responsabilité. </t>
  </si>
  <si>
    <t xml:space="preserve"> Communication externe </t>
  </si>
  <si>
    <t xml:space="preserve">Vérifier que des mécanismes de feedback sont mis en place pour 
permettre aux parties prenantes internes de poser des questions et 
d’obtenir des éclaircissements sur les informations reçues. </t>
  </si>
  <si>
    <t>S’assurer que des outils de communication adéquats (réunions, 
rapports, systèmes d’information) sont utilisés pour faciliter 
l’échange d’informations entre les différentes parties prenantes 
impliquées dans le contrôle interne.</t>
  </si>
  <si>
    <t>Vérifier que la communication interne des informations nécessaires 
au contrôle interne est régulièrement suivie, avec des rapports ou 
des audits pour évaluer l'efficacité des mécanismes de 
communication en place.</t>
  </si>
  <si>
    <t>S’assurer que l’organisation dispose de processus formels pour 
communiquer avec les tiers sur les points pertinents concernant le 
contrôle interne, notamment les risques et les mesures prises pour y 
faire face.</t>
  </si>
  <si>
    <t xml:space="preserve">Vérifier que les parties prenantes externes sont informées en temps 
utile des évolutions qui peuvent avoir un impact sur le 
fonctionnement du contrôle interne, en particulier lorsqu'il y a des 
changements significatifs dans l’organisation ou dans la 
réglementation applicable. </t>
  </si>
  <si>
    <t xml:space="preserve">S’assurer que les informations partagées avec les tiers sont 
pertinentes, complètes et compréhensibles, et qu’elles sont 
adaptées au rôle et aux besoins de chaque partie prenante externe. </t>
  </si>
  <si>
    <t xml:space="preserve">Vérifier que des mécanismes de suivi et de contrôle sont en place 
pour s’assurer que les tiers respectent les engagements relatifs au 
contrôle interne, et que les résultats de cette coopération sont 
régulièrement évalués. </t>
  </si>
  <si>
    <t xml:space="preserve">S’assurer que des mesures sont mises en place pour gérer les 
risques associés à la communication avec les tiers, notamment en 
termes de confidentialité, de conformité aux réglementations et de 
protection des données sensibles. </t>
  </si>
  <si>
    <t>Vérifier que les résultats des échanges avec les tiers sont 
documentés et intégrés dans le système de gestion des risques, afin 
d’assurer que le contrôle interne reste efficace face aux risques 
externes.</t>
  </si>
  <si>
    <t xml:space="preserve">Vérifier que des évaluations ponctuelles sont réalisées lors de 
changements importants (réorganisation, introduction de nouvelles 
technologies, etc.) pour s’assurer que les composantes du contrôle 
interne restent adaptées et efficaces dans ces nouveaux contextes. </t>
  </si>
  <si>
    <t>S’assurer que les responsables des composantes du contrôle 
interne sont impliqués dans les évaluations et qu'ils sont informés 
des résultats afin de pouvoir apporter des améliorations lorsque cela 
est nécessaire.</t>
  </si>
  <si>
    <t>Vérifier que des critères d’évaluation clairs et mesurables sont 
utilisés pour évaluer l’efficacité des composantes du contrôle 
interne, y compris des indicateurs de performance et des seuils de 
tolérance définis.</t>
  </si>
  <si>
    <t>S’assurer que les résultats des évaluations sont documentés et 
partagés avec la direction et le Conseil, afin qu’ils puissent prendre 
des décisions éclairées sur les actions correctives et l’adaptation du 
contrôle interne.</t>
  </si>
  <si>
    <t xml:space="preserve">Vérifier que les évaluations sont suivies de plans d’action correctifs 
lorsque des failles ou des défaillances sont identifiées, et que ces 
plans sont mis en œuvre efficacement dans les délais impartis. </t>
  </si>
  <si>
    <t>Risque</t>
  </si>
  <si>
    <t>Conséquence</t>
  </si>
  <si>
    <t>Perte de pilotage stratégique du SI</t>
  </si>
  <si>
    <t>Mettre en place une structure de gouvernance dédiée au SI ; Définir des politiques claires.</t>
  </si>
  <si>
    <t>Multiplication des erreurs et conflits</t>
  </si>
  <si>
    <t>Documenter et diffuser les rôles et responsabilités ; Utiliser un organigramme fonctionnel.</t>
  </si>
  <si>
    <t>Objectifs non atteints ou dérive des projets</t>
  </si>
  <si>
    <t>Mettre en place un comité de suivi ; Utiliser des outils de reporting régulier.</t>
  </si>
  <si>
    <t>Impossibilité de justifier ou de corriger les décisions</t>
  </si>
  <si>
    <t>Tenir des procès-verbaux ; Archiver systématiquement les décisions.</t>
  </si>
  <si>
    <t>Non atteinte des résultats escomptés</t>
  </si>
  <si>
    <t>Affecter des responsables et des indicateurs aux actions ; Réaliser des revues périodiques.</t>
  </si>
  <si>
    <t>Blocages ou doublons dans l’exécution</t>
  </si>
  <si>
    <t>Clarifier les tâches dans un RACI ; Sensibiliser les équipes.</t>
  </si>
  <si>
    <t>Absence de redevabilité en cas d’échec</t>
  </si>
  <si>
    <t>Formaliser les responsabilités dans les fiches de poste ; Réviser périodiquement.</t>
  </si>
  <si>
    <t>Risque accru de fuite ou d’abus</t>
  </si>
  <si>
    <t>Mettre en œuvre un principe du moindre privilège ; Réaliser des revues d’accès régulières.</t>
  </si>
  <si>
    <t>Perte financière ou atteinte à l’image</t>
  </si>
  <si>
    <t>Implémenter des contrôles d'accès renforcés ; Mettre en place un système d’alerte.</t>
  </si>
  <si>
    <t>Utilisation non contrôlée de ressources sensibles</t>
  </si>
  <si>
    <t>Supprimer les comptes inactifs ; Intégrer des audits périodiques des droits.</t>
  </si>
  <si>
    <t>Réaction tardive aux incidents</t>
  </si>
  <si>
    <t>Mettre en place un système de détection des intrusions ; Mettre à jour la cartographie des risques.</t>
  </si>
  <si>
    <t>Ressources mal allouées ; perte d'efficacité</t>
  </si>
  <si>
    <t>Définir une matrice d’analyse des risques ; Prioriser selon les impacts.</t>
  </si>
  <si>
    <t>Vulnérabilité constante du SI</t>
  </si>
  <si>
    <t>Développer un plan de traitement des risques ; Allouer un budget spécifique.</t>
  </si>
  <si>
    <t>Événements inattendus impactant l’activité</t>
  </si>
  <si>
    <t>Effectuer une analyse de risques régulière ; Intégrer les parties prenantes.</t>
  </si>
  <si>
    <t>Initiatives SI non alignées aux objectifs</t>
  </si>
  <si>
    <t>Obtenir un engagement formel de la direction ; Intégrer le SI au plan stratégique.</t>
  </si>
  <si>
    <t>Exploitation possible par des attaquants</t>
  </si>
  <si>
    <t>Réaliser des audits de sécurité réguliers ; Mettre à jour les outils de sécurité.</t>
  </si>
  <si>
    <t>Obsolescence des défenses ; vulnérabilité accrue</t>
  </si>
  <si>
    <t>Assurer une veille technologique et sécuritaire ; Adapter les politiques de sécurité.</t>
  </si>
  <si>
    <t>Inefficacité de la défense du SI</t>
  </si>
  <si>
    <t>Revoir les mesures selon les scénarios de risques ; Tester la robustesse des mesures.</t>
  </si>
  <si>
    <t>Comportements à risque ; négligence</t>
  </si>
  <si>
    <t>Former régulièrement le personnel ; Diffuser des guides de bonnes pratiques.</t>
  </si>
  <si>
    <t>Systèmes exposés à des vulnérabilités connues</t>
  </si>
  <si>
    <t>Automatiser les mises à jour ; Mettre en place un plan de patch management.</t>
  </si>
  <si>
    <t>Risque de non-conformité RGPD / fuite de données</t>
  </si>
  <si>
    <t>Classifier les données ; Appliquer des politiques de protection spécifiques.</t>
  </si>
  <si>
    <t>Mauvaise gestion des niveaux de sécurité</t>
  </si>
  <si>
    <t>Mettre en place un système de classification clair ; Revoir les étiquetages existants.</t>
  </si>
  <si>
    <t>Risques de perte ou vol de données</t>
  </si>
  <si>
    <t>Chiffrer les données sensibles ; Sauvegarder régulièrement.</t>
  </si>
  <si>
    <t>Données critiques mal protégées ou surprotégées</t>
  </si>
  <si>
    <t>Mettre à jour la classification des données ; Auditer régulièrement les accès.</t>
  </si>
  <si>
    <t>Violations de la confidentialité</t>
  </si>
  <si>
    <t>Restreindre les droits d’accès ; Mettre en œuvre un contrôle d’accès logique.</t>
  </si>
  <si>
    <t>Risques de mauvaise configuration</t>
  </si>
  <si>
    <t>Créer un référentiel de bonnes pratiques ; Documenter les procédures d’administration.</t>
  </si>
  <si>
    <t>Instabilités et vulnérabilités système</t>
  </si>
  <si>
    <t>Utiliser un outil de gestion de configuration ; Centraliser les changements.</t>
  </si>
  <si>
    <t>Baisse de productivité ; perte financière</t>
  </si>
  <si>
    <t>Élaborer un plan de continuité d’activité ; Effectuer des tests de restauration.</t>
  </si>
  <si>
    <t>Risque juridique et réputationnel</t>
  </si>
  <si>
    <t>Implanter un système d’authentification ; Journaliser tous les accès.</t>
  </si>
  <si>
    <t>Exposition à des failles connues</t>
  </si>
  <si>
    <t>Maintenir une documentation à jour ; Mettre à jour les configurations régulièrement.</t>
  </si>
  <si>
    <t>Hétérogénéité, erreurs et lenteurs</t>
  </si>
  <si>
    <t>Documenter les processus ; Mettre en place une démarche qualité.</t>
  </si>
  <si>
    <t>Risque de divulgation d’informations confidentielles</t>
  </si>
  <si>
    <t>Sécuriser les partages de documents ; Limiter les droits d'accès.</t>
  </si>
  <si>
    <t>Pertes de données ou interruption des services</t>
  </si>
  <si>
    <t>Établir un protocole d'urgence ; Former les équipes à ces scénarios.</t>
  </si>
  <si>
    <t>Réviser les procédures en fonction des normes ; Soumettre à validation juridique.</t>
  </si>
  <si>
    <t>Inefficacité ou erreurs d’application</t>
  </si>
  <si>
    <t>Mettre à jour périodiquement ; Informer les utilisateurs des changements.</t>
  </si>
  <si>
    <t>Répétition des incidents sans traitement</t>
  </si>
  <si>
    <t>Instaurer un outil de supervision ; Mettre en place un tableau de bord SI.</t>
  </si>
  <si>
    <t>Difficulté d’évaluation et de pilotage</t>
  </si>
  <si>
    <t>Définir des KPI clairs ; Intégrer ces indicateurs dans les rapports.</t>
  </si>
  <si>
    <t>Risques d’erreurs stratégiques</t>
  </si>
  <si>
    <t>Mettre en place des outils d’aide à la décision ; Valider les données sources.</t>
  </si>
  <si>
    <t>Résurgence d’erreurs et instabilité</t>
  </si>
  <si>
    <t>Assigner des responsables au suivi ; Créer une base d’incidents.</t>
  </si>
  <si>
    <t>Difficulté d’analyse et d’audit</t>
  </si>
  <si>
    <t>Activer la journalisation systématique ; Conserver les logs sur une durée définie.</t>
  </si>
  <si>
    <t>Faible adoption ou erreurs fréquentes</t>
  </si>
  <si>
    <t>Simplifier l’interface ; Réaliser des tests utilisateurs.</t>
  </si>
  <si>
    <t>Sous-utilisation des outils</t>
  </si>
  <si>
    <t>Proposer des formations et des guides ; Fournir des démonstrations interactives.</t>
  </si>
  <si>
    <t>Mauvaises décisions ; erreurs</t>
  </si>
  <si>
    <t>Mettre à jour les bases de données ; Mettre en place un système d’alerte.</t>
  </si>
  <si>
    <t>Erreurs fréquentes ; baisse d’efficacité</t>
  </si>
  <si>
    <t>Intégrer une formation d’accueil ; Créer un mentorat interne.</t>
  </si>
  <si>
    <t>Risque de fuite d’informations sur l’utilisation</t>
  </si>
  <si>
    <t>Protéger les guides sensibles par mot de passe ; Restreindre la diffusion.</t>
  </si>
  <si>
    <t>Fréquence des réunions adaptée.</t>
  </si>
  <si>
    <t>Représentation et participation de toutes les directions clés.</t>
  </si>
  <si>
    <t>Formalisation et communication des décisions.</t>
  </si>
  <si>
    <t>Suivi de l'avancement des actions décidé.</t>
  </si>
  <si>
    <t>Objectifs des comités clairs et atteints.</t>
  </si>
  <si>
    <t>Existence, accessibilité et communication de la charte.</t>
  </si>
  <si>
    <t>Définition claire des rôles et responsabilités de la DSI.</t>
  </si>
  <si>
    <t>Couverture des domaines clés (sécurité, ressources, etc.).</t>
  </si>
  <si>
    <t>Mise à jour régulière et approbation de la charte.</t>
  </si>
  <si>
    <t>Cohérence pratiques/charte et contrôle de l'application.</t>
  </si>
  <si>
    <t>Participation active aux instances de décision SI.</t>
  </si>
  <si>
    <t>Compréhension des enjeux stratégiques des SI.</t>
  </si>
  <si>
    <t>Validation éclairée des orientations et investissements SI.</t>
  </si>
  <si>
    <t>Réception et utilisation des indicateurs de performance SI.</t>
  </si>
  <si>
    <t>Actions de formation/sensibilisation aux enjeux SI.</t>
  </si>
  <si>
    <t>Responsables des grands projets clairement désignés et légitimes.</t>
  </si>
  <si>
    <t>Définition collaborative des objectifs et livrables.</t>
  </si>
  <si>
    <t>Implication dans l'arbitrage et la prise de décision.</t>
  </si>
  <si>
    <t>Communication régulière sur l'avancement des projets.</t>
  </si>
  <si>
    <t>Validation des étapes clés basée sur des critères objectifs.</t>
  </si>
  <si>
    <t>Responsables MOA identifiés et rôle compris.</t>
  </si>
  <si>
    <t>Expression claire et détaillée des besoins fonctionnels.</t>
  </si>
  <si>
    <t>Participation active à toutes les phases du projet.</t>
  </si>
  <si>
    <t>Validation des livrables par rapport aux besoins exprimés.</t>
  </si>
  <si>
    <t>Implication dans la gestion du changement et la formation.</t>
  </si>
  <si>
    <t>Exposition à des sanctions juridiques et financières</t>
  </si>
  <si>
    <t>Fuite de données sensibles et perte de confiance</t>
  </si>
  <si>
    <t>Perte de données stratégiques ou financières</t>
  </si>
  <si>
    <t>Risque d'abus d'accès ou modification non autorisée</t>
  </si>
  <si>
    <t>Compromission du système via des comptes inactifs</t>
  </si>
  <si>
    <t>Conflits d'accès, erreurs ou abus</t>
  </si>
  <si>
    <t>Risque d’accès inapproprié à des informations sensibles</t>
  </si>
  <si>
    <t>Accès fantôme aux systèmes critiques</t>
  </si>
  <si>
    <t>Intrusion discrète et durable dans le système</t>
  </si>
  <si>
    <t>Difficulté d’enquête et de responsabilité</t>
  </si>
  <si>
    <t>Non-respect des responsabilités, difficulté de sanction</t>
  </si>
  <si>
    <t>Multiplication des attaques internes</t>
  </si>
  <si>
    <t>Accès non autorisé aux données sensibles</t>
  </si>
  <si>
    <t>Compromission des identifiants</t>
  </si>
  <si>
    <t>Détournement d'identifiants valides</t>
  </si>
  <si>
    <t>Accès libre aux ressources critiques</t>
  </si>
  <si>
    <t>Intrusion rapide et indétectable</t>
  </si>
  <si>
    <t>Usurpation d’identité et compromission des systèmes</t>
  </si>
  <si>
    <t>Utilisation malveillante du compte utilisateur</t>
  </si>
  <si>
    <t>Exploitation d’anciens accès</t>
  </si>
  <si>
    <t>Attaques prolongées sans réponse</t>
  </si>
  <si>
    <t>Difficulté à remonter l’origine et étendue de l’attaque</t>
  </si>
  <si>
    <t>Compromission des comptes utilisateurs</t>
  </si>
  <si>
    <t>Sanctions financières et image dégradée</t>
  </si>
  <si>
    <t>Dommages plus importants sur le SI</t>
  </si>
  <si>
    <t>Fuite ou modification de données sensibles</t>
  </si>
  <si>
    <t>Failles non anticipées exploitables</t>
  </si>
  <si>
    <t>Échec de la détection des incidents ou anomalies</t>
  </si>
  <si>
    <t>Failles ignorées ou mal traitées</t>
  </si>
  <si>
    <t>Décisions prises sur des informations erronées</t>
  </si>
  <si>
    <t>Dysfonctionnements applicatifs ou résultats incohérents</t>
  </si>
  <si>
    <t>Difficulté à détecter ou corriger les erreurs</t>
  </si>
  <si>
    <t>Décisions opérationnelles erronées</t>
  </si>
  <si>
    <t>Conséquences financières ou organisationnelles</t>
  </si>
  <si>
    <t>Dépendance excessive aux développeurs ; erreurs de manipulation</t>
  </si>
  <si>
    <t>Régressions et instabilité du système</t>
  </si>
  <si>
    <t>Retards et conflits dans les projets</t>
  </si>
  <si>
    <t>Arrêts prolongés ; insatisfaction des utilisateurs</t>
  </si>
  <si>
    <t>Multiplication des risques non détectés</t>
  </si>
  <si>
    <t>Décisions non prises ou prises de manière inefficace</t>
  </si>
  <si>
    <t>Pertes financières ; atteinte à l’image</t>
  </si>
  <si>
    <t>Arrêt de services ; mauvaise qualité de données</t>
  </si>
  <si>
    <t>Violation de données ; amendes réglementaires</t>
  </si>
  <si>
    <t>Altération malveillante de données</t>
  </si>
  <si>
    <t>Dysfonctionnement du système</t>
  </si>
  <si>
    <t>Ralentissements ou crashs</t>
  </si>
  <si>
    <t>Fonctionnalités existantes non fonctionnelles</t>
  </si>
  <si>
    <t>Sous-utilisation des outils ; gaspillage de ressources</t>
  </si>
  <si>
    <t>Dégradation progressive du service</t>
  </si>
  <si>
    <t>Erreurs d’exploitation ou mauvaise maintenance</t>
  </si>
  <si>
    <t>Indisponibilité ou mauvais fonctionnement des services</t>
  </si>
  <si>
    <t>Sanctions RGPD ; perte de confiance des partenaires</t>
  </si>
  <si>
    <t>Mauvaises décisions techniques ou fonctionnelles</t>
  </si>
  <si>
    <t>Temps de rétablissement plus long</t>
  </si>
  <si>
    <t>Accumulation des perturbations</t>
  </si>
  <si>
    <t>Perte de contrôle opérationnel</t>
  </si>
  <si>
    <t>Répétition des mêmes erreurs</t>
  </si>
  <si>
    <t>Arrêts de service ou données incohérentes</t>
  </si>
  <si>
    <t>Perte d’exploitation ; clients insatisfaits</t>
  </si>
  <si>
    <t>Actions imprévues ou illégitimes sur le SI</t>
  </si>
  <si>
    <t>Incohérences dans les traitements</t>
  </si>
  <si>
    <t>Décisions inadaptées</t>
  </si>
  <si>
    <t>Décisions basées sur une vision partielle</t>
  </si>
  <si>
    <t>Stratégie inadaptée ou inefficace</t>
  </si>
  <si>
    <t>Impact majeur sur l’activité</t>
  </si>
  <si>
    <t>Interruption des services ; perte d’informations vitales</t>
  </si>
  <si>
    <t>Aucune récupération possible</t>
  </si>
  <si>
    <t>Propagation de virus ou perte de données</t>
  </si>
  <si>
    <t>Incohérences découvertes tardivement</t>
  </si>
  <si>
    <t>Investissements inutiles ; inefficacité</t>
  </si>
  <si>
    <t>Fuite de données sensibles</t>
  </si>
  <si>
    <t>Manipulation ou vol de données</t>
  </si>
  <si>
    <t>Risque d'abus ou de mauvaise manipulation</t>
  </si>
  <si>
    <t>Utilisation frauduleuse ou accidentelle</t>
  </si>
  <si>
    <t>Réaliser un audit de conformité régulier ; mettre à jour les politiques internes selon les normes</t>
  </si>
  <si>
    <t>Mettre en place un système de contrôle d'accès basé sur les rôles ; utiliser l’authentification forte</t>
  </si>
  <si>
    <t>Renforcer les mécanismes de journalisation et d’alerte ; former le personnel à la cybersécurité</t>
  </si>
  <si>
    <t>Implémenter le principe de moindre privilège ; effectuer des revues périodiques des accès</t>
  </si>
  <si>
    <t>Mettre en place une procédure de désactivation automatique des comptes après départ</t>
  </si>
  <si>
    <t>Uniformiser la gestion des profils via un référentiel centralisé</t>
  </si>
  <si>
    <t>Mettre en place des règles de validation multi-niveaux pour toute modification de droits</t>
  </si>
  <si>
    <t>Restreindre les droits de création de profils aux administrateurs certifiés</t>
  </si>
  <si>
    <t>Auditer régulièrement les comptes utilisateurs ; supprimer les comptes inactifs</t>
  </si>
  <si>
    <t>Mettre en place un système de journalisation inviolable et horodaté</t>
  </si>
  <si>
    <t>Appliquer des identifiants uniques non partagés ; désactiver les comptes partagés</t>
  </si>
  <si>
    <t>Renforcer les politiques de mot de passe et l’authentification à plusieurs facteurs</t>
  </si>
  <si>
    <t>Isoler les environnements critiques ; auditer les connexions internes</t>
  </si>
  <si>
    <t>Imposer des limites de tentatives de connexion ; utiliser un captcha ou MFA</t>
  </si>
  <si>
    <t>Interdire la réutilisation de mots de passe ; imposer des expirations régulières</t>
  </si>
  <si>
    <t>Exiger l’authentification obligatoire sur tous les services</t>
  </si>
  <si>
    <t>Utiliser des politiques de complexité ; interdire les mots de passe trop simples</t>
  </si>
  <si>
    <t>Forcer l’utilisation de connexions chiffrées (HTTPS, SSH, etc.)</t>
  </si>
  <si>
    <t>Mettre en place la détection d’activités anormales</t>
  </si>
  <si>
    <t>Forcer l’expiration périodique et suppression automatique des accès inactifs</t>
  </si>
  <si>
    <t>Mettre en place des outils de détection d'intrusion (IDS/IPS)</t>
  </si>
  <si>
    <t>Assurer une journalisation complète, horodatée et centralisée</t>
  </si>
  <si>
    <t>Bloquer les IP après tentatives répétées ; activer MFA</t>
  </si>
  <si>
    <t>Mettre à jour les politiques de sécurité régulièrement ; former les responsables</t>
  </si>
  <si>
    <t>Utiliser des outils SIEM pour l’analyse des logs en temps réel</t>
  </si>
  <si>
    <t>Limiter les accès par niveaux de sensibilité ; surveiller en continu les accès</t>
  </si>
  <si>
    <t>Mettre en place une cartographie des risques et la réviser périodiquement</t>
  </si>
  <si>
    <t>Évaluer et adapter les outils aux besoins de l'organisation</t>
  </si>
  <si>
    <t>Mettre à jour les procédures de contrôle ; documenter les bonnes pratiques</t>
  </si>
  <si>
    <t>Mettre en place des contrôles d'intégrité ; utiliser des protocoles de transfert sécurisés</t>
  </si>
  <si>
    <t>Vérifier la cohérence des échanges inter-modules ; documenter les API</t>
  </si>
  <si>
    <t>Activer et conserver les logs des échanges entre systèmes</t>
  </si>
  <si>
    <t>Implémenter des contrôles de qualité sur les données entrantes</t>
  </si>
  <si>
    <t>Documenter et suivre les anomalies jusqu’à résolution complète</t>
  </si>
  <si>
    <t>Mettre en place une politique de documentation technique obligatoire</t>
  </si>
  <si>
    <t>Utiliser une procédure de gestion de changement avec tests et validation</t>
  </si>
  <si>
    <t>Clarifier les rôles dans une matrice RACI</t>
  </si>
  <si>
    <t>Mettre en place une procédure de gestion des incidents avec indicateurs de suivi</t>
  </si>
  <si>
    <t>Planifier des audits réguliers et suivre les plans d’action correctifs</t>
  </si>
  <si>
    <t>Définir clairement les rôles dans une charte d’organisation</t>
  </si>
  <si>
    <t>Séparer les fonctions sensibles ; tracer toutes les opérations critiques</t>
  </si>
  <si>
    <t>Effectuer des tests approfondis avant mise en production</t>
  </si>
  <si>
    <t>Utiliser des contrôles d’accès stricts et une gestion des identités</t>
  </si>
  <si>
    <t>Mettre en œuvre des revues périodiques des droits</t>
  </si>
  <si>
    <t>Formaliser un processus de validation avant tout déploiement</t>
  </si>
  <si>
    <t>Automatiser les tests unitaires et de non-régression</t>
  </si>
  <si>
    <t>Effectuer des tests de régression après chaque modification</t>
  </si>
  <si>
    <t>Former les utilisateurs ; accompagner le changement</t>
  </si>
  <si>
    <t>Mettre en place une procédure de suivi et résolution des bugs</t>
  </si>
  <si>
    <t>Former régulièrement les administrateurs et utilisateurs</t>
  </si>
  <si>
    <t>Créer des procédures d’installation documentées et validées</t>
  </si>
  <si>
    <t>Chiffrer les données sensibles et surveiller les accès</t>
  </si>
  <si>
    <t>Mettre à jour la documentation à chaque évolution</t>
  </si>
  <si>
    <t>Mettre en place une cellule de crise et des playbooks</t>
  </si>
  <si>
    <t>Analyser les causes racines et implémenter des mesures correctives</t>
  </si>
  <si>
    <t>Organiser des exercices de simulation de crise</t>
  </si>
  <si>
    <t>Implémenter un processus de retour d’expérience systématique</t>
  </si>
  <si>
    <t>Former les utilisateurs et mettre en place des checklists d’exploitation</t>
  </si>
  <si>
    <t>Prévoir un plan de continuité d’activité (PCA)</t>
  </si>
  <si>
    <t>Superviser les actions d’exploitation et tracer les interventions</t>
  </si>
  <si>
    <t>Standardiser les procédures et effectuer des revues régulières</t>
  </si>
  <si>
    <t>Mettre à jour les référentiels périodiquement</t>
  </si>
  <si>
    <t>Définir et suivre des indicateurs de performance</t>
  </si>
  <si>
    <t>S’assurer de la qualité des données avant toute décision</t>
  </si>
  <si>
    <t>Sauvegarder régulièrement et tester les restaurations</t>
  </si>
  <si>
    <t>Mettre en place un plan de sauvegarde multicanal</t>
  </si>
  <si>
    <t>Vérifier l’intégrité des sauvegardes et effectuer des tests réguliers</t>
  </si>
  <si>
    <t>Isoler les environnements de sauvegarde ; chiffrer les backups</t>
  </si>
  <si>
    <t>Effectuer des contrôles de cohérence sur les données critiques</t>
  </si>
  <si>
    <t>Faire des revues d’alignement stratégique entre IT et métiers</t>
  </si>
  <si>
    <t>Limiter l’accès aux environnements de production ; journaliser toutes les connexions</t>
  </si>
  <si>
    <t>Restreindre les droits et appliquer la règle du moindre privilège</t>
  </si>
  <si>
    <t>Revoir régulièrement les attributions de droits</t>
  </si>
  <si>
    <t>Automatiser la révocation des accès obsolètes</t>
  </si>
  <si>
    <t>Échec de restauration lors d’un incident</t>
  </si>
  <si>
    <t>Mauvaises décisions basées sur des données dépassées</t>
  </si>
  <si>
    <t>Impossibilité d’anticiper les défaillances</t>
  </si>
  <si>
    <t>Retards ou erreurs dans les choix stratégiques</t>
  </si>
  <si>
    <t>Stagnation des processus, perte de compétitivité</t>
  </si>
  <si>
    <t>Impact opérationnel et financier majeur</t>
  </si>
  <si>
    <t>Non-récupération de données essentielles</t>
  </si>
  <si>
    <t>Risque de sauvegarde inutilisable (x2)</t>
  </si>
  <si>
    <t>Risque de compromission des sauvegardes (x2)</t>
  </si>
  <si>
    <t>Fuite ou altération des sauvegardes</t>
  </si>
  <si>
    <t>Décalage entre incident et réaction</t>
  </si>
  <si>
    <t>Technologies non alignées avec les objectifs</t>
  </si>
  <si>
    <t>Inefficacité des solutions mises en œuvre</t>
  </si>
  <si>
    <t>Accès non sécurisé aux données de production</t>
  </si>
  <si>
    <t>Risque élevé de compromission ou de vol</t>
  </si>
  <si>
    <t>Accès non autorisés aux ressources sensibles</t>
  </si>
  <si>
    <t>Risque de fraude et d’erreurs critiques</t>
  </si>
  <si>
    <t>Attribution de privilèges inappropriés</t>
  </si>
  <si>
    <t>Accès injustifiés à des fonctionnalités sensibles</t>
  </si>
  <si>
    <t>Maintien d'accès non nécessaires</t>
  </si>
  <si>
    <t>Utilisation abusive des ressources</t>
  </si>
  <si>
    <t>Schéma directeur non conforme aux objectifs</t>
  </si>
  <si>
    <t>Dérive stratégique des projets informatiques</t>
  </si>
  <si>
    <t>Schéma directeur obsolète</t>
  </si>
  <si>
    <t>Décalage avec les enjeux actuels</t>
  </si>
  <si>
    <t>Non-validation du schéma par les parties</t>
  </si>
  <si>
    <t>Rejet ou non-adhésion des équipes</t>
  </si>
  <si>
    <t>Alignement stratégique insuffisant</t>
  </si>
  <si>
    <t>Ressources SI mal orientées</t>
  </si>
  <si>
    <t>Documentation inaccessible ou incomplète</t>
  </si>
  <si>
    <t>Difficultés lors des audits ou changements</t>
  </si>
  <si>
    <t>Analyse stratégique non formalisée</t>
  </si>
  <si>
    <t>Décisions stratégiques peu justifiées</t>
  </si>
  <si>
    <t>Évaluation négligeant les besoins futurs</t>
  </si>
  <si>
    <t>Mauvaise anticipation des évolutions</t>
  </si>
  <si>
    <t>Manque d’implication des parties prenantes</t>
  </si>
  <si>
    <t>Échec d’appropriation ou conflits</t>
  </si>
  <si>
    <t>Résultats non intégrés dans l’amélioration</t>
  </si>
  <si>
    <t>Perte d’opportunités d’optimisation</t>
  </si>
  <si>
    <t>Spécifications floues ou insuffisantes</t>
  </si>
  <si>
    <t>Développement non conforme aux besoins</t>
  </si>
  <si>
    <t>Sélection basée sur critères imprécis</t>
  </si>
  <si>
    <t>Solutions non adaptées ou inefficaces</t>
  </si>
  <si>
    <t>Absence de validation des spécifications</t>
  </si>
  <si>
    <t>Produits non adaptés aux attentes</t>
  </si>
  <si>
    <t>Analyse des risques négligée</t>
  </si>
  <si>
    <t>Choix non sécurisés ou instables</t>
  </si>
  <si>
    <t>Processus de décision opaque</t>
  </si>
  <si>
    <t>Manque de transparence et de confiance</t>
  </si>
  <si>
    <t>Documentation des tâches insuffisante</t>
  </si>
  <si>
    <t>Difficulté de formation et de contrôle</t>
  </si>
  <si>
    <t>Inadéquation tâches / compétences</t>
  </si>
  <si>
    <t>Faible productivité, erreurs fréquentes</t>
  </si>
  <si>
    <t>Absence de formation adaptée</t>
  </si>
  <si>
    <t>Rejet de l’outil ou erreurs d’utilisation</t>
  </si>
  <si>
    <t>Mise à jour irrégulière des tâches</t>
  </si>
  <si>
    <t>Désalignement avec les processus métier</t>
  </si>
  <si>
    <t>Gestion des accès non optimale</t>
  </si>
  <si>
    <t>Risques accrus de sécurité et d’inefficacité</t>
  </si>
  <si>
    <t>Systèmes parallèles inefficaces</t>
  </si>
  <si>
    <t>Incapacité à garantir la continuité</t>
  </si>
  <si>
    <t>Absence d’intégration des systèmes</t>
  </si>
  <si>
    <t>Perte de cohérence dans les services</t>
  </si>
  <si>
    <t>Systèmes non mis à jour</t>
  </si>
  <si>
    <t>Incapacité à couvrir les opérations critiques</t>
  </si>
  <si>
    <t>Absence de tests des systèmes parallèles</t>
  </si>
  <si>
    <t>Découverte tardive de défaillances</t>
  </si>
  <si>
    <t>Manque d’évaluation des besoins</t>
  </si>
  <si>
    <t>Déploiement de solutions inadaptées</t>
  </si>
  <si>
    <t>Retours utilisateurs négligés</t>
  </si>
  <si>
    <t>Non-adhésion aux évolutions</t>
  </si>
  <si>
    <t>Évaluation irrégulière des besoins</t>
  </si>
  <si>
    <t>Décalage fonctionnel croissant</t>
  </si>
  <si>
    <t>Non-implication des utilisateurs finaux</t>
  </si>
  <si>
    <t>Erreurs de conception ou d’usage</t>
  </si>
  <si>
    <t>Absence d’actions correctives</t>
  </si>
  <si>
    <t>Répétition des dysfonctionnements</t>
  </si>
  <si>
    <t>Solutions inadaptées aux attentes réelles</t>
  </si>
  <si>
    <t>Faible taux d’adhésion, mauvaise utilisation des solutions</t>
  </si>
  <si>
    <t>Répétition des erreurs précédentes</t>
  </si>
  <si>
    <t>Mauvaise évaluation du projet ou perte de confiance</t>
  </si>
  <si>
    <t>Mauvaise décision d’investissement ou déploiement</t>
  </si>
  <si>
    <t>Stratégie basée sur des données non fiables</t>
  </si>
  <si>
    <t>Projets surévalués ou irréalisables</t>
  </si>
  <si>
    <t>Blocage ou abandon du projet</t>
  </si>
  <si>
    <t>Déficit dans les postes prioritaires</t>
  </si>
  <si>
    <t>Coût réel supérieur au prévisionnel</t>
  </si>
  <si>
    <t>Perte de confiance, audit négatif</t>
  </si>
  <si>
    <t>Doutes sur la gestion financière</t>
  </si>
  <si>
    <t>Invalidité des décisions prises</t>
  </si>
  <si>
    <t>Retards en cascade, surcharge de travail</t>
  </si>
  <si>
    <t>Coûts accrus, perte de qualité</t>
  </si>
  <si>
    <t>Incapacité à faire face aux imprévus</t>
  </si>
  <si>
    <t>Blocages et désynchronisation des équipes</t>
  </si>
  <si>
    <t>Baisse de motivation, erreurs accrues</t>
  </si>
  <si>
    <t>Prise de décisions erronée</t>
  </si>
  <si>
    <t>Mauvaise orientation stratégique</t>
  </si>
  <si>
    <t>Répétition des erreurs passées</t>
  </si>
  <si>
    <t>Surprise face aux impacts imprévus</t>
  </si>
  <si>
    <t>Échec du projet ou perte de direction</t>
  </si>
  <si>
    <t>Manque de reconnaissance de la valeur réelle du projet</t>
  </si>
  <si>
    <t>Décisions inadaptées aux besoins réels</t>
  </si>
  <si>
    <t>Décalage avec le contexte technologique</t>
  </si>
  <si>
    <t>Évaluation déséquilibrée des options</t>
  </si>
  <si>
    <t>Acceptation d’une solution inadaptée</t>
  </si>
  <si>
    <t>Mauvaise exécution des procédures</t>
  </si>
  <si>
    <t>Mauvaise analyse et erreurs dans les rapports</t>
  </si>
  <si>
    <t>Points de rupture dans les processus</t>
  </si>
  <si>
    <t>Reproduction d’erreurs ou perte de savoir</t>
  </si>
  <si>
    <t>Crise mal gérée ou retard de réaction</t>
  </si>
  <si>
    <t>Blocage ou erreur dans les résultats</t>
  </si>
  <si>
    <t>Résultat non satisfaisant ou rejeté</t>
  </si>
  <si>
    <t>Répétition des écarts, perte de qualité</t>
  </si>
  <si>
    <t>Prise de décision inadéquate</t>
  </si>
  <si>
    <t>Difficulté à piloter le projet</t>
  </si>
  <si>
    <t>Réaliser des enquêtes régulières ; Impliquer les utilisateurs dans l’analyse des besoins</t>
  </si>
  <si>
    <t>Intégrer les utilisateurs dans les comités projets ; Organiser des tests utilisateurs</t>
  </si>
  <si>
    <t>Suivre les plans d’action issus des évaluations ; Mettre en place des revues périodiques</t>
  </si>
  <si>
    <t>Vérifier les sources de données ; Impliquer les experts comptables ou financiers</t>
  </si>
  <si>
    <t>Réaliser des analyses coûts-bénéfices réalistes ; Utiliser des marges d’erreur</t>
  </si>
  <si>
    <t>Documenter et tester les hypothèses critiques ; Réviser régulièrement ces hypothèses</t>
  </si>
  <si>
    <t>Faire valider les évaluations par un tiers ; Adopter des scénarios de simulation</t>
  </si>
  <si>
    <t>Mettre en place un suivi budgétaire régulier ; Prévoir une réserve pour imprévus</t>
  </si>
  <si>
    <t>Évaluer l’efficience de chaque dépense ; Réajuster la répartition selon l’avancement</t>
  </si>
  <si>
    <t>Intégrer les coûts cachés dans les prévisions ; Réaliser une analyse complète des charges</t>
  </si>
  <si>
    <t>Mettre en œuvre un suivi budgétaire traçable ; Publier les rapports financiers</t>
  </si>
  <si>
    <t>Documenter les écarts ; Analyser les écarts à chaque phase du projet</t>
  </si>
  <si>
    <t>Formaliser les règles de validation ; Contrôler leur application systématique</t>
  </si>
  <si>
    <t>Mettre à jour le planning selon l’avancement ; Définir des marges de manœuvre</t>
  </si>
  <si>
    <t>Mettre en place un tableau de bord des délais ; Affecter un responsable du suivi</t>
  </si>
  <si>
    <t>Élaborer un plan de continuité d’activité ; Identifier les risques majeurs en amont</t>
  </si>
  <si>
    <t>Utiliser des outils de planification collaboratifs ; Organiser des réunions de coordination</t>
  </si>
  <si>
    <t>Valider les changements avant implémentation ; Communiquer clairement les ajustements</t>
  </si>
  <si>
    <t>Mettre en place un système de vérification des données ; Utiliser des sources croisées</t>
  </si>
  <si>
    <t>Impliquer des analystes indépendants ; Croiser les points de vue métiers/techniques</t>
  </si>
  <si>
    <t>Capitaliser les retours d’expérience ; Intégrer les enseignements dans les procédures</t>
  </si>
  <si>
    <t>Réaliser une analyse d’impact systématique ; Élaborer différents scénarios d’évolution</t>
  </si>
  <si>
    <t>Définir des objectifs SMART ; Réviser les objectifs en cours de projet si besoin</t>
  </si>
  <si>
    <t>Identifier les bénéfices qualitatifs ; Évaluer leur impact sur les utilisateurs</t>
  </si>
  <si>
    <t>Collecter des données diversifiées ; Éliminer les biais dans les enquêtes</t>
  </si>
  <si>
    <t>Mettre en place une veille technologique ; Évaluer la pertinence des innovations proposées</t>
  </si>
  <si>
    <t>Intégrer des indicateurs qualitatifs ; Pondérer les bénéfices immatériels</t>
  </si>
  <si>
    <t>Organiser des tests pilotes ; Rechercher un échantillon représentatif pour la validation</t>
  </si>
  <si>
    <t>Réaliser des audits de conformité ; Aligner la documentation avec les pratiques</t>
  </si>
  <si>
    <t>Automatiser les contrôles de cohérence ; Compléter les bases de données existantes</t>
  </si>
  <si>
    <t>Identifier les flux critiques via une cartographie ; Tester leur robustesse</t>
  </si>
  <si>
    <t>Documenter tous les ajustements ; Mettre en place un registre d’évolution du projet</t>
  </si>
  <si>
    <t>Utiliser une méthode d’analyse d’impact en amont ; Mettre en place des indicateurs d’alerte</t>
  </si>
  <si>
    <t>Vérifier l’exhaustivité des traitements ; Utiliser des check-lists métiers</t>
  </si>
  <si>
    <t>Valider les spécifications avec les utilisateurs ; Revoir les besoins à chaque itération</t>
  </si>
  <si>
    <t>Formaliser les actions correctives ; Suivre leur mise en œuvre jusqu’à résolution</t>
  </si>
  <si>
    <t>Former les utilisateurs à l’analyse des indicateurs ; Utiliser des tableaux de bord visuels</t>
  </si>
  <si>
    <t>Standardiser les outils de reporting ; Former les utilisateurs à leur utilisation</t>
  </si>
  <si>
    <t>Mauvaise compréhension des systèmes ; erreurs d’intégration</t>
  </si>
  <si>
    <t>Mettre à jour la documentation technique ; Utiliser des outils de modélisation standard</t>
  </si>
  <si>
    <t>Risques de non-conformité, pénalités ou rejets</t>
  </si>
  <si>
    <t>Former sur les normes en vigueur ; Effectuer des audits de conformité réguliers</t>
  </si>
  <si>
    <t>Investissements dans des projets voués à l’échec</t>
  </si>
  <si>
    <t>Mettre en place des études de faisabilité rigoureuses ; Croiser les avis métiers et techniques</t>
  </si>
  <si>
    <t>Failles de sécurité ou instabilités non anticipées</t>
  </si>
  <si>
    <t>Diversifier les scénarios de test ; Mettre en œuvre des tests de sécurité automatisés</t>
  </si>
  <si>
    <t>Perte de visibilité sur les décisions passées</t>
  </si>
  <si>
    <t>Documenter systématiquement chaque modification ; Utiliser un système de gestion de versions</t>
  </si>
  <si>
    <t>Baisse de performance, erreurs d’usage</t>
  </si>
  <si>
    <t>Réaliser un audit des outils utilisés ; Former les utilisateurs à leur configuration optimale</t>
  </si>
  <si>
    <t>Difficultés d’usage, erreurs d’interprétation</t>
  </si>
  <si>
    <t>Simplifier l’interface et la documentation ; Appliquer des principes de design UX</t>
  </si>
  <si>
    <t>Impossibilité de revenir à une version stable</t>
  </si>
  <si>
    <t>Mettre en place un système de versionning fiable ; Sauvegarder les états intermédiaires</t>
  </si>
  <si>
    <t>Mauvaise interopérabilité, insécurité</t>
  </si>
  <si>
    <t>Mettre à jour la documentation technique ; Imposer l’utilisation de standards reconnus</t>
  </si>
  <si>
    <t>Décisions biaisées, solutions mal adaptées</t>
  </si>
  <si>
    <t>Utiliser des échantillons représentatifs ; Compléter les analyses par des retours terrain</t>
  </si>
  <si>
    <t>Résultats non pertinents pour l'organisation</t>
  </si>
  <si>
    <t>Impliquer la direction dans les choix techniques ; Aligner les projets avec les objectifs globaux</t>
  </si>
  <si>
    <t>Risque de remplacement prématuré du système</t>
  </si>
  <si>
    <t>Mettre en œuvre une veille technologique ; Planifier un renouvellement progressif</t>
  </si>
  <si>
    <t>Inefficacité opérationnelle, surcoût</t>
  </si>
  <si>
    <t>Réaliser un benchmark avant toute adoption ; Tester en environnement pilote</t>
  </si>
  <si>
    <t>Projets fragmentés ou vite dépassés</t>
  </si>
  <si>
    <t>Définir une feuille de route technologique ; Intégrer l’IT dans la stratégie globale</t>
  </si>
  <si>
    <t>Fonctionnalités inexploitables, perte de valeur</t>
  </si>
  <si>
    <t>Recueillir les besoins métier avant toute décision ; Faire participer les utilisateurs finaux</t>
  </si>
  <si>
    <t>Instabilités, manque de support</t>
  </si>
  <si>
    <t>Éviter les solutions non testées en production ; S’appuyer sur des technologies matures</t>
  </si>
  <si>
    <t>Blocage opérationnel prolongé</t>
  </si>
  <si>
    <t>Choisir des technologies avec un bon écosystème ; Inclure le support dans les contrats</t>
  </si>
  <si>
    <t>Exposition accrue aux cyberattaques</t>
  </si>
  <si>
    <t>Planifier des mises à jour régulières ; Suivre les recommandations des éditeurs</t>
  </si>
  <si>
    <t>Effondrement du système, coûts de correction</t>
  </si>
  <si>
    <t>Réaliser des tests de charge et de fiabilité ; Prévoir des phases pilotes</t>
  </si>
  <si>
    <t>Perte de maîtrise du système</t>
  </si>
  <si>
    <t>Développer des compétences internes ; Diversifier les prestataires</t>
  </si>
  <si>
    <t>Ralentissement du système, indisponibilités</t>
  </si>
  <si>
    <t>Effectuer des tests de montée en charge ; Anticiper les pics d’activité</t>
  </si>
  <si>
    <t>Expérience utilisateur dégradée</t>
  </si>
  <si>
    <t>Optimiser les infrastructures ; Déployer des systèmes élastiques ou en cloud</t>
  </si>
  <si>
    <t>Décalage entre système et usages</t>
  </si>
  <si>
    <t>Mettre en place une veille fonctionnelle ; Réviser régulièrement le périmètre fonctionnel</t>
  </si>
  <si>
    <t>Frein à l’innovation, obsolescence</t>
  </si>
  <si>
    <t>Choisir des solutions modulaires ; Négocier des clauses d’évolution dans les contrats</t>
  </si>
  <si>
    <t>Surcharge du système, erreurs de scalabilité</t>
  </si>
  <si>
    <t>Prévoir des architectures évolutives ; Effectuer des simulations de croissance</t>
  </si>
  <si>
    <t>Blocage de projets d’amélioration</t>
  </si>
  <si>
    <t>Favoriser des technologies flexibles et interopérables ; Documenter les dépendances critiques</t>
  </si>
  <si>
    <t>Limitation des usages, contournements risqués</t>
  </si>
  <si>
    <t>Concevoir une architecture orientée services (SOA) ; Intégrer des modules paramétrables</t>
  </si>
  <si>
    <t>Réticence au changement, stagnation</t>
  </si>
  <si>
    <t>Privilégier des cycles de développement agiles ; Former en continu les équipes</t>
  </si>
  <si>
    <t>Impossibilité d’interconnexion</t>
  </si>
  <si>
    <t>Adopter des standards d’interopérabilité (API, XML, etc.) ; Tester l’intégration en amont</t>
  </si>
  <si>
    <t>Arrêt des opérations, perte de données</t>
  </si>
  <si>
    <t>Mettre en place un plan de continuité d’activité ; Sécuriser les infrastructures critiques</t>
  </si>
  <si>
    <t>Perte d’autonomie, hausse des coûts</t>
  </si>
  <si>
    <t>Prévoir une stratégie de sortie ; Exiger des garanties contractuelles</t>
  </si>
  <si>
    <t>Inefficacité, erreurs techniques</t>
  </si>
  <si>
    <t>Former régulièrement les équipes ; Recruter des profils adaptés aux nouvelles technologies</t>
  </si>
  <si>
    <t>Allongement des interruptions, insatisfaction</t>
  </si>
  <si>
    <t>Améliorer les processus de gestion d’incidents ; Renforcer les équipes de support</t>
  </si>
  <si>
    <t>Aggravation du problème initial</t>
  </si>
  <si>
    <t>Mettre en place des procédures d’escalade ; Documenter les interventions précédentes</t>
  </si>
  <si>
    <t>Instabilités ou pannes supplémentaires</t>
  </si>
  <si>
    <t>Appliquer des procédures de validation ; Travailler en environnement de test avant production</t>
  </si>
  <si>
    <t>Faible marge de manœuvre sur l’évolution</t>
  </si>
  <si>
    <t>Favoriser des solutions open source ou modulables ; Négocier des droits d’accès au code</t>
  </si>
  <si>
    <t>Adéquation entre le périmètre défini et les besoins métiers</t>
  </si>
  <si>
    <t>Exhaustivité des fonctions couvertes dans la documentation</t>
  </si>
  <si>
    <t>Cohérence entre le périmètre fonctionnel et les objectifs stratégiques</t>
  </si>
  <si>
    <t>Identification des écarts entre périmètre prévu et réalisé</t>
  </si>
  <si>
    <t>Validation de la couverture fonctionnelle par les parties prenantes</t>
  </si>
  <si>
    <t>Disponibilité d'une documentation récente sur les procédures de pilotage</t>
  </si>
  <si>
    <t>Mise en évidence des rôles et responsabilités dans le processus de pilotage</t>
  </si>
  <si>
    <t>Preuve de révisions régulières du plan informatique</t>
  </si>
  <si>
    <t>Adéquation des procédures avec les standards du secteur</t>
  </si>
  <si>
    <t>Existence d'un mécanisme de suivi des actions correctives</t>
  </si>
  <si>
    <t>Disponibilité des schémas directeurs d'urbanisme récents</t>
  </si>
  <si>
    <t>Cohérence entre l'urbanisme documenté et l'architecture réelle</t>
  </si>
  <si>
    <t>Mise à jour des documents suite aux évolutions organisationnelles</t>
  </si>
  <si>
    <t>Accessibilité des documents pour les parties prenantes concernées</t>
  </si>
  <si>
    <t>Intégration des normes et réglementations en vigueur</t>
  </si>
  <si>
    <t>Documentation récente des procédures de pilotage du POS</t>
  </si>
  <si>
    <t>Preuve de révisions régulières du POS</t>
  </si>
  <si>
    <t>Adéquation des procédures avec la réglementation locale</t>
  </si>
  <si>
    <t>Mécanisme de suivi des modifications documenté</t>
  </si>
  <si>
    <t>Validation par les autorités compétentes</t>
  </si>
  <si>
    <t>Inventaire technologique centralisé à jour</t>
  </si>
  <si>
    <t>Analyse des compatibilités entre systèmes</t>
  </si>
  <si>
    <t>Standards technologiques formalisés</t>
  </si>
  <si>
    <t>Plan de gestion du cycle de vie des technologies</t>
  </si>
  <si>
    <t>Procédures de contrôle des déviations</t>
  </si>
  <si>
    <t>Référentiels uniques identifiés par domaine</t>
  </si>
  <si>
    <t>Procédures de gestion des doublons</t>
  </si>
  <si>
    <t>Contrôles d'intégrité des données</t>
  </si>
  <si>
    <t>Droits d'accès différenciés documentés</t>
  </si>
  <si>
    <t>Historique des modifications tracé</t>
  </si>
  <si>
    <t>Balanced Scorecard disponible avec les 4 perspectives</t>
  </si>
  <si>
    <t>Arbre de déploiement des objectifs par service</t>
  </si>
  <si>
    <t>Indicateurs SMART définis</t>
  </si>
  <si>
    <t>Calendrier des revues formelles</t>
  </si>
  <si>
    <t>Mécanismes d'ajustement documentés</t>
  </si>
  <si>
    <t>Composition représentative documentée</t>
  </si>
  <si>
    <t>Périmètre de décision clairement défini</t>
  </si>
  <si>
    <t>Fréquence des réunions conforme aux besoins</t>
  </si>
  <si>
    <t>Comptes-rendus diffusés et archivés</t>
  </si>
  <si>
    <t>Suivi des actions décidées</t>
  </si>
  <si>
    <t>Cartographie des indicateurs liée aux processus</t>
  </si>
  <si>
    <t>Métadonnées disponibles (calcul, fréquence, cible)</t>
  </si>
  <si>
    <t>Outils de collecte et d'analyse identifiés</t>
  </si>
  <si>
    <t>Processus d'amélioration continue</t>
  </si>
  <si>
    <t>Benchmark sectoriel réalisé</t>
  </si>
  <si>
    <t>Couverture des axes financiers, clients et processus</t>
  </si>
  <si>
    <t>Doncées sources identifiées et fiables</t>
  </si>
  <si>
    <t>Fréquence de mise à jour adaptée</t>
  </si>
  <si>
    <t>Tableaux de bord différenciés par public</t>
  </si>
  <si>
    <t>Processus d'alerte sur les écarts</t>
  </si>
  <si>
    <t>Modèle standard de bilan post-projet</t>
  </si>
  <si>
    <t>Analyse des écarts (coûts, délais, qualité)</t>
  </si>
  <si>
    <t>Plan d'actions correctives formalisé</t>
  </si>
  <si>
    <t>Capitalisation des bonnes pratiques</t>
  </si>
  <si>
    <t>Communication aux sponsors</t>
  </si>
  <si>
    <t>Version datée et validée</t>
  </si>
  <si>
    <t>Fonctions et postes clairement identifiés</t>
  </si>
  <si>
    <t>Circuit de validation des modifications</t>
  </si>
  <si>
    <t>Diffusion contrôlée aux parties prenantes</t>
  </si>
  <si>
    <t>Alignement avec la structure réelle</t>
  </si>
  <si>
    <t>Fiches de poste disponibles pour chaque position</t>
  </si>
  <si>
    <t>Matrice RACI pour les processus clés</t>
  </si>
  <si>
    <t>Mécanismes de résolution des conflits</t>
  </si>
  <si>
    <t>Processus d'évaluation des compétences</t>
  </si>
  <si>
    <t>Mise à jour annuelle formalisée</t>
  </si>
  <si>
    <t>Cartographie complète des fonctions IT</t>
  </si>
  <si>
    <t>Responsables nommés pour chaque domaine</t>
  </si>
  <si>
    <t>Budget alloué à chaque composante</t>
  </si>
  <si>
    <t>Plan de développement des compétences</t>
  </si>
  <si>
    <t>Indicateurs de performance spécifiques</t>
  </si>
  <si>
    <t>Analyse des volumes d'activité par métier</t>
  </si>
  <si>
    <t>Comparaison avec les référentiels sectoriels</t>
  </si>
  <si>
    <t>Plan de charge prévisionnel</t>
  </si>
  <si>
    <t>Gestion des pics d'activité</t>
  </si>
  <si>
    <t>Plan de recrutement/restructuration</t>
  </si>
  <si>
    <t>Référentiel de compétences métier</t>
  </si>
  <si>
    <t>Évaluations individuelles régulières</t>
  </si>
  <si>
    <t>Plan de formation individualisé</t>
  </si>
  <si>
    <t>Mobilité interne organisée</t>
  </si>
  <si>
    <t>Suivi des certifications obligatoires</t>
  </si>
  <si>
    <t>Procédures formalisées de recueil des besoins</t>
  </si>
  <si>
    <t>Matrice de responsabilités utilisateurs/DSI</t>
  </si>
  <si>
    <t>Outils collaboratifs de spécification</t>
  </si>
  <si>
    <t>Procès-verbaux de recette signés</t>
  </si>
  <si>
    <t>Mécanismes de remontée des dysfonctionnements</t>
  </si>
  <si>
    <t>Séparation physique des équipes</t>
  </si>
  <si>
    <t>Comptes systèmes distincts</t>
  </si>
  <si>
    <t>Procédures de transfert contrôlées</t>
  </si>
  <si>
    <t>Audits croisés réguliers</t>
  </si>
  <si>
    <t>Clauses contractuelles pour les externes</t>
  </si>
  <si>
    <t>Documentation complète du processus</t>
  </si>
  <si>
    <t>Circuit de validation formalisé</t>
  </si>
  <si>
    <t>Plan de rollback défini</t>
  </si>
  <si>
    <t>Check-list pré-production</t>
  </si>
  <si>
    <t>Historique des mises en prod archivé</t>
  </si>
  <si>
    <t>Attribution distincte des rôles</t>
  </si>
  <si>
    <t>Journalisation des actions sensibles</t>
  </si>
  <si>
    <t>Revue régulière des droits</t>
  </si>
  <si>
    <t>Cloisonnement des environnements</t>
  </si>
  <si>
    <t>Double contrôle pour les opérations critiques</t>
  </si>
  <si>
    <t>Procédures de remplacement documentées</t>
  </si>
  <si>
    <t>Contrôle des droits lors des mouvements</t>
  </si>
  <si>
    <t>Audit des délégations temporaires</t>
  </si>
  <si>
    <t>Formation des remplaçants</t>
  </si>
  <si>
    <t>Mécanismes de reprise</t>
  </si>
  <si>
    <t>Statistiques mensuelles disponibles</t>
  </si>
  <si>
    <t>Analyse des causes de départ</t>
  </si>
  <si>
    <t>Comparaison avec le marché</t>
  </si>
  <si>
    <t>Enquêtes de satisfaction régulières</t>
  </si>
  <si>
    <t>Plan de rétention des talents</t>
  </si>
  <si>
    <t>Parcours professionnels formalisés</t>
  </si>
  <si>
    <t>Entretiens annuels de carrière</t>
  </si>
  <si>
    <t>Mobilité verticale et horizontale</t>
  </si>
  <si>
    <t>Suivi des évolutions salariales</t>
  </si>
  <si>
    <t>Benchmark salarial sectoriel</t>
  </si>
  <si>
    <t>Enquêtes de climat social</t>
  </si>
  <si>
    <t>Indicateurs d'absentéisme</t>
  </si>
  <si>
    <t>Canaux d'expression du personnel</t>
  </si>
  <si>
    <t>Plan d'actions correctives</t>
  </si>
  <si>
    <t>Analyse des connaissances critiques</t>
  </si>
  <si>
    <t>Plan de succession pour les postes clés</t>
  </si>
  <si>
    <t>Documentation des savoir-faire</t>
  </si>
  <si>
    <t>Programme de tutorat</t>
  </si>
  <si>
    <t>Rotation contrôlée des responsabilités</t>
  </si>
  <si>
    <t>Modèle de contrat standardisé</t>
  </si>
  <si>
    <t>Liste des informations confidentielles</t>
  </si>
  <si>
    <t>Périmètre géographique et temporel défini</t>
  </si>
  <si>
    <t>Procédures de contrôle</t>
  </si>
  <si>
    <t>Historique des litiges</t>
  </si>
  <si>
    <t>Clauses contractuelles identifiées</t>
  </si>
  <si>
    <t>Procédure d'urgence documentée</t>
  </si>
  <si>
    <t>Liste des postes sensibles</t>
  </si>
  <si>
    <t>Plan de continuité d'activité</t>
  </si>
  <si>
    <t>Mécanismes de protection des accès</t>
  </si>
  <si>
    <t>Catalogue de formations actualisé</t>
  </si>
  <si>
    <t>Plan individuel formalisé</t>
  </si>
  <si>
    <t>Budget dédié identifié</t>
  </si>
  <si>
    <t>Évaluation des acquis</t>
  </si>
  <si>
    <t>Impact sur la performance mesuré</t>
  </si>
  <si>
    <t>Nombre d'heures/an par collaborateur</t>
  </si>
  <si>
    <t>Adéquation avec les besoins métiers</t>
  </si>
  <si>
    <t>Mix de modalités (présentiel, e-learning)</t>
  </si>
  <si>
    <t>Suivi des parcours</t>
  </si>
  <si>
    <t>ROI des formations évalué</t>
  </si>
  <si>
    <t>Registre des obligations légales</t>
  </si>
  <si>
    <t>Procédures de conformité documentées</t>
  </si>
  <si>
    <t>Formations régulières du personnel</t>
  </si>
  <si>
    <t>Audits de conformité</t>
  </si>
  <si>
    <t>Dispositif de signalement</t>
  </si>
  <si>
    <t>Sensibilisation obligatoire</t>
  </si>
  <si>
    <t>Procédures de détection précoce</t>
  </si>
  <si>
    <t>Circuit de signalement sécurisé</t>
  </si>
  <si>
    <t>Exercices de crise</t>
  </si>
  <si>
    <t>Assurance couvrant les risques</t>
  </si>
  <si>
    <t>Politique de chiffrement formalisée</t>
  </si>
  <si>
    <t>Inventaire des outils déployés</t>
  </si>
  <si>
    <t>Procédures de gestion des clés</t>
  </si>
  <si>
    <t>Formation des utilisateurs</t>
  </si>
  <si>
    <t>Contrôles réguliers</t>
  </si>
  <si>
    <t>Politique d'archivage documentée</t>
  </si>
  <si>
    <t>Délais de conservation conformes</t>
  </si>
  <si>
    <t>Procédures d'accès et de destruction</t>
  </si>
  <si>
    <t>Solution technique adaptée</t>
  </si>
  <si>
    <t>Inventaire des licences logicielles</t>
  </si>
  <si>
    <t>Procédures d'acquisition contrôlées</t>
  </si>
  <si>
    <t>Contrôles réguliers des installations</t>
  </si>
  <si>
    <t>Sensibilisation des utilisateurs</t>
  </si>
  <si>
    <t>Dispositif de sanction</t>
  </si>
  <si>
    <t>Perte de maîtrise sur les évolutions et coûts</t>
  </si>
  <si>
    <t>Diversifier les fournisseurs ; Renforcer les compétences internes</t>
  </si>
  <si>
    <t>Retards dans la résolution des incidents</t>
  </si>
  <si>
    <t>Définir clairement les clauses contractuelles ; Élaborer une matrice de responsabilités (RACI)</t>
  </si>
  <si>
    <t>Interruption prolongée des services</t>
  </si>
  <si>
    <t>Prévoir un plan de reprise et une stratégie de sortie ; Documenter le système en interne</t>
  </si>
  <si>
    <t>Impossibilité de migrer vers d’autres solutions</t>
  </si>
  <si>
    <t>Privilégier des technologies ouvertes ; Négocier des droits de transfert ou d’accès au code source</t>
  </si>
  <si>
    <t>Exposition à des vulnérabilités connues</t>
  </si>
  <si>
    <t>Suivre les mises à jour de sécurité ; Mettre en place un calendrier de migration</t>
  </si>
  <si>
    <t>Dysfonctionnements et ralentissements</t>
  </si>
  <si>
    <t>Adapter les processus ou customiser la solution en cohérence ; Mener des ateliers de co-conception</t>
  </si>
  <si>
    <t>Perte de données, interruptions de service</t>
  </si>
  <si>
    <t>Effectuer des tests de validation préalables ; Planifier des déploiements progressifs</t>
  </si>
  <si>
    <t>Instabilités et dégradation du service</t>
  </si>
  <si>
    <t>Renforcer la phase de recette utilisateur ; Automatiser les tests de non-régression</t>
  </si>
  <si>
    <t>Accumulation d’erreurs non résolues</t>
  </si>
  <si>
    <t>Négocier des SLA avec l’éditeur ; Prévoir un support alternatif ou communautaire</t>
  </si>
  <si>
    <t>Temps d’intervention long en cas de problème</t>
  </si>
  <si>
    <t>Documenter rigoureusement les développements ; Assurer la transmission de connaissances</t>
  </si>
  <si>
    <t>Dégradation de la qualité globale</t>
  </si>
  <si>
    <t>Prioriser les modules stables ; Reporter l’intégration après validation complète</t>
  </si>
  <si>
    <t>Dépendance excessive à une personne clé</t>
  </si>
  <si>
    <t>Mettre en place des procédures de documentation continue ; Favoriser la polyvalence</t>
  </si>
  <si>
    <t>Perte de fonctionnalités précédemment opérationnelles</t>
  </si>
  <si>
    <t>Intégrer des tests de régression systématiques ; Suivre une gestion de versions stricte</t>
  </si>
  <si>
    <t>Instabilité post-mise à jour</t>
  </si>
  <si>
    <t>Répertorier les personnalisations ; Valider la compatibilité avant tout déploiement</t>
  </si>
  <si>
    <t>Arrêt prolongé de l’activité</t>
  </si>
  <si>
    <t>Exiger un support 24/7 pour les systèmes critiques ; Avoir un plan B ou un contrat de maintenance externe</t>
  </si>
  <si>
    <t>Allongement des délais de résolution</t>
  </si>
  <si>
    <t>Définir des engagements de service (SLA) clairs ; Évaluer régulièrement la performance du support</t>
  </si>
  <si>
    <t>Maintien de vulnérabilités dans le système</t>
  </si>
  <si>
    <t>Mettre en place une veille de sécurité ; Développer temporairement des patchs internes</t>
  </si>
  <si>
    <t>Retards, absence de recours juridique clair</t>
  </si>
  <si>
    <t>Inclure des clauses de pénalités et d’obligations précises dans les contrats</t>
  </si>
  <si>
    <t>Résolutions inefficaces ou inadaptées</t>
  </si>
  <si>
    <t>Auditer régulièrement le support ; Solliciter des feedbacks utilisateurs</t>
  </si>
  <si>
    <t>Cartographie des parties prenantes</t>
  </si>
  <si>
    <t>Historique des versions</t>
  </si>
  <si>
    <t>Procédure de mise à jour</t>
  </si>
  <si>
    <t>Attestation de conformité</t>
  </si>
  <si>
    <t>Attestation RSSI</t>
  </si>
  <si>
    <t>La fréquence des réunions du comité SI est-elle adaptée aux besoins de pilotage ?</t>
  </si>
  <si>
    <t>Calendrier des réunions, Comptes rendus de réunions</t>
  </si>
  <si>
    <t>Mauvais suivi des décisions SI</t>
  </si>
  <si>
    <t>Décalage entre la stratégie et l’opérationnel</t>
  </si>
  <si>
    <t>Planifier un rythme régulier avec ajustements selon l’actualité SI</t>
  </si>
  <si>
    <t>Toutes les directions clés sont-elles représentées et actives dans les réunions ?</t>
  </si>
  <si>
    <t>Liste des participants, Procès-verbaux</t>
  </si>
  <si>
    <t>Décisions prises sans vision globale</t>
  </si>
  <si>
    <t>Incohérence stratégique</t>
  </si>
  <si>
    <t>Assurer la présence obligatoire de chaque direction clé</t>
  </si>
  <si>
    <t>Les décisions du comité sont-elles formalisées et communiquées aux parties prenantes ?</t>
  </si>
  <si>
    <t>Procès-verbaux, Notes de service</t>
  </si>
  <si>
    <t>Manque de suivi des décisions</t>
  </si>
  <si>
    <t>Non-exécution des décisions</t>
  </si>
  <si>
    <t>Diffuser systématiquement un relevé de décisions après chaque réunion</t>
  </si>
  <si>
    <t>Un suivi formel est-il réalisé sur l’état d’avancement des actions décidées en réunion ?</t>
  </si>
  <si>
    <t>Tableaux de bord de suivi, Rapports d’avancement</t>
  </si>
  <si>
    <t>Actions non mises en œuvre</t>
  </si>
  <si>
    <t>Retards ou blocages non détectés</t>
  </si>
  <si>
    <t>Mettre en place un tableau de suivi partagé avec mise à jour périodique</t>
  </si>
  <si>
    <t>Les objectifs du comité SI sont-ils clairement définis et évalués ?</t>
  </si>
  <si>
    <t>Charte du comité, Rapports d'activité</t>
  </si>
  <si>
    <t>Perte de sens du comité</t>
  </si>
  <si>
    <t>Faible efficacité des réunions</t>
  </si>
  <si>
    <t>Formaliser les objectifs du comité et les évaluer régulièrement</t>
  </si>
  <si>
    <t>La charte de gouvernance du SI existe-t-elle et est-elle accessible aux acteurs concernés ?</t>
  </si>
  <si>
    <t>Charte de gouvernance SI, Portail intranet</t>
  </si>
  <si>
    <t>Non-respect des règles établies</t>
  </si>
  <si>
    <t>Incohérences de pilotage</t>
  </si>
  <si>
    <t>Veiller à sa diffusion auprès de tous les acteurs concernés</t>
  </si>
  <si>
    <t>Les rôles et responsabilités de la DSI sont-ils définis clairement dans la charte ?</t>
  </si>
  <si>
    <t>Organigramme DSI, Charte SI</t>
  </si>
  <si>
    <t>Chevauchement ou vide de responsabilités</t>
  </si>
  <si>
    <t>Dysfonctionnements opérationnels</t>
  </si>
  <si>
    <t>Clarifier et documenter toutes les responsabilités dans la charte</t>
  </si>
  <si>
    <t>La charte couvre-t-elle tous les domaines clés de la gouvernance SI ?</t>
  </si>
  <si>
    <t>Charte SI, Cartographie des processus</t>
  </si>
  <si>
    <t>Gouvernance SI incomplète</t>
  </si>
  <si>
    <t>Risques non maîtrisés</t>
  </si>
  <si>
    <t>Compléter la charte avec tous les aspects essentiels du SI</t>
  </si>
  <si>
    <t>La charte est-elle mise à jour régulièrement et validée par les instances ?</t>
  </si>
  <si>
    <t>Historique des versions, PV de validation</t>
  </si>
  <si>
    <t>Obsolescence de la charte</t>
  </si>
  <si>
    <t>Application de règles dépassées</t>
  </si>
  <si>
    <t>Mettre en place un processus de révision annuelle</t>
  </si>
  <si>
    <t>Les pratiques actuelles sont-elles conformes à la charte et font-elles l’objet de contrôles ?</t>
  </si>
  <si>
    <t>Rapports d’audit, Grilles de conformité</t>
  </si>
  <si>
    <t>Décalage entre règles et pratiques</t>
  </si>
  <si>
    <t>Failles dans la gouvernance</t>
  </si>
  <si>
    <t>Réaliser des audits réguliers de conformité</t>
  </si>
  <si>
    <t>Les acteurs clés participent-ils activement aux comités décisionnels SI ?</t>
  </si>
  <si>
    <t>Feuilles de présence, Comptes rendus</t>
  </si>
  <si>
    <t>Manque d’adhésion aux décisions</t>
  </si>
  <si>
    <t>Mauvaise appropriation</t>
  </si>
  <si>
    <t>Sensibiliser et responsabiliser les membres sur leur rôle</t>
  </si>
  <si>
    <t>Les membres des instances comprennent-ils les enjeux SI pour l’organisation ?</t>
  </si>
  <si>
    <t>Compte rendu de formation, Fiches d’objectifs</t>
  </si>
  <si>
    <t>Décisions mal orientées</t>
  </si>
  <si>
    <t>Investissements SI mal alignés</t>
  </si>
  <si>
    <t>Organiser des sessions de sensibilisation et d'acculturation</t>
  </si>
  <si>
    <t>Les décisions SI sont-elles prises en toute connaissance des impacts ?</t>
  </si>
  <si>
    <t>Business case, Études d’impact</t>
  </si>
  <si>
    <t>Mauvais arbitrage budgétaire</t>
  </si>
  <si>
    <t>Perte financière ou inefficacité</t>
  </si>
  <si>
    <t>Exiger une étude d’impact pour toute décision SI</t>
  </si>
  <si>
    <t>Les indicateurs de performance SI sont-ils transmis et utilisés ?</t>
  </si>
  <si>
    <t>Tableau de bord SI, Rapports mensuels</t>
  </si>
  <si>
    <t>Pilotage à l’aveugle</t>
  </si>
  <si>
    <t>Mauvais suivi de performance</t>
  </si>
  <si>
    <t>Mettre en place des indicateurs clairs et automatisés</t>
  </si>
  <si>
    <t>Des actions sont-elles menées pour former ou sensibiliser les parties prenantes ?</t>
  </si>
  <si>
    <t>Programmes de formation, Attestations de participation</t>
  </si>
  <si>
    <t>Incompréhension des enjeux</t>
  </si>
  <si>
    <t>Mauvaise adoption des projets</t>
  </si>
  <si>
    <t>Planifier des formations annuelles obligatoires</t>
  </si>
  <si>
    <t>Les grands projets ont-ils des responsables désignés, reconnus et compétents ?</t>
  </si>
  <si>
    <t>Organigramme projets, Fiches de poste</t>
  </si>
  <si>
    <t>Flou de responsabilité</t>
  </si>
  <si>
    <t>Retards et dérives projet</t>
  </si>
  <si>
    <t>S’assurer de la désignation officielle et claire de responsables</t>
  </si>
  <si>
    <t>Les objectifs et livrables sont-ils définis en concertation avec les parties prenantes ?</t>
  </si>
  <si>
    <t>Cahiers des charges, PV de réunion</t>
  </si>
  <si>
    <t>Non-adhésion des utilisateurs</t>
  </si>
  <si>
    <t>Projets non conformes aux attentes</t>
  </si>
  <si>
    <t>Impliquer les utilisateurs dès la phase de cadrage</t>
  </si>
  <si>
    <t>Les utilisateurs sont-ils impliqués dans les arbitrages et décisions clés ?</t>
  </si>
  <si>
    <t>PV de comités, Grille d’arbitrage</t>
  </si>
  <si>
    <t>Décisions mal acceptées</t>
  </si>
  <si>
    <t>Rejet ou résistance</t>
  </si>
  <si>
    <t>Créer des groupes de co-décision par projet</t>
  </si>
  <si>
    <t>Une communication fréquente est-elle faite sur l’avancement des projets SI ?</t>
  </si>
  <si>
    <t>Newsletters projets, Réunions de suivi</t>
  </si>
  <si>
    <t>Manque de visibilité</t>
  </si>
  <si>
    <t>Mauvaise coordination</t>
  </si>
  <si>
    <t>Mettre en place des bulletins périodiques d’information</t>
  </si>
  <si>
    <t>Les étapes des projets sont-elles validées sur la base de critères définis ?</t>
  </si>
  <si>
    <t>Plan qualité projet, Matrice de validation</t>
  </si>
  <si>
    <t>Validation arbitraire</t>
  </si>
  <si>
    <t>Livrables non conformes</t>
  </si>
  <si>
    <t>Définir des critères de validation clairs dès le début</t>
  </si>
  <si>
    <t>Les responsables MOA sont-ils bien identifiés et leur rôle compris ?</t>
  </si>
  <si>
    <t>Organigramme projet, Fiches de mission</t>
  </si>
  <si>
    <t>Ambiguïté dans les responsabilités</t>
  </si>
  <si>
    <t>Problèmes d’interface MOA-MOE</t>
  </si>
  <si>
    <t>Clarifier les rôles dans les documents de projet</t>
  </si>
  <si>
    <t>Les besoins fonctionnels sont-ils exprimés clairement par la MOA ?</t>
  </si>
  <si>
    <t>Cahier des charges, Comptes rendus d’ateliers</t>
  </si>
  <si>
    <t>Mauvaise interprétation des attentes</t>
  </si>
  <si>
    <t>Livrables non adaptés</t>
  </si>
  <si>
    <t>Organiser des ateliers de recueil des besoins</t>
  </si>
  <si>
    <t>La MOA participe-t-elle à toutes les phases du projet ?</t>
  </si>
  <si>
    <t>Planning de participation, Feuilles de présence</t>
  </si>
  <si>
    <t>Manque de suivi et de cohérence</t>
  </si>
  <si>
    <t>Projet mal piloté</t>
  </si>
  <si>
    <t>Impliquer formellement la MOA dans chaque étape</t>
  </si>
  <si>
    <t>Les livrables sont-ils validés en regard des besoins exprimés ?</t>
  </si>
  <si>
    <t>Grille de validation, PV de recette</t>
  </si>
  <si>
    <t>Non-conformité fonctionnelle</t>
  </si>
  <si>
    <t>Reprises coûteuses ou insatisfaction</t>
  </si>
  <si>
    <t>Organiser des phases de validation systématiques</t>
  </si>
  <si>
    <t>Les utilisateurs sont-ils impliqués dans la conduite du changement et formés ?</t>
  </si>
  <si>
    <t>Plan de conduite du changement, Liste des participants</t>
  </si>
  <si>
    <t>Rejet du projet</t>
  </si>
  <si>
    <t>Non-appropriation des outils SI</t>
  </si>
  <si>
    <t>Prévoir un accompagnement structuré au changement</t>
  </si>
  <si>
    <t>Le périmètre défini du projet répond-il aux besoins métiers identifiés ?</t>
  </si>
  <si>
    <t>Cahier des charges, Compte rendu des ateliers métiers</t>
  </si>
  <si>
    <t>Dérive fonctionnelle du projet</t>
  </si>
  <si>
    <t>Projet non aligné avec les attentes des utilisateurs</t>
  </si>
  <si>
    <t>Revoir les besoins métiers avec les parties prenantes</t>
  </si>
  <si>
    <t>Toutes les fonctions sont-elles bien documentées ?</t>
  </si>
  <si>
    <t>Documentation fonctionnelle, Spécifications détaillées</t>
  </si>
  <si>
    <t>Risque de lacunes dans le développement ou la maintenance</t>
  </si>
  <si>
    <t>Incohérence ou oubli lors de la mise en œuvre</t>
  </si>
  <si>
    <t>Compléter la documentation en impliquant les utilisateurs clés</t>
  </si>
  <si>
    <t>Le périmètre fonctionnel est-il en cohérence avec les objectifs stratégiques ?</t>
  </si>
  <si>
    <t>Plan stratégique SI, Cartographie des processus</t>
  </si>
  <si>
    <t>Risque de perte de valeur métier</t>
  </si>
  <si>
    <t>Déconnexion entre l’informatique et la stratégie de l’organisation</t>
  </si>
  <si>
    <t>Aligner les projets SI sur la stratégie globale</t>
  </si>
  <si>
    <t>Les écarts entre le périmètre prévu et celui réalisé sont-ils identifiés et documentés ?</t>
  </si>
  <si>
    <t>Revue de projet, Rapports d’audit</t>
  </si>
  <si>
    <t>Mauvais contrôle de projet</t>
  </si>
  <si>
    <t>Écart de qualité ou de performance</t>
  </si>
  <si>
    <t>Mettre en place une procédure de suivi des écarts</t>
  </si>
  <si>
    <t>Les parties prenantes valident-elles la couverture fonctionnelle du projet ?</t>
  </si>
  <si>
    <t>PV de validation, Emails de validation</t>
  </si>
  <si>
    <t>Mauvaise adoption de l’outil</t>
  </si>
  <si>
    <t>Résistance au changement</t>
  </si>
  <si>
    <t>Impliquer les utilisateurs finaux dans la validation</t>
  </si>
  <si>
    <t>Les rôles et responsabilités sont-ils clairement définis dans le processus de pilotage ?</t>
  </si>
  <si>
    <t>Non-conformité aux bonnes pratiques</t>
  </si>
  <si>
    <t>Les schémas directeurs d’urbanisme sont-ils disponibles et à jour ?</t>
  </si>
  <si>
    <t>Non-conformité légale</t>
  </si>
  <si>
    <t>Existe-t-il une documentation récente des procédures de pilotage ?</t>
  </si>
  <si>
    <t>Procédures de pilotage, Registre de version</t>
  </si>
  <si>
    <t>Pilotage inefficace ou inadapté</t>
  </si>
  <si>
    <t>Perte de contrôle sur les projets SI</t>
  </si>
  <si>
    <t>Mettre à jour régulièrement les procédures et les archiver</t>
  </si>
  <si>
    <t>Organigramme de gouvernance, Fiche de responsabilités</t>
  </si>
  <si>
    <t>Ambiguïtés dans la gestion</t>
  </si>
  <si>
    <t>Conflits de rôle et blocages décisionnels</t>
  </si>
  <si>
    <t>Documenter clairement les rôles et les diffuser</t>
  </si>
  <si>
    <t>Le plan informatique est-il révisé régulièrement ?</t>
  </si>
  <si>
    <t>Historique des révisions, PV de comité</t>
  </si>
  <si>
    <t>Stratégie inadaptée</t>
  </si>
  <si>
    <t>Décalage entre besoins métiers et SI</t>
  </si>
  <si>
    <t>Programmer des révisions périodiques avec suivi</t>
  </si>
  <si>
    <t>Les procédures de pilotage sont-elles alignées avec les standards du secteur ?</t>
  </si>
  <si>
    <t>Référentiel de bonnes pratiques, Audit de conformité</t>
  </si>
  <si>
    <t>Inefficacité ou risques accrus</t>
  </si>
  <si>
    <t>Comparer régulièrement les procédures aux standards reconnus</t>
  </si>
  <si>
    <t>Un mécanisme est-il en place pour suivre les actions correctives issues du pilotage ?</t>
  </si>
  <si>
    <t>Registre d’actions correctives, Suivi d’audit</t>
  </si>
  <si>
    <t>Répétition des erreurs ou dérives</t>
  </si>
  <si>
    <t>Accumulation de non-conformités</t>
  </si>
  <si>
    <t>Mettre en place un tableau de bord de suivi des corrections</t>
  </si>
  <si>
    <t>Schéma directeur, PV de validation</t>
  </si>
  <si>
    <t>Désalignement stratégique</t>
  </si>
  <si>
    <t>Incohérence SI/stratégie</t>
  </si>
  <si>
    <t>Mettre à jour le schéma directeur régulièrement</t>
  </si>
  <si>
    <t>L’architecture réelle correspond-elle au schéma directeur documenté ?</t>
  </si>
  <si>
    <t>Cartographie technique, Rapport d’audit</t>
  </si>
  <si>
    <t>Incohérence structurelle</t>
  </si>
  <si>
    <t>Difficile à maintenir ou faire évoluer</t>
  </si>
  <si>
    <t>Réaliser des audits d’alignement</t>
  </si>
  <si>
    <t>Les documents sont-ils mis à jour à chaque évolution organisationnelle ?</t>
  </si>
  <si>
    <t>Historique des versions, Organigrammes</t>
  </si>
  <si>
    <t>Obsolescence documentaire</t>
  </si>
  <si>
    <t>Mauvaise adaptation du SI</t>
  </si>
  <si>
    <t>Définir un processus de mise à jour déclenché par les changements</t>
  </si>
  <si>
    <t>Les parties prenantes ont-elles accès aux documents d’urbanisme ?</t>
  </si>
  <si>
    <t>Registre d’accès, Intranet documentaire</t>
  </si>
  <si>
    <t>Non-appropriation des référentiels</t>
  </si>
  <si>
    <t>Erreurs ou décisions mal fondées</t>
  </si>
  <si>
    <t>Déployer une plateforme documentaire partagée</t>
  </si>
  <si>
    <t>Les normes en vigueur sont-elles intégrées dans les documents ?</t>
  </si>
  <si>
    <t>Veille réglementaire, Référentiels métiers</t>
  </si>
  <si>
    <t>Risques juridiques et pénaux</t>
  </si>
  <si>
    <t>Mettre en place une veille active et intégrer ses résultats</t>
  </si>
  <si>
    <t>Existe-t-il une version récente des procédures de pilotage du POS ?</t>
  </si>
  <si>
    <t>Manuel POS, Registre des mises à jour</t>
  </si>
  <si>
    <t>Inadéquation avec les réalités opérationnelles</t>
  </si>
  <si>
    <t>Perte d’efficacité opérationnelle</t>
  </si>
  <si>
    <t>Réviser régulièrement les procédures</t>
  </si>
  <si>
    <t>Y a-t-il une trace des révisions régulières du POS ?</t>
  </si>
  <si>
    <t>Historique POS, PV de validation</t>
  </si>
  <si>
    <t>Obsolescence fonctionnelle</t>
  </si>
  <si>
    <t>Non-respect des objectifs de pilotage</t>
  </si>
  <si>
    <t>Imposer un calendrier de révision du POS</t>
  </si>
  <si>
    <t>Les procédures du POS respectent-elles la réglementation locale ?</t>
  </si>
  <si>
    <t>Texte de loi, Rapport de conformité</t>
  </si>
  <si>
    <t>Sanctions ou blocage de projet</t>
  </si>
  <si>
    <t>Associer un juriste à la révision des procédures</t>
  </si>
  <si>
    <t>Existe-t-il un mécanisme formalisé de suivi des modifications du POS ?</t>
  </si>
  <si>
    <t>Registre des modifications, Procédure de gestion des versions</t>
  </si>
  <si>
    <t>Perte de traçabilité</t>
  </si>
  <si>
    <t>Incohérence dans les mises à jour</t>
  </si>
  <si>
    <t>Mettre en place une procédure de versionnage</t>
  </si>
  <si>
    <t>Les documents du POS sont-ils validés par les autorités concernées ?</t>
  </si>
  <si>
    <t>PV de validation, Signature des autorités</t>
  </si>
  <si>
    <t>Perte de légitimité</t>
  </si>
  <si>
    <t>Blocage de mise en œuvre</t>
  </si>
  <si>
    <t>Prévoir systématiquement une étape de validation officielle</t>
  </si>
  <si>
    <t>Un inventaire technologique centralisé et à jour existe-t-il ?</t>
  </si>
  <si>
    <t>Base de données d’inventaire, Outil de gestion d’actifs</t>
  </si>
  <si>
    <t>Méconnaissance des ressources</t>
  </si>
  <si>
    <t>Risques de redondances ou obsolescence</t>
  </si>
  <si>
    <t>Utiliser un outil de gestion centralisé automatisé</t>
  </si>
  <si>
    <t>Les compatibilités entre systèmes sont-elles analysées ?</t>
  </si>
  <si>
    <t>Rapport d’interopérabilité, Matrice de compatibilité</t>
  </si>
  <si>
    <t>Incompatibilités fonctionnelles</t>
  </si>
  <si>
    <t>Échecs d’intégration</t>
  </si>
  <si>
    <t>Réaliser systématiquement une analyse de compatibilité</t>
  </si>
  <si>
    <t>Les standards technologiques sont-ils documentés et diffusés ?</t>
  </si>
  <si>
    <t>Référentiel technique, Charte SI</t>
  </si>
  <si>
    <t>Disparité technologique</t>
  </si>
  <si>
    <t>Maintenance complexe</t>
  </si>
  <si>
    <t>Établir et diffuser un référentiel unique</t>
  </si>
  <si>
    <t>Un plan de gestion du cycle de vie des technologies existe-t-il ?</t>
  </si>
  <si>
    <t>Plan d’évolution technologique, Planning de renouvellement</t>
  </si>
  <si>
    <t>Technologies obsolètes</t>
  </si>
  <si>
    <t>Augmentation des coûts et vulnérabilités</t>
  </si>
  <si>
    <t>Mettre en place une stratégie de renouvellement continue</t>
  </si>
  <si>
    <t>Des procédures sont-elles en place pour contrôler les écarts aux normes ?</t>
  </si>
  <si>
    <t>Fiches d’écart, Plan de contrôle</t>
  </si>
  <si>
    <t>Dérives non maîtrisées</t>
  </si>
  <si>
    <t>Perte de qualité et de sécurité</t>
  </si>
  <si>
    <t>Instaurer un contrôle qualité régulier</t>
  </si>
  <si>
    <t>Chaque domaine dispose-t-il d’un référentiel unique identifié ?</t>
  </si>
  <si>
    <t>Référentiels métiers, Cartographies fonctionnelles</t>
  </si>
  <si>
    <t>Multiplicité de sources de vérité</t>
  </si>
  <si>
    <t>Risques d’erreurs ou de conflits</t>
  </si>
  <si>
    <t>Centraliser les référentiels et en limiter les doublons</t>
  </si>
  <si>
    <t>Des procédures existent-elles pour détecter et gérer les doublons ?</t>
  </si>
  <si>
    <t>Rapport d’analyse, Procédure de nettoyage</t>
  </si>
  <si>
    <t>Incohérences dans les données</t>
  </si>
  <si>
    <t>Mauvaise qualité des décisions</t>
  </si>
  <si>
    <t>Mettre en place un processus d’unification des données</t>
  </si>
  <si>
    <t>Des contrôles d’intégrité des données sont-ils régulièrement effectués ?</t>
  </si>
  <si>
    <t>Journal de contrôle, Rapport d’audit</t>
  </si>
  <si>
    <t>Données corrompues ou inexactes</t>
  </si>
  <si>
    <t>Décisions erronées</t>
  </si>
  <si>
    <t>Programmer des vérifications automatisées régulières</t>
  </si>
  <si>
    <t>Les droits d’accès sont-ils différenciés et documentés ?</t>
  </si>
  <si>
    <t>Matrice des accès, Politique de sécurité</t>
  </si>
  <si>
    <t>Fuite ou corruption de données sensibles</t>
  </si>
  <si>
    <t>Réaliser un audit des droits d’accès et documenter les règles</t>
  </si>
  <si>
    <t>L’historique des modifications est-il bien tracé ?</t>
  </si>
  <si>
    <t>Journal d’activité, Outil de versioning</t>
  </si>
  <si>
    <t>Difficulté à identifier les causes d’erreurs</t>
  </si>
  <si>
    <t>Intégrer des mécanismes d’audit trail systématiques</t>
  </si>
  <si>
    <t>Plan de rollback prévu</t>
  </si>
  <si>
    <t>Le Balanced Scorecard couvre-t-il les perspectives finances, clients, processus internes et apprentissage ?</t>
  </si>
  <si>
    <t>Balanced Scorecard, Rapport stratégique</t>
  </si>
  <si>
    <t>Suivi incomplet de la performance</t>
  </si>
  <si>
    <t>Vision stratégique déséquilibrée</t>
  </si>
  <si>
    <t>Élaborer un BSC intégral avec toutes les perspectives</t>
  </si>
  <si>
    <t>Existe-t-il un arbre de déploiement des objectifs par service ?</t>
  </si>
  <si>
    <t>Arbre stratégique, Feuille de route par service</t>
  </si>
  <si>
    <t>Objectifs mal alignés</t>
  </si>
  <si>
    <t>Difficulté de pilotage local</t>
  </si>
  <si>
    <t>Déployer les objectifs top-down avec traçabilité</t>
  </si>
  <si>
    <t>Les indicateurs sont-ils spécifiques, mesurables, atteignables, réalistes et temporels ?</t>
  </si>
  <si>
    <t>Fiches d’indicateurs, Tableaux de bord</t>
  </si>
  <si>
    <t>Pilotage inefficace</t>
  </si>
  <si>
    <t>Indicateurs non exploitables</t>
  </si>
  <si>
    <t>Revoir les indicateurs selon la méthode SMART</t>
  </si>
  <si>
    <t>Un calendrier des revues formelles est-il établi et respecté ?</t>
  </si>
  <si>
    <t>Planning de gouvernance, PV de réunion</t>
  </si>
  <si>
    <t>Manque de suivi régulier</t>
  </si>
  <si>
    <t>Retard dans les ajustements</t>
  </si>
  <si>
    <t>Mettre à jour et suivre un calendrier des revues</t>
  </si>
  <si>
    <t>Les mécanismes d’ajustement sont-ils formalisés ?</t>
  </si>
  <si>
    <t>Procédure d’ajustement, Fiches de décisions</t>
  </si>
  <si>
    <t>Réactivité limitée</t>
  </si>
  <si>
    <t>Maintien d’indicateurs inadaptés</t>
  </si>
  <si>
    <t>Documenter les processus de révision des objectifs</t>
  </si>
  <si>
    <t>La composition des comités est-elle représentative et documentée ?</t>
  </si>
  <si>
    <t>PV de nomination, Liste des membres</t>
  </si>
  <si>
    <t>Déséquilibre décisionnel</t>
  </si>
  <si>
    <t>Mauvaise représentativité</t>
  </si>
  <si>
    <t>Formaliser et équilibrer la composition des instances</t>
  </si>
  <si>
    <t>Le périmètre de décision des instances est-il clairement défini ?</t>
  </si>
  <si>
    <t>Règlement de fonctionnement, Fiches de rôle</t>
  </si>
  <si>
    <t>Conflits d'autorité</t>
  </si>
  <si>
    <t>Blocage dans la prise de décision</t>
  </si>
  <si>
    <t>Définir et documenter les périmètres de responsabilité</t>
  </si>
  <si>
    <t>La fréquence des réunions est-elle adaptée aux besoins du pilotage ?</t>
  </si>
  <si>
    <t>Calendrier des réunions, PV</t>
  </si>
  <si>
    <t>Retard dans le suivi</t>
  </si>
  <si>
    <t>Manque de réactivité</t>
  </si>
  <si>
    <t>Réajuster la fréquence en fonction des enjeux</t>
  </si>
  <si>
    <t>Les comptes-rendus de réunion sont-ils diffusés et archivés ?</t>
  </si>
  <si>
    <t>PV, Dossier de réunion</t>
  </si>
  <si>
    <t>Perte d’historique des décisions</t>
  </si>
  <si>
    <t>Risque de redondance ou oubli</t>
  </si>
  <si>
    <t>Mettre en place un espace d’archivage partagé</t>
  </si>
  <si>
    <t>Les actions décidées en réunion sont-elles suivies ?</t>
  </si>
  <si>
    <t>Plan d’actions, Tableau de suivi</t>
  </si>
  <si>
    <t>Actions non réalisées</t>
  </si>
  <si>
    <t>Perte d’efficacité du pilotage</t>
  </si>
  <si>
    <t>Mettre en œuvre un tableau de suivi avec responsable et délai</t>
  </si>
  <si>
    <t>Existe-t-il une cartographie liant indicateurs et processus ?</t>
  </si>
  <si>
    <t>Cartographie, Tableaux de bord</t>
  </si>
  <si>
    <t>Mauvais positionnement des indicateurs</t>
  </si>
  <si>
    <t>Suivi décorrélé des réalités</t>
  </si>
  <si>
    <t>Lier chaque indicateur à un processus métier précis</t>
  </si>
  <si>
    <t>Les métadonnées des indicateurs sont-elles documentées ?</t>
  </si>
  <si>
    <t>Fiches de définition, Glossaire</t>
  </si>
  <si>
    <t>Mauvaise interprétation des indicateurs</t>
  </si>
  <si>
    <t>Pilotage erroné</t>
  </si>
  <si>
    <t>Standardiser la fiche de chaque indicateur</t>
  </si>
  <si>
    <t>Les outils de collecte et d’analyse sont-ils identifiés et documentés ?</t>
  </si>
  <si>
    <t>Liste des outils, Manuel d’utilisation</t>
  </si>
  <si>
    <t>Collecte incohérente</t>
  </si>
  <si>
    <t>Résultats non comparables</t>
  </si>
  <si>
    <t>Uniformiser les outils et leur utilisation</t>
  </si>
  <si>
    <t>Un processus d'amélioration continue est-il en place ?</t>
  </si>
  <si>
    <t>Plan d’amélioration, Retours d’expérience</t>
  </si>
  <si>
    <t>Stagnation de la performance</t>
  </si>
  <si>
    <t>Perte de compétitivité</t>
  </si>
  <si>
    <t>Instaurer une démarche PDCA ou équivalente</t>
  </si>
  <si>
    <t>Un benchmark avec le secteur est-il régulièrement réalisé ?</t>
  </si>
  <si>
    <t>Rapport de benchmark, Analyse comparative</t>
  </si>
  <si>
    <t>Manque de positionnement</t>
  </si>
  <si>
    <t>Objectifs mal calibrés</t>
  </si>
  <si>
    <t>Comparer les résultats aux standards du secteur</t>
  </si>
  <si>
    <t>Les indicateurs couvrent-ils bien les axes financiers, clients et processus ?</t>
  </si>
  <si>
    <t>Tableau de bord, Référentiel d’indicateurs</t>
  </si>
  <si>
    <t>Pilotage partiel</t>
  </si>
  <si>
    <t>Vérifier la complétude du tableau de bord</t>
  </si>
  <si>
    <t>Les sources de données sont-elles identifiées et fiables ?</t>
  </si>
  <si>
    <t>Référentiel des données, Procédures de contrôle</t>
  </si>
  <si>
    <t>Mauvaise qualité de l'information</t>
  </si>
  <si>
    <t>Décisions basées sur des données erronées</t>
  </si>
  <si>
    <t>Répertorier les sources et en vérifier la fiabilité</t>
  </si>
  <si>
    <t>La fréquence de mise à jour des indicateurs est-elle adaptée ?</t>
  </si>
  <si>
    <t>Planning de mise à jour, Historique de suivi</t>
  </si>
  <si>
    <t>Décalage temporel</t>
  </si>
  <si>
    <t>Décision sur des données obsolètes</t>
  </si>
  <si>
    <t>Adapter la fréquence à la criticité des indicateurs</t>
  </si>
  <si>
    <t>Les tableaux de bord sont-ils adaptés aux différents profils d’utilisateurs ?</t>
  </si>
  <si>
    <t>Tableau de bord, Matrice des besoins</t>
  </si>
  <si>
    <t>Surcharge ou manque d’information</t>
  </si>
  <si>
    <t>Incompréhension ou mauvaise utilisation</t>
  </si>
  <si>
    <t>Concevoir des dashboards adaptés à chaque rôle</t>
  </si>
  <si>
    <t>Un processus d’alerte est-il mis en œuvre pour les écarts significatifs ?</t>
  </si>
  <si>
    <t>Seuils d’alerte, Procédure de notification</t>
  </si>
  <si>
    <t>Non-réactivité face aux anomalies</t>
  </si>
  <si>
    <t>Aggravation des écarts</t>
  </si>
  <si>
    <t>Définir des seuils et automatiser les alertes</t>
  </si>
  <si>
    <t>Existe-t-il un modèle standard pour les bilans post-projets ?</t>
  </si>
  <si>
    <t>Fiche post-mortem, Modèle de bilan</t>
  </si>
  <si>
    <t>Apprentissage non capitalisé</t>
  </si>
  <si>
    <t>Répétition des erreurs</t>
  </si>
  <si>
    <t>Formaliser un modèle standardisé à utiliser systématiquement</t>
  </si>
  <si>
    <t>Les écarts coûts/délais/qualité sont-ils systématiquement analysés ?</t>
  </si>
  <si>
    <t>Rapport d’analyse, Feuille de suivi</t>
  </si>
  <si>
    <t>Non-maîtrise des dérives</t>
  </si>
  <si>
    <t>Dérives récurrentes non maîtrisées</t>
  </si>
  <si>
    <t>Inscrire l’analyse d’écarts comme obligation de clôture</t>
  </si>
  <si>
    <t>Les actions correctives sont-elles formalisées après les bilans ?</t>
  </si>
  <si>
    <t>Plan d’action, Responsable désigné</t>
  </si>
  <si>
    <t>Perte de crédibilité</t>
  </si>
  <si>
    <t>Mettre en œuvre un plan d’action avec échéances et responsables</t>
  </si>
  <si>
    <t>Les bonnes pratiques sont-elles capitalisées ?</t>
  </si>
  <si>
    <t>Base de connaissances, Retours d’expérience</t>
  </si>
  <si>
    <t>Perte de savoir-faire</t>
  </si>
  <si>
    <t>Réinvention permanente</t>
  </si>
  <si>
    <t>Mettre à disposition un référentiel de bonnes pratiques</t>
  </si>
  <si>
    <t>Les sponsors reçoivent-ils une communication régulière sur les projets ?</t>
  </si>
  <si>
    <t>Compte-rendu, Rapport périodique</t>
  </si>
  <si>
    <t>Désengagement du sponsor</t>
  </si>
  <si>
    <t>Perte de soutien</t>
  </si>
  <si>
    <t>Prévoir une communication formelle dans le plan projet</t>
  </si>
  <si>
    <t>La documentation est-elle datée et validée formellement ?</t>
  </si>
  <si>
    <t>Signature, Historique des versions</t>
  </si>
  <si>
    <t>Utilisation de documents obsolètes</t>
  </si>
  <si>
    <t>Erreurs dans l’application</t>
  </si>
  <si>
    <t>Intégrer une procédure de versionnage avec validation</t>
  </si>
  <si>
    <t>Les fonctions et postes sont-ils clairement mentionnés dans les documents ?</t>
  </si>
  <si>
    <t>Organigramme, Fiche de poste</t>
  </si>
  <si>
    <t>Ambiguïté des responsabilités</t>
  </si>
  <si>
    <t>Manque de responsabilité ou doublon</t>
  </si>
  <si>
    <t>Clarifier les affectations dans chaque processus</t>
  </si>
  <si>
    <t>Un circuit de validation des modifications est-il défini ?</t>
  </si>
  <si>
    <t>Procédure de validation, Matrice des responsabilités</t>
  </si>
  <si>
    <t>Changements non contrôlés</t>
  </si>
  <si>
    <t>Risques d’erreurs non approuvées</t>
  </si>
  <si>
    <t>Documenter et respecter un</t>
  </si>
  <si>
    <t>La diffusion des documents clés est-elle restreinte aux parties prenantes concernées ?</t>
  </si>
  <si>
    <t>Liste de diffusion, Registre d’accès</t>
  </si>
  <si>
    <t>Divulgation d’informations sensibles</t>
  </si>
  <si>
    <t>Risques juridiques, pertes de confidentialité</t>
  </si>
  <si>
    <t>Utiliser des listes de diffusion contrôlées et journaliser les accès</t>
  </si>
  <si>
    <t>L’organigramme officiel reflète-t-il la réalité opérationnelle ?</t>
  </si>
  <si>
    <t>Organigramme, Rapports d’audit interne</t>
  </si>
  <si>
    <t>Mauvaise répartition des responsabilités</t>
  </si>
  <si>
    <t>Inefficacité dans les processus décisionnels</t>
  </si>
  <si>
    <t>Réviser périodiquement l’organigramme selon les évolutions de l’activité</t>
  </si>
  <si>
    <t>Chaque poste dispose-t-il d’une fiche de poste à jour ?</t>
  </si>
  <si>
    <t>Fiches de poste, Dossier RH</t>
  </si>
  <si>
    <t>Flou dans les missions, conflits internes</t>
  </si>
  <si>
    <t>Baisse de performance, désorganisation des équipes</t>
  </si>
  <si>
    <t>Mettre en place un modèle standard et en assurer la mise à jour régulière</t>
  </si>
  <si>
    <t>Une matrice RACI est-elle formalisée pour les processus clés ?</t>
  </si>
  <si>
    <t>Matrice RACI, Cartographie des processus</t>
  </si>
  <si>
    <t>Confusion dans les responsabilités</t>
  </si>
  <si>
    <t>Retards, redondances ou omissions dans les actions</t>
  </si>
  <si>
    <t>Élaborer une matrice RACI claire et la communiquer à toutes les parties prenantes</t>
  </si>
  <si>
    <t>Existe-t-il une procédure formelle de gestion des conflits ?</t>
  </si>
  <si>
    <t>Procédure de médiation, Charte de conduite</t>
  </si>
  <si>
    <t>Dégradation du climat social</t>
  </si>
  <si>
    <t>Démotivation, turnover</t>
  </si>
  <si>
    <t>Mettre en place une cellule de médiation et une procédure transparente</t>
  </si>
  <si>
    <t>Un processus formel d’évaluation des compétences est-il en place ?</t>
  </si>
  <si>
    <t>Grille d’évaluation, Compte rendu d’entretien</t>
  </si>
  <si>
    <t>Inadéquation compétences/postes</t>
  </si>
  <si>
    <t>Baisse de qualité des prestations, erreurs métier</t>
  </si>
  <si>
    <t>Réaliser une évaluation annuelle liée au plan de formation</t>
  </si>
  <si>
    <t>Les documents de gouvernance sont-ils mis à jour chaque année ?</t>
  </si>
  <si>
    <t>Planning de révision, PV de revue annuelle</t>
  </si>
  <si>
    <t>Obsolescence des informations utilisées</t>
  </si>
  <si>
    <t>Décisions prises sur des bases erronées</t>
  </si>
  <si>
    <t>Planifier une revue documentaire annuelle avec responsables désignés</t>
  </si>
  <si>
    <t>Une cartographie des fonctions IT est-elle disponible et à jour ?</t>
  </si>
  <si>
    <t>Cartographie IT, Schéma fonctionnel</t>
  </si>
  <si>
    <t>Incohérences entre l’organisation IT et les besoins métiers</t>
  </si>
  <si>
    <t>Redondances, lacunes, difficulté d’alignement</t>
  </si>
  <si>
    <t>Mettre à jour la cartographie en fonction des évolutions techniques et organisationnelles</t>
  </si>
  <si>
    <t>Chaque domaine IT ou métier a-t-il un responsable identifié ?</t>
  </si>
  <si>
    <t>Notes de service, Organigramme fonctionnel</t>
  </si>
  <si>
    <t>Absence de pilotage</t>
  </si>
  <si>
    <t>Perte de contrôle, retards dans les livrables</t>
  </si>
  <si>
    <t>Affecter formellement un responsable à chaque périmètre</t>
  </si>
  <si>
    <t>Chaque composante fonctionnelle dispose-t-elle d’un budget dédié ?</t>
  </si>
  <si>
    <t>Plan budgétaire, Fiches de ventilation</t>
  </si>
  <si>
    <t>Blocages dans les projets</t>
  </si>
  <si>
    <t>Activités non réalisées, dépendance à des financements exceptionnels</t>
  </si>
  <si>
    <t>Allouer un budget prévisionnel annuel par activité clé</t>
  </si>
  <si>
    <t>Un plan structuré de développement des compétences est-il défini ?</t>
  </si>
  <si>
    <t>Plan de formation, Entretien professionnel</t>
  </si>
  <si>
    <t>Non-anticipation des besoins futurs</t>
  </si>
  <si>
    <t>Pénurie de compétences, désalignement avec la stratégie</t>
  </si>
  <si>
    <t>Définir un plan triennal évolutif aligné avec les objectifs de l’organisation</t>
  </si>
  <si>
    <t>Des indicateurs de performance adaptés sont-ils suivis pour chaque processus ?</t>
  </si>
  <si>
    <t>Tableaux de bord, Fiches de KPI</t>
  </si>
  <si>
    <t>Absence de mesure de l’efficacité</t>
  </si>
  <si>
    <t>Pilotage à vue, décisions subjectives</t>
  </si>
  <si>
    <t>Mettre en place des indicateurs SMART revus périodiquement</t>
  </si>
  <si>
    <t>Le volume d’activité est-il mesuré par métier ou fonction ?</t>
  </si>
  <si>
    <t>Tableaux de suivi, Données opérationnelles</t>
  </si>
  <si>
    <t>Surcharge ou sous-utilisation de certaines équipes</t>
  </si>
  <si>
    <t>Déséquilibre dans la répartition des charges</t>
  </si>
  <si>
    <t>Suivre mensuellement les volumes et ajuster les ressources</t>
  </si>
  <si>
    <t>Les pratiques internes sont-elles comparées aux standards du secteur ?</t>
  </si>
  <si>
    <t>Études de marché, Benchmarks</t>
  </si>
  <si>
    <t>Manque de compétitivité</t>
  </si>
  <si>
    <t>Retard stratégique, perte d’attractivité</t>
  </si>
  <si>
    <t>Intégrer une veille concurrentielle dans la revue annuelle</t>
  </si>
  <si>
    <t>Un plan de charge est-il établi pour chaque équipe ou projet ?</t>
  </si>
  <si>
    <t>Planification annuelle, Outils de gestion</t>
  </si>
  <si>
    <t>Retards, surcharge, conflits de ressources</t>
  </si>
  <si>
    <t>Dérive des délais, burn-out</t>
  </si>
  <si>
    <t>Utiliser des outils de gestion de la charge et suivre en temps réel</t>
  </si>
  <si>
    <t>Existe-t-il des dispositifs de gestion des pics d’activité ?</t>
  </si>
  <si>
    <t>Plan de continuité, Renforts temporaires</t>
  </si>
  <si>
    <t>Dégradation du service rendu</t>
  </si>
  <si>
    <t>Baisse de qualité, insatisfaction des usagers</t>
  </si>
  <si>
    <t>Prévoir des renforts ponctuels ou externes selon les périodes critiques</t>
  </si>
  <si>
    <t>Un plan de recrutement ou de restructuration est-il défini ?</t>
  </si>
  <si>
    <t>Plan RH, Analyse de besoins</t>
  </si>
  <si>
    <t>Sous-effectif ou sureffectif</t>
  </si>
  <si>
    <t>Perte de productivité ou coût excessif</t>
  </si>
  <si>
    <t>Planifier annuellement les besoins en RH selon les objectifs</t>
  </si>
  <si>
    <t>Un référentiel de compétences existe-t-il pour chaque métier ?</t>
  </si>
  <si>
    <t>Référentiel métier, Grille de compétences</t>
  </si>
  <si>
    <t>Incohérence dans les profils</t>
  </si>
  <si>
    <t>Recrutement inadéquat, déséquilibre de compétences</t>
  </si>
  <si>
    <t>Construire un référentiel à partir des besoins réels du terrain</t>
  </si>
  <si>
    <t>Les évaluations individuelles sont-elles menées régulièrement ?</t>
  </si>
  <si>
    <t>Fiches d’évaluation, PV d’entretien annuel</t>
  </si>
  <si>
    <t>Mauvais suivi de la performance individuelle</t>
  </si>
  <si>
    <t>Difficultés de progression, démotivation</t>
  </si>
  <si>
    <t>Instituer une évaluation annuelle et des suivis intermédiaires</t>
  </si>
  <si>
    <t>Chaque collaborateur dispose-t-il d’un plan de formation personnel ?</t>
  </si>
  <si>
    <t>Dossier de formation, Entretien professionnel</t>
  </si>
  <si>
    <t>Formation non ciblée</t>
  </si>
  <si>
    <t>Perte d’efficience des programmes</t>
  </si>
  <si>
    <t>Lier chaque besoin identifié à un plan de formation personnalisé</t>
  </si>
  <si>
    <t>Existe-t-il une politique claire de mobilité interne ?</t>
  </si>
  <si>
    <t>Politique RH, Historique des mouvements</t>
  </si>
  <si>
    <t>Blocage des carrières, frustration</t>
  </si>
  <si>
    <t>Départs volontaires, perte de talents</t>
  </si>
  <si>
    <t>Promouvoir la mobilité verticale et horizontale encadrée</t>
  </si>
  <si>
    <t>Le suivi des certifications réglementaires est-il assuré ?</t>
  </si>
  <si>
    <t>Registre des formations, Base RH</t>
  </si>
  <si>
    <t>Sanctions légales, suspension d’activités</t>
  </si>
  <si>
    <t>Mettre en place une alerte automatique pour les échéances de certification</t>
  </si>
  <si>
    <t>Existe-t-il un processus formel pour recueillir les besoins des utilisateurs ?</t>
  </si>
  <si>
    <t>Procédure de recueil, Fiches de besoin</t>
  </si>
  <si>
    <t>Non-conformité, mauvaise adéquation des solutions</t>
  </si>
  <si>
    <t>Mauvais développement ou achats IT</t>
  </si>
  <si>
    <t>Formaliser une procédure claire et former les équipes concernées</t>
  </si>
  <si>
    <t>Une matrice de responsabilités entre utilisateurs et DSI est-elle définie ?</t>
  </si>
  <si>
    <t>Matrice RACI, Fiches de rôles</t>
  </si>
  <si>
    <t>Conflits ou lenteur dans les projets</t>
  </si>
  <si>
    <t>Établir et diffuser une matrice RACI validée</t>
  </si>
  <si>
    <t>Des outils collaboratifs sont-ils utilisés pour la spécification des besoins ?</t>
  </si>
  <si>
    <t>Capture d’écran d’outil, Rapport d’utilisation</t>
  </si>
  <si>
    <t>Perte d’informations, manque de traçabilité</t>
  </si>
  <si>
    <t>Développement inadéquat</t>
  </si>
  <si>
    <t>Mettre en place un outil collaboratif (Jira, Confluence, etc.)</t>
  </si>
  <si>
    <t>Les PV de recette sont-ils systématiquement signés par les parties ?</t>
  </si>
  <si>
    <t>PV de recette, Emails de validation</t>
  </si>
  <si>
    <t>Livrables non validés</t>
  </si>
  <si>
    <t>Mésentente sur la conformité</t>
  </si>
  <si>
    <t>Imposer une signature obligatoire avant mise en production</t>
  </si>
  <si>
    <t>Un mécanisme clair existe-t-il pour signaler les anomalies ?</t>
  </si>
  <si>
    <t>Manuel utilisateur, Procédure de ticketing</t>
  </si>
  <si>
    <t>Dysfonctionnements non traités</t>
  </si>
  <si>
    <t>Dégradation de service</t>
  </si>
  <si>
    <t>Mettre en place un système de ticketing avec suivi</t>
  </si>
  <si>
    <t>Les équipes sensibles (dev, prod) sont-elles physiquement séparées ?</t>
  </si>
  <si>
    <t>Organigramme, Plan de site</t>
  </si>
  <si>
    <t>Risque de conflits d’intérêt</t>
  </si>
  <si>
    <t>Fuite ou altération des données</t>
  </si>
  <si>
    <t>Séparer les équipes critiques physiquement ou logiquement</t>
  </si>
  <si>
    <t>Les comptes systèmes sont-ils distincts des comptes personnels ?</t>
  </si>
  <si>
    <t>Liste des comptes, Politique d’accès</t>
  </si>
  <si>
    <t>Usurpation d’identité, non-traçabilité</t>
  </si>
  <si>
    <t>Violations de sécurité</t>
  </si>
  <si>
    <t>Créer des comptes techniques spécifiques et surveillés</t>
  </si>
  <si>
    <t>Les transferts de données sont-ils encadrés ?</t>
  </si>
  <si>
    <t>Procédure de transfert, Registre des échanges</t>
  </si>
  <si>
    <t>Perte ou interception de données</t>
  </si>
  <si>
    <t>Formaliser et auditer les transferts de données</t>
  </si>
  <si>
    <t>Des audits croisés sont-ils organisés périodiquement ?</t>
  </si>
  <si>
    <t>Rapports d’audit, Planning d’audit</t>
  </si>
  <si>
    <t>Biais ou complaisance dans les audits</t>
  </si>
  <si>
    <t>Failles non identifiées</t>
  </si>
  <si>
    <t>Prévoir des audits croisés internes ou externes annuels</t>
  </si>
  <si>
    <t>Des clauses spécifiques encadrent-elles les prestataires externes ?</t>
  </si>
  <si>
    <t>Contrats, Annexes de confidentialité</t>
  </si>
  <si>
    <t>Risques juridiques et opérationnels</t>
  </si>
  <si>
    <t>Non-respect des engagements</t>
  </si>
  <si>
    <t>Insérer des clauses de sécurité, confidentialité, pénalités</t>
  </si>
  <si>
    <t>Les processus critiques sont-ils documentés de manière exhaustive ?</t>
  </si>
  <si>
    <t>Dossiers de procédures, manuels d’exploitation</t>
  </si>
  <si>
    <t>Perte de connaissance organisationnelle</t>
  </si>
  <si>
    <t>Dysfonctionnements en cas de changement d’équipe</t>
  </si>
  <si>
    <t>Formaliser et centraliser la documentation de tous les processus clés</t>
  </si>
  <si>
    <t>Existe-t-il un circuit de validation documenté pour les projets IT ?</t>
  </si>
  <si>
    <t>Schéma de validation, fiches de validation</t>
  </si>
  <si>
    <t>Non-respect des responsabilités</t>
  </si>
  <si>
    <t>Retards ou erreurs dans les décisions</t>
  </si>
  <si>
    <t>Mettre en place un circuit clair avec validation des responsables désignés</t>
  </si>
  <si>
    <t>Un plan de retour arrière est-il prévu pour chaque mise en production ?</t>
  </si>
  <si>
    <t>Plans de rollback, fiches de test</t>
  </si>
  <si>
    <t>Interruption prolongée de service</t>
  </si>
  <si>
    <t>Perte de données ou indisponibilité</t>
  </si>
  <si>
    <t>Documenter un plan de rollback pour chaque projet critique</t>
  </si>
  <si>
    <t>Des check-lists sont-elles utilisées avant chaque mise en production ?</t>
  </si>
  <si>
    <t>Modèle de check-list, rapports de vérification</t>
  </si>
  <si>
    <t>Oublis dans les déploiements</t>
  </si>
  <si>
    <t>Risque d’erreur ou d’échec</t>
  </si>
  <si>
    <t>Utiliser systématiquement une check-list validée</t>
  </si>
  <si>
    <t>L’historique des déploiements est-il bien archivé ?</t>
  </si>
  <si>
    <t>Registres de mise en production</t>
  </si>
  <si>
    <t>Difficulté à analyser les incidents</t>
  </si>
  <si>
    <t>Problèmes non traçables</t>
  </si>
  <si>
    <t>Archiver chaque mise en production avec date, responsable et détails</t>
  </si>
  <si>
    <t>Les rôles sont-ils clairement définis et séparés ?</t>
  </si>
  <si>
    <t>Organigrammes, fiches de poste</t>
  </si>
  <si>
    <t>Conflits d’intérêt ou erreurs</t>
  </si>
  <si>
    <t>Perte d’intégrité des actions critiques</t>
  </si>
  <si>
    <t>Appliquer le principe de séparation des tâches</t>
  </si>
  <si>
    <t>Les actions sensibles sont-elles enregistrées et auditées ?</t>
  </si>
  <si>
    <t>Logs système, journaux d’accès</t>
  </si>
  <si>
    <t>Activités non traçables</t>
  </si>
  <si>
    <t>Failles de sécurité, non-conformité</t>
  </si>
  <si>
    <t>Mettre en place un système de journalisation avec audit régulier</t>
  </si>
  <si>
    <t>Une revue périodique des droits d’accès est-elle réalisée ?</t>
  </si>
  <si>
    <t>Liste des utilisateurs et droits, rapports d’audit</t>
  </si>
  <si>
    <t>Accès non justifiés</t>
  </si>
  <si>
    <t>Violation potentielle de données</t>
  </si>
  <si>
    <t>Réaliser des revues de droits trimestrielles avec les responsables d’équipe</t>
  </si>
  <si>
    <t>Les environnements (dev/test/prod) sont-ils bien séparés ?</t>
  </si>
  <si>
    <t>Architecture des environnements</t>
  </si>
  <si>
    <t>Pollution ou altération des données</t>
  </si>
  <si>
    <t>Pertes de données ou erreurs de configuration</t>
  </si>
  <si>
    <t>Cloisonner rigoureusement les environnements avec accès restreints</t>
  </si>
  <si>
    <t>Un double contrôle est-il exigé pour les actions sensibles ?</t>
  </si>
  <si>
    <t>Procédures de double validation</t>
  </si>
  <si>
    <t>Fraude ou erreur non détectée</t>
  </si>
  <si>
    <t>Perte de confiance ou incidents graves</t>
  </si>
  <si>
    <t>Appliquer systématiquement le principe des 4 yeux</t>
  </si>
  <si>
    <t>Existe-t-il une procédure formalisée pour remplacer un collaborateur ?</t>
  </si>
  <si>
    <t>Procédures RH, fiches de poste</t>
  </si>
  <si>
    <t>Rupture de continuité</t>
  </si>
  <si>
    <t>Désorganisation temporaire</t>
  </si>
  <si>
    <t>Formaliser et tester des procédures de remplacement</t>
  </si>
  <si>
    <t>Les droits d’accès sont-ils révisés lors de tout mouvement de personnel ?</t>
  </si>
  <si>
    <t>Registre des mouvements, droits d’accès</t>
  </si>
  <si>
    <t>Accès inappropriés</t>
  </si>
  <si>
    <t>Fuites d’informations</t>
  </si>
  <si>
    <t>Mettre à jour les droits lors de tout changement de poste</t>
  </si>
  <si>
    <t>Les délégations temporaires font-elles l’objet d’un suivi et d’un audit ?</t>
  </si>
  <si>
    <t>Registre des délégations, rapports d’audit</t>
  </si>
  <si>
    <t>Pouvoir excessif ou détourné</t>
  </si>
  <si>
    <t>Risques juridiques</t>
  </si>
  <si>
    <t>Réaliser un suivi régulier des délégations temporaires</t>
  </si>
  <si>
    <t>Les remplaçants reçoivent-ils une formation adaptée avant leur prise de poste ?</t>
  </si>
  <si>
    <t>Plan de formation, attestations</t>
  </si>
  <si>
    <t>Incompétence ou erreurs</t>
  </si>
  <si>
    <t>Mauvaise continuité du service</t>
  </si>
  <si>
    <t>Organiser une formation systématique des remplaçants</t>
  </si>
  <si>
    <t>Des mécanismes sont-ils en place pour assurer la reprise rapide après incident ?</t>
  </si>
  <si>
    <t>PCA, PRA</t>
  </si>
  <si>
    <t>Interruption prolongée d’activité</t>
  </si>
  <si>
    <t>Perte financière ou de réputation</t>
  </si>
  <si>
    <t>Mettre à jour et tester régulièrement les mécanismes de reprise</t>
  </si>
  <si>
    <t>Des indicateurs RH sont-ils publiés mensuellement ?</t>
  </si>
  <si>
    <t>Rapports RH, tableaux de bord</t>
  </si>
  <si>
    <t>Décision mal informée</t>
  </si>
  <si>
    <t>Manque de pilotage RH</t>
  </si>
  <si>
    <t>Mettre en place des indicateurs mensuels clés</t>
  </si>
  <si>
    <t>Une analyse est-elle systématiquement réalisée lors des départs ?</t>
  </si>
  <si>
    <t>Rapports de sortie, entretiens</t>
  </si>
  <si>
    <t>Perte d’expertise récurrente</t>
  </si>
  <si>
    <t>Taux de turnover élevé</t>
  </si>
  <si>
    <t>Mettre en place une analyse post-départ formalisée</t>
  </si>
  <si>
    <t>Les conditions d’emploi sont-elles comparées au marché ?</t>
  </si>
  <si>
    <t>Études de rémunération</t>
  </si>
  <si>
    <t>Départ de talents</t>
  </si>
  <si>
    <t>Difficultés de recrutement</t>
  </si>
  <si>
    <t>Réaliser un benchmark régulier du marché</t>
  </si>
  <si>
    <t>Des enquêtes de satisfaction sont-elles menées auprès des collaborateurs ?</t>
  </si>
  <si>
    <t>Résultats d’enquête, rapports RH</t>
  </si>
  <si>
    <t>Climat social détérioré</t>
  </si>
  <si>
    <t>Démotivation ou désengagement</t>
  </si>
  <si>
    <t>Mettre en place une enquête annuelle de satisfaction</t>
  </si>
  <si>
    <t>Existe-t-il un plan spécifique pour fidéliser les talents ?</t>
  </si>
  <si>
    <t>Politique RH, plan de carrière</t>
  </si>
  <si>
    <t>Perte des hauts potentiels</t>
  </si>
  <si>
    <t>Baisse de performance globale</t>
  </si>
  <si>
    <t>Définir et suivre un plan de rétention structuré</t>
  </si>
  <si>
    <t>Les parcours professionnels sont-ils clairement définis ?</t>
  </si>
  <si>
    <t>Référentiel métier, guide de carrière</t>
  </si>
  <si>
    <t>Démotivation ou flou</t>
  </si>
  <si>
    <t>Difficulté de projection</t>
  </si>
  <si>
    <t>Formaliser les parcours avec possibilités d’évolution</t>
  </si>
  <si>
    <t>Un entretien de carrière est-il organisé chaque année ?</t>
  </si>
  <si>
    <t>Fiches d’entretien, bilans RH</t>
  </si>
  <si>
    <t>Manque de suivi individuel</t>
  </si>
  <si>
    <t>Frein à la progression professionnelle</t>
  </si>
  <si>
    <t>Mettre en place des entretiens annuels avec axes d’évolution</t>
  </si>
  <si>
    <t>Un plan structuré de montée en compétences existe-t-il ?</t>
  </si>
  <si>
    <t>Plan de formation, budget</t>
  </si>
  <si>
    <t>Compétences obsolètes</t>
  </si>
  <si>
    <t>Baisse de performance</t>
  </si>
  <si>
    <t>Établir un plan de formation aligné avec la stratégie</t>
  </si>
  <si>
    <t>La mobilité est-elle favorisée dans les deux directions ?</t>
  </si>
  <si>
    <t>Dossiers de mobilité, organigrammes</t>
  </si>
  <si>
    <t>Stagnation professionnelle</t>
  </si>
  <si>
    <t>Perte de motivation</t>
  </si>
  <si>
    <t>Encourager la mobilité selon les aspirations et besoins</t>
  </si>
  <si>
    <t>Les évolutions salariales sont-elles tracées et justifiées ?</t>
  </si>
  <si>
    <t>Historique paie, grilles</t>
  </si>
  <si>
    <t>Injustice perçue</t>
  </si>
  <si>
    <t>Tensions sociales</t>
  </si>
  <si>
    <t>Mettre en place un suivi transparent des évolutions</t>
  </si>
  <si>
    <t>Un benchmark des salaires est-il réalisé régulièrement ?</t>
  </si>
  <si>
    <t>Études sectorielles, rapports RH</t>
  </si>
  <si>
    <t>Perte de compétitivité RH</t>
  </si>
  <si>
    <t>Difficulté de rétention</t>
  </si>
  <si>
    <t>Comparer et ajuster la politique salariale régulièrement</t>
  </si>
  <si>
    <t>Le climat social est-il évalué périodiquement ?</t>
  </si>
  <si>
    <t>Résultats enquêtes internes</t>
  </si>
  <si>
    <t>Risque de conflit collectif</t>
  </si>
  <si>
    <t>Organiser des enquêtes anonymes et communiquer les résultats</t>
  </si>
  <si>
    <t>Des indicateurs d’absentéisme sont-ils suivis ?</t>
  </si>
  <si>
    <t>Statistiques RH</t>
  </si>
  <si>
    <t>Désorganisation interne</t>
  </si>
  <si>
    <t>Mettre en place un suivi et une analyse de l’absentéisme</t>
  </si>
  <si>
    <t>Des canaux de remontée sont-ils ouverts aux collaborateurs ?</t>
  </si>
  <si>
    <t>Registre suggestions, réunions d’équipe</t>
  </si>
  <si>
    <t>Frustration ou blocage</t>
  </si>
  <si>
    <t>Manque d’initiative ou tensions</t>
  </si>
  <si>
    <t>Ouvrir des canaux variés et anonymes si nécessaire</t>
  </si>
  <si>
    <t>Les retours des collaborateurs donnent-ils lieu à des actions ?</t>
  </si>
  <si>
    <t>Registre actions RH</t>
  </si>
  <si>
    <t>Perte de confiance</t>
  </si>
  <si>
    <t>Désengagement collectif</t>
  </si>
  <si>
    <t>Suivre et communiquer les actions prises suite aux retours</t>
  </si>
  <si>
    <t>Les connaissances clés sont-elles identifiées et analysées ?</t>
  </si>
  <si>
    <t>Cartographie des savoirs</t>
  </si>
  <si>
    <t>Risque de perte de savoir</t>
  </si>
  <si>
    <t>Difficulté à remplacer les experts</t>
  </si>
  <si>
    <t>Identifier les savoirs critiques et documenter leur transfert</t>
  </si>
  <si>
    <t>Existe-t-il un plan de succession pour les postes stratégiques ?</t>
  </si>
  <si>
    <t>Plan RH, liste des remplaçants</t>
  </si>
  <si>
    <t>Vacance de leadership</t>
  </si>
  <si>
    <t>Pertes stratégiques majeures</t>
  </si>
  <si>
    <t>Élaborer un plan de relève pour les fonctions critiques</t>
  </si>
  <si>
    <t>Les savoir-faire sont-ils formalisés et accessibles ?</t>
  </si>
  <si>
    <t>Fiches techniques, bases de connaissance</t>
  </si>
  <si>
    <t>Perte de compétence</t>
  </si>
  <si>
    <t>Erreurs ou inefficacités</t>
  </si>
  <si>
    <t>Centraliser et actualiser la documentation métier</t>
  </si>
  <si>
    <t>Un programme de tutorat est-il en place pour les nouveaux entrants ?</t>
  </si>
  <si>
    <t>Planning de tutorat, fiches d’évaluation</t>
  </si>
  <si>
    <t>Intégration difficile</t>
  </si>
  <si>
    <t>Allongement de la période d’adaptation</t>
  </si>
  <si>
    <t>Mettre en place un dispositif de tutorat structuré</t>
  </si>
  <si>
    <t>Les responsabilités sont-elles régulièrement alternées ?</t>
  </si>
  <si>
    <t>Planning de rotation</t>
  </si>
  <si>
    <t>Risque de fraude ou dépendance</t>
  </si>
  <si>
    <t>Perte de polyvalence</t>
  </si>
  <si>
    <t>Organiser une rotation encadrée des responsabilités critiques</t>
  </si>
  <si>
    <t>Utilise-t-on un modèle de contrat unique pour les prestataires ?</t>
  </si>
  <si>
    <t>Modèle de contrat, clauses types</t>
  </si>
  <si>
    <t>Clauses oubliées ou incomplètes</t>
  </si>
  <si>
    <t>Litiges contractuels</t>
  </si>
  <si>
    <t>Formaliser un modèle validé par la direction juridique</t>
  </si>
  <si>
    <t>Une liste à jour des informations confidentielles existe-t-elle ?</t>
  </si>
  <si>
    <t>Registre des données sensibles</t>
  </si>
  <si>
    <t>Divulgation non maîtrisée</t>
  </si>
  <si>
    <t>Atteinte à la confidentialité</t>
  </si>
  <si>
    <t>Tenir un inventaire actualisé des données sensibles</t>
  </si>
  <si>
    <t>Le périmètre de confidentialité est-il clairement délimité ?</t>
  </si>
  <si>
    <t>Politique de confidentialité, contrats</t>
  </si>
  <si>
    <t>Ambiguïté contractuelle</t>
  </si>
  <si>
    <t>Litiges potentiels</t>
  </si>
  <si>
    <t>Définir explicitement les périmètres dans les documents</t>
  </si>
  <si>
    <t>Des procédures formalisées de contrôle sont-elles en place ?</t>
  </si>
  <si>
    <t>Procédures internes, rapports de contrôle</t>
  </si>
  <si>
    <t>Contrôles inefficaces</t>
  </si>
  <si>
    <t>Manquements répétés</t>
  </si>
  <si>
    <t>Mettre à jour et suivre les procédures de contrôle</t>
  </si>
  <si>
    <t>Un historique des litiges liés à la confidentialité est-il conservé ?</t>
  </si>
  <si>
    <t>Registre des incidents, dossiers juridiques</t>
  </si>
  <si>
    <t>Récurrence d’incidents</t>
  </si>
  <si>
    <t>Réputation altérée</t>
  </si>
  <si>
    <t>Maintenir une traçabilité et analyser les litiges passés</t>
  </si>
  <si>
    <t>Les clauses relatives à la confidentialité sont-elles identifiées ?</t>
  </si>
  <si>
    <t>Contrats, annexes juridiques</t>
  </si>
  <si>
    <t>Non-respect contractuel</t>
  </si>
  <si>
    <t>Sanctions juridiques</t>
  </si>
  <si>
    <t>Intégrer systématiquement des clauses de confidentialité</t>
  </si>
  <si>
    <t>Une procédure d’urgence est-elle formalisée en cas de fuite ?</t>
  </si>
  <si>
    <t>Procédures d’incident, PCA</t>
  </si>
  <si>
    <t>Réponse inadéquate</t>
  </si>
  <si>
    <t>Aggravation de la fuite</t>
  </si>
  <si>
    <t>Élaborer une procédure de réponse rapide aux incidents</t>
  </si>
  <si>
    <t>Les postes sensibles sont-ils identifiés et suivis ?</t>
  </si>
  <si>
    <t>Liste RH, fiches de poste</t>
  </si>
  <si>
    <t>Accès non maîtrisé</t>
  </si>
  <si>
    <t>Risque de fraude</t>
  </si>
  <si>
    <t>Cartographier les postes sensibles et limiter les accès</t>
  </si>
  <si>
    <t>Un PCA est-il en place et régulièrement testé ?</t>
  </si>
  <si>
    <t>Plan de continuité, rapports de test</t>
  </si>
  <si>
    <t>Interruption prolongée</t>
  </si>
  <si>
    <t>Pertes opérationnelles majeures</t>
  </si>
  <si>
    <t>Mettre en œuvre et tester le PCA régulièrement</t>
  </si>
  <si>
    <t>Des protections logiques/physiques sont-elles en place ?</t>
  </si>
  <si>
    <t>Dossiers techniques, audits de sécurité</t>
  </si>
  <si>
    <t>Intrusion ou vol d’accès</t>
  </si>
  <si>
    <t>Compromission de données</t>
  </si>
  <si>
    <t>Mettre en œuvre une défense en profondeur (accès, logs)</t>
  </si>
  <si>
    <t>Le catalogue de formation est-il mis à jour régulièrement ?</t>
  </si>
  <si>
    <t>Catalogue, offres internes</t>
  </si>
  <si>
    <t>Formations obsolètes</t>
  </si>
  <si>
    <t>Inadéquation compétences</t>
  </si>
  <si>
    <t>Actualiser les contenus en fonction des évolutions métiers</t>
  </si>
  <si>
    <t>Chaque collaborateur a-t-il un plan de formation défini ?</t>
  </si>
  <si>
    <t>Plan de formation individuel</t>
  </si>
  <si>
    <t>Faible retour sur investissement</t>
  </si>
  <si>
    <t>Définir un parcours personnalisé pour chaque employé</t>
  </si>
  <si>
    <t>Un budget spécifique est-il alloué à la formation ?</t>
  </si>
  <si>
    <t>Budget RH, états financiers</t>
  </si>
  <si>
    <t>Sous-investissement</t>
  </si>
  <si>
    <t>Baisse de compétences internes</t>
  </si>
  <si>
    <t>Allouer une enveloppe dédiée aux montées en compétences</t>
  </si>
  <si>
    <t>Les connaissances acquises sont-elles évaluées ?</t>
  </si>
  <si>
    <t>Tests, évaluations post-formation</t>
  </si>
  <si>
    <t>Apprentissage superficiel</t>
  </si>
  <si>
    <t>Inefficacité de la formation</t>
  </si>
  <si>
    <t>Mettre en place des évaluations systématiques</t>
  </si>
  <si>
    <t>Le lien entre formation et performance est-il mesuré ?</t>
  </si>
  <si>
    <t>Indicateurs RH, bilans de performance</t>
  </si>
  <si>
    <t>Absence de ROI</t>
  </si>
  <si>
    <t>Gaspillage de ressources</t>
  </si>
  <si>
    <t>Corréler les actions de formation aux performances</t>
  </si>
  <si>
    <t>Le volume horaire de formation est-il suivi ?</t>
  </si>
  <si>
    <t>Statistiques RH, bilans annuels</t>
  </si>
  <si>
    <t>Déséquilibre d’accès à la formation</t>
  </si>
  <si>
    <t>Inequité de développement</t>
  </si>
  <si>
    <t>Suivre et équilibrer la répartition des heures</t>
  </si>
  <si>
    <t>Les formations correspondent-elles aux besoins métiers ?</t>
  </si>
  <si>
    <t>Analyse des besoins, plans de formation</t>
  </si>
  <si>
    <t>Formation inutile</t>
  </si>
  <si>
    <t>Perte de temps et de budget</t>
  </si>
  <si>
    <t>Adapter les contenus aux priorités métiers</t>
  </si>
  <si>
    <t>Les modalités de formation sont-elles diversifiées ?</t>
  </si>
  <si>
    <t>Planning formation, plateformes LMS</t>
  </si>
  <si>
    <t>Monotonie, inefficacité</t>
  </si>
  <si>
    <t>Faible engagement des apprenants</t>
  </si>
  <si>
    <t>Proposer un mix équilibré des formats de formation</t>
  </si>
  <si>
    <t>Les parcours de formation sont-ils suivis et mis à jour ?</t>
  </si>
  <si>
    <t>Fiches de suivi, plateforme LMS</t>
  </si>
  <si>
    <t>Assurer le suivi des parcours dans une solution centralisée</t>
  </si>
  <si>
    <t>Le retour sur investissement formation est-il mesuré ?</t>
  </si>
  <si>
    <t>Rapports RH, indicateurs de performance</t>
  </si>
  <si>
    <t>Investissements non rentables</t>
  </si>
  <si>
    <t>Réduction budgétaire injustifiée</t>
  </si>
  <si>
    <t>Évaluer régulièrement l’impact des formations</t>
  </si>
  <si>
    <t>Les obligations légales sont-elles recensées ?</t>
  </si>
  <si>
    <t>Registre conformité, veille réglementaire</t>
  </si>
  <si>
    <t>Non-conformité</t>
  </si>
  <si>
    <t>Sanctions réglementaires</t>
  </si>
  <si>
    <t>Tenir un registre actualisé des obligations légales</t>
  </si>
  <si>
    <t>Les procédures de conformité sont-elles formalisées ?</t>
  </si>
  <si>
    <t>Manuels de conformité, chartes</t>
  </si>
  <si>
    <t>Non-respect des normes</t>
  </si>
  <si>
    <t>Litiges, sanctions</t>
  </si>
  <si>
    <t>Documenter et diffuser les procédures de conformité</t>
  </si>
  <si>
    <t>Le personnel est-il régulièrement formé aux obligations légales ?</t>
  </si>
  <si>
    <t>Plan de formation, feuilles de présence</t>
  </si>
  <si>
    <t>Ignorance des règles</t>
  </si>
  <si>
    <t>Infractions involontaires</t>
  </si>
  <si>
    <t>Organiser des sessions annuelles de mise à jour</t>
  </si>
  <si>
    <t>Des audits de conformité sont-ils réalisés ?</t>
  </si>
  <si>
    <t>Rapports d’audit, plans d’action</t>
  </si>
  <si>
    <t>Incohérences non détectées</t>
  </si>
  <si>
    <t>Retards ou sanctions</t>
  </si>
  <si>
    <t>Réaliser des audits périodiques avec plan d’amélioration</t>
  </si>
  <si>
    <t>Un dispositif de signalement est-il en place ?</t>
  </si>
  <si>
    <t>Charte éthique, canaux de signalement</t>
  </si>
  <si>
    <t>Absence d’alerte précoce</t>
  </si>
  <si>
    <t>Mettre en place un canal confidentiel et accessible</t>
  </si>
  <si>
    <t>La sensibilisation est-elle obligatoire pour tous ?</t>
  </si>
  <si>
    <t>Attestations, listes de diffusion</t>
  </si>
  <si>
    <t>Manque de vigilance</t>
  </si>
  <si>
    <t>Erreurs humaines fréquentes</t>
  </si>
  <si>
    <t>Rendre la sensibilisation obligatoire et répétée</t>
  </si>
  <si>
    <t>Des procédures existent-elles pour identifier les incidents tôt ?</t>
  </si>
  <si>
    <t>Logs, outils de surveillance</t>
  </si>
  <si>
    <t>Réaction tardive</t>
  </si>
  <si>
    <t>Impact aggravé</t>
  </si>
  <si>
    <t>Mettre en place des systèmes de détection automatisés</t>
  </si>
  <si>
    <t>Le circuit de signalement est-il sécurisé et confidentiel ?</t>
  </si>
  <si>
    <t>Schéma de signalement, outils</t>
  </si>
  <si>
    <t>Fuite d’information</t>
  </si>
  <si>
    <t>Assurer la sécurité et la traçabilité des signalements</t>
  </si>
  <si>
    <t>Des exercices sont-ils organisés pour tester la réponse aux crises ?</t>
  </si>
  <si>
    <t>Comptes rendus d’exercice, planning</t>
  </si>
  <si>
    <t>Inexpérience en cas réel</t>
  </si>
  <si>
    <t>Mauvaise gestion d’incident</t>
  </si>
  <si>
    <t>Organiser des simulations annuelles de crise</t>
  </si>
  <si>
    <t>Une assurance couvre-t-elle les risques SI ?</t>
  </si>
  <si>
    <t>Contrats d’assurance, garanties</t>
  </si>
  <si>
    <t>Coût non compensé</t>
  </si>
  <si>
    <t>Pertes non couvertes</t>
  </si>
  <si>
    <t>Négocier une couverture adaptée aux menaces identifiées</t>
  </si>
  <si>
    <t>Existe-t-il une politique de chiffrement écrite et appliquée ?</t>
  </si>
  <si>
    <t>Politique SSI, guide de sécurité</t>
  </si>
  <si>
    <t>Données non protégées</t>
  </si>
  <si>
    <t>Fuites ou interceptions</t>
  </si>
  <si>
    <t>Rédiger et faire appliquer une politique de chiffrement</t>
  </si>
  <si>
    <t>Un inventaire actualisé des outils numériques est-il disponible ?</t>
  </si>
  <si>
    <t>Base de données inventaire</t>
  </si>
  <si>
    <t>Outils non maîtrisés</t>
  </si>
  <si>
    <t>Problèmes d’interopérabilité</t>
  </si>
  <si>
    <t>Maintenir un inventaire centralisé et vérifié</t>
  </si>
  <si>
    <t>Les clés de chiffrement sont-elles gérées selon des procédures ?</t>
  </si>
  <si>
    <t>Registres de clés, procédures</t>
  </si>
  <si>
    <t>Clés compromises</t>
  </si>
  <si>
    <t>Perte d’accès ou vol de données</t>
  </si>
  <si>
    <t>Sécuriser et tracer la gestion des clés de chiffrement</t>
  </si>
  <si>
    <t>Les utilisateurs sont-ils formés à la sécurité des données ?</t>
  </si>
  <si>
    <t>Plan de formation SSI</t>
  </si>
  <si>
    <t>Mauvaises pratiques</t>
  </si>
  <si>
    <t>Risques internes accrus</t>
  </si>
  <si>
    <t>Intégrer la sécurité dans toutes les formations</t>
  </si>
  <si>
    <t>Des contrôles sont-ils menés régulièrement sur les accès et usages ?</t>
  </si>
  <si>
    <t>Rapports de contrôle, journaux d’accès</t>
  </si>
  <si>
    <t>Détection tardive</t>
  </si>
  <si>
    <t>Accès illicite non détecté</t>
  </si>
  <si>
    <t>Programmer des contrôles périodiques automatisés</t>
  </si>
  <si>
    <t>La politique d’archivage est-elle formalisée ?</t>
  </si>
  <si>
    <t>Politique d’archivage, calendrier de conservation</t>
  </si>
  <si>
    <t>Données non disponibles ou perdues</t>
  </si>
  <si>
    <t>Problèmes juridiques ou réglementaires</t>
  </si>
  <si>
    <t>Définir une politique claire de conservation et destruction</t>
  </si>
  <si>
    <t>Les délais de conservation des documents sont-ils conformes à la réglementation ?</t>
  </si>
  <si>
    <t>Politique d’archivage, registre de conservation</t>
  </si>
  <si>
    <t>Sanctions légales</t>
  </si>
  <si>
    <t>Amendes, perte de données</t>
  </si>
  <si>
    <t>Respecter les délais légaux selon la nature des documents</t>
  </si>
  <si>
    <t>Des procédures formalisées d’accès et de destruction existent-elles ?</t>
  </si>
  <si>
    <t>Procédures internes, journal d’accès</t>
  </si>
  <si>
    <t>Accès ou destruction non autorisée</t>
  </si>
  <si>
    <t>Perte ou fuite de données</t>
  </si>
  <si>
    <t>Documenter et sécuriser les processus d’accès/destruction</t>
  </si>
  <si>
    <t>Des audits sont-ils réalisés pour vérifier le respect des politiques d’archivage ?</t>
  </si>
  <si>
    <t>Rapports d’audit, plan de vérification</t>
  </si>
  <si>
    <t>Non-conformité non détectée</t>
  </si>
  <si>
    <t>Risques réglementaires</t>
  </si>
  <si>
    <t>Programmer des audits périodiques et corriger les écarts</t>
  </si>
  <si>
    <t>Une solution technique est-elle utilisée pour la gestion des archives ?</t>
  </si>
  <si>
    <t>Description technique, contrat de maintenance</t>
  </si>
  <si>
    <t>Mauvaise gestion des données</t>
  </si>
  <si>
    <t>Perte, inaccessibilité ou duplication</t>
  </si>
  <si>
    <t>Déployer un outil fiable, évolutif et sécurisé</t>
  </si>
  <si>
    <t>Un inventaire des licences logicielles est-il maintenu à jour ?</t>
  </si>
  <si>
    <t>Registre des licences, contrats</t>
  </si>
  <si>
    <t>Logiciels non conformes ou piratés</t>
  </si>
  <si>
    <t>Sanctions, pannes système</t>
  </si>
  <si>
    <t>Tenir à jour l’inventaire et le comparer aux installations</t>
  </si>
  <si>
    <t>Les acquisitions logicielles suivent-elles un processus validé ?</t>
  </si>
  <si>
    <t>Procédures d’achat, validations</t>
  </si>
  <si>
    <t>Acquisition de logiciels non conformes</t>
  </si>
  <si>
    <t>Risques de sécurité ou dépenses inutiles</t>
  </si>
  <si>
    <t>Mettre en place un processus de validation interne</t>
  </si>
  <si>
    <t>Les installations logicielles sont-elles régulièrement contrôlées ?</t>
  </si>
  <si>
    <t>Rapports de vérification, outils de scan</t>
  </si>
  <si>
    <t>Logiciels obsolètes ou non autorisés</t>
  </si>
  <si>
    <t>Vulnérabilités ou incompatibilités</t>
  </si>
  <si>
    <t>Réaliser des audits logiciels réguliers</t>
  </si>
  <si>
    <t>Les utilisateurs sont-ils sensibilisés à l’usage licite des logiciels ?</t>
  </si>
  <si>
    <t>Supports de formation, attestations</t>
  </si>
  <si>
    <t>Téléchargements non autorisés</t>
  </si>
  <si>
    <t>Infractions, instabilité SI</t>
  </si>
  <si>
    <t>Former régulièrement à l’utilisation responsable</t>
  </si>
  <si>
    <t>Un dispositif de sanction est-il prévu en cas d’abus ou de fraude ?</t>
  </si>
  <si>
    <t>Règlement intérieur, procédures disciplinaires</t>
  </si>
  <si>
    <t>Impunité ou récidive</t>
  </si>
  <si>
    <t>Non-respect des règles internes</t>
  </si>
  <si>
    <t>Formaliser et appliquer des mesures dissuasives</t>
  </si>
  <si>
    <t>Un modèle de contrat pour l’achat ou la maintenance logicielle est-il utilisé ?</t>
  </si>
  <si>
    <t>Modèle de contrat, grille d’évaluation fournisseur</t>
  </si>
  <si>
    <t>Risques contractuels</t>
  </si>
  <si>
    <t>Litiges, prestations non conformes</t>
  </si>
  <si>
    <t>Utiliser des modèles validés par le service juridique</t>
  </si>
  <si>
    <t>Cartographie des processus</t>
  </si>
  <si>
    <t>Échec du projet</t>
  </si>
  <si>
    <t>Choix sous-optimal</t>
  </si>
  <si>
    <t>Retards dans l'exécution</t>
  </si>
  <si>
    <t>Matrice des parties prenantes</t>
  </si>
  <si>
    <t>Oublis stratégiques</t>
  </si>
  <si>
    <t>Feuille de route</t>
  </si>
  <si>
    <t>Dérives budgétaires</t>
  </si>
  <si>
    <t>Journal des modifications</t>
  </si>
  <si>
    <t>Incompatibilités techniques</t>
  </si>
  <si>
    <t>Coûts de refonte</t>
  </si>
  <si>
    <t>Interruptions de service</t>
  </si>
  <si>
    <t>Spécifications détaillées</t>
  </si>
  <si>
    <t>Plan de migration</t>
  </si>
  <si>
    <t>Matrice de compatibilité</t>
  </si>
  <si>
    <t>Compte-rendu d'arbitrage</t>
  </si>
  <si>
    <t>Confusion des rôles</t>
  </si>
  <si>
    <t>Conflits opérationnels</t>
  </si>
  <si>
    <t>Plan de communication</t>
  </si>
  <si>
    <t>Procédure d'escalade</t>
  </si>
  <si>
    <t>Budget détaillé</t>
  </si>
  <si>
    <t>Arrêt du projet</t>
  </si>
  <si>
    <t>Sanctions financières</t>
  </si>
  <si>
    <t>Plan de financement</t>
  </si>
  <si>
    <t>PV de validation</t>
  </si>
  <si>
    <t>Outil de suivi</t>
  </si>
  <si>
    <t>Matrice des dépendances</t>
  </si>
  <si>
    <t>Retards en cascade</t>
  </si>
  <si>
    <t>Plan d'intégration</t>
  </si>
  <si>
    <t>Rapport d'impact</t>
  </si>
  <si>
    <t>Coûts imprévus</t>
  </si>
  <si>
    <t>Faire valider par l'architecte</t>
  </si>
  <si>
    <t>Schéma d'intégration</t>
  </si>
  <si>
    <t>Diagramme de Gantt</t>
  </si>
  <si>
    <t>L'architecture générale du futur système est décrite</t>
  </si>
  <si>
    <t>Existe-t-il un schéma d'architecture validé ?</t>
  </si>
  <si>
    <t>Diagramme d'architecture</t>
  </si>
  <si>
    <t>Retards d'intégration</t>
  </si>
  <si>
    <t>Faire valider l'architecture par un expert.</t>
  </si>
  <si>
    <t>Les choix technologiques majeurs sont documentés et justifiés</t>
  </si>
  <si>
    <t>Les technologies clés ont-elles été sélectionnées avec raison ?</t>
  </si>
  <si>
    <t>Argumentaire technologique</t>
  </si>
  <si>
    <t>Obsolescence rapide</t>
  </si>
  <si>
    <t>Coûts de migration futurs</t>
  </si>
  <si>
    <t>Choisir des technologies évolutives.</t>
  </si>
  <si>
    <t>Les principes de conception (SaaS, cloud, etc.) sont arrêtés</t>
  </si>
  <si>
    <t>Le modèle de déploiement est-il clairement défini ?</t>
  </si>
  <si>
    <t>Plan de déploiement</t>
  </si>
  <si>
    <t>Mise en production chaotique</t>
  </si>
  <si>
    <t>Prévoir un pilote avant généralisation.</t>
  </si>
  <si>
    <t>Les interfaces avec les systèmes existants sont planifiées</t>
  </si>
  <si>
    <t>Comment l'intégration avec le SI actuel sera-t-elle gérée ?</t>
  </si>
  <si>
    <t>Silos techniques</t>
  </si>
  <si>
    <t>Données fragmentées</t>
  </si>
  <si>
    <t>Tester les APIs et connecteurs en amont.</t>
  </si>
  <si>
    <t>La roadmap des évolutions futures est esquissée</t>
  </si>
  <si>
    <t>Les besoins d'évolution à moyen terme sont-ils anticipés ?</t>
  </si>
  <si>
    <t>Solution rigide</t>
  </si>
  <si>
    <t>Privilégier des solutions modulaires.</t>
  </si>
  <si>
    <t>Un organigramme des parties prenantes a été établi</t>
  </si>
  <si>
    <t>Tous les acteurs clés sont-ils identifiés avec leurs rôles ?</t>
  </si>
  <si>
    <t>Matrice RACI</t>
  </si>
  <si>
    <t>Responsabilités floues</t>
  </si>
  <si>
    <t>Retards dans les validations</t>
  </si>
  <si>
    <t>Affecter un responsable par livrable.</t>
  </si>
  <si>
    <t>Les sponsors et décideurs sont clairement désignés</t>
  </si>
  <si>
    <t>Qui sont les responsables de la validation des étapes clés ?</t>
  </si>
  <si>
    <t>Désignation formelle</t>
  </si>
  <si>
    <t>Blocages décisionnels</t>
  </si>
  <si>
    <t>Retards critiques</t>
  </si>
  <si>
    <t>Nommer un sponsor exécutif.</t>
  </si>
  <si>
    <t>Les équipes opérationnelles (MOA, MOE) sont constituées</t>
  </si>
  <si>
    <t>Les ressources internes/externes sont-elles affectées ?</t>
  </si>
  <si>
    <t>Plan de ressourcement</t>
  </si>
  <si>
    <t>Sous-effectif</t>
  </si>
  <si>
    <t>Délais non tenus</t>
  </si>
  <si>
    <t>Sécuriser les ressources avant lancement.</t>
  </si>
  <si>
    <t>Un comité de pilotage incluant toutes les parties est formé</t>
  </si>
  <si>
    <t>Existe-t-il une instance de gouvernance multidisciplinaire ?</t>
  </si>
  <si>
    <t>Comité de pilotage</t>
  </si>
  <si>
    <t>Décisions cloisonnées</t>
  </si>
  <si>
    <t>Incohérences</t>
  </si>
  <si>
    <t>Réunir les parties prenantes mensuellement.</t>
  </si>
  <si>
    <t>Les dépendances entre acteurs sont cartographiées</t>
  </si>
  <si>
    <t>Les interactions critiques entre parties prenantes sont-elles connues ?</t>
  </si>
  <si>
    <t>Communication inefficace</t>
  </si>
  <si>
    <t>Malentendus, conflits</t>
  </si>
  <si>
    <t>Clarifier les canaux de communication.</t>
  </si>
  <si>
    <t>Une estimation détaillée des investissements initiaux existe</t>
  </si>
  <si>
    <t>Les coûts d'acquisition/implémentation sont-ils chiffrés ?</t>
  </si>
  <si>
    <t>Sous-estimation</t>
  </si>
  <si>
    <t>Dépassement financier</t>
  </si>
  <si>
    <t>Inclure une marge pour imprévus (10-15%).</t>
  </si>
  <si>
    <t>Les coûts récurrents (maintenance, licences) sont budgétés</t>
  </si>
  <si>
    <t>Le TCO (coût total de possession) est-il calculé ?</t>
  </si>
  <si>
    <t>Modèle TCO sur 5 ans</t>
  </si>
  <si>
    <t>Coûts cachés</t>
  </si>
  <si>
    <t>Budget insuffisant</t>
  </si>
  <si>
    <t>Intégrer maintenance, licences, et formation.</t>
  </si>
  <si>
    <t>Les économies attendues sont quantifiées et datées</t>
  </si>
  <si>
    <t>Le ROI est-il projeté avec un échéancier réaliste ?</t>
  </si>
  <si>
    <t>Business case</t>
  </si>
  <si>
    <t>Retour sur investissement illusoire</t>
  </si>
  <si>
    <t>Échec économique</t>
  </si>
  <si>
    <t>Baser les projections sur des données historiques.</t>
  </si>
  <si>
    <t>Un plan de financement pluriannuel a été établi</t>
  </si>
  <si>
    <t>Comment le projet sera-t-il financé année après année ?</t>
  </si>
  <si>
    <t>Pénurie de trésorerie</t>
  </si>
  <si>
    <t>Sécuriser les fonds avant chaque phase.</t>
  </si>
  <si>
    <t>Des scénarios alternatifs avec leurs impacts financiers sont prévus</t>
  </si>
  <si>
    <t>Que se passe-t-il en cas de dépassement budgétaire ?</t>
  </si>
  <si>
    <t>Plan de contingence</t>
  </si>
  <si>
    <t>Dette technique</t>
  </si>
  <si>
    <t>Abandon partiel</t>
  </si>
  <si>
    <t>Prévoir des leviers de réduction des coûts.</t>
  </si>
  <si>
    <t>Une cartographie des dépendances avec d'autres projets existe</t>
  </si>
  <si>
    <t>Les interactions avec les initiatives parallèles sont-elles analysées ?</t>
  </si>
  <si>
    <t>Cartographie des projets</t>
  </si>
  <si>
    <t>Doublons ou contradictions</t>
  </si>
  <si>
    <t>Gaspi de ressources</t>
  </si>
  <si>
    <t>Harmoniser les feuilles de route.</t>
  </si>
  <si>
    <t>Les impacts sur les infrastructures techniques sont évalués</t>
  </si>
  <si>
    <t>Les besoins en datacenter, réseau, etc. sont-ils anticipés ?</t>
  </si>
  <si>
    <t>Audit infrastructure</t>
  </si>
  <si>
    <t>Goulots techniques</t>
  </si>
  <si>
    <t>Performances médiocres</t>
  </si>
  <si>
    <t>Mettre à niveau l'infrastructure si besoin.</t>
  </si>
  <si>
    <t>Un plan de coordination avec les autres projets est défini</t>
  </si>
  <si>
    <t>Comment les synergies seront-elles exploitées ?</t>
  </si>
  <si>
    <t>Analyse des synergies</t>
  </si>
  <si>
    <t>Opportunités manquées</t>
  </si>
  <si>
    <t>Coûts non mutualisés</t>
  </si>
  <si>
    <t>Identifier les partages de ressources.</t>
  </si>
  <si>
    <t>Les risques de conflits de ressources sont identifiés</t>
  </si>
  <si>
    <t>Les compétitions pour les ressources partagées sont-elles gérées ?</t>
  </si>
  <si>
    <t>Plan de priorisation</t>
  </si>
  <si>
    <t>Goulots ressources</t>
  </si>
  <si>
    <t>Retards en chaîne</t>
  </si>
  <si>
    <t>Établir des règles d'arbitrage claires.</t>
  </si>
  <si>
    <t>Les calendriers des projets liés sont synchronisés</t>
  </si>
  <si>
    <t>Les échéances critiques sont-elles alignées ?</t>
  </si>
  <si>
    <t>Calendrier intégré</t>
  </si>
  <si>
    <t>Chevauchements</t>
  </si>
  <si>
    <t>Surcharge des équipes</t>
  </si>
  <si>
    <t>Synchroniser les plannings via un outil commun.</t>
  </si>
  <si>
    <t>Le cahier des charges est rédigé par la MOA et validé par les métiers</t>
  </si>
  <si>
    <t>La MOA a-t-elle produit le document avec l'accord des utilisateurs finaux ?</t>
  </si>
  <si>
    <t>PV de validation utilisateurs</t>
  </si>
  <si>
    <t>Non-adoption</t>
  </si>
  <si>
    <t>Rejet de la solution</t>
  </si>
  <si>
    <t>Formaliser les validations par signature</t>
  </si>
  <si>
    <t>Tous les besoins fonctionnels sont décrits avec un niveau de détail suffisant</t>
  </si>
  <si>
    <t>Les exigences sont-elles suffisamment granulaires (ex : cas d'usage) ?</t>
  </si>
  <si>
    <t>Incompréhension</t>
  </si>
  <si>
    <t>Solution inadaptée</t>
  </si>
  <si>
    <t>Utiliser des templates standardisés</t>
  </si>
  <si>
    <t>Les contraintes techniques et réglementaires sont explicitement mentionnées</t>
  </si>
  <si>
    <t>Les limites techniques et obligations légales sont-elles listées ?</t>
  </si>
  <si>
    <t>Registre des contraintes</t>
  </si>
  <si>
    <t>Auditer avec les experts métiers</t>
  </si>
  <si>
    <t>Le document intègre des critères d'acceptation mesurables</t>
  </si>
  <si>
    <t>Existe-t-il des KPIs clairs pour valider la solution ?</t>
  </si>
  <si>
    <t>Tableau de bord KPIs</t>
  </si>
  <si>
    <t>Évaluation subjective</t>
  </si>
  <si>
    <t>Succès non mesurable</t>
  </si>
  <si>
    <t>Définir 3-5 indicateurs clés</t>
  </si>
  <si>
    <t>Le cahier des charges a une version contrôlée et un historique des modifications</t>
  </si>
  <si>
    <t>Le document est-il sous gestion de version avec traçabilité ?</t>
  </si>
  <si>
    <t>Système de versioning</t>
  </si>
  <si>
    <t>Erreurs de mise en œuvre</t>
  </si>
  <si>
    <t>Utiliser un outil de gestion documentaire</t>
  </si>
  <si>
    <t>La solution proposée couvre ≥90% des besoins fonctionnels critiques</t>
  </si>
  <si>
    <t>Les fonctionnalités essentielles sont-elles toutes adressées ?</t>
  </si>
  <si>
    <t>Matrice de couverture</t>
  </si>
  <si>
    <t>Lacunes fonctionnelles</t>
  </si>
  <si>
    <t>Insatisfaction utilisateurs</t>
  </si>
  <si>
    <t>Prioriser via la méthode MoSCoW</t>
  </si>
  <si>
    <t>L'architecture technique est compatible avec l'existant (SI, infra)</t>
  </si>
  <si>
    <t>La solution s'intègre-t-elle sans rupture avec le parc actuel ?</t>
  </si>
  <si>
    <t>Incompatibilités</t>
  </si>
  <si>
    <t>Retards coûteux</t>
  </si>
  <si>
    <t>Réaliser des tests d'interopérabilité</t>
  </si>
  <si>
    <t>Le choix technologique est justifié par une analyse comparative</t>
  </si>
  <si>
    <t>Plusieurs options ont-elles été évaluées objectivement ?</t>
  </si>
  <si>
    <t>Comparatif technique</t>
  </si>
  <si>
    <t>Choix biaisé</t>
  </si>
  <si>
    <t>Coûts superflus</t>
  </si>
  <si>
    <t>Établir une grille de critères</t>
  </si>
  <si>
    <t>La solution respecte les standards et bonnes pratiques du secteur</t>
  </si>
  <si>
    <t>Le choix est-il aligné sur les référentiels professionnels ?</t>
  </si>
  <si>
    <t>Référentiel sectoriel</t>
  </si>
  <si>
    <t>Obsolescence</t>
  </si>
  <si>
    <t>Faire certifier par un expert</t>
  </si>
  <si>
    <t>Les propositions incluent un plan de montée en charge progressif</t>
  </si>
  <si>
    <t>La solution permet-elle une implémentation par phases ?</t>
  </si>
  <si>
    <t>Big-bang risqué</t>
  </si>
  <si>
    <t>Perturbation majeure</t>
  </si>
  <si>
    <t>Privilégier une approche agile</t>
  </si>
  <si>
    <t>Les personas utilisateurs sont documentés avec leurs besoins spécifiques</t>
  </si>
  <si>
    <t>Les différents profils d'utilisateurs sont-ils identifiés ?</t>
  </si>
  <si>
    <t>Personas utilisateurs</t>
  </si>
  <si>
    <t>Expérience médiocre</t>
  </si>
  <si>
    <t>Faible adoption</t>
  </si>
  <si>
    <t>Cartographier tous les rôles</t>
  </si>
  <si>
    <t>Un classement MoSCoW (Must/Should/Could/Won't) a été réalisé</t>
  </si>
  <si>
    <t>Les exigences sont-elles priorisées méthodiquement ?</t>
  </si>
  <si>
    <t>Backlog priorisé</t>
  </si>
  <si>
    <t>Désorganisation</t>
  </si>
  <si>
    <t>Appliquer la méthode RICE</t>
  </si>
  <si>
    <t>Les scénarios de gestion des cas particuliers sont décrits</t>
  </si>
  <si>
    <t>Les processus exceptionnels sont-ils anticipés ?</t>
  </si>
  <si>
    <t>Scénarios d'exception</t>
  </si>
  <si>
    <t>Bugs critiques</t>
  </si>
  <si>
    <t>Blocages opérationnels</t>
  </si>
  <si>
    <t>Prévoir 20% de marge</t>
  </si>
  <si>
    <t>Les règles de gestion métier sont formalisées sous forme de décisionnels</t>
  </si>
  <si>
    <t>Les politiques métiers sont-elles modélisées (ex : arbres de décision) ?</t>
  </si>
  <si>
    <t>Modèles métiers</t>
  </si>
  <si>
    <t>Non-respect des règles</t>
  </si>
  <si>
    <t>Formaliser en BPMN</t>
  </si>
  <si>
    <t>Un backlog priorisé est maintenu et accessible à toutes les parties</t>
  </si>
  <si>
    <t>Existe-t-il un référentiel dynamique des exigences ?</t>
  </si>
  <si>
    <t>Requirements drift</t>
  </si>
  <si>
    <t>Écart avec les besoins</t>
  </si>
  <si>
    <t>Mettre en place Jira/DOORS</t>
  </si>
  <si>
    <t>Le projet apparaît explicitement dans la roadmap du plan directeur</t>
  </si>
  <si>
    <t>Le PDI mentionne-t-il ce projet avec son échéancier ?</t>
  </si>
  <si>
    <t>Plan directeur SI</t>
  </si>
  <si>
    <t>Désalignement</t>
  </si>
  <si>
    <t>Doublons d'efforts</t>
  </si>
  <si>
    <t>Mettre à jour le PDI trimestriellement</t>
  </si>
  <si>
    <t>Les technologies préconisées respectent les standards de la DSI</t>
  </si>
  <si>
    <t>La solution est-elle conforme à la cible d'architecture ?</t>
  </si>
  <si>
    <t>Architecture cible</t>
  </si>
  <si>
    <t>Coûts d'intégration</t>
  </si>
  <si>
    <t>Le budget projet est aligné avec les enveloppes prévues au PDI</t>
  </si>
  <si>
    <t>Le financement correspond-il aux prévisions stratégiques ?</t>
  </si>
  <si>
    <t>Sous-financement</t>
  </si>
  <si>
    <t>Aligner sur le budget pluriannuel</t>
  </si>
  <si>
    <t>Les livrables contribuent aux objectifs stratégiques du PDI</t>
  </si>
  <si>
    <t>Comment le projet sert-il les axes du plan directeur ?</t>
  </si>
  <si>
    <t>Effet tunnel</t>
  </si>
  <si>
    <t>Valeur non délivrée</t>
  </si>
  <si>
    <t>Lier aux OKRs de l'entreprise</t>
  </si>
  <si>
    <t>Un responsable PDI a validé l'alignement du projet</t>
  </si>
  <si>
    <t>Un architecte ou RSSI a-t-il certifié la conformité ?</t>
  </si>
  <si>
    <t>Vulnérabilités</t>
  </si>
  <si>
    <t>Incident de sécurité</t>
  </si>
  <si>
    <t>Obtenir les accords formels</t>
  </si>
  <si>
    <t>Une cartographie des interfaces avec l'existant a été réalisée</t>
  </si>
  <si>
    <t>Tous les points de connexion avec le SI sont-ils identifiés ?</t>
  </si>
  <si>
    <t>Cartographie des interfaces</t>
  </si>
  <si>
    <t>Points aveugles</t>
  </si>
  <si>
    <t>Données corrompues</t>
  </si>
  <si>
    <t>Documenter les APIs</t>
  </si>
  <si>
    <t>Les impacts sur les systèmes legacy sont documentés et budgétés</t>
  </si>
  <si>
    <t>Les adaptations nécessaires des systèmes existants sont-elles prévues ?</t>
  </si>
  <si>
    <t>Régressions</t>
  </si>
  <si>
    <t>Perte de fonctionnalités</t>
  </si>
  <si>
    <t>Budgeter 15-20% pour l'adaptatif</t>
  </si>
  <si>
    <t>La solution préserve les investissements antérieurs (ex : réutilisation de briques)</t>
  </si>
  <si>
    <t>Le projet capitalise-t-il sur l'existant quand c'est pertinent ?</t>
  </si>
  <si>
    <t>Audit des actifs</t>
  </si>
  <si>
    <t>Redondances</t>
  </si>
  <si>
    <t>Gaspillage</t>
  </si>
  <si>
    <t>Appliquer le principe "réutiliser d'abord"</t>
  </si>
  <si>
    <t>Le modèle de données est compatible avec le référentiel d'entreprise</t>
  </si>
  <si>
    <t>L'architecture data respecte-t-elle les standards du SI ?</t>
  </si>
  <si>
    <t>Modèle de données</t>
  </si>
  <si>
    <t>Silos informationnels</t>
  </si>
  <si>
    <t>Reporting impossible</t>
  </si>
  <si>
    <t>Imposer le RGPD dès la conception</t>
  </si>
  <si>
    <t>Un plan de convergence vers l'architecture cible est défini</t>
  </si>
  <si>
    <t>Comment la solution évoluera-t-elle avec le SI futur ?</t>
  </si>
  <si>
    <t>Schéma d'évolution</t>
  </si>
  <si>
    <t>Privilégier les APIs ouvertes</t>
  </si>
  <si>
    <t>Un sponsor exécutif est nommé avec des responsabilités définies</t>
  </si>
  <si>
    <t>Un membre du COMEX porte-t-il formellement le projet ?</t>
  </si>
  <si>
    <t>Désignation officielle</t>
  </si>
  <si>
    <t>Manque de sponsorship</t>
  </si>
  <si>
    <t>Décisions bloquées</t>
  </si>
  <si>
    <t>Nommer un sponsor exécutif</t>
  </si>
  <si>
    <t>La direction valide les jalons clés et les budgets</t>
  </si>
  <si>
    <t>Les décisions importantes requièrent-elles une signature DG ?</t>
  </si>
  <si>
    <t>Matrice de gouvernance</t>
  </si>
  <si>
    <t>Paralysie</t>
  </si>
  <si>
    <t>Définir les seuils de validation</t>
  </si>
  <si>
    <t>Des points d'avancement réguliers sont présentés au comité de direction</t>
  </si>
  <si>
    <t>La direction reçoit-elle des rapports périodiques (ex : mensuels) ?</t>
  </si>
  <si>
    <t>Reporting standardisé</t>
  </si>
  <si>
    <t>Décisions aveugles</t>
  </si>
  <si>
    <t>Dérives non détectées</t>
  </si>
  <si>
    <t>Automatiser les tableaux de bord</t>
  </si>
  <si>
    <t>Les alertes et demandes d'arbitrage remontent systématiquement à la DG</t>
  </si>
  <si>
    <t>Existe-t-il un canal dédié pour les escalades directionnelles ?</t>
  </si>
  <si>
    <t>Blocages prolongés</t>
  </si>
  <si>
    <t>Pénuries de ressources</t>
  </si>
  <si>
    <t>Afficher le RACI clairement</t>
  </si>
  <si>
    <t>La direction participe aux revues des objectifs stratégiques</t>
  </si>
  <si>
    <t>La DG valide-t-elle les ajustements d'orientation majeurs ?</t>
  </si>
  <si>
    <t>PV de comité de pilotage</t>
  </si>
  <si>
    <t>Dérive stratégique</t>
  </si>
  <si>
    <t>Limiter à 2 revues stratégiques/an</t>
  </si>
  <si>
    <t>Un organigramme des rôles projet (RACI) est formalisé et diffusé</t>
  </si>
  <si>
    <t>Qui fait quoi est-il clair pour tous les participants ?</t>
  </si>
  <si>
    <t>Doublons</t>
  </si>
  <si>
    <t>Tensions internes</t>
  </si>
  <si>
    <t>Afficher les rôles physiquement</t>
  </si>
  <si>
    <t>Les représentants métiers et techniques sont mandatés à temps plein si besoin</t>
  </si>
  <si>
    <t>Les ressources clés sont-elles dédiées au projet ?</t>
  </si>
  <si>
    <t>Multitasking</t>
  </si>
  <si>
    <t>Retards chroniques</t>
  </si>
  <si>
    <t>Garantir 50% de temps minimum</t>
  </si>
  <si>
    <t>Les modalités de prise de décision sont documentées (qui décide quoi)</t>
  </si>
  <si>
    <t>Le processus décisionnel est-il transparent ?</t>
  </si>
  <si>
    <t>Opacité</t>
  </si>
  <si>
    <t>Défiance</t>
  </si>
  <si>
    <t>Publier les comptes-rendus</t>
  </si>
  <si>
    <t>Un plan de communication interne définit les canaux et fréquences</t>
  </si>
  <si>
    <t>Comment l'information circule-t-elle dans l'équipe ?</t>
  </si>
  <si>
    <t>Erreurs de coordination</t>
  </si>
  <si>
    <t>Utiliser Slack/Teams dédié</t>
  </si>
  <si>
    <t>Les suppléances sont prévues pour chaque rôle critique</t>
  </si>
  <si>
    <t>Que se passe-t-il en cas d'absence d'un acteur clé ?</t>
  </si>
  <si>
    <t>Plan de continuité</t>
  </si>
  <si>
    <t>Blocages</t>
  </si>
  <si>
    <t>Arrêt des activités</t>
  </si>
  <si>
    <t>Désigner des suppléants</t>
  </si>
  <si>
    <t>Une matrice compétences/rôles a été établie</t>
  </si>
  <si>
    <t>Les profils correspondent-ils aux besoins des postes ?</t>
  </si>
  <si>
    <t>Référentiel de compétences</t>
  </si>
  <si>
    <t>Incompétences</t>
  </si>
  <si>
    <t>Livrables médiocres</t>
  </si>
  <si>
    <t>Faire auditer par les RH</t>
  </si>
  <si>
    <t>Le plan de formation couvre les écarts identifiés</t>
  </si>
  <si>
    <t>Des formations spécifiques sont-elles prévues ?</t>
  </si>
  <si>
    <t>Mauvaise utilisation</t>
  </si>
  <si>
    <t>ROI diminué</t>
  </si>
  <si>
    <t>Budgeter 5% du projet en formation</t>
  </si>
  <si>
    <t>Les consultants externes complètent judicieusement les compétences internes</t>
  </si>
  <si>
    <t>Le recours à l'externe est-il ciblé sur les bons sujets ?</t>
  </si>
  <si>
    <t>Stratégie de sourcing</t>
  </si>
  <si>
    <t>Dépendance</t>
  </si>
  <si>
    <t>Coûts explosifs</t>
  </si>
  <si>
    <t>Limiter aux expertises rares</t>
  </si>
  <si>
    <t>Les évaluations individuelles incluent les objectifs projet</t>
  </si>
  <si>
    <t>La participation au projet compte-t-elle dans les évaluations ?</t>
  </si>
  <si>
    <t>Politique RH</t>
  </si>
  <si>
    <t>Démotivation</t>
  </si>
  <si>
    <t>Turnover</t>
  </si>
  <si>
    <t>Lier aux objectifs annuels</t>
  </si>
  <si>
    <t>Un plan de transfert de compétences est prévu pour les savoir-faire critiques</t>
  </si>
  <si>
    <t>Comment les connaissances seront-elles capitalisées ?</t>
  </si>
  <si>
    <t>Base de connaissances</t>
  </si>
  <si>
    <t>Perte de savoir</t>
  </si>
  <si>
    <t>Réinvention</t>
  </si>
  <si>
    <t>Documenter dans un wiki interne</t>
  </si>
  <si>
    <t>Un planning global couvrant toutes les phases du projet est disponible</t>
  </si>
  <si>
    <t>Existe-t-il une vue d'ensemble du calendrier projet ?</t>
  </si>
  <si>
    <t>Délais non respectés</t>
  </si>
  <si>
    <t>Produire un planning consolidé avec jalons clés</t>
  </si>
  <si>
    <t>Le planning intègre les dépendances entre lots et sous-projets</t>
  </si>
  <si>
    <t>Les interactions entre activités sont-elles clairement visualisées ?</t>
  </si>
  <si>
    <t>Graphe PERT</t>
  </si>
  <si>
    <t>Séquencement erroné</t>
  </si>
  <si>
    <t>Modéliser les dépendances critiques</t>
  </si>
  <si>
    <t>Les jalons clés sont validés par toutes les parties prenantes</t>
  </si>
  <si>
    <t>Les dates importantes sont-elles approuvées par la MOA et MOE ?</t>
  </si>
  <si>
    <t>PV de validation planning</t>
  </si>
  <si>
    <t>Organiser des revues trimestrielles</t>
  </si>
  <si>
    <t>Le planning est accessible à l'ensemble de l'équipe projet</t>
  </si>
  <si>
    <t>Tous les acteurs peuvent-ils consulter le planning en temps réel ?</t>
  </si>
  <si>
    <t>Outil collaboratif (MS Project, Jira)</t>
  </si>
  <si>
    <t>Information obsolète</t>
  </si>
  <si>
    <t>Centraliser sur une plateforme unique</t>
  </si>
  <si>
    <t>Le planning mentionne explicitement les livrables principaux</t>
  </si>
  <si>
    <t>Les outputs critiques sont-ils associés à des dates précises ?</t>
  </si>
  <si>
    <t>Matrice livrables-dates</t>
  </si>
  <si>
    <t>Priorisation floue</t>
  </si>
  <si>
    <t>Retard des livrables clés</t>
  </si>
  <si>
    <t>Lier chaque livrable à un KPI temporel</t>
  </si>
  <si>
    <t>Le document couvre les 6 dimensions clés (coût, délais, qualité, etc.)</t>
  </si>
  <si>
    <t>Le plan aborde-t-il scope, temps, coût, qualité, risques, ressources ?</t>
  </si>
  <si>
    <t>Plan de management de projet</t>
  </si>
  <si>
    <t>Vision fragmentée</t>
  </si>
  <si>
    <t>Dérives multiples</t>
  </si>
  <si>
    <t>Adopter une méthodologie type PMBOK</t>
  </si>
  <si>
    <t>Les méthodologies de gestion projet sont spécifiées (agile, cycle en V, etc.)</t>
  </si>
  <si>
    <t>L'approche méthodologique est-elle clairement définie ?</t>
  </si>
  <si>
    <t>Charte méthodologique</t>
  </si>
  <si>
    <t>Improvisation</t>
  </si>
  <si>
    <t>Inefficacité</t>
  </si>
  <si>
    <t>Choisir entre Agile/Waterfall/Hybride</t>
  </si>
  <si>
    <t>Le plan inclut une estimation réaliste des ressources nécessaires</t>
  </si>
  <si>
    <t>Les besoins en RH et matériel sont-ils quantifiés et justifiés ?</t>
  </si>
  <si>
    <t>Sous/sur-dimensionnement</t>
  </si>
  <si>
    <t>Utiliser des outils de forecast</t>
  </si>
  <si>
    <t>Les processus de gouvernance et reporting sont décrits</t>
  </si>
  <si>
    <t>Comment le projet sera-t-il piloté et contrôlé ?</t>
  </si>
  <si>
    <t>Procédure de pilotage</t>
  </si>
  <si>
    <t>Décisions réactives</t>
  </si>
  <si>
    <t>Instaurer des points hebdomadaires</t>
  </si>
  <si>
    <t>Le document a été validé en comité de lancement</t>
  </si>
  <si>
    <t>Le plan initial a-t-il reçu une validation formelle ?</t>
  </si>
  <si>
    <t>PV de lancement</t>
  </si>
  <si>
    <t>Absence d'engagement</t>
  </si>
  <si>
    <t>Changements constants</t>
  </si>
  <si>
    <t>Obtenir signature DG</t>
  </si>
  <si>
    <t>Un processus formel de revue et mise à jour du plan est défini</t>
  </si>
  <si>
    <t>Existe-t-il une périodicité établie pour les révisions ?</t>
  </si>
  <si>
    <t>Calendrier des revues</t>
  </si>
  <si>
    <t>Plans obsolètes</t>
  </si>
  <si>
    <t>Inadéquation aux besoins</t>
  </si>
  <si>
    <t>Réviser mensuellement</t>
  </si>
  <si>
    <t>Les mises à jour intègrent les enseignements des revues de projet</t>
  </si>
  <si>
    <t>Les retours d'expérience sont-ils capitalisés ?</t>
  </si>
  <si>
    <t>Répétition d'erreurs</t>
  </si>
  <si>
    <t>Perte d'efficience</t>
  </si>
  <si>
    <t>Documenter les lessons learned</t>
  </si>
  <si>
    <t>Les écarts par rapport au plan initial sont documentés et justifiés</t>
  </si>
  <si>
    <t>Les dérives font-elles l'objet d'un suivi spécifique ?</t>
  </si>
  <si>
    <t>Registre des écarts</t>
  </si>
  <si>
    <t>Correction tardive</t>
  </si>
  <si>
    <t>Amplification des problèmes</t>
  </si>
  <si>
    <t>Mettre en place un seuil d'alerte à 5%</t>
  </si>
  <si>
    <t>La version du plan est contrôlée avec historique des modifications</t>
  </si>
  <si>
    <t>Peut-on tracer l'évolution du plan dans le temps ?</t>
  </si>
  <si>
    <t>Conflits de version</t>
  </si>
  <si>
    <t>Utiliser un système de versioning</t>
  </si>
  <si>
    <t>Les parties prenantes sont informées des mises à jour significatives</t>
  </si>
  <si>
    <t>Les modifications importantes sont-elles communiquées ?</t>
  </si>
  <si>
    <t>Procédure de communication</t>
  </si>
  <si>
    <t>Travail inutile</t>
  </si>
  <si>
    <t>Automatiser les notifications</t>
  </si>
  <si>
    <t>Des plans spécifiques existent pour chaque lot ou phase importante</t>
  </si>
  <si>
    <t>Chaque sous-ensemble a-t-il son propre planning détaillé ?</t>
  </si>
  <si>
    <t>Plans annexes</t>
  </si>
  <si>
    <t>Micro-management</t>
  </si>
  <si>
    <t>Surcharge administrative</t>
  </si>
  <si>
    <t>Limiter à 3 niveaux de détail</t>
  </si>
  <si>
    <t>Les plans techniques décrivent les séquences d'implémentation</t>
  </si>
  <si>
    <t>Les étapes de déploiement sont-elles planifiées heure par heure ?</t>
  </si>
  <si>
    <t>Planning de déploiement</t>
  </si>
  <si>
    <t>Impréparation</t>
  </si>
  <si>
    <t>Prévoir des créneaux horaires</t>
  </si>
  <si>
    <t>Les plans de tests couvrent tous les scénarios critiques</t>
  </si>
  <si>
    <t>Les cas de test sont-ils associés à un calendrier précis ?</t>
  </si>
  <si>
    <t>Plan de test</t>
  </si>
  <si>
    <t>Couverture incomplète</t>
  </si>
  <si>
    <t>Bugs en production</t>
  </si>
  <si>
    <t>Aligner tests sur cycles de développement</t>
  </si>
  <si>
    <t>Les plans de communication précisent les messages par cible</t>
  </si>
  <si>
    <t>Existe-t-il un calendrier éditorial pour les communications ?</t>
  </si>
  <si>
    <t>Roadmap communication</t>
  </si>
  <si>
    <t>Message incohérent</t>
  </si>
  <si>
    <t>Démotivation des équipes</t>
  </si>
  <si>
    <t>Planifier 6 mois à l'avance</t>
  </si>
  <si>
    <t>Les plans de recette détaillent les critères d'acceptation</t>
  </si>
  <si>
    <t>Les conditions de validation sont-elles formalisées par lot ?</t>
  </si>
  <si>
    <t>Critères d'acceptation</t>
  </si>
  <si>
    <t>Recettes subjectives</t>
  </si>
  <si>
    <t>Refactoring coûteux</t>
  </si>
  <si>
    <t>Définir des checklists</t>
  </si>
  <si>
    <t>Chaque plan détaillé a connu au moins une itération depuis sa création</t>
  </si>
  <si>
    <t>Les plans ont-ils évolué depuis leur version initiale ?</t>
  </si>
  <si>
    <t>Rigidité</t>
  </si>
  <si>
    <t>Inadaptation au terrain</t>
  </si>
  <si>
    <t>Prévoir 20% de flexibilité</t>
  </si>
  <si>
    <t>Les révisions intègrent les retours des équipes opérationnelles</t>
  </si>
  <si>
    <t>Le feedback terrain est-il pris en compte dans les mises à jour ?</t>
  </si>
  <si>
    <t>Compte-rendu de remontées</t>
  </si>
  <si>
    <t>Solution déconnectée</t>
  </si>
  <si>
    <t>Rejet des utilisateurs</t>
  </si>
  <si>
    <t>Instaurer des sondages trimestriels</t>
  </si>
  <si>
    <t>Les versions successives des plans sont archivées et datées</t>
  </si>
  <si>
    <t>Peut-on comparer les différentes versions d'un même plan ?</t>
  </si>
  <si>
    <t>Outil de comparaison</t>
  </si>
  <si>
    <t>Perte d'historique</t>
  </si>
  <si>
    <t>Décisions sans contexte</t>
  </si>
  <si>
    <t>Sauvegarder les versions majeures</t>
  </si>
  <si>
    <t>Les ajustements impactant le planning global sont signalés</t>
  </si>
  <si>
    <t>Les modifications locales remontent-elles au planning directeur ?</t>
  </si>
  <si>
    <t>Procédure de consolidation</t>
  </si>
  <si>
    <t>Silos d'information</t>
  </si>
  <si>
    <t>Incohérences globales</t>
  </si>
  <si>
    <t>Automatiser la synchronisation</t>
  </si>
  <si>
    <t>Un responsable est désigné pour chaque plan révisé</t>
  </si>
  <si>
    <t>Qui valide les mises à jour de chaque plan détaillé ?</t>
  </si>
  <si>
    <t>Matrice de validation</t>
  </si>
  <si>
    <t>Dérive des objectifs</t>
  </si>
  <si>
    <t>Désigner un référent par domaine</t>
  </si>
  <si>
    <t>La charge de travail est équilibrée entre les ressources</t>
  </si>
  <si>
    <t>Existe-t-il une analyse de la charge par ressource ?</t>
  </si>
  <si>
    <t>Heatmap des ressources</t>
  </si>
  <si>
    <t>Sur-sollicitation</t>
  </si>
  <si>
    <t>Burn-out</t>
  </si>
  <si>
    <t>Limiter à 80% d'occupation</t>
  </si>
  <si>
    <t>Les compétences critiques sont identifiées et protégées</t>
  </si>
  <si>
    <t>Les ressources rares font-elles l'objet d'un plan de secours ?</t>
  </si>
  <si>
    <t>Goulots d'étranglement</t>
  </si>
  <si>
    <t>Identifier des backup cross-team</t>
  </si>
  <si>
    <t>Les plannings évitent les surallocations et les creux d'activité</t>
  </si>
  <si>
    <t>L'outil de planification détecte-t-il les surcharges ?</t>
  </si>
  <si>
    <t>Dashboard d'alerte</t>
  </si>
  <si>
    <t>Surcharge invisible</t>
  </si>
  <si>
    <t>Retards cumulés</t>
  </si>
  <si>
    <t>Configurer des alertes automatiques</t>
  </si>
  <si>
    <t>Un plan de backup existe pour chaque ressource clé</t>
  </si>
  <si>
    <t>Comment pallier l'absence d'une ressource critique ?</t>
  </si>
  <si>
    <t>Fiche de remplacement</t>
  </si>
  <si>
    <t>Blocage soudain</t>
  </si>
  <si>
    <t>Délais compromis</t>
  </si>
  <si>
    <t>Maintenir un vivier de consultants</t>
  </si>
  <si>
    <t>Les coûts ressources sont suivis par rapport au budget initial</t>
  </si>
  <si>
    <t>Les dépenses RH sont-elles comparées aux prévisions ?</t>
  </si>
  <si>
    <t>Reporting financier</t>
  </si>
  <si>
    <t>Dérive budgétaire</t>
  </si>
  <si>
    <t>Dépassement de coûts</t>
  </si>
  <si>
    <t>Auditer mensuellement</t>
  </si>
  <si>
    <t>Une analyse SWOT spécifique au projet a été réalisée</t>
  </si>
  <si>
    <t>Les forces/faiblesses/opportunités/menaces sont-elles identifiées ?</t>
  </si>
  <si>
    <t>Matrice SWOT</t>
  </si>
  <si>
    <t>Cécité stratégique</t>
  </si>
  <si>
    <t>Mauvaise allocation des ressources</t>
  </si>
  <si>
    <t>Mettre à jour tous les 6 mois</t>
  </si>
  <si>
    <t>Les risques métiers (ex : adoption utilisateurs) sont évalués</t>
  </si>
  <si>
    <t>Les risques liés au changement organisationnel sont-ils analysés ?</t>
  </si>
  <si>
    <t>Analyse d'impact</t>
  </si>
  <si>
    <t>Échec d'adoption</t>
  </si>
  <si>
    <t>Prévoir un change manager</t>
  </si>
  <si>
    <t>Les risques contractuels et juridiques sont couverts</t>
  </si>
  <si>
    <t>Les aspects légaux et contractuels ont-ils été expertisés ?</t>
  </si>
  <si>
    <t>Avis juridique</t>
  </si>
  <si>
    <t>Litiges</t>
  </si>
  <si>
    <t>Pénalités financières</t>
  </si>
  <si>
    <t>Consulter le service compliance</t>
  </si>
  <si>
    <t>Un plan de mitigation existe pour chaque risque majeur</t>
  </si>
  <si>
    <t>Comment prévient-on/contingente-t-on les principaux risques ?</t>
  </si>
  <si>
    <t>Plan de mitigation</t>
  </si>
  <si>
    <t>Crises non anticipées</t>
  </si>
  <si>
    <t>Budgeter 10-15% pour risques</t>
  </si>
  <si>
    <t>La matrice des risques est révisée mensuellement</t>
  </si>
  <si>
    <t>L'évaluation des risques est-elle dynamique ?</t>
  </si>
  <si>
    <t>Registre des risques</t>
  </si>
  <si>
    <t>Réactivité tardive</t>
  </si>
  <si>
    <t>Dégâts irréversibles</t>
  </si>
  <si>
    <t>Réévaluer tous les 2 mois</t>
  </si>
  <si>
    <t>La maturité technologique a été évaluée (TRL)</t>
  </si>
  <si>
    <t>La technologie est-elle suffisamment éprouvée ?</t>
  </si>
  <si>
    <t>Benchmark technique</t>
  </si>
  <si>
    <t>Instabilité</t>
  </si>
  <si>
    <t>Bugs récurrents</t>
  </si>
  <si>
    <t>Exiger 2 ans de recul</t>
  </si>
  <si>
    <t>Les risques d'intégration technique sont documentés</t>
  </si>
  <si>
    <t>Les interfaces avec l'existant posent-elles des problèmes connus ?</t>
  </si>
  <si>
    <t>Rapport d'interopérabilité</t>
  </si>
  <si>
    <t>Tester en environnement réel</t>
  </si>
  <si>
    <t>La dépendance à des fournisseurs uniques est analysée</t>
  </si>
  <si>
    <t>Existe-t-il un risque de lock-in technologique ?</t>
  </si>
  <si>
    <t>Analyse de dépendance</t>
  </si>
  <si>
    <t>Captivité fournisseur</t>
  </si>
  <si>
    <t>Coûts de migration</t>
  </si>
  <si>
    <t>Privilégier les solutions open-source</t>
  </si>
  <si>
    <t>Les compétences internes sur la technologie sont cartographiées</t>
  </si>
  <si>
    <t>Dispose-t-on en interne des savoir-faire nécessaires ?</t>
  </si>
  <si>
    <t>Audit de compétences</t>
  </si>
  <si>
    <t>Incompétence</t>
  </si>
  <si>
    <t>Cartographier les gaps</t>
  </si>
  <si>
    <t>Un plan de montée en compétences technique est prévu</t>
  </si>
  <si>
    <t>Comment combler les gaps de connaissances technologiques ?</t>
  </si>
  <si>
    <t>Sous-performance</t>
  </si>
  <si>
    <t>Retards techniques</t>
  </si>
  <si>
    <t>Budgeter 200h/an/ressource</t>
  </si>
  <si>
    <t xml:space="preserve"> Organigramme des instances validé</t>
  </si>
  <si>
    <t xml:space="preserve"> Existe-t-il un schéma clair des instances ?</t>
  </si>
  <si>
    <t>Organigramme des instances</t>
  </si>
  <si>
    <t>Décisions inappropriées</t>
  </si>
  <si>
    <t>Publier un diagramme interactif</t>
  </si>
  <si>
    <t xml:space="preserve"> Rôles et responsabilités documentés</t>
  </si>
  <si>
    <t xml:space="preserve"> Les rôles sont-ils explicitement définis ?</t>
  </si>
  <si>
    <t>Formaliser les fiches de rôle</t>
  </si>
  <si>
    <t xml:space="preserve"> Canaux de communication définis</t>
  </si>
  <si>
    <t xml:space="preserve"> Comment l'information circule-t-elle entre instances ?</t>
  </si>
  <si>
    <t>Workflow de communication</t>
  </si>
  <si>
    <t>Retards décisionnels</t>
  </si>
  <si>
    <t>Automatiser les comptes-rendus</t>
  </si>
  <si>
    <t xml:space="preserve"> Document accessible à tous</t>
  </si>
  <si>
    <t xml:space="preserve"> Où consulter la dernière version du document ?</t>
  </si>
  <si>
    <t>Référentiel documentaire</t>
  </si>
  <si>
    <t>Version obsolète</t>
  </si>
  <si>
    <t>Erreurs d'exécution</t>
  </si>
  <si>
    <t>Centraliser sur SharePoint</t>
  </si>
  <si>
    <t xml:space="preserve"> Processus d'actualisation existant</t>
  </si>
  <si>
    <t xml:space="preserve"> Comment demander une mise à jour ?</t>
  </si>
  <si>
    <t>Procédure de modification</t>
  </si>
  <si>
    <t>Documents périmés</t>
  </si>
  <si>
    <t>Instaurer un ticket unique</t>
  </si>
  <si>
    <t xml:space="preserve"> Matrice des pouvoirs formalisée</t>
  </si>
  <si>
    <t xml:space="preserve"> Qui peut valider un budget ≤ X€ ?</t>
  </si>
  <si>
    <t>Tableau des délégations</t>
  </si>
  <si>
    <t>Dérives financières</t>
  </si>
  <si>
    <t>Fraude ou gaspillage</t>
  </si>
  <si>
    <t>Afficher les seuils visibles</t>
  </si>
  <si>
    <t xml:space="preserve"> Seuils financiers précisés</t>
  </si>
  <si>
    <t xml:space="preserve"> Quels sont les seuils de décision par niveau ?</t>
  </si>
  <si>
    <t>Grille de pouvoir</t>
  </si>
  <si>
    <t>Paralysie décisionnelle</t>
  </si>
  <si>
    <t>Adapter aux montants projet</t>
  </si>
  <si>
    <t xml:space="preserve"> Processus d'arbitrage documenté</t>
  </si>
  <si>
    <t xml:space="preserve"> Comment escalader un sujet bloquant ?</t>
  </si>
  <si>
    <t>Pénalités de retard</t>
  </si>
  <si>
    <t>Définir 3 niveaux d'alerte</t>
  </si>
  <si>
    <t xml:space="preserve"> Formation dispensée aux membres</t>
  </si>
  <si>
    <t xml:space="preserve"> Les membres ont-ils été formés ?</t>
  </si>
  <si>
    <t>Registre de formation</t>
  </si>
  <si>
    <t>Décisions contestables</t>
  </si>
  <si>
    <t>Organiser un onboarding</t>
  </si>
  <si>
    <t xml:space="preserve"> Aide-mémoire disponible</t>
  </si>
  <si>
    <t xml:space="preserve"> Existe-t-il un pense-bête sur les délégations ?</t>
  </si>
  <si>
    <t>Vade-mecum des instances</t>
  </si>
  <si>
    <t>Abus de pouvoir</t>
  </si>
  <si>
    <t>Litiges internes</t>
  </si>
  <si>
    <t>Distribuer un aide-mémoire</t>
  </si>
  <si>
    <t>S’assurer qu’il existe un comité des utilisateurs ou, a minima, 
une participation des utilisateurs</t>
  </si>
  <si>
    <t>S’assurer que les participants aux différents comités sont 
représentatifs et ont le bon niveau de décision</t>
  </si>
  <si>
    <t>S’assurer que les gestionnaires de la production sont intégrés 
dans les structures de pilotage</t>
  </si>
  <si>
    <t xml:space="preserve"> Indicateurs de délégation définis</t>
  </si>
  <si>
    <t xml:space="preserve"> ≥80% des décisions sont-elles prises au bon niveau ?</t>
  </si>
  <si>
    <t>Dashboard décisionnel</t>
  </si>
  <si>
    <t>Micromanagement</t>
  </si>
  <si>
    <t>Auditer trimestriellement</t>
  </si>
  <si>
    <t xml:space="preserve"> Suivi trimestriel des résultats</t>
  </si>
  <si>
    <t xml:space="preserve"> Les délais de validation sont-ils respectés ?</t>
  </si>
  <si>
    <t>Suivi des cycles décisionnels</t>
  </si>
  <si>
    <t>Pénalités contractuelles</t>
  </si>
  <si>
    <t>Afficher les KPI en temps réel</t>
  </si>
  <si>
    <t xml:space="preserve"> Analyse systématique des écarts</t>
  </si>
  <si>
    <t xml:space="preserve"> Les écarts font-ils l'objet d'analyse ?</t>
  </si>
  <si>
    <t>Rapport d'écarts</t>
  </si>
  <si>
    <t>Instaurer des retros mensuelles</t>
  </si>
  <si>
    <t xml:space="preserve"> Plans correctifs documentés</t>
  </si>
  <si>
    <t xml:space="preserve"> Des mesures correctives sont-elles appliquées ?</t>
  </si>
  <si>
    <t>Dégradation continue</t>
  </si>
  <si>
    <t>Lier aux évaluations individuelles</t>
  </si>
  <si>
    <t xml:space="preserve"> Reconnaissance des bonnes pratiques</t>
  </si>
  <si>
    <t xml:space="preserve"> Les bonnes pratiques sont-elles valorisées ?</t>
  </si>
  <si>
    <t>Recueil de bonnes pratiques</t>
  </si>
  <si>
    <t>Qualité médiocre</t>
  </si>
  <si>
    <t>Intégrer aux objectifs annuels</t>
  </si>
  <si>
    <t xml:space="preserve"> PV de création formel</t>
  </si>
  <si>
    <t xml:space="preserve"> Le COPIL a-t-il été officiellement créé ?</t>
  </si>
  <si>
    <t>PV d'installation</t>
  </si>
  <si>
    <t>Illégitimité</t>
  </si>
  <si>
    <t>Décisions non opposables</t>
  </si>
  <si>
    <t>Publier l'arrêté de création</t>
  </si>
  <si>
    <t xml:space="preserve"> Représentation multidisciplinaire</t>
  </si>
  <si>
    <t xml:space="preserve"> Tous les métiers critiques sont-ils représentés ?</t>
  </si>
  <si>
    <t>Liste des membres</t>
  </si>
  <si>
    <t>Solutions inadaptées</t>
  </si>
  <si>
    <t>Vérifier la couverture métier</t>
  </si>
  <si>
    <t xml:space="preserve"> Périodicité fixée</t>
  </si>
  <si>
    <t xml:space="preserve"> La fréquence des réunions est-elle respectée ?</t>
  </si>
  <si>
    <t>Calendrier des instances</t>
  </si>
  <si>
    <t>Désengagement</t>
  </si>
  <si>
    <t>Perte de contrôle</t>
  </si>
  <si>
    <t>Automatiser les convocations</t>
  </si>
  <si>
    <t xml:space="preserve"> Ordre du jour standardisé</t>
  </si>
  <si>
    <t xml:space="preserve"> Existe-t-il un modèle d'ordre du jour ?</t>
  </si>
  <si>
    <t>Template standardisé</t>
  </si>
  <si>
    <t>Réunions improductives</t>
  </si>
  <si>
    <t>Temps perdu</t>
  </si>
  <si>
    <t>Imposer le format "3 sujets max"</t>
  </si>
  <si>
    <t xml:space="preserve"> Outil de suivi des décisions</t>
  </si>
  <si>
    <t xml:space="preserve"> Comment sont tracées les décisions ?</t>
  </si>
  <si>
    <t>Registre décisionnel</t>
  </si>
  <si>
    <t>Ambiguïtés</t>
  </si>
  <si>
    <t>Conflits post-réunion</t>
  </si>
  <si>
    <t>Signer électroniquement</t>
  </si>
  <si>
    <t xml:space="preserve"> Mandat écrit</t>
  </si>
  <si>
    <t xml:space="preserve"> Le COPRO est-il mandaté par écrit ?</t>
  </si>
  <si>
    <t>Lettre de mission</t>
  </si>
  <si>
    <t>Actions non autorisées</t>
  </si>
  <si>
    <t>Responsabilités engagées</t>
  </si>
  <si>
    <t>Renouveler annuellement</t>
  </si>
  <si>
    <t xml:space="preserve"> Réunions bi-mensuelles</t>
  </si>
  <si>
    <t xml:space="preserve"> Les réunions ont-elles lieu toutes les 2 semaines ?</t>
  </si>
  <si>
    <t>Planning des réunions</t>
  </si>
  <si>
    <t>Découplage opérationnel</t>
  </si>
  <si>
    <t>Bloquer l'agenda</t>
  </si>
  <si>
    <t xml:space="preserve"> Fiche de présence systématique</t>
  </si>
  <si>
    <t xml:space="preserve"> La participation est-elle enregistrée ?</t>
  </si>
  <si>
    <t>Feuille de présence</t>
  </si>
  <si>
    <t>Absentéisme</t>
  </si>
  <si>
    <t>Quorum non atteint</t>
  </si>
  <si>
    <t>Lier à la rémunération variable</t>
  </si>
  <si>
    <t xml:space="preserve"> CR diffusé sous 48h</t>
  </si>
  <si>
    <t xml:space="preserve"> Les comptes-rendus sont-ils partagés rapidement ?</t>
  </si>
  <si>
    <t>Politique de diffusion</t>
  </si>
  <si>
    <t>Mémoire défaillante</t>
  </si>
  <si>
    <t>Actions non lancées</t>
  </si>
  <si>
    <t>Publier sous 48h</t>
  </si>
  <si>
    <t xml:space="preserve"> Suivi des actions</t>
  </si>
  <si>
    <t xml:space="preserve"> Existe-t-il un suivi des actions ?</t>
  </si>
  <si>
    <t>Tableau de bord des actions</t>
  </si>
  <si>
    <t>Inertie</t>
  </si>
  <si>
    <t>Accumulation de retard</t>
  </si>
  <si>
    <t>Assigner un propriétaire par item</t>
  </si>
  <si>
    <t xml:space="preserve"> Représentants désignés</t>
  </si>
  <si>
    <t xml:space="preserve"> Qui représente les utilisateurs finaux ?</t>
  </si>
  <si>
    <t>Besoins ignorés</t>
  </si>
  <si>
    <t>Nommer un product owner</t>
  </si>
  <si>
    <t xml:space="preserve"> Calendrier des consultations</t>
  </si>
  <si>
    <t xml:space="preserve"> Quand ont lieu les ateliers utilisateurs ?</t>
  </si>
  <si>
    <t>Calendrier des ateliers</t>
  </si>
  <si>
    <t>Déconnexion terrain</t>
  </si>
  <si>
    <t>Erreurs de conception</t>
  </si>
  <si>
    <t>Planifier tous les 2 mois</t>
  </si>
  <si>
    <t xml:space="preserve"> Capitalisation des retours</t>
  </si>
  <si>
    <t xml:space="preserve"> Comment sont exploités leurs retours ?</t>
  </si>
  <si>
    <t>Matrice de traitement</t>
  </si>
  <si>
    <t>Feedback inutilisé</t>
  </si>
  <si>
    <t>Insatisfaction</t>
  </si>
  <si>
    <t>Prioriser via vote</t>
  </si>
  <si>
    <t xml:space="preserve"> Mesure de satisfaction</t>
  </si>
  <si>
    <t xml:space="preserve"> Leur satisfaction est-elle mesurée ?</t>
  </si>
  <si>
    <t>Enquête de satisfaction</t>
  </si>
  <si>
    <t>Abandon du produit</t>
  </si>
  <si>
    <t>Mesurer via NPS trimestriel</t>
  </si>
  <si>
    <t xml:space="preserve"> Mécanisme de remontée continue</t>
  </si>
  <si>
    <t xml:space="preserve"> Peuvent-ils faire des suggestions en continu ?</t>
  </si>
  <si>
    <t>Boîte à idées digitalisée</t>
  </si>
  <si>
    <t>Innovation perdue</t>
  </si>
  <si>
    <t>Stagnation</t>
  </si>
  <si>
    <t>Récompenser les meilleures idées</t>
  </si>
  <si>
    <t xml:space="preserve"> Compétences requises définies</t>
  </si>
  <si>
    <t xml:space="preserve"> Les membres ont-ils le bon niveau hiérarchique ?</t>
  </si>
  <si>
    <t>Cartographie des pouvoirs</t>
  </si>
  <si>
    <t>Décisions non engageantes</t>
  </si>
  <si>
    <t>Blocages ultérieurs</t>
  </si>
  <si>
    <t>Vérifier le niveau hiérarchique</t>
  </si>
  <si>
    <t xml:space="preserve"> PV de nomination</t>
  </si>
  <si>
    <t xml:space="preserve"> Leur nomination est-elle officialisée ?</t>
  </si>
  <si>
    <t>Arrêté de nomination</t>
  </si>
  <si>
    <t>Résistance aux décisions</t>
  </si>
  <si>
    <t>Publier au journal interne</t>
  </si>
  <si>
    <t xml:space="preserve"> Pouvoir de signature vérifié</t>
  </si>
  <si>
    <t xml:space="preserve"> Peuvent-ils engager leur direction ?</t>
  </si>
  <si>
    <t>Mandat écrit</t>
  </si>
  <si>
    <t>Décisions non contraignantes</t>
  </si>
  <si>
    <t>Limiter aux directeurs</t>
  </si>
  <si>
    <t xml:space="preserve"> Taux de participation</t>
  </si>
  <si>
    <t xml:space="preserve"> Le quorum est-il régulièrement atteint ?</t>
  </si>
  <si>
    <t>Statistiques de participation</t>
  </si>
  <si>
    <t>Délibérations nulles</t>
  </si>
  <si>
    <t>Paralysie du projet</t>
  </si>
  <si>
    <t>Prévoir des suppléants</t>
  </si>
  <si>
    <t xml:space="preserve"> Évaluation annuelle</t>
  </si>
  <si>
    <t xml:space="preserve"> Leur performance est-elle évaluée ?</t>
  </si>
  <si>
    <t>Grille d'évaluation</t>
  </si>
  <si>
    <t>Baisse de qualité</t>
  </si>
  <si>
    <t>Lier 20% du bonus</t>
  </si>
  <si>
    <t xml:space="preserve"> Liste des participants</t>
  </si>
  <si>
    <t xml:space="preserve"> Qui représente la production dans les instances ?</t>
  </si>
  <si>
    <t>Fiche de rôle</t>
  </si>
  <si>
    <t>Oublis opérationnels</t>
  </si>
  <si>
    <t>Incidents en live</t>
  </si>
  <si>
    <t>Désigner un SRE</t>
  </si>
  <si>
    <t xml:space="preserve"> Points dédiés dans l'ODJ</t>
  </si>
  <si>
    <t xml:space="preserve"> Les sujets run sont-ils à l'ordre du jour ?</t>
  </si>
  <si>
    <t>Exemple d'ODJ</t>
  </si>
  <si>
    <t>Clivage projet/production</t>
  </si>
  <si>
    <t>Réserver 30% du temps</t>
  </si>
  <si>
    <t xml:space="preserve"> Procédure d'alerte opérationnelle</t>
  </si>
  <si>
    <t xml:space="preserve"> Comment signaler un incident critique ?</t>
  </si>
  <si>
    <t>Procédure d'incident</t>
  </si>
  <si>
    <t>Pertes financières</t>
  </si>
  <si>
    <t>Afficher les numéros d'urgence</t>
  </si>
  <si>
    <t xml:space="preserve"> Partenariat formalisé</t>
  </si>
  <si>
    <t xml:space="preserve"> La collaboration est-elle contractualisée ?</t>
  </si>
  <si>
    <t>Convention de service</t>
  </si>
  <si>
    <t>Flou juridique</t>
  </si>
  <si>
    <t>Conflits inter-services</t>
  </si>
  <si>
    <t>Faire valider par le juridique</t>
  </si>
  <si>
    <t xml:space="preserve"> KPI partagés</t>
  </si>
  <si>
    <t xml:space="preserve"> Les indicateurs sont-ils communs ?</t>
  </si>
  <si>
    <t>Référentiel de KPI</t>
  </si>
  <si>
    <t>Interprétations divergentes</t>
  </si>
  <si>
    <t>Décisions contradictoires</t>
  </si>
  <si>
    <t>Harmoniser avec la DSI</t>
  </si>
  <si>
    <t xml:space="preserve"> Méthodologie documentée</t>
  </si>
  <si>
    <t xml:space="preserve"> Existe-t-il un manuel méthodologique ?</t>
  </si>
  <si>
    <t>Manuel de gestion de projet</t>
  </si>
  <si>
    <t>Incohérences méthodologiques</t>
  </si>
  <si>
    <t>Dérives qualité</t>
  </si>
  <si>
    <t>Publier un référentiel digital</t>
  </si>
  <si>
    <t xml:space="preserve"> Formation des équipes</t>
  </si>
  <si>
    <t xml:space="preserve"> L'équipe a-t-elle été formée à la méthode ?</t>
  </si>
  <si>
    <t>Mauvaise application</t>
  </si>
  <si>
    <t>Retards répétés</t>
  </si>
  <si>
    <t>Organiser un bootcamp annuel</t>
  </si>
  <si>
    <t xml:space="preserve"> Adhésion vérifiée</t>
  </si>
  <si>
    <t xml:space="preserve"> 100% des projets l'utilisent-ils ?</t>
  </si>
  <si>
    <t>Rapport de conformité</t>
  </si>
  <si>
    <t>Double standard</t>
  </si>
  <si>
    <t>Comparaisons impossibles</t>
  </si>
  <si>
    <t>Imposer son utilisation dans le PMO</t>
  </si>
  <si>
    <t xml:space="preserve"> Audit d'application</t>
  </si>
  <si>
    <t xml:space="preserve"> Des contrôles de conformité sont-ils réalisés ?</t>
  </si>
  <si>
    <t>Checklist d'audit</t>
  </si>
  <si>
    <t>Écarts non détectés</t>
  </si>
  <si>
    <t>Auditer 1 projet/mois</t>
  </si>
  <si>
    <t xml:space="preserve"> Amélioration continue</t>
  </si>
  <si>
    <t xml:space="preserve"> La méthode est-elle mise à jour régulièrement ?</t>
  </si>
  <si>
    <t>Journal des évolutions</t>
  </si>
  <si>
    <t>Pratiques dépassées</t>
  </si>
  <si>
    <t>Réviser tous les 6 mois</t>
  </si>
  <si>
    <t xml:space="preserve"> Structure de découpage (WBS)</t>
  </si>
  <si>
    <t xml:space="preserve"> Le projet est-il découpé en lots/tâches ?</t>
  </si>
  <si>
    <t>WBS (Work Breakdown Structure)</t>
  </si>
  <si>
    <t>Macro-management</t>
  </si>
  <si>
    <t>Suivi imprécis</t>
  </si>
  <si>
    <t>Limiter à 40-80h par tâche</t>
  </si>
  <si>
    <t xml:space="preserve"> Granularité adaptée</t>
  </si>
  <si>
    <t xml:space="preserve"> La granularité permet-elle un suivi fin ?</t>
  </si>
  <si>
    <t>Exemple de découpage</t>
  </si>
  <si>
    <t>Visibilité insuffisante</t>
  </si>
  <si>
    <t>Dérives tardives</t>
  </si>
  <si>
    <t>Règle des 8/80 (jours/heures)</t>
  </si>
  <si>
    <t xml:space="preserve"> Découpage validé</t>
  </si>
  <si>
    <t xml:space="preserve"> Le découpage a-t-il été approuvé ?</t>
  </si>
  <si>
    <t>PV de validation WBS</t>
  </si>
  <si>
    <t>Retravail</t>
  </si>
  <si>
    <t>Faire valider par le COMEX</t>
  </si>
  <si>
    <t xml:space="preserve"> Cohérence inter-projets</t>
  </si>
  <si>
    <t xml:space="preserve"> Respecte-t-il les standards de l'organisation ?</t>
  </si>
  <si>
    <t>Référentiel de découpage</t>
  </si>
  <si>
    <t>Reporting difficile</t>
  </si>
  <si>
    <t>Utiliser des templates validés</t>
  </si>
  <si>
    <t xml:space="preserve"> Outil de visualisation</t>
  </si>
  <si>
    <t xml:space="preserve"> Existe-t-il un diagramme de structure ?</t>
  </si>
  <si>
    <t>Organigramme des tâches</t>
  </si>
  <si>
    <t>Flou organisationnel</t>
  </si>
  <si>
    <t>Générer automatiquement depuis l'outil</t>
  </si>
  <si>
    <t xml:space="preserve"> Matrice RACI complète</t>
  </si>
  <si>
    <t xml:space="preserve"> Chaque tâche a-t-elle un responsable identifié ?</t>
  </si>
  <si>
    <t>Matrice d'assignation</t>
  </si>
  <si>
    <t>Tâches orphelines</t>
  </si>
  <si>
    <t>Règle du "1 propriétaire par tâche"</t>
  </si>
  <si>
    <t xml:space="preserve"> Responsables nommément désignés</t>
  </si>
  <si>
    <t xml:space="preserve"> Les rôles sont-ils documentés dans un RACI ?</t>
  </si>
  <si>
    <t>Conflits</t>
  </si>
  <si>
    <t>Afficher dans les salles de réunion</t>
  </si>
  <si>
    <t xml:space="preserve"> Charge estimée par tâche</t>
  </si>
  <si>
    <t xml:space="preserve"> La charge est-elle estimée par ressource ?</t>
  </si>
  <si>
    <t>Planning des ressources</t>
  </si>
  <si>
    <t>Sous/sur-allocation</t>
  </si>
  <si>
    <t>Utiliser la méthode PERT</t>
  </si>
  <si>
    <t xml:space="preserve"> Capacité vérifiée</t>
  </si>
  <si>
    <t xml:space="preserve"> Les responsables ont-ils la capacité requise ?</t>
  </si>
  <si>
    <t>Fiche de compétences</t>
  </si>
  <si>
    <t>Auditer les CV des ressources</t>
  </si>
  <si>
    <t xml:space="preserve"> Suivi des réaffectations</t>
  </si>
  <si>
    <t xml:space="preserve"> Les changements sont-ils tracés ?</t>
  </si>
  <si>
    <t>Registre des changements</t>
  </si>
  <si>
    <t>Versioning chaotique</t>
  </si>
  <si>
    <t>Erreurs</t>
  </si>
  <si>
    <t>Imposer un numéro de version</t>
  </si>
  <si>
    <t xml:space="preserve"> Jalons définis</t>
  </si>
  <si>
    <t xml:space="preserve"> Les jalons clés sont-ils identifiés ?</t>
  </si>
  <si>
    <t>Roadmap projet</t>
  </si>
  <si>
    <t>Dérives majeures</t>
  </si>
  <si>
    <t>Marquer en rouge dans les plannings</t>
  </si>
  <si>
    <t xml:space="preserve"> Liste exhaustive des livrables</t>
  </si>
  <si>
    <t xml:space="preserve"> Tous les livrables sont-ils listés avec format attendu ?</t>
  </si>
  <si>
    <t>Dictionnaire des livrables</t>
  </si>
  <si>
    <t>Attentes floues</t>
  </si>
  <si>
    <t>Rejets</t>
  </si>
  <si>
    <t>Joindre des templates</t>
  </si>
  <si>
    <t xml:space="preserve"> Critères d'acceptation</t>
  </si>
  <si>
    <t xml:space="preserve"> Comment valide-t-on chaque livrable ?</t>
  </si>
  <si>
    <t>Procédure de recette</t>
  </si>
  <si>
    <t>Qualité inconstante</t>
  </si>
  <si>
    <t>Checklist obligatoire</t>
  </si>
  <si>
    <t xml:space="preserve"> Calendrier des revues</t>
  </si>
  <si>
    <t xml:space="preserve"> Quand ont lieu les revues formelles ?</t>
  </si>
  <si>
    <t>Contrôles tardifs</t>
  </si>
  <si>
    <t>Corrections coûteuses</t>
  </si>
  <si>
    <t>Bloquer 2h/semaine</t>
  </si>
  <si>
    <t xml:space="preserve"> Procès-verbal de validation</t>
  </si>
  <si>
    <t xml:space="preserve"> Les validations sont-elles officialisées ?</t>
  </si>
  <si>
    <t>PV de recette</t>
  </si>
  <si>
    <t>Paiements bloqués</t>
  </si>
  <si>
    <t>Signature électronique obligatoire</t>
  </si>
  <si>
    <t xml:space="preserve"> Modèle standardisé</t>
  </si>
  <si>
    <t xml:space="preserve"> Existe-t-il un modèle de feuille de temps ?</t>
  </si>
  <si>
    <t>Template de timesheet</t>
  </si>
  <si>
    <t>Saisie hétérogène</t>
  </si>
  <si>
    <t>Données inutilisables</t>
  </si>
  <si>
    <t>Intégrer à l'outil RH</t>
  </si>
  <si>
    <t xml:space="preserve"> Saisie régulière</t>
  </si>
  <si>
    <t xml:space="preserve"> La saisie est-elle hebdomadaire/quotidienne ?</t>
  </si>
  <si>
    <t>Politique de reporting</t>
  </si>
  <si>
    <t>Données obsolètes</t>
  </si>
  <si>
    <t>Imposer le vendredi 16h</t>
  </si>
  <si>
    <t xml:space="preserve"> Vérification des données</t>
  </si>
  <si>
    <t xml:space="preserve"> Qui valide l'exactitude des déclarations ?</t>
  </si>
  <si>
    <t>Procédure de validation</t>
  </si>
  <si>
    <t>Fraude ou erreurs</t>
  </si>
  <si>
    <t>Budgets faussés</t>
  </si>
  <si>
    <t>Double validation hiérarchique</t>
  </si>
  <si>
    <t xml:space="preserve"> Analyse des écarts</t>
  </si>
  <si>
    <t xml:space="preserve"> Les écarts temps prévu/réel sont-ils analysés ?</t>
  </si>
  <si>
    <t>Dérives chroniques</t>
  </si>
  <si>
    <t>Calculer l'IPS (Indice de Performance des Délais)</t>
  </si>
  <si>
    <t xml:space="preserve"> Intégration avec la planification</t>
  </si>
  <si>
    <t xml:space="preserve"> Les données alimentent-elles le planning ?</t>
  </si>
  <si>
    <t>Planning déconnecté</t>
  </si>
  <si>
    <t>Prévisions fausses</t>
  </si>
  <si>
    <t>Synchronisation automatique</t>
  </si>
  <si>
    <t xml:space="preserve"> Outil dédié sélectionné</t>
  </si>
  <si>
    <t xml:space="preserve"> Quel outil est utilisé (MS Project, Jira...) ?</t>
  </si>
  <si>
    <t>Charte d'outillage</t>
  </si>
  <si>
    <t>Outils multiples</t>
  </si>
  <si>
    <t>Standardiser sur 1 outil</t>
  </si>
  <si>
    <t xml:space="preserve"> Paramétrage adapté</t>
  </si>
  <si>
    <t xml:space="preserve"> L'outil est-il configuré pour le projet ?</t>
  </si>
  <si>
    <t>Guide de configuration</t>
  </si>
  <si>
    <t>Paramétrage générique</t>
  </si>
  <si>
    <t>Données inexploitables</t>
  </si>
  <si>
    <t>Engager un consultant</t>
  </si>
  <si>
    <t xml:space="preserve"> Formation des utilisateurs</t>
  </si>
  <si>
    <t xml:space="preserve"> L'équipe maîtrise-t-elle l'outil ?</t>
  </si>
  <si>
    <t>Résultats de certification</t>
  </si>
  <si>
    <t>Sous-utilisation</t>
  </si>
  <si>
    <t>Retour sur investissement faible</t>
  </si>
  <si>
    <t>Former jusqu'à 80% de score</t>
  </si>
  <si>
    <t xml:space="preserve"> Accès centralisé</t>
  </si>
  <si>
    <t xml:space="preserve"> Tous ont-ils accès aux données mises à jour ?</t>
  </si>
  <si>
    <t>Politique d'accès</t>
  </si>
  <si>
    <t>Information asymétrique</t>
  </si>
  <si>
    <t>Décisions locales</t>
  </si>
  <si>
    <t>Single Source of Truth</t>
  </si>
  <si>
    <t xml:space="preserve"> Maintenance assurée</t>
  </si>
  <si>
    <t xml:space="preserve"> Qui gère les évolutions de l'outil ?</t>
  </si>
  <si>
    <t>Désignation d'admin</t>
  </si>
  <si>
    <t>Configurations sauvages</t>
  </si>
  <si>
    <t>Nommer un référent outil</t>
  </si>
  <si>
    <t xml:space="preserve"> Boîte à outils complète</t>
  </si>
  <si>
    <t xml:space="preserve"> Quels outils sont disponibles (diagrammes, matrices...) ?</t>
  </si>
  <si>
    <t>Catalogue des fonctionnalités</t>
  </si>
  <si>
    <t>Sous-exploitation</t>
  </si>
  <si>
    <t>Analyses pauvres</t>
  </si>
  <si>
    <t>Former aux fonctionnalités avancées</t>
  </si>
  <si>
    <t xml:space="preserve"> Adéquation aux besoins</t>
  </si>
  <si>
    <t xml:space="preserve"> Correspondent-ils à la complexité du projet ?</t>
  </si>
  <si>
    <t>Rapport d'adéquation</t>
  </si>
  <si>
    <t>Outils simplistes</t>
  </si>
  <si>
    <t>Pilotage impossible</t>
  </si>
  <si>
    <t>Auditer tous les 2 ans</t>
  </si>
  <si>
    <t xml:space="preserve"> Interopérabilité</t>
  </si>
  <si>
    <t xml:space="preserve"> Les outils communiquent-ils entre eux ?</t>
  </si>
  <si>
    <t>Saisies multiples</t>
  </si>
  <si>
    <t>API obligatoires</t>
  </si>
  <si>
    <t xml:space="preserve"> Guide d'utilisation</t>
  </si>
  <si>
    <t xml:space="preserve"> Existe-t-il des modes d'emploi ?</t>
  </si>
  <si>
    <t>Wiki interne</t>
  </si>
  <si>
    <t>Vidéos tutoriels</t>
  </si>
  <si>
    <t xml:space="preserve"> Évaluation périodique</t>
  </si>
  <si>
    <t xml:space="preserve"> Les outils sont-ils évalués tous les 6 mois ?</t>
  </si>
  <si>
    <t>Rapport d'évaluation</t>
  </si>
  <si>
    <t>Benchmark annuel</t>
  </si>
  <si>
    <t xml:space="preserve"> Couverture des besoins</t>
  </si>
  <si>
    <t xml:space="preserve"> L'outil couvre-t-il tous les aspects du suivi ?</t>
  </si>
  <si>
    <t>Angles morts</t>
  </si>
  <si>
    <t>Décisions partielles</t>
  </si>
  <si>
    <t>Exiger 90% de couverture</t>
  </si>
  <si>
    <t xml:space="preserve"> Reporting automatique</t>
  </si>
  <si>
    <t xml:space="preserve"> Génère-t-il des rapports prédéfinis ?</t>
  </si>
  <si>
    <t>Bibliothèque de rapports</t>
  </si>
  <si>
    <t>Reporting manuel</t>
  </si>
  <si>
    <t>Automatiser 10 rapports clés</t>
  </si>
  <si>
    <t xml:space="preserve"> Alertes configurables</t>
  </si>
  <si>
    <t xml:space="preserve"> Permet-il de configurer des seuils d'alerte ?</t>
  </si>
  <si>
    <t>Guide des alertes</t>
  </si>
  <si>
    <t>Crises évitables</t>
  </si>
  <si>
    <t>Paramétrer les seuils à 5-10-15%</t>
  </si>
  <si>
    <t xml:space="preserve"> Historique des données</t>
  </si>
  <si>
    <t xml:space="preserve"> Conserve-t-il l'historique des versions ?</t>
  </si>
  <si>
    <t>Journal d'audit</t>
  </si>
  <si>
    <t>Archivage 5 ans minimum</t>
  </si>
  <si>
    <t xml:space="preserve"> Intégration financière</t>
  </si>
  <si>
    <t xml:space="preserve"> Est-il connecté au système comptable ?</t>
  </si>
  <si>
    <t>Schéma d'interfaçage</t>
  </si>
  <si>
    <t>Ecarts budgétaires</t>
  </si>
  <si>
    <t>Synchronisation quotidienne</t>
  </si>
  <si>
    <t xml:space="preserve"> S’assurer qu’une procédure de suivi des revues d'assurance 
qualité est formalisée ;</t>
  </si>
  <si>
    <t xml:space="preserve">
S’assurer que les conclusions des revues d'assurance qualité 
sont prises en compte par l'équipe projet ;
</t>
  </si>
  <si>
    <t xml:space="preserve"> Existence d'une politique qualité écrite</t>
  </si>
  <si>
    <t xml:space="preserve"> Existe-t-il une documentation complète du dispositif AQ ?</t>
  </si>
  <si>
    <t>Référentiel documentaire AQ</t>
  </si>
  <si>
    <t>Centraliser dans un portail unique</t>
  </si>
  <si>
    <t xml:space="preserve"> Processus qualité identifiés</t>
  </si>
  <si>
    <t xml:space="preserve"> Tous les processus qualité sont-ils cartographiés ?</t>
  </si>
  <si>
    <t>Incohérences opérationnelles</t>
  </si>
  <si>
    <t>Utiliser la notation BPMN 2.0</t>
  </si>
  <si>
    <t xml:space="preserve"> Responsabilités définies</t>
  </si>
  <si>
    <t xml:space="preserve"> Les rôles qualité sont-ils clairement attribués ?</t>
  </si>
  <si>
    <t>Matrice RACI qualité</t>
  </si>
  <si>
    <t>Actions non tracées</t>
  </si>
  <si>
    <t>Afficher dans les zones de travail</t>
  </si>
  <si>
    <t xml:space="preserve"> Système de traçabilité</t>
  </si>
  <si>
    <t xml:space="preserve"> Comment sont tracées les actions qualité ?</t>
  </si>
  <si>
    <t>Registre des actions AQ</t>
  </si>
  <si>
    <t>Perte de suivi</t>
  </si>
  <si>
    <t>Non-résolution des écarts</t>
  </si>
  <si>
    <t>Outil de ticketing dédié</t>
  </si>
  <si>
    <t xml:space="preserve"> Calendrier des audits</t>
  </si>
  <si>
    <t xml:space="preserve"> Un programme d'audits qualité est-il planifié ?</t>
  </si>
  <si>
    <t>Plan d'audit annuel</t>
  </si>
  <si>
    <t>Auditer 20% des processus/trimestre</t>
  </si>
  <si>
    <t xml:space="preserve"> Document approuvé</t>
  </si>
  <si>
    <t xml:space="preserve"> Le manuel qualité existe-t-il et est-il validé ?</t>
  </si>
  <si>
    <t>Manuel qualité signé</t>
  </si>
  <si>
    <t>Pratiques divergentes</t>
  </si>
  <si>
    <t>Non-certification ISO</t>
  </si>
  <si>
    <t>Faire valider par la direction</t>
  </si>
  <si>
    <t xml:space="preserve"> Version contrôlée</t>
  </si>
  <si>
    <t xml:space="preserve"> La version est-elle gérée et datée ?</t>
  </si>
  <si>
    <t>Utilisation de docs obsolètes</t>
  </si>
  <si>
    <t>Erreurs d'application</t>
  </si>
  <si>
    <t>Système de versioning automatique</t>
  </si>
  <si>
    <t xml:space="preserve"> Accessible à tous</t>
  </si>
  <si>
    <t xml:space="preserve"> L'ensemble du personnel y a-t-il accès ?</t>
  </si>
  <si>
    <t>Méconnaissance des règles</t>
  </si>
  <si>
    <t>Non-respect involontaire</t>
  </si>
  <si>
    <t>Intégrer à l'intranet</t>
  </si>
  <si>
    <t xml:space="preserve"> Mise à jour annuelle</t>
  </si>
  <si>
    <t xml:space="preserve"> Quand a-t-il été mis à jour pour la dernière fois ?</t>
  </si>
  <si>
    <t>Journal des mises à jour</t>
  </si>
  <si>
    <t xml:space="preserve"> Référentiels inclus</t>
  </si>
  <si>
    <t xml:space="preserve"> Intègre-t-il les normes applicables (ISO, etc.) ?</t>
  </si>
  <si>
    <t>Matrice de conformité</t>
  </si>
  <si>
    <t>Non-alignement</t>
  </si>
  <si>
    <t>Échec aux audits</t>
  </si>
  <si>
    <t>Faire certifier par un organisme accrédité</t>
  </si>
  <si>
    <t xml:space="preserve"> Spécifique au projet</t>
  </si>
  <si>
    <t xml:space="preserve"> Un plan qualité spécifique au projet a-t-il été créé ?</t>
  </si>
  <si>
    <t>Plan qualité projet</t>
  </si>
  <si>
    <t>Approche générique</t>
  </si>
  <si>
    <t>Lacunes ciblées</t>
  </si>
  <si>
    <t>Adapter le template corporate</t>
  </si>
  <si>
    <t xml:space="preserve"> Jalons qualité définis</t>
  </si>
  <si>
    <t xml:space="preserve"> Les points de contrôle qualité sont-ils planifiés ?</t>
  </si>
  <si>
    <t>Calendrier des contrôles</t>
  </si>
  <si>
    <t>Défauts tardifs</t>
  </si>
  <si>
    <t>Coûts de retouche</t>
  </si>
  <si>
    <t>Inclure dans le planning projet</t>
  </si>
  <si>
    <t xml:space="preserve"> Méthodes de contrôle</t>
  </si>
  <si>
    <t xml:space="preserve"> Les méthodes d'inspection/test sont-elles décrites ?</t>
  </si>
  <si>
    <t>Procédures de test</t>
  </si>
  <si>
    <t>Subjectivité</t>
  </si>
  <si>
    <t>Acceptation contestable</t>
  </si>
  <si>
    <t>Standardiser (ex : ISTQB)</t>
  </si>
  <si>
    <t xml:space="preserve"> Ressources dédiées</t>
  </si>
  <si>
    <t xml:space="preserve"> Des ressources qualité sont-elles allouées ?</t>
  </si>
  <si>
    <t>Plan de ressourcement AQ</t>
  </si>
  <si>
    <t>Contrôles superficiels</t>
  </si>
  <si>
    <t>Budgeter 5-10% de l'effectif projet</t>
  </si>
  <si>
    <t xml:space="preserve"> Alignement avec le manuel AQ</t>
  </si>
  <si>
    <t xml:space="preserve"> Le plan respecte-t-il le manuel qualité global ?</t>
  </si>
  <si>
    <t>Rapport d'alignement</t>
  </si>
  <si>
    <t>Rejet par la MOA</t>
  </si>
  <si>
    <t>Faire valider par le responsable QHSE</t>
  </si>
  <si>
    <t xml:space="preserve"> Exigences mesurables</t>
  </si>
  <si>
    <t xml:space="preserve"> Les cibles qualité du produit sont-elles quantifiées ?</t>
  </si>
  <si>
    <t>Spécifications techniques</t>
  </si>
  <si>
    <t>Litiges clients</t>
  </si>
  <si>
    <t>Définir des tolerances mesurables</t>
  </si>
  <si>
    <t xml:space="preserve"> Spécifications techniques</t>
  </si>
  <si>
    <t xml:space="preserve"> Sont-elles traduites en spécifications techniques ?</t>
  </si>
  <si>
    <t>Cahier des charges technique</t>
  </si>
  <si>
    <t>Interprétations erronées</t>
  </si>
  <si>
    <t>Produit non conforme</t>
  </si>
  <si>
    <t>Utiliser le langage SMART</t>
  </si>
  <si>
    <t xml:space="preserve"> Comment mesure-t-on l'acceptabilité du produit ?</t>
  </si>
  <si>
    <t>Grille d'acceptation</t>
  </si>
  <si>
    <t>Refus client</t>
  </si>
  <si>
    <t>Définir 3 critères objectifs</t>
  </si>
  <si>
    <t xml:space="preserve"> Métriques définies</t>
  </si>
  <si>
    <t xml:space="preserve"> Quels KPI qualité sont suivis ?</t>
  </si>
  <si>
    <t>Tableau de bord AQ</t>
  </si>
  <si>
    <t>Pilotage aveugle</t>
  </si>
  <si>
    <t>Dégradation invisible</t>
  </si>
  <si>
    <t>Suivre le TRG (Taux de Rebut Global)</t>
  </si>
  <si>
    <t xml:space="preserve"> Revue de conformité</t>
  </si>
  <si>
    <t xml:space="preserve"> Des revues de conformité sont-elles effectuées ?</t>
  </si>
  <si>
    <t>PV de revue</t>
  </si>
  <si>
    <t>Non-conformité persistante</t>
  </si>
  <si>
    <t>Amendes</t>
  </si>
  <si>
    <t>Mensuelles pour les projets critiques</t>
  </si>
  <si>
    <t xml:space="preserve"> SLA documentés</t>
  </si>
  <si>
    <t xml:space="preserve"> Les engagements de service sont-ils formalisés dans des SLA ?</t>
  </si>
  <si>
    <t>Contrat SLA</t>
  </si>
  <si>
    <t>Attentes divergentes</t>
  </si>
  <si>
    <t>Pénalités</t>
  </si>
  <si>
    <t>Inclure des clauses de bonus/malus</t>
  </si>
  <si>
    <t xml:space="preserve"> Indicateurs de performance</t>
  </si>
  <si>
    <t xml:space="preserve"> Comment mesure-t-on la performance du service ?</t>
  </si>
  <si>
    <t>Rapport de performance SLA</t>
  </si>
  <si>
    <t>Insatisfaction client</t>
  </si>
  <si>
    <t>Automatiser les mesures via outils</t>
  </si>
  <si>
    <t xml:space="preserve"> Engagements de délai</t>
  </si>
  <si>
    <t xml:space="preserve"> Les délais de réponse sont-ils contractualisés ?</t>
  </si>
  <si>
    <t>Catalogue de services</t>
  </si>
  <si>
    <t>Urgence non priorisée</t>
  </si>
  <si>
    <t>Impacts opérationnels</t>
  </si>
  <si>
    <t>Niveaux de criticité (P1-P4)</t>
  </si>
  <si>
    <t xml:space="preserve"> Procédures de secours</t>
  </si>
  <si>
    <t xml:space="preserve"> Existe-t-il des plans de continuité de service ?</t>
  </si>
  <si>
    <t>Plan PCA</t>
  </si>
  <si>
    <t>Tester annuellement</t>
  </si>
  <si>
    <t xml:space="preserve"> Mesure de satisfaction client</t>
  </si>
  <si>
    <t xml:space="preserve"> La satisfaction client est-elle évaluée régulièrement ?</t>
  </si>
  <si>
    <t>Enquêtes satisfaction</t>
  </si>
  <si>
    <t>Démotivation client</t>
  </si>
  <si>
    <t>Perte de contrat</t>
  </si>
  <si>
    <t>Mensuelle pour les clients VIP</t>
  </si>
  <si>
    <t xml:space="preserve"> Organigramme séparé</t>
  </si>
  <si>
    <t xml:space="preserve"> L'équipe AQ relève-t-elle d'une hiérarchie différente ?</t>
  </si>
  <si>
    <t>Organigramme AQ</t>
  </si>
  <si>
    <t>Conflit d'intérêt</t>
  </si>
  <si>
    <t>Cécité volontaire</t>
  </si>
  <si>
    <t>Rattachement direct à la DG</t>
  </si>
  <si>
    <t xml:space="preserve"> Reporting distinct</t>
  </si>
  <si>
    <t xml:space="preserve"> Fait-elle son reporting directement à la direction ?</t>
  </si>
  <si>
    <t>Procès-verbal COMEX</t>
  </si>
  <si>
    <t>Filtrage information</t>
  </si>
  <si>
    <t>Problèmes minimisés</t>
  </si>
  <si>
    <t>Présentation trimestrielle</t>
  </si>
  <si>
    <t xml:space="preserve"> Budget autonome</t>
  </si>
  <si>
    <t xml:space="preserve"> Dispose-t-elle de son propre budget ?</t>
  </si>
  <si>
    <t>Budget AQ</t>
  </si>
  <si>
    <t>Dépendance opérationnelle</t>
  </si>
  <si>
    <t>Audits complaisants</t>
  </si>
  <si>
    <t>Allouer 1-3% du budget global</t>
  </si>
  <si>
    <t xml:space="preserve"> Procédures de non-ingérence</t>
  </si>
  <si>
    <t xml:space="preserve"> Existe-t-il des garde-fous contre les conflits d'intérêt ?</t>
  </si>
  <si>
    <t>Charte d'éthique</t>
  </si>
  <si>
    <t>Partialité</t>
  </si>
  <si>
    <t>Rotation des auditeurs</t>
  </si>
  <si>
    <t xml:space="preserve"> Évaluation externe</t>
  </si>
  <si>
    <t xml:space="preserve"> L'indépendance est-elle vérifiée par des auditeurs externes ?</t>
  </si>
  <si>
    <t>Rapport d'audit externe</t>
  </si>
  <si>
    <t>Auto-évaluation</t>
  </si>
  <si>
    <t>Manque d'objectivité</t>
  </si>
  <si>
    <t>Audit biannuel par tierce partie</t>
  </si>
  <si>
    <t xml:space="preserve"> Fréquence définie</t>
  </si>
  <si>
    <t xml:space="preserve"> À quelle fréquence les revues qualité ont-elles lieu ?</t>
  </si>
  <si>
    <t>Problèmes latents</t>
  </si>
  <si>
    <t>Crises soudaines</t>
  </si>
  <si>
    <t>Hebdomadaire en phase critique</t>
  </si>
  <si>
    <t xml:space="preserve"> Participants identifiés</t>
  </si>
  <si>
    <t xml:space="preserve"> Qui participe systématiquement à ces revues ?</t>
  </si>
  <si>
    <t>Liste des participants</t>
  </si>
  <si>
    <t>Absence des décideurs</t>
  </si>
  <si>
    <t>Actions bloquées</t>
  </si>
  <si>
    <t>Obligation de présence COMEX</t>
  </si>
  <si>
    <t xml:space="preserve"> Template de compte-rendu</t>
  </si>
  <si>
    <t xml:space="preserve"> Existe-t-il un modèle standard pour les comptes-rendus ?</t>
  </si>
  <si>
    <t>Template de CR</t>
  </si>
  <si>
    <t>Informations manquantes</t>
  </si>
  <si>
    <t>Suivi impossible</t>
  </si>
  <si>
    <t>Utiliser la norme ISO 9001</t>
  </si>
  <si>
    <t xml:space="preserve"> Workflow de traitement</t>
  </si>
  <si>
    <t xml:space="preserve"> Comment sont traitées les actions identifiées ?</t>
  </si>
  <si>
    <t>Workflow de traitement</t>
  </si>
  <si>
    <t>Non-résolution</t>
  </si>
  <si>
    <t>Limiter à 15j max par action</t>
  </si>
  <si>
    <t xml:space="preserve"> Archivage des preuves</t>
  </si>
  <si>
    <t xml:space="preserve"> Où sont archivés les documents des revues ?</t>
  </si>
  <si>
    <t>GED qualité</t>
  </si>
  <si>
    <t>Perte de preuves</t>
  </si>
  <si>
    <t>Archivage sécurisé 5 ans</t>
  </si>
  <si>
    <t xml:space="preserve"> Comment trace-t-on le traitement des recommandations AQ ?</t>
  </si>
  <si>
    <t>Suivi des actions</t>
  </si>
  <si>
    <t>Recommandations ignorées</t>
  </si>
  <si>
    <t>Outil dédié (Jira, ServiceNow)</t>
  </si>
  <si>
    <t xml:space="preserve"> Taux de résolution</t>
  </si>
  <si>
    <t xml:space="preserve"> Quel pourcentage des actions est clôturé dans les temps ?</t>
  </si>
  <si>
    <t>Dashboard de suivi</t>
  </si>
  <si>
    <t>Chronicité des écarts</t>
  </si>
  <si>
    <t>Cible &gt;90% dans les délais</t>
  </si>
  <si>
    <t xml:space="preserve"> Délais de traitement</t>
  </si>
  <si>
    <t xml:space="preserve"> Les corrections sont-elles implémentées sous 15 jours ?</t>
  </si>
  <si>
    <t>Rapport de clôture</t>
  </si>
  <si>
    <t>Risques aggravés</t>
  </si>
  <si>
    <t>Escalade automatique à J+10</t>
  </si>
  <si>
    <t xml:space="preserve"> Escalade si blocage</t>
  </si>
  <si>
    <t xml:space="preserve"> Que se passe-t-il en cas de désaccord ?</t>
  </si>
  <si>
    <t>Procédure d'arbitrage</t>
  </si>
  <si>
    <t>Comité d'arbitrage mensuel</t>
  </si>
  <si>
    <t xml:space="preserve"> Feedback à l'AQ</t>
  </si>
  <si>
    <t xml:space="preserve"> L'équipe AQ reçoit-elle un retour sur ses recommandations ?</t>
  </si>
  <si>
    <t>Boucle de feedback</t>
  </si>
  <si>
    <t>Baisse de vigilance</t>
  </si>
  <si>
    <t>Système de reconnaissance</t>
  </si>
  <si>
    <t>S’assurer qu’il existe une analyse des différents scénarios 
possibles en termes de solution retenue</t>
  </si>
  <si>
    <t xml:space="preserve"> Vérifier que 3+ scénarios sont analysés comparativement</t>
  </si>
  <si>
    <t xml:space="preserve"> Combien de scénarios ont été analysés ?</t>
  </si>
  <si>
    <t>Registre des scénarios</t>
  </si>
  <si>
    <t>Vision étroite</t>
  </si>
  <si>
    <t>Analyser ≥3 scénarios viables</t>
  </si>
  <si>
    <t xml:space="preserve"> S'assurer des estimations coût/délai par option</t>
  </si>
  <si>
    <t xml:space="preserve"> Les estimations financières et calendaires sont-elles documentées ?</t>
  </si>
  <si>
    <t>Décision infondée</t>
  </si>
  <si>
    <t>Inclure fourchettes (+/-15%)</t>
  </si>
  <si>
    <t xml:space="preserve"> Contrôler l'évaluation des impacts organisationnels</t>
  </si>
  <si>
    <t xml:space="preserve"> Les impacts sur les équipes et processus sont-ils évalués ?</t>
  </si>
  <si>
    <t>Cartographier tous les flux impactés</t>
  </si>
  <si>
    <t xml:space="preserve"> Vérifier l'identification des dépendances externes</t>
  </si>
  <si>
    <t xml:space="preserve"> Les dépendances externes clés sont-elles listées ?</t>
  </si>
  <si>
    <t>Blocages imprévus</t>
  </si>
  <si>
    <t>Identifier les fournisseurs critiques</t>
  </si>
  <si>
    <t xml:space="preserve"> S'assurer d'un rapport synthétique comparatif</t>
  </si>
  <si>
    <t xml:space="preserve"> Existe-t-il un document comparant objectivement les options ?</t>
  </si>
  <si>
    <t>Matrice décisionnelle</t>
  </si>
  <si>
    <t>Biais de confirmation</t>
  </si>
  <si>
    <t>Mauvais choix</t>
  </si>
  <si>
    <t>Utiliser la méthode AHP (Analytic Hierarchy Process)</t>
  </si>
  <si>
    <t>S’assurer que tous les scénarios ont été envisagés, même celui 
de ne rien faire</t>
  </si>
  <si>
    <t>S’assurer qu’une analyse économique (bénéfices attendus, 
coûts de développement, de formation, de maintenance, …) a été 
intégrée au choix de la solution</t>
  </si>
  <si>
    <t>S’assurer qu’une analyse des risques a été mise en place pour 
chaque alternative</t>
  </si>
  <si>
    <t xml:space="preserve"> S’assurer que le choix de la solution a été fait en toute 
objectivité en se basant sur des critères d'évaluation pertinen</t>
  </si>
  <si>
    <t>S’assurer que les aspects de contrôle interne et de sécurité ont 
été pris en compte dans le cahier des charges</t>
  </si>
  <si>
    <t>S’assurer que les spécifications détaillées sont exhaustives par 
rapport au cahier des charges</t>
  </si>
  <si>
    <t>S’assurer qu’il existe des contrôles adaptés à chaque point 
critique du système (préventifs et correctifs)</t>
  </si>
  <si>
    <t>S’assurer que le responsable de la sécurité est impliqué dans le 
projet</t>
  </si>
  <si>
    <t>S’assurer qu’il existe des pistes d'audit permettant de suivre la 
totalité des transactions</t>
  </si>
  <si>
    <t xml:space="preserve">S’assurer que cette méthode est correctement utilisée </t>
  </si>
  <si>
    <t>S’assurer que cette méthode est parfaitement maîtrisée par les 
développeurs</t>
  </si>
  <si>
    <t>S’assurer que ces normes sont appliquées par les 
développeurs</t>
  </si>
  <si>
    <t>S’assurer que la documentation est revue par le responsable du 
service des études</t>
  </si>
  <si>
    <t xml:space="preserve">S’assurer qu’il existe un programme général de tests formalisé </t>
  </si>
  <si>
    <t>S’assurer que la MOE s'assure que chacun des composants de 
l'application fonctionne tel qu'il a été décrit dans le dossier de 
spécifications</t>
  </si>
  <si>
    <t>S’assurer que la MOE réalise des tests sur l'ensemble des 
composants de l'application sur le plan fonctionnel et technique</t>
  </si>
  <si>
    <t>S’assurer que la MOE réalise des tests sur les interfaces de 
l'application dans le SI</t>
  </si>
  <si>
    <t>S’assurer que les tests portent sur l'acceptation technique du 
système (ergonomie, performance, qualité des entrées/sorties…)</t>
  </si>
  <si>
    <t>S’assurer que ces tests s'assurent de la bonne intégration de 
l'application dans l'environnement de production</t>
  </si>
  <si>
    <t>S’assurer qu’il existe une synthèse de l'évaluation des 
changements</t>
  </si>
  <si>
    <t>S’assurer que les entretiens réalisés sont représentatifs</t>
  </si>
  <si>
    <t xml:space="preserve">S’assurer que les utilisateurs participent à l'évaluation des 
changements </t>
  </si>
  <si>
    <t>S’assurer qu’il existe un plan de communication complet</t>
  </si>
  <si>
    <t>S’assurer que les messages sont clairs et simples</t>
  </si>
  <si>
    <t>S’assurer que la communication évolue et progresse par rapport 
au développement du projet</t>
  </si>
  <si>
    <t>S’assurer que la communication est fortement soutenue par la 
MOA</t>
  </si>
  <si>
    <t>S’assurer que le manuel utilisateur est conforme aux normes en 
vigueur ;</t>
  </si>
  <si>
    <t>S’assurer que le manuel d’utilisateur est disponible et 
compréhensible par l'ensemble des utilisateurs</t>
  </si>
  <si>
    <t>S’assurer que le manuel utilisateur comprend les objets du 
système et la description des dessins d'écran et des commandes 
disponibles</t>
  </si>
  <si>
    <t>S’assurer que le manuel utilisateur comprend les responsables 
concernant le redressement des erreurs ou anomalies</t>
  </si>
  <si>
    <t xml:space="preserve">S’assurer que le manuel utilisateur comprend la description des 
sorties et leur mode de diffusion </t>
  </si>
  <si>
    <t>S’assurer que le manuel utilisateur comprend les 
responsabilités en matière de sauvegarde/archivage</t>
  </si>
  <si>
    <t>S’assurer que le manuel d’utilisateur fait l'objet d'une procédure 
de mise à jour</t>
  </si>
  <si>
    <t xml:space="preserve">S’assurer que les rôles et les responsabilités respectifs de la 
MOA et de la MOE sont clairement définis </t>
  </si>
  <si>
    <t>S’assurer que les prérogatives du chef de projet sont clairement 
définies</t>
  </si>
  <si>
    <t>S’assurer que le chef de projet dispose de l'autorité suffisante 
pour résoudre les éventuels conflits</t>
  </si>
  <si>
    <t>S’assurer que la MOA et la MOE disposent des compétences et 
des ressources managériales, techniques et fonctionnelles 
suffisantes</t>
  </si>
  <si>
    <t>S’assurer que les principales décisions et orientations du projet 
sont prises par le niveau de management adéquat</t>
  </si>
  <si>
    <t>S’assurer que la MOA ou la MOE ont bénéficié d'une assistance 
extérieure au cours du projet</t>
  </si>
  <si>
    <t>S’assurer que la consultation et l'implication des utilisateurs a 
été suffisante au cours des différentes phases du projet</t>
  </si>
  <si>
    <t>S’assurer que les demandes d'évolution du périmètre sont 
fréquentes</t>
  </si>
  <si>
    <t xml:space="preserve">S’assurer que les demandes d'évolutions sont formalisées </t>
  </si>
  <si>
    <t>S’assurer qu’il existe une procédure de gestion des évolutions 
du périmètre</t>
  </si>
  <si>
    <t xml:space="preserve">S’assurer qu’il existe une gestion des versions </t>
  </si>
  <si>
    <t>S’assurer que les décisions sont prises dans un délai 
satisfaisant</t>
  </si>
  <si>
    <t>S’assurer que les décisions sont prises sur la base d'un niveau 
d'information pertinent</t>
  </si>
  <si>
    <t>S’assurer que le manuel d'exploitation fait l'objet d'une 
procédure de mise à jour</t>
  </si>
  <si>
    <t>S’assurer qu’il existe un document décrivant les responsabilités 
respectives des projets et de la production lors d’une mise en 
production</t>
  </si>
  <si>
    <t>S’assurer que les équipes projet et de production connaissent 
et respectent ce document</t>
  </si>
  <si>
    <t>S’assurer que les membres de l’organisation et les fournisseurs 
respectent leurs obligations lors de la mise en production</t>
  </si>
  <si>
    <t>S’assurer que la bascule de la garantie vers la maintenance est 
organisée à travers des documents contractuels clairs</t>
  </si>
  <si>
    <t>S’assurer que les responsabilités respectives des directions des 
projets et de la production sont clairement établies et les périmètres 
décrits respectent les principes de séparation des tâches</t>
  </si>
  <si>
    <t xml:space="preserve"> Vérifier l'analyse rigoureuse du statu quo</t>
  </si>
  <si>
    <t xml:space="preserve"> Le scénario "ne rien faire" a-t-il été sérieusement étudié ?</t>
  </si>
  <si>
    <t>Analyse d'inaction</t>
  </si>
  <si>
    <t>Opportunités perdues</t>
  </si>
  <si>
    <t>Consacrer 20% de l'étude à ce scénario</t>
  </si>
  <si>
    <t xml:space="preserve"> S'assurer du chiffrage des coûts d'opportunité</t>
  </si>
  <si>
    <t xml:space="preserve"> Quel est le coût estimé de la non-intervention ?</t>
  </si>
  <si>
    <t>Projections financières</t>
  </si>
  <si>
    <t>Dégradation passive</t>
  </si>
  <si>
    <t>Calculer le coût sur 3 ans</t>
  </si>
  <si>
    <t xml:space="preserve"> Contrôler l'évaluation des risques d'inaction</t>
  </si>
  <si>
    <t xml:space="preserve"> Quels risques majeurs entraînerait l'inaction ?</t>
  </si>
  <si>
    <t>Prioriser via une matrice 5x5</t>
  </si>
  <si>
    <t xml:space="preserve"> Vérifier la modélisation de l'évolution sans intervention</t>
  </si>
  <si>
    <t xml:space="preserve"> Comment la situation évoluerait-elle naturellement ?</t>
  </si>
  <si>
    <t>Modélisation prédictive</t>
  </si>
  <si>
    <t>Erreur de projection</t>
  </si>
  <si>
    <t>Investissements tardifs</t>
  </si>
  <si>
    <t>Utiliser des données historiques</t>
  </si>
  <si>
    <t xml:space="preserve"> S'assurer de la présentation équitable aux décideurs</t>
  </si>
  <si>
    <t xml:space="preserve"> Ce scénario a-t-il été présenté avec la même rigueur ?</t>
  </si>
  <si>
    <t>Présentation standardisée</t>
  </si>
  <si>
    <t>Déséquilibre d'analyse</t>
  </si>
  <si>
    <t>Décision biaisée</t>
  </si>
  <si>
    <t>Appliquer le même template à tous</t>
  </si>
  <si>
    <t xml:space="preserve"> Vérifier le ROI sur 3 ans minimum</t>
  </si>
  <si>
    <t xml:space="preserve"> Quel est le retour sur investissement projeté ?</t>
  </si>
  <si>
    <t>Calcul de ROI</t>
  </si>
  <si>
    <t>Illusion économique</t>
  </si>
  <si>
    <t>Échec financier</t>
  </si>
  <si>
    <t>Appliquer un taux d'actualisation</t>
  </si>
  <si>
    <t xml:space="preserve"> S'assurer de l'inclusion des coûts cachés</t>
  </si>
  <si>
    <t xml:space="preserve"> Les coûts de migration et formation sont-ils inclus ?</t>
  </si>
  <si>
    <t>Dépenses cachées</t>
  </si>
  <si>
    <t>Lister tous les coûts transitionnels</t>
  </si>
  <si>
    <t xml:space="preserve"> Contrôler le recensement des bénéfices tangibles/intangibles</t>
  </si>
  <si>
    <t xml:space="preserve"> Comment les bénéfices qualitatifs sont-ils évalués ?</t>
  </si>
  <si>
    <t>Valeur non prouvée</t>
  </si>
  <si>
    <t>Justification difficile</t>
  </si>
  <si>
    <t>Utiliser une échelle Likert</t>
  </si>
  <si>
    <t xml:space="preserve"> Vérifier l'existence de scénarios financiers alternatifs</t>
  </si>
  <si>
    <t xml:space="preserve"> Existe-t-il des projections pessimistes/optimistes ?</t>
  </si>
  <si>
    <t>Scénarios extrêmes</t>
  </si>
  <si>
    <t>Prévisions irréalistes</t>
  </si>
  <si>
    <t>Surprises négatives</t>
  </si>
  <si>
    <t>Appliquer la méthode Monte Carlo</t>
  </si>
  <si>
    <t xml:space="preserve"> S'assurer de la validation par la direction financière</t>
  </si>
  <si>
    <t xml:space="preserve"> La direction financière a-t-elle validé ces estimations ?</t>
  </si>
  <si>
    <t>Restrictions budgétaires</t>
  </si>
  <si>
    <t>Obtenir signature CFO</t>
  </si>
  <si>
    <t xml:space="preserve"> Vérifier les registres de risques par alternative</t>
  </si>
  <si>
    <t xml:space="preserve"> Chaque option a-t-elle son registre de risques dédié ?</t>
  </si>
  <si>
    <t>Registres spécifiques</t>
  </si>
  <si>
    <t>Cécité aux risques</t>
  </si>
  <si>
    <t>Standardiser les formats</t>
  </si>
  <si>
    <t xml:space="preserve"> S'assurer de la standardisation de la méthodologie</t>
  </si>
  <si>
    <t xml:space="preserve"> Quelle méthode d'évaluation des risques est utilisée ?</t>
  </si>
  <si>
    <t>Procédure d'analyse</t>
  </si>
  <si>
    <t>Priorisation erronée</t>
  </si>
  <si>
    <t>Appliquer la norme ISO 31000</t>
  </si>
  <si>
    <t xml:space="preserve"> Contrôler la couverture des plans d'atténuation</t>
  </si>
  <si>
    <t xml:space="preserve"> Les parades couvrent-elles les risques critiques ?</t>
  </si>
  <si>
    <t>Vulnérabilités résiduelles</t>
  </si>
  <si>
    <t>Impacts majeurs</t>
  </si>
  <si>
    <t>Budgeter 10% pour contingences</t>
  </si>
  <si>
    <t xml:space="preserve"> Vérifier l'acceptation des risques résiduels</t>
  </si>
  <si>
    <t xml:space="preserve"> Les risques résiduels sont-ils formellement acceptés ?</t>
  </si>
  <si>
    <t>PV d'acceptation</t>
  </si>
  <si>
    <t>Litiges ultérieurs</t>
  </si>
  <si>
    <t>Faire signer par la DG</t>
  </si>
  <si>
    <t xml:space="preserve"> S'assurer de la révision annuelle</t>
  </si>
  <si>
    <t xml:space="preserve"> Quand la prochaine revue des risques est-elle prévue ?</t>
  </si>
  <si>
    <t>Aggravation</t>
  </si>
  <si>
    <t>Mensuelle pour les risques R≥15</t>
  </si>
  <si>
    <t xml:space="preserve"> Vérifier l'antériorité de la grille de décision</t>
  </si>
  <si>
    <t xml:space="preserve"> La grille d'évaluation existait-elle avant l'analyse ?</t>
  </si>
  <si>
    <t>Référentiel décisionnel</t>
  </si>
  <si>
    <t>Biais méthodologique</t>
  </si>
  <si>
    <t>Contestation</t>
  </si>
  <si>
    <t>Valider la grille en amont</t>
  </si>
  <si>
    <t xml:space="preserve"> S'assurer de la pondération des critères</t>
  </si>
  <si>
    <t xml:space="preserve"> Comment les critères sont-ils pondérés ?</t>
  </si>
  <si>
    <t>Méthode de pondération</t>
  </si>
  <si>
    <t>Importance mal calibrée</t>
  </si>
  <si>
    <t>Utiliser le vote des experts</t>
  </si>
  <si>
    <t xml:space="preserve"> Contrôler l'indépendance des évaluateurs</t>
  </si>
  <si>
    <t xml:space="preserve"> Les évaluateurs sont-ils indépendants des concepteurs ?</t>
  </si>
  <si>
    <t>Charte d'indépendance</t>
  </si>
  <si>
    <t>Jugement faussé</t>
  </si>
  <si>
    <t>Externaliser 30% des évaluations</t>
  </si>
  <si>
    <t xml:space="preserve"> Vérifier la traçabilité du processus</t>
  </si>
  <si>
    <t xml:space="preserve"> Peut-on reconstituer le processus décisionnel ?</t>
  </si>
  <si>
    <t>Historique décisionnel</t>
  </si>
  <si>
    <t>Archivage traçable 5 ans</t>
  </si>
  <si>
    <t xml:space="preserve"> S'assurer de l'archivage des options rejetées</t>
  </si>
  <si>
    <t xml:space="preserve"> Où sont archivées les analyses des options non retenues ?</t>
  </si>
  <si>
    <t>Perte d'apprentissage</t>
  </si>
  <si>
    <t>Classer par thématique</t>
  </si>
  <si>
    <t xml:space="preserve"> Vérifier la spécification précoce des exigences</t>
  </si>
  <si>
    <t xml:space="preserve"> Quand les exigences sécurité ont-elles été définies ?</t>
  </si>
  <si>
    <t>Cahier des charges sécurité</t>
  </si>
  <si>
    <t>Violations de données</t>
  </si>
  <si>
    <t>Intégrer dès l'Avant-Projet</t>
  </si>
  <si>
    <t xml:space="preserve"> S'assurer de la couverture CID (Confidentialité, Intégrité, Disponibilité)</t>
  </si>
  <si>
    <t xml:space="preserve"> Comment sont garanties la confidentialité et l'intégrité ?</t>
  </si>
  <si>
    <t>Fuites d'information</t>
  </si>
  <si>
    <t>Chiffrement AES-256 minimum</t>
  </si>
  <si>
    <t xml:space="preserve"> Contrôler le respect des normes sectorielles</t>
  </si>
  <si>
    <t xml:space="preserve"> Quelles normes sectorielles doivent être respectées ?</t>
  </si>
  <si>
    <t>Référentiel normatif</t>
  </si>
  <si>
    <t>Exclusion des marchés</t>
  </si>
  <si>
    <t>Mettre à jour trimestriellement</t>
  </si>
  <si>
    <t xml:space="preserve"> Vérifier la planification des audits</t>
  </si>
  <si>
    <t xml:space="preserve"> Quel est le calendrier des audits de sécurité ?</t>
  </si>
  <si>
    <t>Plan d'audit sécurité</t>
  </si>
  <si>
    <t>Incidents majeurs</t>
  </si>
  <si>
    <t>Audits biannuels + tests intrusifs</t>
  </si>
  <si>
    <t xml:space="preserve"> S'assurer de la validation par le RSSI</t>
  </si>
  <si>
    <t xml:space="preserve"> Le RSSI a-t-il validé l'approche sécurité ?</t>
  </si>
  <si>
    <t>Architecture vulnérable</t>
  </si>
  <si>
    <t>Cyberattaques</t>
  </si>
  <si>
    <t>Obtenir validation avant déploiement</t>
  </si>
  <si>
    <t xml:space="preserve"> Vérifier la couverture des procédures opérationnelles</t>
  </si>
  <si>
    <t xml:space="preserve"> Tous les cas d'usage critiques sont-ils couverts ?</t>
  </si>
  <si>
    <t>Fonctionnalités manquantes</t>
  </si>
  <si>
    <t>Rejet utilisateurs</t>
  </si>
  <si>
    <t>Tester 100% des cas métiers</t>
  </si>
  <si>
    <t xml:space="preserve"> S'assurer de la mesurabilité des KPI</t>
  </si>
  <si>
    <t xml:space="preserve"> Quels indicateurs mesureront les performances ?</t>
  </si>
  <si>
    <t>Tableau de bord KPI</t>
  </si>
  <si>
    <t>Définir 5 KPIs maximum</t>
  </si>
  <si>
    <t xml:space="preserve"> Contrôler le paramétrage des seuils d'alerte</t>
  </si>
  <si>
    <t xml:space="preserve"> Comment sont déterminés les seuils d'alerte ?</t>
  </si>
  <si>
    <t>Politique d'alertes</t>
  </si>
  <si>
    <t>Baser sur les percentiles historiques</t>
  </si>
  <si>
    <t xml:space="preserve"> Vérifier l'intégration du PCA</t>
  </si>
  <si>
    <t xml:space="preserve"> Le plan de continuité est-il intégré aux procédures ?</t>
  </si>
  <si>
    <t>Procédures PCA</t>
  </si>
  <si>
    <t>Indisponibilité prolongée</t>
  </si>
  <si>
    <t xml:space="preserve"> S'assurer de la définition des rôles en production</t>
  </si>
  <si>
    <t xml:space="preserve"> Qui fait quoi en situation d'exploitation normale ?</t>
  </si>
  <si>
    <t>RACI opérationnel</t>
  </si>
  <si>
    <t>Dysfonctionnements</t>
  </si>
  <si>
    <t>Afficher dans les salles techniques</t>
  </si>
  <si>
    <t xml:space="preserve"> Vérifier l'existence d'un référentiel méthodologique documenté</t>
  </si>
  <si>
    <t xml:space="preserve"> Quel document décrit la méthode utilisée ?</t>
  </si>
  <si>
    <t>Manuel méthodologique</t>
  </si>
  <si>
    <t>Centraliser dans un référentiel unique</t>
  </si>
  <si>
    <t xml:space="preserve"> S'assurer que la méthode couvre toutes les phases du cycle de vie</t>
  </si>
  <si>
    <t xml:space="preserve"> Toutes les étapes de conception sont-elles couvertes ?</t>
  </si>
  <si>
    <t>Workflow de conception</t>
  </si>
  <si>
    <t>Livrables incomplets</t>
  </si>
  <si>
    <t>Vérifier via une matrice de couverture</t>
  </si>
  <si>
    <t xml:space="preserve"> Contrôler l'utilisation de templates standardisés</t>
  </si>
  <si>
    <t xml:space="preserve"> Existe-t-il des modèles pour les livrables ?</t>
  </si>
  <si>
    <t>Bibliothèque de templates</t>
  </si>
  <si>
    <t>Hétérogénéité</t>
  </si>
  <si>
    <t>Rejets clients</t>
  </si>
  <si>
    <t>Standardiser 10 templates clés</t>
  </si>
  <si>
    <t xml:space="preserve"> Vérifier l'application des bonnes pratiques sectorielles</t>
  </si>
  <si>
    <t xml:space="preserve"> Respecte-t-on les normes du métier ?</t>
  </si>
  <si>
    <t>Sanctions</t>
  </si>
  <si>
    <t>Auditer annuellement</t>
  </si>
  <si>
    <t xml:space="preserve"> S'assurer de la traçabilité des artefacts produits</t>
  </si>
  <si>
    <t xml:space="preserve"> Peut-on tracer l'évolution des documents ?</t>
  </si>
  <si>
    <t>Confusion</t>
  </si>
  <si>
    <t>Erreurs de version</t>
  </si>
  <si>
    <t>Imposer Git/SVN</t>
  </si>
  <si>
    <t xml:space="preserve"> Vérifier la conformité des livrables aux standards</t>
  </si>
  <si>
    <t xml:space="preserve"> Les documents produits suivent-ils les templates ?</t>
  </si>
  <si>
    <t>Checklist de conformité</t>
  </si>
  <si>
    <t>Rejet qualité</t>
  </si>
  <si>
    <t>Retards</t>
  </si>
  <si>
    <t>Automatiser les contrôles</t>
  </si>
  <si>
    <t xml:space="preserve"> S'assurer du respect des séquences prévues</t>
  </si>
  <si>
    <t xml:space="preserve"> Les étapes sont-elles réalisées dans l'ordre défini ?</t>
  </si>
  <si>
    <t>Journal d'exécution</t>
  </si>
  <si>
    <t>Rework coûteux</t>
  </si>
  <si>
    <t>Bloquer les étapes dans l'outil</t>
  </si>
  <si>
    <t xml:space="preserve"> Contrôler les validations intermédiaires</t>
  </si>
  <si>
    <t xml:space="preserve"> Y a-t-il des revues formelles entre phases ?</t>
  </si>
  <si>
    <t>Imposer des gates qualité</t>
  </si>
  <si>
    <t xml:space="preserve"> Vérifier l'utilisation des outils préconisés</t>
  </si>
  <si>
    <t xml:space="preserve"> Utilise-t-on bien les outils méthodologiques prévus ?</t>
  </si>
  <si>
    <t>Rapport d'utilisation</t>
  </si>
  <si>
    <t>Former et certifier</t>
  </si>
  <si>
    <t xml:space="preserve"> S'assurer de la capitalisation des retours d'expérience</t>
  </si>
  <si>
    <t xml:space="preserve"> Les leçons apprises sont-elles documentées ?</t>
  </si>
  <si>
    <t>Capitaliser après chaque projet</t>
  </si>
  <si>
    <t xml:space="preserve"> Vérifier l'alignement avec le cahier des charges</t>
  </si>
  <si>
    <t xml:space="preserve"> Toutes les exigences du CdC sont-elles reprises ?</t>
  </si>
  <si>
    <t>Matrice de traçabilité</t>
  </si>
  <si>
    <t>Oublis</t>
  </si>
  <si>
    <t>Utiliser un outil dédié</t>
  </si>
  <si>
    <t xml:space="preserve"> S'assurer de la couverture des cas d'usage</t>
  </si>
  <si>
    <t xml:space="preserve"> Les scénarios utilisateurs sont-ils tous décrits ?</t>
  </si>
  <si>
    <t>Catalogue des cas d'usage</t>
  </si>
  <si>
    <t>Rejet</t>
  </si>
  <si>
    <t>Modéliser en BPMN</t>
  </si>
  <si>
    <t xml:space="preserve"> Contrôler la gestion des exigences non fonctionnelles</t>
  </si>
  <si>
    <t xml:space="preserve"> Les performances et sécurité sont-elles spécifiées ?</t>
  </si>
  <si>
    <t>Pannes</t>
  </si>
  <si>
    <t>Imposer des SLA chiffrés</t>
  </si>
  <si>
    <t xml:space="preserve"> Vérifier la prise en compte des contraintes</t>
  </si>
  <si>
    <t xml:space="preserve"> Les contraintes techniques sont-elles intégrées ?</t>
  </si>
  <si>
    <t>Auditer l'existant</t>
  </si>
  <si>
    <t xml:space="preserve"> S'assurer de la validation par les parties prenantes</t>
  </si>
  <si>
    <t xml:space="preserve"> Les métiers ont-ils validé les spécifications ?</t>
  </si>
  <si>
    <t>PV de recette métier</t>
  </si>
  <si>
    <t>Déconnexion</t>
  </si>
  <si>
    <t>Organiser des ateliers</t>
  </si>
  <si>
    <t xml:space="preserve"> Vérifier l'identification des risques techniques</t>
  </si>
  <si>
    <t xml:space="preserve"> Quels sont les points critiques identifiés ?</t>
  </si>
  <si>
    <t>Cécité</t>
  </si>
  <si>
    <t>Crises</t>
  </si>
  <si>
    <t xml:space="preserve"> S'assurer des mécanismes préventifs implémentés</t>
  </si>
  <si>
    <t xml:space="preserve"> Comment prévient-on les défaillances ?</t>
  </si>
  <si>
    <t>Plan de prévention</t>
  </si>
  <si>
    <t>Incidents évitables</t>
  </si>
  <si>
    <t>Pertes</t>
  </si>
  <si>
    <t>Appliquer la méthode FMEA</t>
  </si>
  <si>
    <t xml:space="preserve"> Contrôler les procédures de détection d'anomalies</t>
  </si>
  <si>
    <t xml:space="preserve"> Comment détecte-t-on les dysfonctionnements ?</t>
  </si>
  <si>
    <t>Procédures de monitoring</t>
  </si>
  <si>
    <t>Implémenter des alertes</t>
  </si>
  <si>
    <t xml:space="preserve"> Vérifier les plans de correction préétablis</t>
  </si>
  <si>
    <t xml:space="preserve"> Existe-t-il des procédures de correction ?</t>
  </si>
  <si>
    <t>Workflow de correction</t>
  </si>
  <si>
    <t>Accumulation</t>
  </si>
  <si>
    <t>Limiter à 48h</t>
  </si>
  <si>
    <t xml:space="preserve"> S'assurer des tests de résilience</t>
  </si>
  <si>
    <t xml:space="preserve"> Des tests de rupture ont-ils été réalisés ?</t>
  </si>
  <si>
    <t>Rapport de stress test</t>
  </si>
  <si>
    <t>Pannes en pic</t>
  </si>
  <si>
    <t>Interruptions</t>
  </si>
  <si>
    <t>Simuler 150% de charge</t>
  </si>
  <si>
    <t xml:space="preserve"> Vérifier sa participation aux comités projet</t>
  </si>
  <si>
    <t xml:space="preserve"> Participe-t-il au COPIL ?</t>
  </si>
  <si>
    <t>PV de présence</t>
  </si>
  <si>
    <t>Imposer une participation</t>
  </si>
  <si>
    <t xml:space="preserve"> S'assurer de sa validation des choix techniques</t>
  </si>
  <si>
    <t xml:space="preserve"> A-t-il validé l'architecture technique ?</t>
  </si>
  <si>
    <t>Révisions coûteuses</t>
  </si>
  <si>
    <t>Obtenir signature formelle</t>
  </si>
  <si>
    <t xml:space="preserve"> Contrôler son implication dans les revues</t>
  </si>
  <si>
    <t xml:space="preserve"> Intervient-il dans les revues de conception ?</t>
  </si>
  <si>
    <t>Défauts techniques</t>
  </si>
  <si>
    <t>Intégrer systématiquement</t>
  </si>
  <si>
    <t xml:space="preserve"> Vérifier la prise en compte de ses recommandations</t>
  </si>
  <si>
    <t xml:space="preserve"> Ses remarques sont-elles traitées ?</t>
  </si>
  <si>
    <t>Qualité dégradée</t>
  </si>
  <si>
    <t>Clôturer sous 15j</t>
  </si>
  <si>
    <t xml:space="preserve"> S'assurer de son accès aux documents projet</t>
  </si>
  <si>
    <t xml:space="preserve"> A-t-il accès à tous les livrables ?</t>
  </si>
  <si>
    <t>Ouvrir un accès dédié</t>
  </si>
  <si>
    <t xml:space="preserve"> Vérifier le système de journalisation</t>
  </si>
  <si>
    <t xml:space="preserve"> Comment sont enregistrées les transactions ?</t>
  </si>
  <si>
    <t>Procédure de traçabilité</t>
  </si>
  <si>
    <t>Fraude</t>
  </si>
  <si>
    <t>Perte de données</t>
  </si>
  <si>
    <t>Chiffrer et horodater</t>
  </si>
  <si>
    <t xml:space="preserve"> S'assurer de l'horodatage des événements</t>
  </si>
  <si>
    <t xml:space="preserve"> Les événements sont-ils datés et signés ?</t>
  </si>
  <si>
    <t>Journal des événements</t>
  </si>
  <si>
    <t>Non-répudiation impossible</t>
  </si>
  <si>
    <t>Imposer la signature électronique</t>
  </si>
  <si>
    <t xml:space="preserve"> Contrôler l'intégrité des logs</t>
  </si>
  <si>
    <t xml:space="preserve"> Comment garantit-on l'intégrité des logs ?</t>
  </si>
  <si>
    <t>Politique de logs</t>
  </si>
  <si>
    <t>Altérations</t>
  </si>
  <si>
    <t>Preuves invalides</t>
  </si>
  <si>
    <t>Utiliser une blockchain interne</t>
  </si>
  <si>
    <t xml:space="preserve"> Vérifier les procédures d'audit</t>
  </si>
  <si>
    <t xml:space="preserve"> Qui peut réaliser des audits et comment ?</t>
  </si>
  <si>
    <t>Charte d'audit</t>
  </si>
  <si>
    <t>Accès sauvages</t>
  </si>
  <si>
    <t>Fuites</t>
  </si>
  <si>
    <t>Limiter aux habilités</t>
  </si>
  <si>
    <t xml:space="preserve"> S'assurer de la conservation des traces</t>
  </si>
  <si>
    <t xml:space="preserve"> Pendant combien de temps conserve-t-on les traces ?</t>
  </si>
  <si>
    <t>Politique de rétention</t>
  </si>
  <si>
    <t>Respecter RGPD (5 ans min)</t>
  </si>
  <si>
    <t xml:space="preserve"> Vérifier le plan de revue</t>
  </si>
  <si>
    <t xml:space="preserve"> Quand et comment la revue est-elle organisée ?</t>
  </si>
  <si>
    <t>Procédure de revue</t>
  </si>
  <si>
    <t>Standardiser l'ODJ</t>
  </si>
  <si>
    <t xml:space="preserve"> S'assurer de la participation des experts</t>
  </si>
  <si>
    <t xml:space="preserve"> Tous les experts concernés étaient-ils présents ?</t>
  </si>
  <si>
    <t>Risques résiduels</t>
  </si>
  <si>
    <t>Imposer un quorum</t>
  </si>
  <si>
    <t xml:space="preserve"> Contrôler le traitement des remarques</t>
  </si>
  <si>
    <t xml:space="preserve"> Comment sont traitées les non-conformités ?</t>
  </si>
  <si>
    <t>Workflow de NC</t>
  </si>
  <si>
    <t>Dégradation</t>
  </si>
  <si>
    <t>Prioriser via une matrice</t>
  </si>
  <si>
    <t xml:space="preserve"> Vérifier la version finale approuvée</t>
  </si>
  <si>
    <t xml:space="preserve"> Qui a validé la version finale ?</t>
  </si>
  <si>
    <t>Contestations</t>
  </si>
  <si>
    <t>Faire signer la direction</t>
  </si>
  <si>
    <t xml:space="preserve"> S'assurer de la diffusion des conclusions</t>
  </si>
  <si>
    <t xml:space="preserve"> Où sont archivés les comptes-rendus ?</t>
  </si>
  <si>
    <t>GED projet</t>
  </si>
  <si>
    <t>Perte</t>
  </si>
  <si>
    <t>Sauvegarder en triple exemplaire</t>
  </si>
  <si>
    <t xml:space="preserve"> Vérifier l'existence d'un manuel méthodologique officiel</t>
  </si>
  <si>
    <t xml:space="preserve"> Quel document décrit la méthode de développement ?</t>
  </si>
  <si>
    <t>Manuel de procédures de développement</t>
  </si>
  <si>
    <t>Délais et qualité variables</t>
  </si>
  <si>
    <t>Centraliser dans un wiki avec contrôle d'accès</t>
  </si>
  <si>
    <t xml:space="preserve"> S'assurer que la méthode couvre tout le cycle de vie du développement</t>
  </si>
  <si>
    <t xml:space="preserve"> Toutes les phases (conception, codage, tests) sont-elles couvertes ?</t>
  </si>
  <si>
    <t>Workflow de développement complet</t>
  </si>
  <si>
    <t>Cartographier l'ensemble du cycle en V/Agile</t>
  </si>
  <si>
    <t xml:space="preserve"> Contrôler l'adaptation aux différents types de projets</t>
  </si>
  <si>
    <t xml:space="preserve"> La méthode est-elle adaptable aux projets complexes ?</t>
  </si>
  <si>
    <t>Rapport d'adaptabilité</t>
  </si>
  <si>
    <t>Échec sur projets critiques</t>
  </si>
  <si>
    <t>Prévoir des déclinaisons par complexité</t>
  </si>
  <si>
    <t xml:space="preserve"> Vérifier l'intégration des bonnes pratiques sectorielles</t>
  </si>
  <si>
    <t xml:space="preserve"> Respecte-t-elle les standards du secteur (ISO, CMMI) ?</t>
  </si>
  <si>
    <t>Certificat de conformité</t>
  </si>
  <si>
    <t>Exclusion d'appels d'offres</t>
  </si>
  <si>
    <t xml:space="preserve"> S'assurer de la disponibilité des outils supports</t>
  </si>
  <si>
    <t xml:space="preserve"> Quels outils accompagnent la mise en œuvre ?</t>
  </si>
  <si>
    <t>Outils inadaptés</t>
  </si>
  <si>
    <t>Productivité réduite</t>
  </si>
  <si>
    <t>Standardiser la stack technique (ex : Jira, GitLab)</t>
  </si>
  <si>
    <t xml:space="preserve"> Vérifier l'application des procédures définies</t>
  </si>
  <si>
    <t xml:space="preserve"> Les développeurs suivent-ils les procédures établies ?</t>
  </si>
  <si>
    <t>Pratiques sauvages</t>
  </si>
  <si>
    <t>Automatiser les contrôles via pipelines CI/CD</t>
  </si>
  <si>
    <t xml:space="preserve"> Les étapes sont-elles réalisées dans l'ordre prescrit ?</t>
  </si>
  <si>
    <t>Rework important</t>
  </si>
  <si>
    <t>Bloquer les étapes dans l'outil de devops</t>
  </si>
  <si>
    <t xml:space="preserve"> Contrôler l'utilisation des templates standardisés</t>
  </si>
  <si>
    <t xml:space="preserve"> Utilise-t-on les modèles de documents imposés ?</t>
  </si>
  <si>
    <t>Difficultés de maintenance</t>
  </si>
  <si>
    <t>Intégrer des templates dans l'IDE</t>
  </si>
  <si>
    <t xml:space="preserve"> Vérifier la conformité des livrables intermédiaires</t>
  </si>
  <si>
    <t xml:space="preserve"> Les livrables respectent-ils les formats attendus ?</t>
  </si>
  <si>
    <t>Checklist de livraison</t>
  </si>
  <si>
    <t>Rejet client</t>
  </si>
  <si>
    <t>Paiements retardés</t>
  </si>
  <si>
    <t>Valider via des scripts automatisés</t>
  </si>
  <si>
    <t xml:space="preserve"> S'assurer des revues méthodologiques régulières</t>
  </si>
  <si>
    <t xml:space="preserve"> Quand a eu lieu la dernière revue de conformité ?</t>
  </si>
  <si>
    <t>Accumulation de dettes techniques</t>
  </si>
  <si>
    <t>Mensuelle pour les projets critiques</t>
  </si>
  <si>
    <t xml:space="preserve"> Vérifier le plan de formation initial et continu</t>
  </si>
  <si>
    <t xml:space="preserve"> Quel pourcentage des développeurs est certifié ?</t>
  </si>
  <si>
    <t>Registre de certifications</t>
  </si>
  <si>
    <t>Viser 80% de l'équipe certifiée</t>
  </si>
  <si>
    <t xml:space="preserve"> S'assurer de l'expérience pratique des équipes</t>
  </si>
  <si>
    <t xml:space="preserve"> L'équipe a-t-elle mené au moins 3 projets avec cette méthode ?</t>
  </si>
  <si>
    <t>Portfolio de projets</t>
  </si>
  <si>
    <t>Courbe d'apprentissage</t>
  </si>
  <si>
    <t>Retards initiaux</t>
  </si>
  <si>
    <t>Associer seniors et juniors</t>
  </si>
  <si>
    <t xml:space="preserve"> Contrôler l'accès aux référentiels de connaissances</t>
  </si>
  <si>
    <t xml:space="preserve"> Où trouver les guides pratiques et FAQ ?</t>
  </si>
  <si>
    <t>Portail de connaissances</t>
  </si>
  <si>
    <t xml:space="preserve"> Vérifier l'existence d'un système de mentorat</t>
  </si>
  <si>
    <t xml:space="preserve"> Comment les nouveaux sont-ils accompagnés ?</t>
  </si>
  <si>
    <t>Plan d'onboarding</t>
  </si>
  <si>
    <t>Mauvaise intégration</t>
  </si>
  <si>
    <t>Turnover précoce</t>
  </si>
  <si>
    <t>Assigner un mentor pour 3 mois</t>
  </si>
  <si>
    <t xml:space="preserve"> S'assurer des évaluations périodiques des compétences</t>
  </si>
  <si>
    <t xml:space="preserve"> Comment évalue-t-on la maîtrise effective ?</t>
  </si>
  <si>
    <t>Surestimation des compétences</t>
  </si>
  <si>
    <t>Tests pratiques semestriels</t>
  </si>
  <si>
    <t xml:space="preserve"> Vérifier l'existence d'un référentiel documentaire</t>
  </si>
  <si>
    <t xml:space="preserve"> Où sont formalisées les normes documentaires ?</t>
  </si>
  <si>
    <t>Documentation disparate</t>
  </si>
  <si>
    <t>Erreurs d'implémentation</t>
  </si>
  <si>
    <t>Synchroniser avec le dépôt de code</t>
  </si>
  <si>
    <t xml:space="preserve"> S'assurer de la couverture complète des besoins</t>
  </si>
  <si>
    <t xml:space="preserve"> Tous les types de documents sont-ils couverts ?</t>
  </si>
  <si>
    <t>Documentation incomplète</t>
  </si>
  <si>
    <t>Maintenance difficile</t>
  </si>
  <si>
    <t>Standardiser 15 types de documents clés</t>
  </si>
  <si>
    <t xml:space="preserve"> Contrôler l'actualisation régulière des standards</t>
  </si>
  <si>
    <t xml:space="preserve"> Quand les normes ont-elles été mises à jour ?</t>
  </si>
  <si>
    <t xml:space="preserve"> Vérifier l'accessibilité des normes</t>
  </si>
  <si>
    <t xml:space="preserve"> Comment les développeurs y accèdent-ils ?</t>
  </si>
  <si>
    <t>Information inaccessible</t>
  </si>
  <si>
    <t>Intégrer à l'IDE et au wiki</t>
  </si>
  <si>
    <t xml:space="preserve"> S'assurer de l'alignement avec les exigences métiers</t>
  </si>
  <si>
    <t xml:space="preserve"> Les métiers ont-ils validé ces standards ?</t>
  </si>
  <si>
    <t>PV de validation métier</t>
  </si>
  <si>
    <t>Ateliers trimestriels</t>
  </si>
  <si>
    <t xml:space="preserve"> Vérifier les checklists de conformité</t>
  </si>
  <si>
    <t xml:space="preserve"> Existe-t-il des listes de vérification ?</t>
  </si>
  <si>
    <t>Checklists qualité</t>
  </si>
  <si>
    <t>Oublis fréquents</t>
  </si>
  <si>
    <t>Recettes rejetées</t>
  </si>
  <si>
    <t>Automatiser dans les pipelines</t>
  </si>
  <si>
    <t xml:space="preserve"> S'assurer des contrôles qualité documentaire</t>
  </si>
  <si>
    <t xml:space="preserve"> Qui valide la conformité des documents ?</t>
  </si>
  <si>
    <t>Validation aléatoire</t>
  </si>
  <si>
    <t>Non-qualité</t>
  </si>
  <si>
    <t>Désigner un tech lead documentaire</t>
  </si>
  <si>
    <t xml:space="preserve"> Contrôler l'exhaustivité des documents produits</t>
  </si>
  <si>
    <t xml:space="preserve"> Tous les éléments requis sont-ils présents ?</t>
  </si>
  <si>
    <t>Template annoté</t>
  </si>
  <si>
    <t>Documents incomplets</t>
  </si>
  <si>
    <t>Rejets systématiques</t>
  </si>
  <si>
    <t>Intégrer des contrôles automatisés</t>
  </si>
  <si>
    <t xml:space="preserve"> Vérifier la qualité rédactionnelle</t>
  </si>
  <si>
    <t xml:space="preserve"> La documentation est-elle claire et précise ?</t>
  </si>
  <si>
    <t>Guide de rédaction</t>
  </si>
  <si>
    <t>Mauvaises implémentations</t>
  </si>
  <si>
    <t>Faire relire par un junior</t>
  </si>
  <si>
    <t xml:space="preserve"> S'assurer du versionnage systématique</t>
  </si>
  <si>
    <t xml:space="preserve"> Comment gère-t-on les versions successives ?</t>
  </si>
  <si>
    <t>Politique de versioning</t>
  </si>
  <si>
    <t>Utiliser Git pour la doc technique</t>
  </si>
  <si>
    <t xml:space="preserve"> Vérifier la documentation technique détaillée</t>
  </si>
  <si>
    <t xml:space="preserve"> Où trouver les spécifications techniques ?</t>
  </si>
  <si>
    <t>Dépôt unique</t>
  </si>
  <si>
    <t>Information éparpillée</t>
  </si>
  <si>
    <t>Centraliser dans Confluence/SharePoint</t>
  </si>
  <si>
    <t xml:space="preserve"> S'assurer des commentaires de code standards</t>
  </si>
  <si>
    <t xml:space="preserve"> Le code source est-il suffisamment commenté ?</t>
  </si>
  <si>
    <t>Norme de commentaire</t>
  </si>
  <si>
    <t>Code illisible</t>
  </si>
  <si>
    <t>Maintenance coûteuse</t>
  </si>
  <si>
    <t>Exiger 20% de lignes de commentaires</t>
  </si>
  <si>
    <t xml:space="preserve"> Contrôler les manuels utilisateur complets</t>
  </si>
  <si>
    <t xml:space="preserve"> Les manuels couvrent-ils tous les cas d'usage ?</t>
  </si>
  <si>
    <t>Documentation lacunaire</t>
  </si>
  <si>
    <t>Support accru</t>
  </si>
  <si>
    <t>Tester avec des users stories</t>
  </si>
  <si>
    <t xml:space="preserve"> Vérifier l'existence de guides d'installation</t>
  </si>
  <si>
    <t xml:space="preserve"> Existe-t-il un guide de déploiement ?</t>
  </si>
  <si>
    <t>Playbook de déploiement</t>
  </si>
  <si>
    <t>Erreurs en production</t>
  </si>
  <si>
    <t>Indisponibilité</t>
  </si>
  <si>
    <t>Inclure des rollback plans</t>
  </si>
  <si>
    <t xml:space="preserve"> S'assurer de la documentation des APIs</t>
  </si>
  <si>
    <t xml:space="preserve"> Les interfaces sont-elles documentées ?</t>
  </si>
  <si>
    <t>Référentiel d'APIs</t>
  </si>
  <si>
    <t>Intégrations ratées</t>
  </si>
  <si>
    <t>Surcharge du support</t>
  </si>
  <si>
    <t>Générer via Swagger/OpenAPI</t>
  </si>
  <si>
    <t xml:space="preserve"> Vérifier le processus formel de validation</t>
  </si>
  <si>
    <t xml:space="preserve"> Quel est le circuit de validation ?</t>
  </si>
  <si>
    <t>Workflow de validation</t>
  </si>
  <si>
    <t>Limiter à 3 niveaux max</t>
  </si>
  <si>
    <t xml:space="preserve"> S'assurer de la fréquence des revues</t>
  </si>
  <si>
    <t xml:space="preserve"> À quelle fréquence les revues ont-elles lieu ?</t>
  </si>
  <si>
    <t>Correction coûteuse</t>
  </si>
  <si>
    <t>Hebdo pour les sprints critiques</t>
  </si>
  <si>
    <t xml:space="preserve"> Comment sont tracées les corrections ?</t>
  </si>
  <si>
    <t>Intégrer à Jira/ServiceNow</t>
  </si>
  <si>
    <t xml:space="preserve"> Vérifier l'archivage des validations</t>
  </si>
  <si>
    <t xml:space="preserve"> Où sont conservées les approbations ?</t>
  </si>
  <si>
    <t>GED validée</t>
  </si>
  <si>
    <t>Preuves manquantes</t>
  </si>
  <si>
    <t xml:space="preserve"> S'assurer de la diffusion des versions approuvées</t>
  </si>
  <si>
    <t xml:space="preserve"> Comment sont diffusées les versions validées ?</t>
  </si>
  <si>
    <t>Procédure de diffusion</t>
  </si>
  <si>
    <t>Versions obsolètes</t>
  </si>
  <si>
    <t>Erreurs opérationnelles</t>
  </si>
  <si>
    <t>Notifications automatiques</t>
  </si>
  <si>
    <t xml:space="preserve"> Vérifier la stratégie de test formalisée</t>
  </si>
  <si>
    <t xml:space="preserve"> Quel document décrit la stratégie de test ?</t>
  </si>
  <si>
    <t>Couverture insuffisante</t>
  </si>
  <si>
    <t>Aligner sur les risques métiers</t>
  </si>
  <si>
    <t xml:space="preserve"> S'assurer de la couverture des exigences</t>
  </si>
  <si>
    <t xml:space="preserve"> Comment vérifie-t-on la couverture des tests ?</t>
  </si>
  <si>
    <t>Rapport de couverture</t>
  </si>
  <si>
    <t>Zones non testées</t>
  </si>
  <si>
    <t>Défaillances</t>
  </si>
  <si>
    <t>Viser 85% de couverture</t>
  </si>
  <si>
    <t xml:space="preserve"> Contrôler l'automatisation des tests critiques</t>
  </si>
  <si>
    <t xml:space="preserve"> Quels tests sont automatisés et pourquoi ?</t>
  </si>
  <si>
    <t>Matrice d'automatisation</t>
  </si>
  <si>
    <t>Tests manuels chronophages</t>
  </si>
  <si>
    <t>Lenteur des livraisons</t>
  </si>
  <si>
    <t>Automatiser 70% des tests regression</t>
  </si>
  <si>
    <t xml:space="preserve"> Vérifier les procédures de gestion des anomalies</t>
  </si>
  <si>
    <t xml:space="preserve"> Comment gère-t-on les bugs identifiés ?</t>
  </si>
  <si>
    <t>Workflow de bugs</t>
  </si>
  <si>
    <t>Non-correction</t>
  </si>
  <si>
    <t>Priorisation quotidienne</t>
  </si>
  <si>
    <t xml:space="preserve"> S'assurer des rapports de synthèse</t>
  </si>
  <si>
    <t xml:space="preserve"> Qui reçoit les rapports de test finaux ?</t>
  </si>
  <si>
    <t>Liste de diffusion</t>
  </si>
  <si>
    <t>Décision sans données</t>
  </si>
  <si>
    <t>Mise en production risquée</t>
  </si>
  <si>
    <t>Inclure la direction technique</t>
  </si>
  <si>
    <t>Points de controle</t>
  </si>
  <si>
    <t xml:space="preserve">Objectifs de controle </t>
  </si>
  <si>
    <t xml:space="preserve">Criteres d'évaluations </t>
  </si>
  <si>
    <t>Questions d'évaluation</t>
  </si>
  <si>
    <t xml:space="preserve">Réponses </t>
  </si>
  <si>
    <t>Document requis</t>
  </si>
  <si>
    <t>Une étude formelle documente le retour sur investissement attendu</t>
  </si>
  <si>
    <t>Existe-t-il une analyse coûts/bénéfices chiffrée ?</t>
  </si>
  <si>
    <t>Rapport d'analyse coûts/bénéfices</t>
  </si>
  <si>
    <t>Décision non éclairée</t>
  </si>
  <si>
    <t>Investissements inefficaces, gaspillage de budget</t>
  </si>
  <si>
    <t>Réaliser une étude économique détaillée avant validation.</t>
  </si>
  <si>
    <t>Les impacts opérationnels ont été évalués (processus, organisation)</t>
  </si>
  <si>
    <t>Les conséquences sur l'organisation ont-elles été étudiées ?</t>
  </si>
  <si>
    <t>Rapport d'impact organisationnel</t>
  </si>
  <si>
    <t>Résistance au changement, perturbation opérationnelle</t>
  </si>
  <si>
    <t>Baisse de productivité, échec d'adoption</t>
  </si>
  <si>
    <t>Prévoir un plan de changement management.</t>
  </si>
  <si>
    <t>Les risques techniques et fonctionnels ont été identifiés</t>
  </si>
  <si>
    <t>Une analyse des risques spécifiques a-t-elle été conduite ?</t>
  </si>
  <si>
    <t>Matrice des risques</t>
  </si>
  <si>
    <t>Risques non identifiés</t>
  </si>
  <si>
    <t>Problèmes imprévus, dépassement de coûts</t>
  </si>
  <si>
    <t>Mettre à jour l'analyse des risques régulièrement.</t>
  </si>
  <si>
    <t>L'étude compare plusieurs scénarios possibles</t>
  </si>
  <si>
    <t>Plusieurs options ont-elles été comparées objectivement ?</t>
  </si>
  <si>
    <t>Comparatif des solutions</t>
  </si>
  <si>
    <t>Coûts élevés, performance insuffisante</t>
  </si>
  <si>
    <t>Évaluer au moins 3 scénarios avec critères clairs.</t>
  </si>
  <si>
    <t>L'étude a été validée par la direction et les parties prenantes</t>
  </si>
  <si>
    <t>Les décideurs ont-ils formellement approuvé l'étude ?</t>
  </si>
  <si>
    <t>Retards, conflits stratégiques</t>
  </si>
  <si>
    <t>Obtenir une signature formelle des parties prenantes.</t>
  </si>
  <si>
    <t>S’assurer qu’un bilan critique des processus existants a été 
effectué</t>
  </si>
  <si>
    <t>Un audit complet des processus actuels a été réalisé</t>
  </si>
  <si>
    <t>Existe-t-il un rapport d'audit des processus existants ?</t>
  </si>
  <si>
    <t>Rapport d'audit</t>
  </si>
  <si>
    <t>Inefficacités non détectées</t>
  </si>
  <si>
    <t>Perpétuation des dysfonctionnements</t>
  </si>
  <si>
    <t>Auditer les processus avant toute refonte.</t>
  </si>
  <si>
    <t>Les dysfonctionnements et goulots d'étranglement sont documentés</t>
  </si>
  <si>
    <t>Les points critiques ont-ils été clairement identifiés ?</t>
  </si>
  <si>
    <t>Retards, échec partiel</t>
  </si>
  <si>
    <t>Prioriser les actions sur les points critiques.</t>
  </si>
  <si>
    <t>Les indicateurs de performance actuels sont mesurés et analysés</t>
  </si>
  <si>
    <t>Des métriques de performance existantes sont-elles disponibles ?</t>
  </si>
  <si>
    <t>Impossible de mesurer le succès</t>
  </si>
  <si>
    <t>Définir des indicateurs clés avant démarrage.</t>
  </si>
  <si>
    <t>Les coûts associés aux processus actuels sont chiffrés</t>
  </si>
  <si>
    <t>Le coût total de possession des processus est-il connu ?</t>
  </si>
  <si>
    <t>Modèle financier TCO</t>
  </si>
  <si>
    <t>Dépenses imprévues</t>
  </si>
  <si>
    <t>Inclure maintenance, formation et support dans le calcul.</t>
  </si>
  <si>
    <t>Le bilan inclut des retours d'expérience des utilisateurs</t>
  </si>
  <si>
    <t>Le feedback des opérationnels a-t-il été recueilli ?</t>
  </si>
  <si>
    <t>Compte-rendu de consultation</t>
  </si>
  <si>
    <t>Besoins terrain ignorés</t>
  </si>
  <si>
    <t>Organiser des ateliers avec les utilisateurs finaux.</t>
  </si>
  <si>
    <t>Des pistes d'amélioration des processus existants ont été explorées</t>
  </si>
  <si>
    <t>Des solutions sans nouveau système ont-elles été envisagées ?</t>
  </si>
  <si>
    <t>Analyse d'optimisation</t>
  </si>
  <si>
    <t>Investissement inutile</t>
  </si>
  <si>
    <t>Explorer les améliorations process avant tout achat.</t>
  </si>
  <si>
    <t>Un prototype d'optimisation a été testé avec des résultats mesurés</t>
  </si>
  <si>
    <t>Des tests d'optimisation ont-ils démontré leurs limites ?</t>
  </si>
  <si>
    <t>Rapport de tests</t>
  </si>
  <si>
    <t>Illusion de gains faciles</t>
  </si>
  <si>
    <t>Améliorations insuffisantes</t>
  </si>
  <si>
    <t>Tester rigoureusement avant décision finale.</t>
  </si>
  <si>
    <t>La décision finale est justifiée par des éléments tangibles</t>
  </si>
  <si>
    <t>Le choix du nouveau système s'appuie-t-il sur des preuves ?</t>
  </si>
  <si>
    <t>Benchmark techniques</t>
  </si>
  <si>
    <t>Solution inadéquate</t>
  </si>
  <si>
    <t>Échec fonctionnel</t>
  </si>
  <si>
    <t>Exiger des preuves (POC, références clients).</t>
  </si>
  <si>
    <t>Le comité de direction a validé la nécessité du changement</t>
  </si>
  <si>
    <t>La direction a-t-elle acté l'insuffisance des optimisations ?</t>
  </si>
  <si>
    <t>PV de décision</t>
  </si>
  <si>
    <t>Dénis des problèmes</t>
  </si>
  <si>
    <t>Retard dans la modernisation</t>
  </si>
  <si>
    <t>Formaliser les constats d'inefficacité.</t>
  </si>
  <si>
    <t>Le plan de transition préserve les améliorations déjà réalisées</t>
  </si>
  <si>
    <t>Les optimisations existantes seront-elles conservées ?</t>
  </si>
  <si>
    <t>Perte des bonnes pratiques</t>
  </si>
  <si>
    <t>Régression opérationnelle</t>
  </si>
  <si>
    <t>Documenter les éléments à conserver.</t>
  </si>
  <si>
    <t xml:space="preserve">S’assure que les objectifs et périmètres du projet sont définis, 
partagés et stabilisés </t>
  </si>
  <si>
    <t>Un document de cadrage formalise les objectifs et le périmètre</t>
  </si>
  <si>
    <t>Existe-t-il un document de référence approuvé ?</t>
  </si>
  <si>
    <t>Charte de projet</t>
  </si>
  <si>
    <t>Flou sur les objectifs</t>
  </si>
  <si>
    <t>Dérives de scope</t>
  </si>
  <si>
    <t>Valider un document cadre signé.</t>
  </si>
  <si>
    <t>Les livrables attendus sont spécifiés et quantifiés</t>
  </si>
  <si>
    <t>Les résultats concrets attendus sont-ils clairement définis ?</t>
  </si>
  <si>
    <t>Attentes irréalistes</t>
  </si>
  <si>
    <t>Spécifier des objectifs SMART.</t>
  </si>
  <si>
    <t>Les limites du projet sont explicitement mentionnées</t>
  </si>
  <si>
    <t>Ce qui est hors scope est-il précisément identifié ?</t>
  </si>
  <si>
    <t>Périmètre documenté</t>
  </si>
  <si>
    <t>"Scope creep"</t>
  </si>
  <si>
    <t>Délais et coûts non maîtrisés</t>
  </si>
  <si>
    <t>Lister explicitement les exclusions.</t>
  </si>
  <si>
    <t>Tous les départements concernés ont validé le périmètre</t>
  </si>
  <si>
    <t>Les différentes directions ont-elles signé le cadrage ?</t>
  </si>
  <si>
    <t>Accord inter-directions</t>
  </si>
  <si>
    <t>Conflits internes</t>
  </si>
  <si>
    <t>Blocages politiques</t>
  </si>
  <si>
    <t>Obtenir l'alignement transversal.</t>
  </si>
  <si>
    <t>Un mécanisme de gestion des changements de périmètre existe</t>
  </si>
  <si>
    <t>Comment les évolutions de scope seront-elles gérées ?</t>
  </si>
  <si>
    <t>Procédure de changement</t>
  </si>
  <si>
    <t>Dérives non contrôlées</t>
  </si>
  <si>
    <t>Explosion budgétaire</t>
  </si>
  <si>
    <t>Instaurer un comité de changement.</t>
  </si>
  <si>
    <t>S’assurer que les liens et impacts avec des projets connexes et 
les infrastructures (Datacenter, réseaux, etc.) sont pris en compte</t>
  </si>
  <si>
    <t>S’assurer que l'expression détaillée des besoins est formalisée 
dans un cahier des charges fait par la MOA</t>
  </si>
  <si>
    <t>S’assurer que le cahier des charges préconise une solution 
fonctionnellement et techniquement pertinente au regard des besoins 
exprimés</t>
  </si>
  <si>
    <t>S’assurer que les exigences utilisateurs, les populations ciblées, 
les options et principes de gestion retenus sont précisés et priorisés</t>
  </si>
  <si>
    <t>S’assurer que le projet est cohérent avec le plan directeur 
informatique</t>
  </si>
  <si>
    <t>S’assurer que les acteurs de l'équipe projet et leurs 
responsabilités sont bien identifiés</t>
  </si>
  <si>
    <t>S’assurer que les compétences du personnel sont en 
adéquation avec les tâches</t>
  </si>
  <si>
    <t>S’assurer que les plans intègrent une gestion optimale des 
ressources</t>
  </si>
  <si>
    <t xml:space="preserve">S’assurer qu’il existe une évaluation des risques liés à la nature 
du projet </t>
  </si>
  <si>
    <t>S’assurer qu’il existe une évaluation des risques liés à la 
technologie utilisée</t>
  </si>
  <si>
    <t>S’assurer que la structure de pilotage est formalisée et connue 
de tous les acteurs</t>
  </si>
  <si>
    <t>S’assurer que les différentes instances de pilotage connaissent 
leurs niveaux de délégation</t>
  </si>
  <si>
    <t>S’assurer qu’il existe une méthode de conduite de projet et 
celle-ci est appliquée</t>
  </si>
  <si>
    <t>S’assurer que la méthode repose sur un découpage des projets 
en tâches</t>
  </si>
  <si>
    <t>S’assurer que la méthode repose sur une attribution formelle 
des responsabilités par tâche</t>
  </si>
  <si>
    <t>S’assurer que la méthode repose sur une identification précise 
des points de contrôle et des livrables</t>
  </si>
  <si>
    <t>S’assurer que la méthode repose sur un reporting des temps à 
travers une feuille de temps</t>
  </si>
  <si>
    <t>S’assurer que les outils de suivi des délais et des coûts sont 
adaptés</t>
  </si>
  <si>
    <t>S’assurer qu’il existe un dispositif d'assurance qualité 
documenté ;</t>
  </si>
  <si>
    <t xml:space="preserve"> S’assurer qu’il existe un manuel d'assurance qualité de l'entité ;</t>
  </si>
  <si>
    <t xml:space="preserve"> S’assurer qu’il existe un plan d'assurance qualité du projet ;</t>
  </si>
  <si>
    <t xml:space="preserve"> S’assurer que les objectifs de qualité du produit sont 
formalisés ;</t>
  </si>
  <si>
    <t>S’assurer que les objectifs de qualité de service attendu sont 
formalisés ;</t>
  </si>
  <si>
    <t xml:space="preserve"> S’assurer que le groupe assurance qualité est indépendant des 
équipes de développement du projet ;</t>
  </si>
  <si>
    <t xml:space="preserve"> Vérifier l'existence d'un plan de test validé</t>
  </si>
  <si>
    <t>Plan de Test Master</t>
  </si>
  <si>
    <t>Tests désorganisés</t>
  </si>
  <si>
    <t>Standardiser un template approuvé par la MOA</t>
  </si>
  <si>
    <t xml:space="preserve"> S'assurer que les ressources dédiées sont identifiées</t>
  </si>
  <si>
    <t xml:space="preserve"> Qui sont les testeurs désignés ?</t>
  </si>
  <si>
    <t>Inscrire dans le RACI projet</t>
  </si>
  <si>
    <t xml:space="preserve"> Contrôler l'utilisation d'environnements dédiés</t>
  </si>
  <si>
    <t xml:space="preserve"> Les tests utilisent-ils des environnements isolés ?</t>
  </si>
  <si>
    <t>Charte des environnements</t>
  </si>
  <si>
    <t>Interférences</t>
  </si>
  <si>
    <t>Résultats faussés</t>
  </si>
  <si>
    <t>Clone de production avec données synthétiques</t>
  </si>
  <si>
    <t xml:space="preserve"> Vérifier la traçabilité des exécutions de test</t>
  </si>
  <si>
    <t xml:space="preserve"> Comment trace-t-on les tests réalisés ?</t>
  </si>
  <si>
    <t>Registre d'exécution</t>
  </si>
  <si>
    <t>Tests dupliqués/oubliés</t>
  </si>
  <si>
    <t>Couverture illusoire</t>
  </si>
  <si>
    <t>Outil dédié (Jira/Xray) avec IDs uniques</t>
  </si>
  <si>
    <t xml:space="preserve"> S'assurer de la couverture des exigences critiques</t>
  </si>
  <si>
    <t xml:space="preserve"> Toutes les fonctions vitales sont-elles testées ?</t>
  </si>
  <si>
    <t>Liste des fonctions critiques</t>
  </si>
  <si>
    <t>Défaillances majeures</t>
  </si>
  <si>
    <t>Prioriser via une matrice risque/usage</t>
  </si>
  <si>
    <t xml:space="preserve"> Vérifier les spécifications techniques détaillées</t>
  </si>
  <si>
    <t xml:space="preserve"> Où sont documentés les comportements attendus ?</t>
  </si>
  <si>
    <t>Spécifications de test</t>
  </si>
  <si>
    <t>Acceptation contestée</t>
  </si>
  <si>
    <t>Lier aux user stories dans l'outil Agile</t>
  </si>
  <si>
    <t xml:space="preserve"> S'assurer de la création de jeux de test unitaires</t>
  </si>
  <si>
    <t xml:space="preserve"> Existe-t-il des tests automatisés par composant ?</t>
  </si>
  <si>
    <t>Cibler 80% d'automatisation unitaire</t>
  </si>
  <si>
    <t xml:space="preserve"> Contrôler la conformité aux comportements attendus</t>
  </si>
  <si>
    <t xml:space="preserve"> Comment vérifie-t-on la conformité fonctionnelle ?</t>
  </si>
  <si>
    <t>Procédures de recette</t>
  </si>
  <si>
    <t>Écarts métiers</t>
  </si>
  <si>
    <t>Ateliers de validation avec les utilisateurs clés</t>
  </si>
  <si>
    <t xml:space="preserve"> Vérifier les procédures de correction des écarts</t>
  </si>
  <si>
    <t xml:space="preserve"> Que se passe-t-il lorsqu'un test échoue ?</t>
  </si>
  <si>
    <t>Accumulation de dette</t>
  </si>
  <si>
    <t>Escalade automatique après 2 échecs</t>
  </si>
  <si>
    <t xml:space="preserve"> S'assurer des tests de non-régression</t>
  </si>
  <si>
    <t xml:space="preserve"> Comment garantit-on l'absence de régression ?</t>
  </si>
  <si>
    <t>Suite de tests de regression</t>
  </si>
  <si>
    <t>Régressions invisibles</t>
  </si>
  <si>
    <t>Exécution automatique quotidienne</t>
  </si>
  <si>
    <t xml:space="preserve"> Vérifier la couverture des cas d'usage métier</t>
  </si>
  <si>
    <t xml:space="preserve"> Tous les scénarios métiers sont-ils testés ?</t>
  </si>
  <si>
    <t>Catalogue des cas métiers</t>
  </si>
  <si>
    <t>Fonctionnalités inutilisables</t>
  </si>
  <si>
    <t>Perte de productivité</t>
  </si>
  <si>
    <t>Couvrir 100% des processus métiers critiques</t>
  </si>
  <si>
    <t xml:space="preserve"> S'assurer des tests de performance et charge</t>
  </si>
  <si>
    <t xml:space="preserve"> Quelles charges simulées sont appliquées ?</t>
  </si>
  <si>
    <t>Scénarios de performance</t>
  </si>
  <si>
    <t>Surcharge en production</t>
  </si>
  <si>
    <t>Tester à 150% de la charge nominale</t>
  </si>
  <si>
    <t xml:space="preserve"> Contrôler les tests de sécurité applicative</t>
  </si>
  <si>
    <t xml:space="preserve"> Les vulnérabilités courantes sont-elles vérifiées ?</t>
  </si>
  <si>
    <t>Checklist OWASP</t>
  </si>
  <si>
    <t>Failles exploitables</t>
  </si>
  <si>
    <t>Intégrer ZAP/SonarQube aux pipelines</t>
  </si>
  <si>
    <t xml:space="preserve"> Vérifier les tests d'intégration technique</t>
  </si>
  <si>
    <t xml:space="preserve"> Comment teste-t-on l'intégration technique ?</t>
  </si>
  <si>
    <t>Tests E2E avec systèmes connectés</t>
  </si>
  <si>
    <t xml:space="preserve"> S'assurer des tests de robustesse</t>
  </si>
  <si>
    <t xml:space="preserve"> Des tests de comportement aux limites sont-ils faits ?</t>
  </si>
  <si>
    <t>Cas de test extrêmes</t>
  </si>
  <si>
    <t>Plantages inattendus</t>
  </si>
  <si>
    <t>Valider les valeurs min/max/null</t>
  </si>
  <si>
    <t xml:space="preserve"> Vérifier le recensement complet des interfaces</t>
  </si>
  <si>
    <t xml:space="preserve"> Où est listé l'ensemble des interfaces ?</t>
  </si>
  <si>
    <t>Inventaire des APIs</t>
  </si>
  <si>
    <t>Données perdues</t>
  </si>
  <si>
    <t>Documentation Swagger centralisée</t>
  </si>
  <si>
    <t xml:space="preserve"> S'assurer des tests de flux nominaux et d'erreur</t>
  </si>
  <si>
    <t xml:space="preserve"> Comment teste-t-on les cas d'erreur ?</t>
  </si>
  <si>
    <t>Scénarios d'échec</t>
  </si>
  <si>
    <t>Mauvaise gestion des erreurs</t>
  </si>
  <si>
    <t>Forcer 20% de tests négatifs</t>
  </si>
  <si>
    <t xml:space="preserve"> Contrôler la validation des formats d'échange</t>
  </si>
  <si>
    <t xml:space="preserve"> Les formats XML/JSON sont-ils validés ?</t>
  </si>
  <si>
    <t>Schémas XSD/JSON Schema</t>
  </si>
  <si>
    <t>Données illisibles</t>
  </si>
  <si>
    <t>Blocages systèmes</t>
  </si>
  <si>
    <t>Validation automatique via middleware</t>
  </si>
  <si>
    <t xml:space="preserve"> Vérifier les tests de performance des interfaces</t>
  </si>
  <si>
    <t xml:space="preserve"> Quel est le temps de réponse maximal toléré ?</t>
  </si>
  <si>
    <t>SLA technique</t>
  </si>
  <si>
    <t>Lenteurs</t>
  </si>
  <si>
    <t>Abandon utilisateurs</t>
  </si>
  <si>
    <t>Définir par écran (&lt;2s critique)</t>
  </si>
  <si>
    <t xml:space="preserve"> S'assurer des mécanismes de reprise</t>
  </si>
  <si>
    <t xml:space="preserve"> Comment gère-t-on les échanges interrompus ?</t>
  </si>
  <si>
    <t>Tests de résilience</t>
  </si>
  <si>
    <t>Simuler des coupures réseau</t>
  </si>
  <si>
    <t xml:space="preserve"> Vérifier la sélection des utilisateurs tests</t>
  </si>
  <si>
    <t xml:space="preserve"> Quels profils d'utilisateurs sont impliqués ?</t>
  </si>
  <si>
    <t>Matrice des personas</t>
  </si>
  <si>
    <t>Expérience inadaptée</t>
  </si>
  <si>
    <t>Tester avec 3 profils minimum</t>
  </si>
  <si>
    <t xml:space="preserve"> S'assurer de la préparation des scénarios réalistes</t>
  </si>
  <si>
    <t xml:space="preserve"> Les cas d'usage couvrent-ils le quotidien ?</t>
  </si>
  <si>
    <t>Journalier utilisateur</t>
  </si>
  <si>
    <t>Fonctions inutiles</t>
  </si>
  <si>
    <t>Surcharge interface</t>
  </si>
  <si>
    <t>Observer les utilisateurs réels</t>
  </si>
  <si>
    <t xml:space="preserve"> Contrôler la collecte structurée des feedbacks</t>
  </si>
  <si>
    <t xml:space="preserve"> Comment sont enregistrées les observations ?</t>
  </si>
  <si>
    <t>Template de rapport</t>
  </si>
  <si>
    <t>Feedback perdu</t>
  </si>
  <si>
    <t>Améliorations manquées</t>
  </si>
  <si>
    <t>Captures d'écran + logs systématiques</t>
  </si>
  <si>
    <t xml:space="preserve"> Vérifier le traitement des remarques</t>
  </si>
  <si>
    <t xml:space="preserve"> Quel processus pour traiter les retours ?</t>
  </si>
  <si>
    <t>Workflow de feedback</t>
  </si>
  <si>
    <t>Churn utilisateur</t>
  </si>
  <si>
    <t>Clôturer sous 5 jours ouvrés</t>
  </si>
  <si>
    <t xml:space="preserve"> S'assurer de la validation formelle</t>
  </si>
  <si>
    <t xml:space="preserve"> Qui valide les résultats des tests utilisateurs ?</t>
  </si>
  <si>
    <t>Acceptation forcée</t>
  </si>
  <si>
    <t>Double validation MOA/MOE</t>
  </si>
  <si>
    <t xml:space="preserve"> Vérifier les tests d'ergonomie et d'UX</t>
  </si>
  <si>
    <t xml:space="preserve"> Comment évalue-t-on l'expérience utilisateur ?</t>
  </si>
  <si>
    <t>Grille UX</t>
  </si>
  <si>
    <t>Ergonomie médiocre</t>
  </si>
  <si>
    <t>Baisse d'adoption</t>
  </si>
  <si>
    <t>Scores SUS/NPS trimestriels</t>
  </si>
  <si>
    <t xml:space="preserve"> S'assurer des benchmarks de performance</t>
  </si>
  <si>
    <t xml:space="preserve"> Quels sont les seuils de performance exigés ?</t>
  </si>
  <si>
    <t>Contrat de performance</t>
  </si>
  <si>
    <t>Lenteurs critiques</t>
  </si>
  <si>
    <t>Perte de CA</t>
  </si>
  <si>
    <t>Monitorer en temps réel NewRelic/Dynatrace</t>
  </si>
  <si>
    <t xml:space="preserve"> Contrôler la validation des entrées/sorties</t>
  </si>
  <si>
    <t xml:space="preserve"> Les contrôles de saisie sont-ils validés ?</t>
  </si>
  <si>
    <t>Spécifications de validation</t>
  </si>
  <si>
    <t>Données erronées</t>
  </si>
  <si>
    <t>Calculs faux</t>
  </si>
  <si>
    <t>Tester toutes les règles métiers</t>
  </si>
  <si>
    <t xml:space="preserve"> Vérifier les tests d'accessibilité</t>
  </si>
  <si>
    <t xml:space="preserve"> L'application respecte-t-elle les normes d'accessibilité ?</t>
  </si>
  <si>
    <t>Rapport RGAA/WCAG</t>
  </si>
  <si>
    <t>Exclusion légale</t>
  </si>
  <si>
    <t>Audits annuels par expert</t>
  </si>
  <si>
    <t xml:space="preserve"> S'assurer des audits de code</t>
  </si>
  <si>
    <t xml:space="preserve"> Des revues de code sont-elles effectuées ?</t>
  </si>
  <si>
    <t>Registre de revues</t>
  </si>
  <si>
    <t>Code fragile</t>
  </si>
  <si>
    <t>100% du code relu avant merge</t>
  </si>
  <si>
    <t xml:space="preserve"> Vérifier les tests de déploiement automatisé</t>
  </si>
  <si>
    <t xml:space="preserve"> Comment teste-t-on les procédures d'installation ?</t>
  </si>
  <si>
    <t>Scripts de déploiement test</t>
  </si>
  <si>
    <t>Échec d'installation</t>
  </si>
  <si>
    <t>Valider sur machine vierge</t>
  </si>
  <si>
    <t xml:space="preserve"> S'assurer des tests de bascule et reprise</t>
  </si>
  <si>
    <t xml:space="preserve"> Les mécanismes de bascule fonctionnent-ils ?</t>
  </si>
  <si>
    <t>Plan de basculement testé</t>
  </si>
  <si>
    <t>Simulations trimestrielles</t>
  </si>
  <si>
    <t xml:space="preserve"> Contrôler les tests de compatibilité environnementale</t>
  </si>
  <si>
    <t xml:space="preserve"> L'application s'installe-t-elle sans conflit ?</t>
  </si>
  <si>
    <t>Plantages</t>
  </si>
  <si>
    <t>Tester sur 3 OS/versions</t>
  </si>
  <si>
    <t xml:space="preserve"> Vérifier les procédures de rollback</t>
  </si>
  <si>
    <t xml:space="preserve"> Peut-on annuler proprement un déploiement ?</t>
  </si>
  <si>
    <t>Rollback plan</t>
  </si>
  <si>
    <t>Automatiser la restauration</t>
  </si>
  <si>
    <t xml:space="preserve"> S'assurer des tests de charge réelle</t>
  </si>
  <si>
    <t xml:space="preserve"> A-t-on simulé des conditions de production ?</t>
  </si>
  <si>
    <t>Benchmarks</t>
  </si>
  <si>
    <t>Comportement imprévisible</t>
  </si>
  <si>
    <t>Incidents</t>
  </si>
  <si>
    <t>Copie à l'identique avec données anonymisées</t>
  </si>
  <si>
    <t xml:space="preserve"> Vérifier les tests avec les données réelles</t>
  </si>
  <si>
    <t xml:space="preserve"> Utilise-t-on un extrait de la base de production ?</t>
  </si>
  <si>
    <t>Politique de données de test</t>
  </si>
  <si>
    <t>Données non représentatives</t>
  </si>
  <si>
    <t>Bugs masqués</t>
  </si>
  <si>
    <t>Générer des jeux de tests réalistes</t>
  </si>
  <si>
    <t xml:space="preserve"> S'assurer des tests de droits et habilitations</t>
  </si>
  <si>
    <t xml:space="preserve"> Les profils métiers ont-ils les bons accès ?</t>
  </si>
  <si>
    <t>Matrice RBAC testée</t>
  </si>
  <si>
    <t>Accès illégitimes</t>
  </si>
  <si>
    <t>Fuites de données</t>
  </si>
  <si>
    <t>Tester chaque rôle via IAM</t>
  </si>
  <si>
    <t xml:space="preserve"> Contrôler l'interaction avec les systèmes adjacents</t>
  </si>
  <si>
    <t xml:space="preserve"> Comment vérifie-t-on l'intégration avec les autres applications ?</t>
  </si>
  <si>
    <t>Tests E2E</t>
  </si>
  <si>
    <t>Processus rompus</t>
  </si>
  <si>
    <t>Cartographie des flux + tests inter-systèmes</t>
  </si>
  <si>
    <t xml:space="preserve"> Vérifier les procédures de monitoring</t>
  </si>
  <si>
    <t xml:space="preserve"> Les outils de supervision sont-ils opérationnels ?</t>
  </si>
  <si>
    <t>Dashboard de monitoring</t>
  </si>
  <si>
    <t>Cécité opérationnelle</t>
  </si>
  <si>
    <t>Tests d'alertes mensuels</t>
  </si>
  <si>
    <t xml:space="preserve"> S'assurer des tests de sécurité en contexte réel</t>
  </si>
  <si>
    <t xml:space="preserve"> Des tests d'intrusion sont-ils réalisés ?</t>
  </si>
  <si>
    <t>Rapport pentest</t>
  </si>
  <si>
    <t>Failles non détectées</t>
  </si>
  <si>
    <t>Tests annuels par tiers indépendant</t>
  </si>
  <si>
    <t xml:space="preserve"> Conduite du changement et mise en œuvre</t>
  </si>
  <si>
    <t xml:space="preserve"> Vérifier l'existence d'un document de synthèse consolidé</t>
  </si>
  <si>
    <t xml:space="preserve"> Où se trouve le document récapitulatif d'évaluation ?</t>
  </si>
  <si>
    <t>Rapport d'évaluation consolidé</t>
  </si>
  <si>
    <t>Information dispersée</t>
  </si>
  <si>
    <t>Décisions incohérentes</t>
  </si>
  <si>
    <t>Centraliser sur le portail projet avec contrôle d'accès</t>
  </si>
  <si>
    <t xml:space="preserve"> S'assurer que tous les impacts sont analysés (techniques, organisationnels, financiers)</t>
  </si>
  <si>
    <t xml:space="preserve"> Les impacts sur les processus métiers sont-ils analysés ?</t>
  </si>
  <si>
    <t>Cartographie des impacts</t>
  </si>
  <si>
    <t>Perturbations imprévues</t>
  </si>
  <si>
    <t>Rejet opérationnel</t>
  </si>
  <si>
    <t>Modéliser en BPMN les flux modifiés</t>
  </si>
  <si>
    <t xml:space="preserve"> Contrôler la prise en compte des retours des parties prenantes</t>
  </si>
  <si>
    <t xml:space="preserve"> Comment les retours des équipes ont-ils été intégrés ?</t>
  </si>
  <si>
    <t>Registre des feedbacks</t>
  </si>
  <si>
    <t>Utiliser un outil de vote collaboratif</t>
  </si>
  <si>
    <t xml:space="preserve"> Vérifier l'évaluation des risques induits par les changements</t>
  </si>
  <si>
    <t xml:space="preserve"> Quels nouveaux risques ont été identifiés ?</t>
  </si>
  <si>
    <t>Matrice des risques émergents</t>
  </si>
  <si>
    <t>Revues mensuelles avec les risk owners</t>
  </si>
  <si>
    <t xml:space="preserve"> S'assurer de la proposition de mesures d'accompagnement</t>
  </si>
  <si>
    <t xml:space="preserve"> Quelles actions préventives sont prévues ?</t>
  </si>
  <si>
    <t>Réactivité coûteuse</t>
  </si>
  <si>
    <t>Surcoûts</t>
  </si>
  <si>
    <t>Budgeter 10-15% pour actions préventives</t>
  </si>
  <si>
    <t xml:space="preserve"> Vérifier la formalisation des approbations</t>
  </si>
  <si>
    <t xml:space="preserve"> Qui a validé formellement l'évaluation ?</t>
  </si>
  <si>
    <t>PV de validation COMEX</t>
  </si>
  <si>
    <t xml:space="preserve"> S'assurer de la participation des décideurs clés</t>
  </si>
  <si>
    <t xml:space="preserve"> Les responsables métiers et techniques étaient-ils présents ?</t>
  </si>
  <si>
    <t>Décisions déséquilibrées</t>
  </si>
  <si>
    <t>Imposer un quorum pluridisciplinaire</t>
  </si>
  <si>
    <t xml:space="preserve"> Contrôler la résolution des points de désaccord</t>
  </si>
  <si>
    <t xml:space="preserve"> Comment les divergences ont-elles été traitées ?</t>
  </si>
  <si>
    <t>Conflits latents</t>
  </si>
  <si>
    <t>Médiation par un tiers neutre</t>
  </si>
  <si>
    <t xml:space="preserve"> Vérifier l'archivage des preuves de validation</t>
  </si>
  <si>
    <t xml:space="preserve"> Où sont stockés les PV de validation ?</t>
  </si>
  <si>
    <t>GED sécurisée</t>
  </si>
  <si>
    <t>Archivage WORM (Write Once Read Many)</t>
  </si>
  <si>
    <t xml:space="preserve"> S'assurer de la diffusion des décisions</t>
  </si>
  <si>
    <t xml:space="preserve"> Comment les décisions sont-elles communiquées ?</t>
  </si>
  <si>
    <t>Malentendus</t>
  </si>
  <si>
    <t>Multi-canaux (mail, réunion, affichage)</t>
  </si>
  <si>
    <t xml:space="preserve"> Vérifier la diversité des profils interrogés</t>
  </si>
  <si>
    <t xml:space="preserve"> Quels métiers/fonctions ont été consultés ?</t>
  </si>
  <si>
    <t>Blind spots</t>
  </si>
  <si>
    <t>Cartographie RACI étendue</t>
  </si>
  <si>
    <t xml:space="preserve"> S'assurer de la couverture des services impactés</t>
  </si>
  <si>
    <t xml:space="preserve"> Tous les services concernés sont-ils représentés ?</t>
  </si>
  <si>
    <t>Organigramme consulté</t>
  </si>
  <si>
    <t>Silos persistants</t>
  </si>
  <si>
    <t>Solutions partielles</t>
  </si>
  <si>
    <t>Vérifier la couverture transverse</t>
  </si>
  <si>
    <t xml:space="preserve"> Contrôler la proportion hiérarchique (N+1/N+2)</t>
  </si>
  <si>
    <t xml:space="preserve"> Quel pourcentage de managers a été interrogé ?</t>
  </si>
  <si>
    <t>Statistiques de consultation</t>
  </si>
  <si>
    <t>Décision top-down</t>
  </si>
  <si>
    <t>Non-adhésion</t>
  </si>
  <si>
    <t>Cibler 80% des N+2 concernés</t>
  </si>
  <si>
    <t xml:space="preserve"> Vérifier l'équilibre siège/terrain</t>
  </si>
  <si>
    <t xml:space="preserve"> Les sites distants ont-ils été inclus ?</t>
  </si>
  <si>
    <t>Rapport de couverture géographique</t>
  </si>
  <si>
    <t>Fracture numérique</t>
  </si>
  <si>
    <t>Inégalités</t>
  </si>
  <si>
    <t>Visioconférences dédiées</t>
  </si>
  <si>
    <t xml:space="preserve"> S'assurer de la prise en compte des avis minoritaires</t>
  </si>
  <si>
    <t xml:space="preserve"> Comment les opinions divergentes sont-elles traitées ?</t>
  </si>
  <si>
    <t>Procédure de gestion des conflits</t>
  </si>
  <si>
    <t>Censure involontaire</t>
  </si>
  <si>
    <t>Documenter toutes les alternatives</t>
  </si>
  <si>
    <t xml:space="preserve"> Vérifier l'implication effective des utilisateurs finaux</t>
  </si>
  <si>
    <t xml:space="preserve"> Combien d'utilisateurs finaux ont participé ?</t>
  </si>
  <si>
    <t>Panel de testeurs</t>
  </si>
  <si>
    <t>Basse adoption</t>
  </si>
  <si>
    <t>Échantillon significatif (n≥30)</t>
  </si>
  <si>
    <t xml:space="preserve"> S'assurer de la représentativité du panel</t>
  </si>
  <si>
    <t xml:space="preserve"> Le panel couvre-t-il les différents profils utilisateurs ?</t>
  </si>
  <si>
    <t>Grille de représentativité</t>
  </si>
  <si>
    <t>Biais de sélection</t>
  </si>
  <si>
    <t>Segmenter par métier/seniorité</t>
  </si>
  <si>
    <t xml:space="preserve"> Contrôler les modalités de recueil des feedbacks</t>
  </si>
  <si>
    <t xml:space="preserve"> Par quels canaux ont-ils pu s'exprimer ?</t>
  </si>
  <si>
    <t>Catalogue des canaux</t>
  </si>
  <si>
    <t>Feedback limité</t>
  </si>
  <si>
    <t>Améliorations manquantes</t>
  </si>
  <si>
    <t>Offrir 3+ options (survey, ateliers, boîte à idées)</t>
  </si>
  <si>
    <t xml:space="preserve"> Vérifier la transparence sur l'utilisation des retours</t>
  </si>
  <si>
    <t xml:space="preserve"> Comment leur montre-t-on l'impact de leur contribution ?</t>
  </si>
  <si>
    <t>Newsletter "Vous avez dit..."</t>
  </si>
  <si>
    <t>Cartographier les feedbacks implémentés</t>
  </si>
  <si>
    <t xml:space="preserve"> S'assurer de la reconnaissance de la contribution</t>
  </si>
  <si>
    <t xml:space="preserve"> Leur participation est-elle valorisée ?</t>
  </si>
  <si>
    <t>Politique de reconnaissance</t>
  </si>
  <si>
    <t>Turnover des testeurs</t>
  </si>
  <si>
    <t>Données peu fiables</t>
  </si>
  <si>
    <t>Badges/certificats de contribution</t>
  </si>
  <si>
    <t xml:space="preserve"> Vérifier la couverture de toutes les cibles</t>
  </si>
  <si>
    <t xml:space="preserve"> Toutes les parties prenantes sont-elles ciblées ?</t>
  </si>
  <si>
    <t>Matrice d'engagement</t>
  </si>
  <si>
    <t>Acteurs oubliés</t>
  </si>
  <si>
    <t>Analyse PESTEL pour identifier tous les acteurs</t>
  </si>
  <si>
    <t xml:space="preserve"> S'assurer de l'adaptation des supports par public</t>
  </si>
  <si>
    <t xml:space="preserve"> Existe-t-il des déclinaisons par métier/niveau ?</t>
  </si>
  <si>
    <t>Kits de communication sur-mesure</t>
  </si>
  <si>
    <t>Messages inadaptés</t>
  </si>
  <si>
    <t>Adapter le langage (exécutif vs terrain)</t>
  </si>
  <si>
    <t xml:space="preserve"> Contrôler le calendrier détaillé des actions</t>
  </si>
  <si>
    <t xml:space="preserve"> Quel est le planning des communications prévues ?</t>
  </si>
  <si>
    <t>Calendrier éditorial</t>
  </si>
  <si>
    <t>Irrégularité</t>
  </si>
  <si>
    <t>Perte d'attention</t>
  </si>
  <si>
    <t>Rythme régulier (ex : 1x/semaine)</t>
  </si>
  <si>
    <t xml:space="preserve"> Vérifier les canaux de diffusion multiples</t>
  </si>
  <si>
    <t xml:space="preserve"> Quels médias sont utilisés (mail, intranet, réunions</t>
  </si>
  <si>
    <t>Plan média multicanaux</t>
  </si>
  <si>
    <t>Audience limitée</t>
  </si>
  <si>
    <t>Information parcellaire</t>
  </si>
  <si>
    <t>Combiner digital (70%) et présentiel (30%)</t>
  </si>
  <si>
    <t xml:space="preserve"> S'assurer des mécanismes de feedback</t>
  </si>
  <si>
    <t xml:space="preserve"> Comment peut-on réagir aux communications ?</t>
  </si>
  <si>
    <t>Procédure de feedback</t>
  </si>
  <si>
    <t>Communication à sens unique</t>
  </si>
  <si>
    <t>Bouton "Réagir" sur chaque support</t>
  </si>
  <si>
    <t xml:space="preserve"> Vérifier l'utilisation d'un langage non technique</t>
  </si>
  <si>
    <t xml:space="preserve"> Les messages sont-ils compréhensibles par tous ?</t>
  </si>
  <si>
    <t>Jargon excessif</t>
  </si>
  <si>
    <t>Niveau de lecture ≤12 ans (test Flesch)</t>
  </si>
  <si>
    <t xml:space="preserve"> S'assurer de la structure des messages (QQOQCP)</t>
  </si>
  <si>
    <t xml:space="preserve"> Les éléments clés (quoi, qui, quand</t>
  </si>
  <si>
    <t>Template de communication</t>
  </si>
  <si>
    <t>Information noyée</t>
  </si>
  <si>
    <t>Oublis critiques</t>
  </si>
  <si>
    <t>Méthode 5W+2H (What, Who, When...)</t>
  </si>
  <si>
    <t xml:space="preserve"> Contrôler l'absence de jargon métier</t>
  </si>
  <si>
    <t xml:space="preserve"> A-t-on évité le vocabulaire trop spécialisé ?</t>
  </si>
  <si>
    <t>Lexique simplifié</t>
  </si>
  <si>
    <t>Exclusion cognitive</t>
  </si>
  <si>
    <t>Glossaire intégré aux supports</t>
  </si>
  <si>
    <t xml:space="preserve"> Vérifier les supports visuels d'aide à la compréhension</t>
  </si>
  <si>
    <t xml:space="preserve"> Utilise-t-on des infographies ou schémas ?</t>
  </si>
  <si>
    <t>Bibliothèque visuelle</t>
  </si>
  <si>
    <t>Surcharge cognitive</t>
  </si>
  <si>
    <t>Mauvaise compréhension</t>
  </si>
  <si>
    <t>1 visuel clé par message</t>
  </si>
  <si>
    <t xml:space="preserve"> S'assurer de la cohérence du discours</t>
  </si>
  <si>
    <t xml:space="preserve"> Les informations sont-elles constantes entre supports ?</t>
  </si>
  <si>
    <t>Charte éditoriale</t>
  </si>
  <si>
    <t>Contradictions</t>
  </si>
  <si>
    <t>Désigner un référent contenu</t>
  </si>
  <si>
    <t xml:space="preserve"> Vérifier l'adaptation aux phases du projet</t>
  </si>
  <si>
    <t xml:space="preserve"> Comment la communication s'adapte-t-elle à l'avancement ?</t>
  </si>
  <si>
    <t>Stratégie phasée</t>
  </si>
  <si>
    <t>Messages obsolètes</t>
  </si>
  <si>
    <t>3 niveaux : stratégique/tactique/opérationnel</t>
  </si>
  <si>
    <t xml:space="preserve"> S'assurer de la progressivité des informations</t>
  </si>
  <si>
    <t xml:space="preserve"> Les informations deviennent-elles plus précises avec le temps ?</t>
  </si>
  <si>
    <t>Feuille de route éditoriale</t>
  </si>
  <si>
    <t>Approximations persistantes</t>
  </si>
  <si>
    <t>Décisions sur fausses bases</t>
  </si>
  <si>
    <t>Introduire des détails progressivement</t>
  </si>
  <si>
    <t xml:space="preserve"> Contrôler l'actualisation régulière des supports</t>
  </si>
  <si>
    <t xml:space="preserve"> À quelle fréquence les supports sont-ils mis à jour ?</t>
  </si>
  <si>
    <t>Politique de mise à jour</t>
  </si>
  <si>
    <t>Données périmées</t>
  </si>
  <si>
    <t>Erreurs de jugement</t>
  </si>
  <si>
    <t>Révision mensuelle obligatoire</t>
  </si>
  <si>
    <t xml:space="preserve"> Vérifier l'enrichissement des contenus</t>
  </si>
  <si>
    <t xml:space="preserve"> De nouveaux formats ont-ils été introduits ?</t>
  </si>
  <si>
    <t>Rapport d'innovation éditoriale</t>
  </si>
  <si>
    <t>Lassitude</t>
  </si>
  <si>
    <t>Tester 1 nouveau format/trimestre</t>
  </si>
  <si>
    <t xml:space="preserve"> S'assurer de l'ajustement aux retours</t>
  </si>
  <si>
    <t xml:space="preserve"> Comment les feedbacks influencent-ils la communication ?</t>
  </si>
  <si>
    <t>Dashboard d'engagement</t>
  </si>
  <si>
    <t>Surdité organisationnelle</t>
  </si>
  <si>
    <t>Ajuster sous 48h les critiques récurrentes</t>
  </si>
  <si>
    <t xml:space="preserve"> Vérifier l'implication visible des sponsors</t>
  </si>
  <si>
    <t xml:space="preserve"> Les dirigeants communiquent-ils personnellement ?</t>
  </si>
  <si>
    <t>Planning d'intervention</t>
  </si>
  <si>
    <t>Manque de leadership</t>
  </si>
  <si>
    <t>Doute stratégique</t>
  </si>
  <si>
    <t>1 vidéo/message direct mensuel</t>
  </si>
  <si>
    <t xml:space="preserve"> S'assurer des prises de parole régulières</t>
  </si>
  <si>
    <t xml:space="preserve"> À quelle fréquence la MOA s'exprime-t-elle ?</t>
  </si>
  <si>
    <t>Calendrier MOA</t>
  </si>
  <si>
    <t>Distance perçue</t>
  </si>
  <si>
    <t>Point hebdomadaire + Q&amp;A live</t>
  </si>
  <si>
    <t xml:space="preserve"> Contrôler l'allocation de ressources dédiées</t>
  </si>
  <si>
    <t xml:space="preserve"> Des budgets spécifiques sont-ils alloués ?</t>
  </si>
  <si>
    <t>Budget communication</t>
  </si>
  <si>
    <t>Consacrer 3-5% du budget projet</t>
  </si>
  <si>
    <t xml:space="preserve"> Vérifier la cohérence des messages MOA/MOE</t>
  </si>
  <si>
    <t xml:space="preserve"> Les messages sont-ils alignés entre MOA et équipes techniques ?</t>
  </si>
  <si>
    <t>Charte de cohérence</t>
  </si>
  <si>
    <t>Double discours</t>
  </si>
  <si>
    <t>Confiance érodée</t>
  </si>
  <si>
    <t>Comité éditorial mixte</t>
  </si>
  <si>
    <t xml:space="preserve"> S'assurer du relai par le management intermédiaire</t>
  </si>
  <si>
    <t xml:space="preserve"> Les managers relaient-ils activement l'information ?</t>
  </si>
  <si>
    <t>Enquête de relais</t>
  </si>
  <si>
    <t>Fracture hiérarchique</t>
  </si>
  <si>
    <t>Non-appropriation</t>
  </si>
  <si>
    <t>Intégrer au tableau de bord managérial</t>
  </si>
  <si>
    <t xml:space="preserve"> Vérifier la disponibilité d'un document formel</t>
  </si>
  <si>
    <t xml:space="preserve"> Où se trouve le manuel utilisateur officiel ?</t>
  </si>
  <si>
    <t>Portail documentaire</t>
  </si>
  <si>
    <t>Documentation introuvable</t>
  </si>
  <si>
    <t>Lien visible dans l'application + intranet</t>
  </si>
  <si>
    <t xml:space="preserve"> S'assurer de la couverture complète du système</t>
  </si>
  <si>
    <t xml:space="preserve"> Toutes les fonctionnalités sont-elles documentées ?</t>
  </si>
  <si>
    <t>Fonctions méconnues</t>
  </si>
  <si>
    <t>Vérifier via une checklist exhaustive</t>
  </si>
  <si>
    <t xml:space="preserve"> Contrôler la validation par la MOA</t>
  </si>
  <si>
    <t xml:space="preserve"> Qui a validé le contenu du manuel ?</t>
  </si>
  <si>
    <t>Erreurs de contenu</t>
  </si>
  <si>
    <t>Double validation MOA/utilisateurs pilotes</t>
  </si>
  <si>
    <t xml:space="preserve"> Vérifier l'existence d'une version numérique et physique</t>
  </si>
  <si>
    <t xml:space="preserve"> Existe-t-il en format PDF et imprimé ?</t>
  </si>
  <si>
    <t>Politique de formats</t>
  </si>
  <si>
    <t>Exclusion numérique</t>
  </si>
  <si>
    <t>Proposer 3 formats : web/PDF/print</t>
  </si>
  <si>
    <t xml:space="preserve"> S'assurer de l'accessibilité pour tous les utilisateurs</t>
  </si>
  <si>
    <t xml:space="preserve"> Comment les utilisateurs y accèdent-ils ?</t>
  </si>
  <si>
    <t>Guide d'accès</t>
  </si>
  <si>
    <t>Obstacles techniques</t>
  </si>
  <si>
    <t>Non-consultation</t>
  </si>
  <si>
    <t>Accès en 1 clic depuis l'application</t>
  </si>
  <si>
    <t xml:space="preserve"> Vérifier l'application des standards métiers</t>
  </si>
  <si>
    <t xml:space="preserve"> Quelles normes sectorielles sont appliquées ?</t>
  </si>
  <si>
    <t>Aligner sur ISO 26515 pour la doc</t>
  </si>
  <si>
    <t xml:space="preserve"> S'assurer du respect des règles rédactionnelles</t>
  </si>
  <si>
    <t xml:space="preserve"> Le style rédactionnel est-il homogène ?</t>
  </si>
  <si>
    <t>Charte rédactionnelle</t>
  </si>
  <si>
    <t>Nommer un rédacteur en chef</t>
  </si>
  <si>
    <t xml:space="preserve"> Contrôler la conformité aux exigences légales</t>
  </si>
  <si>
    <t xml:space="preserve"> Le manuel respecte-t-il le RGPD et autres réglementations ?</t>
  </si>
  <si>
    <t>Audit conformité</t>
  </si>
  <si>
    <t>Amendes légales</t>
  </si>
  <si>
    <t>Atteinte à la réputation</t>
  </si>
  <si>
    <t>Faire relire par le DPO</t>
  </si>
  <si>
    <t xml:space="preserve"> Vérifier l'alignement avec la charte éditoriale</t>
  </si>
  <si>
    <t xml:space="preserve"> La charte graphique est-elle respectée ?</t>
  </si>
  <si>
    <t>Guide de style</t>
  </si>
  <si>
    <t>Image professionnelle dégradée</t>
  </si>
  <si>
    <t>Intégrer les templates dans l'outil auteur</t>
  </si>
  <si>
    <t xml:space="preserve"> S'assurer de l'application des normes d'accessibilité</t>
  </si>
  <si>
    <t xml:space="preserve"> Le document est-il accessible aux personnes handicapées ?</t>
  </si>
  <si>
    <t>Discrimination</t>
  </si>
  <si>
    <t>Recours juridique</t>
  </si>
  <si>
    <t>Test annuel par un expert</t>
  </si>
  <si>
    <t xml:space="preserve"> Vérifier l'utilisation d'un langage clair et simple</t>
  </si>
  <si>
    <t xml:space="preserve"> Le vocabulaire est-il adapté aux non-techniciens ?</t>
  </si>
  <si>
    <t>Découragement</t>
  </si>
  <si>
    <t>Erreurs d'utilisation</t>
  </si>
  <si>
    <t>Niveau de lecture ≤ collège (test Flesch)</t>
  </si>
  <si>
    <t xml:space="preserve"> S'assurer de la présence d'un lexique des termes techniques</t>
  </si>
  <si>
    <t xml:space="preserve"> Où trouver les définitions des termes complexes ?</t>
  </si>
  <si>
    <t>Glossaire intégré</t>
  </si>
  <si>
    <t>Mésinterprétations</t>
  </si>
  <si>
    <t>Mauvaises manipulations</t>
  </si>
  <si>
    <t>Tooltips interactifs dans la version digitale</t>
  </si>
  <si>
    <t xml:space="preserve"> Contrôler l'organisation logique des informations</t>
  </si>
  <si>
    <t xml:space="preserve"> La structure du manuel est-elle intuitive ?</t>
  </si>
  <si>
    <t>Arborescence validée</t>
  </si>
  <si>
    <t>Difficulté de navigation</t>
  </si>
  <si>
    <t>Abandon</t>
  </si>
  <si>
    <t>Adopter une structure modulaire (basée sur les tâches)</t>
  </si>
  <si>
    <t xml:space="preserve"> Vérifier la présence d'exemples concrets</t>
  </si>
  <si>
    <t xml:space="preserve"> Des cas pratiques sont-ils fournis ?</t>
  </si>
  <si>
    <t>Bibliothèque de cas réels</t>
  </si>
  <si>
    <t>Théorie inapplicable</t>
  </si>
  <si>
    <t>Frustration</t>
  </si>
  <si>
    <t>1 exemple concret par fonctionnalité majeure</t>
  </si>
  <si>
    <t xml:space="preserve"> S'assurer de la qualité des illustrations</t>
  </si>
  <si>
    <t xml:space="preserve"> Les captures d'écran sont-elles lisibles et actualisées ?</t>
  </si>
  <si>
    <t>Kit de screenshots</t>
  </si>
  <si>
    <t>Interfaces obsolètes</t>
  </si>
  <si>
    <t>Mettre à jour à chaque release</t>
  </si>
  <si>
    <t xml:space="preserve"> Vérifier l'inventaire complet des écrans</t>
  </si>
  <si>
    <t xml:space="preserve"> Toutes les interfaces sont-elles documentées ?</t>
  </si>
  <si>
    <t>Inventaire des écrans</t>
  </si>
  <si>
    <t>Zones d'ombre</t>
  </si>
  <si>
    <t>Erreurs répétées</t>
  </si>
  <si>
    <t>Numéroter chaque écran dans les procédures</t>
  </si>
  <si>
    <t xml:space="preserve"> S'assurer de la description détaillée des commandes</t>
  </si>
  <si>
    <t xml:space="preserve"> Où trouver la signification de chaque bouton/icône ?</t>
  </si>
  <si>
    <t>Légende interactive</t>
  </si>
  <si>
    <t>Actions erronées</t>
  </si>
  <si>
    <t>Ajouter une carte cliquable</t>
  </si>
  <si>
    <t xml:space="preserve"> Contrôler la présence de workflows complets</t>
  </si>
  <si>
    <t xml:space="preserve"> Les enchaînements d'écrans sont-ils expliqués ?</t>
  </si>
  <si>
    <t>Workflows visuels</t>
  </si>
  <si>
    <t>Parcours chaotiques</t>
  </si>
  <si>
    <t>Perte de temps</t>
  </si>
  <si>
    <t>Diagrammes de navigation avec flèches</t>
  </si>
  <si>
    <t xml:space="preserve"> Vérifier l'explication des messages système</t>
  </si>
  <si>
    <t xml:space="preserve"> Comment interpréter les messages d'erreur ?</t>
  </si>
  <si>
    <t>Référentiel des erreurs</t>
  </si>
  <si>
    <t>Panique inutile</t>
  </si>
  <si>
    <t>Appels au support</t>
  </si>
  <si>
    <t>Tableau code/description/solution</t>
  </si>
  <si>
    <t xml:space="preserve"> S'assurer de la couverture des états principaux</t>
  </si>
  <si>
    <t xml:space="preserve"> Les rapports principaux sont-ils décrits ?</t>
  </si>
  <si>
    <t>Guide des rapports</t>
  </si>
  <si>
    <t>Analyses erronées</t>
  </si>
  <si>
    <t>Décisions fautives</t>
  </si>
  <si>
    <t>Inclure des exemples annotés</t>
  </si>
  <si>
    <t xml:space="preserve"> Vérifier la liste des anomalies courantes</t>
  </si>
  <si>
    <t xml:space="preserve"> Quelles sont les erreurs fréquentes et leurs solutions ?</t>
  </si>
  <si>
    <t>Foire aux questions</t>
  </si>
  <si>
    <t>Surcharge du helpdesk</t>
  </si>
  <si>
    <t>Rubrique "Dépannage express" en tête de doc</t>
  </si>
  <si>
    <t xml:space="preserve"> S'assurer des procédures de correction étape par étape</t>
  </si>
  <si>
    <t xml:space="preserve"> Comment résoudre soi-même les problèmes simples ?</t>
  </si>
  <si>
    <t>Arbre décisionnel</t>
  </si>
  <si>
    <t>Appels évitables</t>
  </si>
  <si>
    <t>Coûts de support</t>
  </si>
  <si>
    <t>Intégrer un chatbot d'aide</t>
  </si>
  <si>
    <t xml:space="preserve"> Contrôler l'identification des contacts support</t>
  </si>
  <si>
    <t xml:space="preserve"> Qui contacter en cas de besoin ?</t>
  </si>
  <si>
    <t>Annuaire des contacts</t>
  </si>
  <si>
    <t>Délais allongés</t>
  </si>
  <si>
    <t>Liste hiérarchisée par urgence/métier</t>
  </si>
  <si>
    <t xml:space="preserve"> Vérifier les consignes de sécurité en cas d'erreur</t>
  </si>
  <si>
    <t xml:space="preserve"> Que faire en cas d'erreur critique ?</t>
  </si>
  <si>
    <t>Procédure d'urgence</t>
  </si>
  <si>
    <t>Dégâts aggravés</t>
  </si>
  <si>
    <t>Encadré rouge avec étapes claires</t>
  </si>
  <si>
    <t xml:space="preserve"> S'assurer des procédures d'escalade</t>
  </si>
  <si>
    <t xml:space="preserve"> Quand et comment escalader un problème ?</t>
  </si>
  <si>
    <t>Workflow d'escalade</t>
  </si>
  <si>
    <t>Définir 3 niveaux d'urgence</t>
  </si>
  <si>
    <t xml:space="preserve"> Vérifier la description des outputs principaux</t>
  </si>
  <si>
    <t xml:space="preserve"> Quels sont les documents/résultats produits ?</t>
  </si>
  <si>
    <t>Catalogue des outputs</t>
  </si>
  <si>
    <t>Mauvais usage des sorties</t>
  </si>
  <si>
    <t>Erreurs en aval</t>
  </si>
  <si>
    <t>Exemple complet avec annotations</t>
  </si>
  <si>
    <t xml:space="preserve"> S'assurer des explications sur l'interprétation</t>
  </si>
  <si>
    <t xml:space="preserve"> Comment lire et comprendre ces sorties ?</t>
  </si>
  <si>
    <t>Guide d'interprétation</t>
  </si>
  <si>
    <t>Mésanalyse</t>
  </si>
  <si>
    <t>Légender chaque section/champ</t>
  </si>
  <si>
    <t xml:space="preserve"> Contrôler les modes de distribution autorisés</t>
  </si>
  <si>
    <t xml:space="preserve"> Peut-on les exporter/imprimer/partager ?</t>
  </si>
  <si>
    <t>Procédures de partage</t>
  </si>
  <si>
    <t>Fuites involontaires</t>
  </si>
  <si>
    <t>Violations RGPD</t>
  </si>
  <si>
    <t>Icônes visibles + restrictions claires</t>
  </si>
  <si>
    <t xml:space="preserve"> Vérifier les règles de partage et confidentialité</t>
  </si>
  <si>
    <t xml:space="preserve"> Quelles restrictions s'appliquent à leur diffusion ?</t>
  </si>
  <si>
    <t>Politique de confidentialité</t>
  </si>
  <si>
    <t>Mentionner sur chaque page</t>
  </si>
  <si>
    <t xml:space="preserve"> S'assurer des fréquences de production</t>
  </si>
  <si>
    <t xml:space="preserve"> À quelle fréquence sont-ils générés ?</t>
  </si>
  <si>
    <t>Calendrier des rapports</t>
  </si>
  <si>
    <t>Réactivité réduite</t>
  </si>
  <si>
    <t>Indiquer dans l'en-tête</t>
  </si>
  <si>
    <t xml:space="preserve"> Vérifier les procédures de sauvegarde manuelle</t>
  </si>
  <si>
    <t xml:space="preserve"> Comment lancer une sauvegarde manuelle ?</t>
  </si>
  <si>
    <t>Procédure pas-à-pas</t>
  </si>
  <si>
    <t>Capture d'écran avec cercles rouges</t>
  </si>
  <si>
    <t xml:space="preserve"> S'assurer des fréquences d'archivage</t>
  </si>
  <si>
    <t xml:space="preserve"> Quand les sauvegardes automatiques ont-elles lieu ?</t>
  </si>
  <si>
    <t>Planning des backups</t>
  </si>
  <si>
    <t>Fausse sécurité</t>
  </si>
  <si>
    <t>Données non sauvegardées</t>
  </si>
  <si>
    <t>Afficher dans l'interface</t>
  </si>
  <si>
    <t xml:space="preserve"> Contrôler les responsabilités assignées</t>
  </si>
  <si>
    <t xml:space="preserve"> Qui est responsable de cette tâche ?</t>
  </si>
  <si>
    <t>Action orpheline</t>
  </si>
  <si>
    <t>Défaillance</t>
  </si>
  <si>
    <t>Nommer un référent par backup</t>
  </si>
  <si>
    <t xml:space="preserve"> Vérifier les supports autorisés</t>
  </si>
  <si>
    <t xml:space="preserve"> Où stocker les archives en toute sécurité ?</t>
  </si>
  <si>
    <t>Politique de stockage</t>
  </si>
  <si>
    <t>Vol/Corruption</t>
  </si>
  <si>
    <t>Irrécupérable</t>
  </si>
  <si>
    <t>Chiffrement AES-256 obligatoire</t>
  </si>
  <si>
    <t xml:space="preserve"> S'assurer des durées de conservation</t>
  </si>
  <si>
    <t xml:space="preserve"> Combien de temps conserver les données ?</t>
  </si>
  <si>
    <t>Tableau de rétention</t>
  </si>
  <si>
    <t>Aligner sur durée légale +20%</t>
  </si>
  <si>
    <t xml:space="preserve"> Vérifier l'existence d'une procédure formelle</t>
  </si>
  <si>
    <t xml:space="preserve"> Quel document décrit le processus de mise à jour ?</t>
  </si>
  <si>
    <t>Charte de maintenance</t>
  </si>
  <si>
    <t>Documentation obsolète</t>
  </si>
  <si>
    <t>Erreurs d'usage</t>
  </si>
  <si>
    <t>Versionner comme le code</t>
  </si>
  <si>
    <t xml:space="preserve"> S'assurer de la fréquence des révisions</t>
  </si>
  <si>
    <t xml:space="preserve"> À quelle fréquence le manuel est-il révisé ?</t>
  </si>
  <si>
    <t>Calendrier des mises à jour</t>
  </si>
  <si>
    <t>Désynchronisation</t>
  </si>
  <si>
    <t xml:space="preserve"> Contrôler le circuit de validation</t>
  </si>
  <si>
    <t xml:space="preserve"> Qui valide les modifications apportées ?</t>
  </si>
  <si>
    <t>Erreurs introduites</t>
  </si>
  <si>
    <t>Validation croisée MOA/MOE</t>
  </si>
  <si>
    <t xml:space="preserve"> Vérifier le système de versionnage</t>
  </si>
  <si>
    <t xml:space="preserve"> Comment identifier la version en vigueur ?</t>
  </si>
  <si>
    <t>Numéro visible sur chaque page/couverture</t>
  </si>
  <si>
    <t xml:space="preserve"> S'assurer de la diffusion des mises à jour</t>
  </si>
  <si>
    <t xml:space="preserve"> Comment les utilisateurs sont-ils informés des mises à jour ?</t>
  </si>
  <si>
    <t>Non-adoption des nouveautés</t>
  </si>
  <si>
    <t>Notifications push + résumé des changements</t>
  </si>
  <si>
    <t xml:space="preserve"> Vérifier l'existence d'une charte de gouvernance signée</t>
  </si>
  <si>
    <t xml:space="preserve"> Quel document définit formellement les rôles respectifs ?</t>
  </si>
  <si>
    <t>Charte de gouvernance projet</t>
  </si>
  <si>
    <t>Retards/Conflits</t>
  </si>
  <si>
    <t>Publier une matrice RACI validée par la DG</t>
  </si>
  <si>
    <t xml:space="preserve"> S'assurer que les périmètres d'intervention sont formalisés</t>
  </si>
  <si>
    <t xml:space="preserve"> Comment sont délimitées les responsabilités de chaque entité ?</t>
  </si>
  <si>
    <t>Contrat de service inter-équipes</t>
  </si>
  <si>
    <t>Chevauchements ou lacunes</t>
  </si>
  <si>
    <t>Livrables non produits</t>
  </si>
  <si>
    <t>Cartographier les frontières avec les processus métiers</t>
  </si>
  <si>
    <t xml:space="preserve"> Contrôler la description des livrables attendus par partie</t>
  </si>
  <si>
    <t xml:space="preserve"> Qui produit quoi dans la chaîne de livrables ?</t>
  </si>
  <si>
    <t>Workflow de production</t>
  </si>
  <si>
    <t>Déséquilibre de charge</t>
  </si>
  <si>
    <t>Visualiser en diagramme swimlanes</t>
  </si>
  <si>
    <t xml:space="preserve"> Vérifier les mécanismes d'arbitrage MOA/MOE</t>
  </si>
  <si>
    <t xml:space="preserve"> Comment sont résolus les désaccords ?</t>
  </si>
  <si>
    <t>Nommer un médiateur neutre (ex: PMO)</t>
  </si>
  <si>
    <t xml:space="preserve"> S'assurer que les flux décisionnels sont cartographiés</t>
  </si>
  <si>
    <t xml:space="preserve"> Qui prend quels types de décisions ?</t>
  </si>
  <si>
    <t>Paralysie ou micro-management</t>
  </si>
  <si>
    <t>Définir 4 niveaux de décision (opérationnel/tactique/stratégique/direction)</t>
  </si>
  <si>
    <t xml:space="preserve"> Vérifier la lettre de mission officielle</t>
  </si>
  <si>
    <t xml:space="preserve"> Le chef de projet dispose-t-il d'un mandat écrit ?</t>
  </si>
  <si>
    <t>Non-respect des consignes</t>
  </si>
  <si>
    <t>Faire signer par le sponsor avant le kick-off</t>
  </si>
  <si>
    <t xml:space="preserve"> S'assurer de la délégation de pouvoir écrite</t>
  </si>
  <si>
    <t xml:space="preserve"> Jusqu'à quel montant peut-il engager des dépenses ?</t>
  </si>
  <si>
    <t>Tableau des délégations financières</t>
  </si>
  <si>
    <t>Adapter aux seuils de la politique achats</t>
  </si>
  <si>
    <t xml:space="preserve"> Contrôler les limites budgétaires définies</t>
  </si>
  <si>
    <t xml:space="preserve"> Peut-il modifier l'allocation des ressources ?</t>
  </si>
  <si>
    <t>Politique de gestion des ressources</t>
  </si>
  <si>
    <t>Sous-optimisation</t>
  </si>
  <si>
    <t>Surcharge/oisiveté</t>
  </si>
  <si>
    <t>Limiter à ±15% du plan initial sans validation</t>
  </si>
  <si>
    <t xml:space="preserve"> Vérifier les capacités de reporting direct à la direction</t>
  </si>
  <si>
    <t xml:space="preserve"> A-t-il un accès direct au comité de direction ?</t>
  </si>
  <si>
    <t>Organigramme décisionnel</t>
  </si>
  <si>
    <t>Décisions déconnectées</t>
  </si>
  <si>
    <t>Prévoir 1 point mensuel avec la DG</t>
  </si>
  <si>
    <t xml:space="preserve"> S'assurer du pouvoir de validation des livrables</t>
  </si>
  <si>
    <t xml:space="preserve"> Quels livrables peut-il valider seul ?</t>
  </si>
  <si>
    <t>Liste des validations déléguées</t>
  </si>
  <si>
    <t>Goulet d'étranglement</t>
  </si>
  <si>
    <t>Accumulation des tâches</t>
  </si>
  <si>
    <t>Autoriser la validation des livrables de niveau 1-2</t>
  </si>
  <si>
    <t xml:space="preserve"> Vérifier les procédures de gestion des conflits</t>
  </si>
  <si>
    <t xml:space="preserve"> Comment sont gérés les conflits d'équipe ?</t>
  </si>
  <si>
    <t>Protocole RH projet</t>
  </si>
  <si>
    <t>Tensions persistantes</t>
  </si>
  <si>
    <t>Baisse de productivité</t>
  </si>
  <si>
    <t>Former les managers aux techniques de médiation</t>
  </si>
  <si>
    <t xml:space="preserve"> S'assurer de la reconnaissance hiérarchique de son rôle</t>
  </si>
  <si>
    <t xml:space="preserve"> Les N+1 soutiennent-ils systématiquement ses décisions ?</t>
  </si>
  <si>
    <t>Charte managériale projet</t>
  </si>
  <si>
    <t>Autorité affaiblie</t>
  </si>
  <si>
    <t>Intégrer au tableau de bord des managers</t>
  </si>
  <si>
    <t xml:space="preserve"> Contrôler l'existence d'un registre des arbitrages</t>
  </si>
  <si>
    <t xml:space="preserve"> Où sont archivées les décisions d'arbitrage ?</t>
  </si>
  <si>
    <t>Répétition des conflits</t>
  </si>
  <si>
    <t>Classer par date + thème dans la GED</t>
  </si>
  <si>
    <t xml:space="preserve"> Vérifier les mécanismes d'escalade</t>
  </si>
  <si>
    <t xml:space="preserve"> Que se passe-t-il en cas de blocage persistant ?</t>
  </si>
  <si>
    <t>Prévoir 3 niveaux d'escalade (technique/métier/direction)</t>
  </si>
  <si>
    <t xml:space="preserve"> S'assurer de la mise à disposition de leviers de sanction</t>
  </si>
  <si>
    <t xml:space="preserve"> Quels recours en cas de non-coopération ?</t>
  </si>
  <si>
    <t>Politique de sanctions</t>
  </si>
  <si>
    <t>Obstruction</t>
  </si>
  <si>
    <t>Culture toxique</t>
  </si>
  <si>
    <t>Lier à l'évaluation annuelle</t>
  </si>
  <si>
    <t xml:space="preserve"> Vérifier les matrices de compétences des équipes</t>
  </si>
  <si>
    <t xml:space="preserve"> Les compétences critiques sont-elles couvertes ?</t>
  </si>
  <si>
    <t>Matrice des compétences</t>
  </si>
  <si>
    <t>Incompétences clés</t>
  </si>
  <si>
    <t>Auditer trimestriellement avec les RH</t>
  </si>
  <si>
    <t xml:space="preserve"> S'assurer des plans de formation adaptés</t>
  </si>
  <si>
    <t xml:space="preserve"> Comment sont comblés les gaps identifiés ?</t>
  </si>
  <si>
    <t>Plan de montée en compétence</t>
  </si>
  <si>
    <t>Sous-performance chronique</t>
  </si>
  <si>
    <t>Budget dédié (5% masse salariale)</t>
  </si>
  <si>
    <t xml:space="preserve"> Contrôler l'adéquation ressources/charges</t>
  </si>
  <si>
    <t xml:space="preserve"> Le staffing correspond-il au planning ?</t>
  </si>
  <si>
    <t>Dashboard ressources</t>
  </si>
  <si>
    <t>Décalage capacité/besoin</t>
  </si>
  <si>
    <t>Réallocation hebdomadaire</t>
  </si>
  <si>
    <t xml:space="preserve"> Vérifier les processus de renfort exceptionnel</t>
  </si>
  <si>
    <t xml:space="preserve"> Existe-t-il une procédure de renfort rapide ?</t>
  </si>
  <si>
    <t>Plan de continuité RH</t>
  </si>
  <si>
    <t>Goulots critiques</t>
  </si>
  <si>
    <t>Maintenir un vivier de consultants agréés</t>
  </si>
  <si>
    <t xml:space="preserve"> S'assurer de la stabilité des effectifs clés</t>
  </si>
  <si>
    <t xml:space="preserve"> Quel est le taux de turnover des ressources clés ?</t>
  </si>
  <si>
    <t>Rapport RH projet</t>
  </si>
  <si>
    <t>Ralentissements</t>
  </si>
  <si>
    <t>Mesurer mensuellement (seuil d'alerte &gt;10%)</t>
  </si>
  <si>
    <t xml:space="preserve"> Vérifier la matrice des seuils décisionnels</t>
  </si>
  <si>
    <t xml:space="preserve"> Qui décide selon l'impact du sujet ?</t>
  </si>
  <si>
    <t>Grille d'impact-décision</t>
  </si>
  <si>
    <t>Coûts/risques mal maîtrisés</t>
  </si>
  <si>
    <t>Classer en 4 niveaux (mineur/majeur/critique/stratégique)</t>
  </si>
  <si>
    <t xml:space="preserve"> S'assurer de la représentativité des comités</t>
  </si>
  <si>
    <t xml:space="preserve"> Les décideurs ont-ils une vue complète des enjeux ?</t>
  </si>
  <si>
    <t>Reporting décisionnel</t>
  </si>
  <si>
    <t>Choix sous-optimaux</t>
  </si>
  <si>
    <t>Tableau de bord unifié (coûts/risques/avancement)</t>
  </si>
  <si>
    <t xml:space="preserve"> Contrôler le processus d'orientation stratégique</t>
  </si>
  <si>
    <t xml:space="preserve"> Comment sont formulées les orientations clés ?</t>
  </si>
  <si>
    <t>Mauvaises interprétations</t>
  </si>
  <si>
    <t>Rédiger en SMART (Spécifique, Mesurable, etc.)</t>
  </si>
  <si>
    <t xml:space="preserve"> Vérifier les délégations entre COPIL/COPRO</t>
  </si>
  <si>
    <t xml:space="preserve"> Quelle autonomie pour le comité projet ?</t>
  </si>
  <si>
    <t>Mandat du COPIL</t>
  </si>
  <si>
    <t>Délégation claire sur 80% des sujets</t>
  </si>
  <si>
    <t xml:space="preserve"> S'assurer de la traçabilité des choix majeurs</t>
  </si>
  <si>
    <t xml:space="preserve"> Où trouver l'historique des décisions importantes ?</t>
  </si>
  <si>
    <t>Archivage avec moteur de recherche</t>
  </si>
  <si>
    <t xml:space="preserve"> Vérifier les contrats avec les prestataires</t>
  </si>
  <si>
    <t xml:space="preserve"> Quels prestataires interviennent sur quels sujets ?</t>
  </si>
  <si>
    <t>Contrats cadre</t>
  </si>
  <si>
    <t>Empiètements</t>
  </si>
  <si>
    <t>Conflits/Surcharges</t>
  </si>
  <si>
    <t>Cartographie des lots externalisés</t>
  </si>
  <si>
    <t xml:space="preserve"> S'assurer de la définition claire des missions</t>
  </si>
  <si>
    <t xml:space="preserve"> Leurs périmètres d'intervention sont-ils sans ambiguïté ?</t>
  </si>
  <si>
    <t>Annexes techniques</t>
  </si>
  <si>
    <t>Pénuries</t>
  </si>
  <si>
    <t>Décrire en utilisant la méthode "IN/OUT"</t>
  </si>
  <si>
    <t xml:space="preserve"> Contrôler l'intégration des consultants dans les équipes</t>
  </si>
  <si>
    <t xml:space="preserve"> Comment travaillent-ils avec les internes ?</t>
  </si>
  <si>
    <t>Charte collaborative</t>
  </si>
  <si>
    <t>Silos</t>
  </si>
  <si>
    <t>Doublons/Retards</t>
  </si>
  <si>
    <t>Ateliers mixtes hebdomadaires</t>
  </si>
  <si>
    <t xml:space="preserve"> Vérifier les processus de transfert de compétences</t>
  </si>
  <si>
    <t xml:space="preserve"> Quel plan pour internaliser les savoir-faire ?</t>
  </si>
  <si>
    <t>Plan de transfert</t>
  </si>
  <si>
    <t>Dépendance externe</t>
  </si>
  <si>
    <t>Coûts récurrents</t>
  </si>
  <si>
    <t>Pair programming + documentation détaillée</t>
  </si>
  <si>
    <t xml:space="preserve"> S'assurer de l'évaluation régulière des apports</t>
  </si>
  <si>
    <t xml:space="preserve"> Comment mesure-t-on leur valeur ajoutée ?</t>
  </si>
  <si>
    <t>Grille d'évaluation prestataires</t>
  </si>
  <si>
    <t>Délais/Qualité dégradés</t>
  </si>
  <si>
    <t>5 critères : qualité/délais/coûts/innovation/relationnel</t>
  </si>
  <si>
    <t xml:space="preserve"> Vérifier le plan d'engagement utilisateurs</t>
  </si>
  <si>
    <t xml:space="preserve"> Quel calendrier d'implication des utilisateurs ?</t>
  </si>
  <si>
    <t>Plan d'engagement utilisateurs</t>
  </si>
  <si>
    <t>1 atelier/mois + tests utilisateurs continus</t>
  </si>
  <si>
    <t xml:space="preserve"> S'assurer de la représentativité des panels test</t>
  </si>
  <si>
    <t xml:space="preserve"> Tous les métiers impactés sont-ils représentés ?</t>
  </si>
  <si>
    <t>Problèmes post-déploiement</t>
  </si>
  <si>
    <t>Vérifier la couverture via l'organigramme</t>
  </si>
  <si>
    <t xml:space="preserve"> Contrôler les mécanismes de remontée continue</t>
  </si>
  <si>
    <t xml:space="preserve"> Comment peuvent-ils faire des suggestions en cours de projet ?</t>
  </si>
  <si>
    <t>Boîte à idées digitale</t>
  </si>
  <si>
    <t>Système de vote + récompenses</t>
  </si>
  <si>
    <t xml:space="preserve"> Vérifier l'impact réel des retours utilisateurs</t>
  </si>
  <si>
    <t xml:space="preserve"> Combien de leurs idées ont été implémentées ?</t>
  </si>
  <si>
    <t>Dashboard contribution</t>
  </si>
  <si>
    <t>Publier trimestriellement (objectif : ≥30%)</t>
  </si>
  <si>
    <t xml:space="preserve"> S'assurer de la reconnaissance des contributeurs</t>
  </si>
  <si>
    <t xml:space="preserve"> Comment sont remerciés les utilisateurs impliqués ?</t>
  </si>
  <si>
    <t>Badges/certificats + avantages</t>
  </si>
  <si>
    <t xml:space="preserve"> Vérifier les indicateurs de performance contractuels</t>
  </si>
  <si>
    <t xml:space="preserve"> Quels KPI déterminent la réussite du projet ?</t>
  </si>
  <si>
    <t>Tableau de bord stratégique</t>
  </si>
  <si>
    <t>5 indicateurs : coût/délais/qualité/ROI/satisfaction</t>
  </si>
  <si>
    <t xml:space="preserve"> S'assurer de la définition des critères de succès</t>
  </si>
  <si>
    <t xml:space="preserve"> Comment mesure-t-on l'atteinte des objectifs ?</t>
  </si>
  <si>
    <t>Biais d'auto-évaluation</t>
  </si>
  <si>
    <t>Surprise en clôture</t>
  </si>
  <si>
    <t>Audit indépendant à mi-parcours</t>
  </si>
  <si>
    <t xml:space="preserve"> Contrôler les mécanismes de bonus/malus</t>
  </si>
  <si>
    <t xml:space="preserve"> Quelles conséquences en cas de dérive ?</t>
  </si>
  <si>
    <t>Passivité</t>
  </si>
  <si>
    <t>Échec</t>
  </si>
  <si>
    <t>Actions correctives graduées (alerte/recadrage/arrêt)</t>
  </si>
  <si>
    <t xml:space="preserve"> Vérifier les engagements de service (SLA)</t>
  </si>
  <si>
    <t xml:space="preserve"> Quels niveaux de service sont garantis ?</t>
  </si>
  <si>
    <t>SLA interne</t>
  </si>
  <si>
    <t>Définir avec les métiers (dispo 99%/délais de correction)</t>
  </si>
  <si>
    <t xml:space="preserve"> S'assurer des clauses de revoyure périodique</t>
  </si>
  <si>
    <t xml:space="preserve"> Quand réévalue-t-on les engagements ?</t>
  </si>
  <si>
    <t>Engagements obsolètes</t>
  </si>
  <si>
    <t>Inadéquation</t>
  </si>
  <si>
    <t>Trimestriellement + aléas majeurs</t>
  </si>
  <si>
    <t xml:space="preserve"> Existence d'un registre centralisé des demandes</t>
  </si>
  <si>
    <t xml:space="preserve"> Combien de demandes ont été enregistrées ce trimestre ?</t>
  </si>
  <si>
    <t>Rapport trimestriel de demandes</t>
  </si>
  <si>
    <t>Manque de visibilité sur l’activité</t>
  </si>
  <si>
    <t>Décisions basées sur des données obsolètes</t>
  </si>
  <si>
    <t>Automatiser la génération de rapports mensuels/trimestriels.</t>
  </si>
  <si>
    <t xml:space="preserve"> Suivi mensuel du volume de demandes</t>
  </si>
  <si>
    <t xml:space="preserve"> Quel est le taux d'évolution mensuel moyen ?</t>
  </si>
  <si>
    <t>Statistiques d’évolution des demandes</t>
  </si>
  <si>
    <t>Déséquilibre charge de travail</t>
  </si>
  <si>
    <t>Retards de traitement</t>
  </si>
  <si>
    <t>Analyser les tendances et ajuster les ressources en conséquence.</t>
  </si>
  <si>
    <t xml:space="preserve"> Analyse des tendances sur 6 mois</t>
  </si>
  <si>
    <t xml:space="preserve"> Observe-t-on des pics saisonniers ?</t>
  </si>
  <si>
    <t>Historique des demandes par période</t>
  </si>
  <si>
    <t>Surcharge opérationnelle imprévue</t>
  </si>
  <si>
    <t>Qualité de service dégradée</t>
  </si>
  <si>
    <t>Anticiper les pics avec des plans de renfort ou délais ajustés.</t>
  </si>
  <si>
    <t xml:space="preserve"> Catégorisation des types de demandes</t>
  </si>
  <si>
    <t xml:space="preserve"> Quels services émettent le plus de demandes ?</t>
  </si>
  <si>
    <t>Répartition des demandes par service</t>
  </si>
  <si>
    <t>Inégalité de charge entre services</t>
  </si>
  <si>
    <t>Frustration, inefficacité</t>
  </si>
  <si>
    <t>Équilibrer les ressources ou former les services moins actifs.</t>
  </si>
  <si>
    <t xml:space="preserve"> Identification des causes récurrentes</t>
  </si>
  <si>
    <t xml:space="preserve"> Quels sont les motifs récurrents ?</t>
  </si>
  <si>
    <t>Catalogue des motifs de demandes</t>
  </si>
  <si>
    <t>Demandes mal formulées ou redondantes</t>
  </si>
  <si>
    <t>Standardiser les motifs et former les demandeurs.</t>
  </si>
  <si>
    <t xml:space="preserve"> Formulaire type obligatoire</t>
  </si>
  <si>
    <t xml:space="preserve"> Existe-t-il un modèle de demande standard ?</t>
  </si>
  <si>
    <t>Modèle de demande officiel</t>
  </si>
  <si>
    <t>Demandes incomplètes ou non conformes</t>
  </si>
  <si>
    <t>Rejets fréquents, retards</t>
  </si>
  <si>
    <t>Imposer l’utilisation du modèle et le rendre accessible.</t>
  </si>
  <si>
    <t xml:space="preserve"> Champs obligatoires complets</t>
  </si>
  <si>
    <t xml:space="preserve"> Toutes les demandes contiennent-elles une analyse d'impact ?</t>
  </si>
  <si>
    <t>Checklist de validation des demandes</t>
  </si>
  <si>
    <t>Prise de décision sans évaluation</t>
  </si>
  <si>
    <t>Erreurs coûteuses</t>
  </si>
  <si>
    <t>Bloquer les demandes sans analyse d’impact.</t>
  </si>
  <si>
    <t xml:space="preserve"> Workflow de validation</t>
  </si>
  <si>
    <t xml:space="preserve"> Comment sont tracées les validations intermédiaires ?</t>
  </si>
  <si>
    <t>Journal des validations</t>
  </si>
  <si>
    <t>Litiges, responsabilités floues</t>
  </si>
  <si>
    <t>Utiliser un système de suivi (workflow) avec notifications.</t>
  </si>
  <si>
    <t xml:space="preserve"> Historique des modifications</t>
  </si>
  <si>
    <t xml:space="preserve"> Peut-on consulter l'historique d'une demande ?</t>
  </si>
  <si>
    <t>Base de données des demandes</t>
  </si>
  <si>
    <t>Manque de transparence</t>
  </si>
  <si>
    <t>Difficulté à auditer</t>
  </si>
  <si>
    <t>Centraliser l’historique dans un outil accessible.</t>
  </si>
  <si>
    <t xml:space="preserve"> Système unique de suivi</t>
  </si>
  <si>
    <t xml:space="preserve"> Toutes les demandes transitent-elles par le même canal ?</t>
  </si>
  <si>
    <t>Procédure de dépôt des demandes</t>
  </si>
  <si>
    <t>Demandes égarées ou non tracées</t>
  </si>
  <si>
    <t>Perte d’information</t>
  </si>
  <si>
    <t>Uniformiser les canaux et former les utilisateurs.</t>
  </si>
  <si>
    <t xml:space="preserve"> Document officiel approuvé</t>
  </si>
  <si>
    <t xml:space="preserve"> Où consulter la procédure validée ?</t>
  </si>
  <si>
    <t>Application de règles divergentes</t>
  </si>
  <si>
    <t>Mettre à jour et diffuser la procédure centralisée.</t>
  </si>
  <si>
    <t xml:space="preserve"> Rôles clairement attribués</t>
  </si>
  <si>
    <t xml:space="preserve"> Qui analyse les demandes techniques ?</t>
  </si>
  <si>
    <t>Matrice des responsabilités (RACI)</t>
  </si>
  <si>
    <t>Retards dans l’expertise</t>
  </si>
  <si>
    <t>Goulot d’étranglement</t>
  </si>
  <si>
    <t>Désigner clairement les experts et définir des délais d’analyse.</t>
  </si>
  <si>
    <t xml:space="preserve"> Grille d'évaluation d'impact</t>
  </si>
  <si>
    <t xml:space="preserve"> Comment est calculé l'impact financier ?</t>
  </si>
  <si>
    <t>Grille d’évaluation financière</t>
  </si>
  <si>
    <t>Sous/surestimation des coûts</t>
  </si>
  <si>
    <t>Standardiser la méthode et former les évaluateurs.</t>
  </si>
  <si>
    <t xml:space="preserve"> Critères de priorisation</t>
  </si>
  <si>
    <t xml:space="preserve"> Quels critères déterminent la priorité ?</t>
  </si>
  <si>
    <t>Politique de priorisation</t>
  </si>
  <si>
    <t>Priorités mal attribuées</t>
  </si>
  <si>
    <t>Ressources mal allouées</t>
  </si>
  <si>
    <t>Formaliser des critères objectifs (urgence, valeur métier, etc.).</t>
  </si>
  <si>
    <t xml:space="preserve"> Circuit de validation adapté</t>
  </si>
  <si>
    <t xml:space="preserve"> Qui valide les demandes majeures ?</t>
  </si>
  <si>
    <t>Procès-verbal de validation</t>
  </si>
  <si>
    <t>Décisions non autorisées</t>
  </si>
  <si>
    <t>Risques juridiques/financiers</t>
  </si>
  <si>
    <t>Établir un comité de validation pour les demandes critiques.</t>
  </si>
  <si>
    <t xml:space="preserve"> Politique de versionnage</t>
  </si>
  <si>
    <t xml:space="preserve"> Quel système de numérotation est utilisé ?</t>
  </si>
  <si>
    <t>Référentiel des demandes</t>
  </si>
  <si>
    <t>Doublons ou incohérences</t>
  </si>
  <si>
    <t>Difficulté de suivi</t>
  </si>
  <si>
    <t>Utiliser un identifiant unique généré automatiquement.</t>
  </si>
  <si>
    <t xml:space="preserve"> Documentation des évolutions</t>
  </si>
  <si>
    <t xml:space="preserve"> Où trouver le détail des modifications par version ?</t>
  </si>
  <si>
    <t>Journal des versions (release notes)</t>
  </si>
  <si>
    <t>Utilisation de versions obsolètes</t>
  </si>
  <si>
    <t>Bugs, incompatibilités</t>
  </si>
  <si>
    <t>Maintenir un journal accessible et notifier des mises à jour.</t>
  </si>
  <si>
    <t xml:space="preserve"> Tests de compatibilité</t>
  </si>
  <si>
    <t xml:space="preserve"> Comment vérifie-t-on la rétrocompatibilité ?</t>
  </si>
  <si>
    <t>Procédure de tests de compatibilité</t>
  </si>
  <si>
    <t>Dysfonctionnements post-déploiement</t>
  </si>
  <si>
    <t>Perturbation des services</t>
  </si>
  <si>
    <t>Intégrer des tests automatisés avant déploiement.</t>
  </si>
  <si>
    <t xml:space="preserve"> Plan de déploiement</t>
  </si>
  <si>
    <t xml:space="preserve"> Existe-t-il un calendrier de déploiement ?</t>
  </si>
  <si>
    <t>Calendrier des déploiements</t>
  </si>
  <si>
    <t>Conflits de déploiement</t>
  </si>
  <si>
    <t>Interruptions non planifiées</t>
  </si>
  <si>
    <t>Planifier et communiquer les déploiements à l’avance.</t>
  </si>
  <si>
    <t xml:space="preserve"> Communication aux utilisateurs</t>
  </si>
  <si>
    <t xml:space="preserve"> Comment informe-t-on des nouvelles fonctionnalités ?</t>
  </si>
  <si>
    <t>Mauvaise adoption par les utilisateurs</t>
  </si>
  <si>
    <t>Notifier par e-mail/alertes et fournir un guide utilisateur.</t>
  </si>
  <si>
    <t xml:space="preserve"> Engagement sur SLA décisionnel</t>
  </si>
  <si>
    <t xml:space="preserve"> Quel est le délai maximum pour une réponse ?</t>
  </si>
  <si>
    <t>Charte des délais de traitement</t>
  </si>
  <si>
    <t>Retards excessifs</t>
  </si>
  <si>
    <t>Insatisfaction des demandeurs</t>
  </si>
  <si>
    <t>Fixer des SLA (délais contractuels) et les surveiller.</t>
  </si>
  <si>
    <t xml:space="preserve"> Suivi des délais réels</t>
  </si>
  <si>
    <t xml:space="preserve"> Quel est le temps moyen de traitement actuel ?</t>
  </si>
  <si>
    <t>Dashboard de suivi des délais</t>
  </si>
  <si>
    <t>Inefficacité du processus</t>
  </si>
  <si>
    <t>Identifier les étapes bloquantes et optimiser le workflow.</t>
  </si>
  <si>
    <t xml:space="preserve"> Procédure accélérée</t>
  </si>
  <si>
    <t xml:space="preserve"> Existe-t-il une procédure d'urgence ?</t>
  </si>
  <si>
    <t>Procédure pour demandes urgentes</t>
  </si>
  <si>
    <t>Gestion inefficace des crises</t>
  </si>
  <si>
    <t>Impacts opérationnels majeurs</t>
  </si>
  <si>
    <t>Définir des critères d’urgence et un circuit accéléré.</t>
  </si>
  <si>
    <t xml:space="preserve"> Analyse des retards</t>
  </si>
  <si>
    <t xml:space="preserve"> Quelles sont les causes principales des retards ?</t>
  </si>
  <si>
    <t>Rapport d’analyse des retards</t>
  </si>
  <si>
    <t>Répétition des mêmes problèmes</t>
  </si>
  <si>
    <t>Dégradation de la performance</t>
  </si>
  <si>
    <t>Mettre en place des actions correctives ciblées.</t>
  </si>
  <si>
    <t xml:space="preserve"> Mesures correctives</t>
  </si>
  <si>
    <t xml:space="preserve"> Quelles améliorations ont été mises en place ?</t>
  </si>
  <si>
    <t>Compte-rendu des optimisations</t>
  </si>
  <si>
    <t>Stagnation du processus</t>
  </si>
  <si>
    <t>Gains d’efficacité limités</t>
  </si>
  <si>
    <t>Évaluer régulièrement l’impact des améliorations.</t>
  </si>
  <si>
    <t xml:space="preserve"> Dossier d'analyse complet</t>
  </si>
  <si>
    <t xml:space="preserve"> Quels éléments doivent figurer dans le dossier ?</t>
  </si>
  <si>
    <t>Checklist des pièces obligatoires</t>
  </si>
  <si>
    <t>Dossiers incomplets</t>
  </si>
  <si>
    <t>Rejets ou retards</t>
  </si>
  <si>
    <t>Intégrer la checklist dans le formulaire de demande.</t>
  </si>
  <si>
    <t xml:space="preserve"> Consultation des experts</t>
  </si>
  <si>
    <t xml:space="preserve"> Les métiers sont-ils systématiquement consultés ?</t>
  </si>
  <si>
    <t>PV de réunions de consultation</t>
  </si>
  <si>
    <t>Besoins métier ignorés</t>
  </si>
  <si>
    <t>Imposer une phase de consultation obligatoire pour les demandes complexes.</t>
  </si>
  <si>
    <t xml:space="preserve"> Évaluation multicritère</t>
  </si>
  <si>
    <t xml:space="preserve"> Comment sont pondérés les critères ?</t>
  </si>
  <si>
    <t>Grille de pondération des critères</t>
  </si>
  <si>
    <t>Subjectivité dans les décisions</t>
  </si>
  <si>
    <t>Rendre publics les critères et leurs poids.</t>
  </si>
  <si>
    <t xml:space="preserve"> Archivage des éléments</t>
  </si>
  <si>
    <t xml:space="preserve"> Où sont stockées les pièces justificatives ?</t>
  </si>
  <si>
    <t>Répertoire sécurisé des documents</t>
  </si>
  <si>
    <t>Non-conformité RGPD</t>
  </si>
  <si>
    <t>Utiliser un outil de GED (Gestion Électronique de Documents) avec accès contrôlé.</t>
  </si>
  <si>
    <t xml:space="preserve"> Communication des motifs</t>
  </si>
  <si>
    <t xml:space="preserve"> Les refus sont-ils dûment motivés ?</t>
  </si>
  <si>
    <t>Modèle de réponse de refus</t>
  </si>
  <si>
    <t>Litiges ou incompréhension</t>
  </si>
  <si>
    <t>Exiger une justification claire et l’archiver.</t>
  </si>
  <si>
    <t xml:space="preserve"> Procédure documentée</t>
  </si>
  <si>
    <t xml:space="preserve"> Quel document décrit le processus ?</t>
  </si>
  <si>
    <t>Schéma processus ou fiche procédure</t>
  </si>
  <si>
    <t>Erreurs d’exécution</t>
  </si>
  <si>
    <t>Mettre à jour et partager la documentation officielle.</t>
  </si>
  <si>
    <t xml:space="preserve"> À quelle fréquence les mises à jour ont-elles lieu ?</t>
  </si>
  <si>
    <t>Planning de révision des processus</t>
  </si>
  <si>
    <t>Processus obsolètes</t>
  </si>
  <si>
    <t>Planifier des revues annuelles (ou déclenchées par des changements majeurs).</t>
  </si>
  <si>
    <t xml:space="preserve"> Responsables identifiés</t>
  </si>
  <si>
    <t xml:space="preserve"> Qui valide les modifications ?</t>
  </si>
  <si>
    <t>PV de validation des modifications</t>
  </si>
  <si>
    <t>Changements non autorisés</t>
  </si>
  <si>
    <t>Risques opérationnels</t>
  </si>
  <si>
    <t>Désigner un comité de validation pour toute modification.</t>
  </si>
  <si>
    <t xml:space="preserve"> Versionnage contrôlé</t>
  </si>
  <si>
    <t xml:space="preserve"> Comment identifier la dernière version ?</t>
  </si>
  <si>
    <t>Historique des versions documenté</t>
  </si>
  <si>
    <t>Utilisation de versions erronées</t>
  </si>
  <si>
    <t>Ajouter un numéro de version et une date à tous les documents.</t>
  </si>
  <si>
    <t xml:space="preserve"> Diffusion planifiée</t>
  </si>
  <si>
    <t xml:space="preserve"> Comment les utilisateurs sont-ils avertis ?</t>
  </si>
  <si>
    <t>Registre des notifications envoyées</t>
  </si>
  <si>
    <t>Manque d’information des parties prenantes</t>
  </si>
  <si>
    <t>Retards dans l’adoption</t>
  </si>
  <si>
    <t>Automatiser les notifications via e-mail/portail.</t>
  </si>
  <si>
    <t xml:space="preserve"> Vérifier la checklist des engagements</t>
  </si>
  <si>
    <t xml:space="preserve"> Quels sont les engagements des fournisseurs ?</t>
  </si>
  <si>
    <t xml:space="preserve"> S'assurer du suivi des délais</t>
  </si>
  <si>
    <t xml:space="preserve"> Comment suit-on le respect des échéances ?</t>
  </si>
  <si>
    <t xml:space="preserve"> Contrôler les clauses contractuelles</t>
  </si>
  <si>
    <t xml:space="preserve"> Où trouver les clauses contraignantes ?</t>
  </si>
  <si>
    <t xml:space="preserve"> Vérifier la procédure d'escalade</t>
  </si>
  <si>
    <t xml:space="preserve"> Que faire en cas de manquement répété ?</t>
  </si>
  <si>
    <t xml:space="preserve"> S'assurer de l'évaluation post-MEP</t>
  </si>
  <si>
    <t xml:space="preserve"> Comment évalue-t-on les performances post-MEP ?</t>
  </si>
  <si>
    <t xml:space="preserve"> Vérifier l'existence d'une charte signée</t>
  </si>
  <si>
    <t xml:space="preserve"> Où trouver la version validée du document ?</t>
  </si>
  <si>
    <t>Registre des versions approuvées</t>
  </si>
  <si>
    <t>Utilisation de versions non validées</t>
  </si>
  <si>
    <t>Non-conformité opérationnelle</t>
  </si>
  <si>
    <t>Centraliser les documents validés dans un référentiel unique avec contrôle d'accès</t>
  </si>
  <si>
    <t xml:space="preserve"> S'assurer de la description des périmètres</t>
  </si>
  <si>
    <t xml:space="preserve"> Comment sont délimitées les zones d'intervention ?</t>
  </si>
  <si>
    <t>Cartographie des périmètres d'action</t>
  </si>
  <si>
    <t>Empiètement des responsabilités</t>
  </si>
  <si>
    <t>Élaborer une cartographie visuelle mise à jour régulièrement</t>
  </si>
  <si>
    <t xml:space="preserve"> Contrôler le processus MEP documenté</t>
  </si>
  <si>
    <t xml:space="preserve"> Les étapes critiques sont-elles décrites ?</t>
  </si>
  <si>
    <t>Procédure opérationnelle permanente</t>
  </si>
  <si>
    <t>Erreurs dans les processus sensibles</t>
  </si>
  <si>
    <t>Identifier et documenter spécifiquement les étapes critiques avec alertes</t>
  </si>
  <si>
    <t xml:space="preserve"> Vérifier l'attribution des rôles par phase</t>
  </si>
  <si>
    <t xml:space="preserve"> Existe-t-il une matrice RACI pour la MEP ?</t>
  </si>
  <si>
    <t>Matrice RACI officielle</t>
  </si>
  <si>
    <t>Confusion dans les rôles</t>
  </si>
  <si>
    <t>Créer et diffuser une matrice RACI spécifique au projet</t>
  </si>
  <si>
    <t xml:space="preserve"> S'assurer du circuit de validation formalisé</t>
  </si>
  <si>
    <t xml:space="preserve"> Qui a approuvé le document en dernier ?</t>
  </si>
  <si>
    <t>Journal des approbations</t>
  </si>
  <si>
    <t>Recours à des documents obsolètes</t>
  </si>
  <si>
    <t>Décisions non conformes</t>
  </si>
  <si>
    <t>Implémenter un système de signature électronique avec historique</t>
  </si>
  <si>
    <t xml:space="preserve"> Vérifier le plan de communication</t>
  </si>
  <si>
    <t xml:space="preserve"> Comment les nouvelles équipes sont-elles formées ?</t>
  </si>
  <si>
    <t>Programme de formation validé</t>
  </si>
  <si>
    <t>Incompétence opérationnelle</t>
  </si>
  <si>
    <t>Développer un parcours d'onboarding standardisé</t>
  </si>
  <si>
    <t xml:space="preserve"> S'assurer des formations annuelles</t>
  </si>
  <si>
    <t xml:space="preserve"> Quel % du personnel a suivi la formation ?</t>
  </si>
  <si>
    <t>Rapport de complétion des formations</t>
  </si>
  <si>
    <t>Lacunes de compétences</t>
  </si>
  <si>
    <t>Non-respect des procédures</t>
  </si>
  <si>
    <t>Automatiser le suivi des formations obligatoires</t>
  </si>
  <si>
    <t xml:space="preserve"> Contrôler les quiz de validation</t>
  </si>
  <si>
    <t xml:space="preserve"> Existe-t-il un test de connaissance obligatoire ?</t>
  </si>
  <si>
    <t>Grille d'évaluation des connaissances</t>
  </si>
  <si>
    <t>Application erronée des procédures</t>
  </si>
  <si>
    <t>Instaurer des tests réguliers avec seuil de validation</t>
  </si>
  <si>
    <t xml:space="preserve"> Vérifier les indicateurs de conformité</t>
  </si>
  <si>
    <t xml:space="preserve"> Quel est le taux de conformité mesuré ?</t>
  </si>
  <si>
    <t>Tableau de bord de conformité</t>
  </si>
  <si>
    <t>Mettre en place des indicateurs clés mensuels</t>
  </si>
  <si>
    <t xml:space="preserve"> S'assurer de la procédure de signalement</t>
  </si>
  <si>
    <t xml:space="preserve"> Comment signaler un non-respect ?</t>
  </si>
  <si>
    <t>Procédure de reporting des écarts</t>
  </si>
  <si>
    <t>Non-détection des violations</t>
  </si>
  <si>
    <t>Aggravation des problèmes</t>
  </si>
  <si>
    <t>Créer un canal dédié et anonyme pour remonter les écarts</t>
  </si>
  <si>
    <t>Contrat cadre avec SLA</t>
  </si>
  <si>
    <t>Non-performance des tiers</t>
  </si>
  <si>
    <t>Inclure des pénalités contractuelles claires</t>
  </si>
  <si>
    <t>Planning de suivi des délais</t>
  </si>
  <si>
    <t>Retards cumulatifs</t>
  </si>
  <si>
    <t>Utiliser un outil de gestion de projet avec alertes</t>
  </si>
  <si>
    <t>Recueil des clauses contractuelles</t>
  </si>
  <si>
    <t>Manquements involontaires</t>
  </si>
  <si>
    <t>Créer un référentiel contractuel accessible</t>
  </si>
  <si>
    <t>Procédure de gestion des manquements</t>
  </si>
  <si>
    <t>Tolérance aux écarts</t>
  </si>
  <si>
    <t>Appliquer une gradation des sanctions documentée</t>
  </si>
  <si>
    <t>Rapport d'évaluation post-déploiement</t>
  </si>
  <si>
    <t>Non-atteinte des objectifs</t>
  </si>
  <si>
    <t>Prévoir des revues à 30/60/90 jours</t>
  </si>
  <si>
    <t xml:space="preserve"> Vérifier la convention de transfert</t>
  </si>
  <si>
    <t xml:space="preserve"> Qui signe le transfert de responsabilité ?</t>
  </si>
  <si>
    <t>PV de livraison/reprise</t>
  </si>
  <si>
    <t>Flou sur la responsabilité</t>
  </si>
  <si>
    <t>Défaut de prise en charge</t>
  </si>
  <si>
    <t>Formaliser un processus de handover signé</t>
  </si>
  <si>
    <t xml:space="preserve"> S'assurer de l'inventaire des éléments</t>
  </si>
  <si>
    <t xml:space="preserve"> Quels composants sont explicitement listés ?</t>
  </si>
  <si>
    <t>Inventaire technique détaillé</t>
  </si>
  <si>
    <t>Maintenance incomplète</t>
  </si>
  <si>
    <t>Pannes critiques</t>
  </si>
  <si>
    <t>Maintenir un CMDB à jour avec responsables</t>
  </si>
  <si>
    <t xml:space="preserve"> Contrôler le délai contractuel</t>
  </si>
  <si>
    <t xml:space="preserve"> Quel est le SLA de reprise ?</t>
  </si>
  <si>
    <t>Accord de niveau de service</t>
  </si>
  <si>
    <t>Temps d'indisponibilité excessif</t>
  </si>
  <si>
    <t>Définir des SLA réalistes et mesurables</t>
  </si>
  <si>
    <t xml:space="preserve"> Vérifier la procédure de recette</t>
  </si>
  <si>
    <t xml:space="preserve"> Comment valider la reprise par la maintenance ?</t>
  </si>
  <si>
    <t>Checklist de reprise validée</t>
  </si>
  <si>
    <t>Reprise partielle</t>
  </si>
  <si>
    <t>Dysfonctionnements résiduels</t>
  </si>
  <si>
    <t>Élaborer des scénarios de tests complets</t>
  </si>
  <si>
    <t xml:space="preserve"> S'assurer de la période de rodage</t>
  </si>
  <si>
    <t xml:space="preserve"> Quelle est la durée de surveillance convenue ?</t>
  </si>
  <si>
    <t>Protocole de surveillance post-évolution</t>
  </si>
  <si>
    <t>Détection tardive des problèmes</t>
  </si>
  <si>
    <t>Impacts prolongés</t>
  </si>
  <si>
    <t>Fixer une période de rodage avec monitoring renforcé</t>
  </si>
  <si>
    <t xml:space="preserve"> Vérifier la matrice d'incompatibilités</t>
  </si>
  <si>
    <t xml:space="preserve"> Quels rôles sont incompatibles ?</t>
  </si>
  <si>
    <t>Matrice de séparation des tâches</t>
  </si>
  <si>
    <t>Conflits d'intérêts</t>
  </si>
  <si>
    <t>Appliquer le principe des "four eyes" sur les tâches sensibles</t>
  </si>
  <si>
    <t xml:space="preserve"> S'assurer des contrôles croisés</t>
  </si>
  <si>
    <t xml:space="preserve"> Quelles opérations nécessitent un 2nd avis ?</t>
  </si>
  <si>
    <t>Liste des validations à quatre yeux</t>
  </si>
  <si>
    <t>Prise de risque inconsidérée</t>
  </si>
  <si>
    <t>Incidents graves</t>
  </si>
  <si>
    <t>Formaliser les approbations conjointes pour les actions critiques</t>
  </si>
  <si>
    <t xml:space="preserve"> Contrôler l'audit trail</t>
  </si>
  <si>
    <t xml:space="preserve"> Comment tracer les modifications en production ?</t>
  </si>
  <si>
    <t>Journal des changements validés</t>
  </si>
  <si>
    <t>Incidents non traçables</t>
  </si>
  <si>
    <t>Imposer un système de tickets avec approbation préalable</t>
  </si>
  <si>
    <t xml:space="preserve"> Vérifier la double validation</t>
  </si>
  <si>
    <t xml:space="preserve"> Qui valide les accès privilégiés ?</t>
  </si>
  <si>
    <t>Politique de gestion des privilèges</t>
  </si>
  <si>
    <t>Accès non autorisés</t>
  </si>
  <si>
    <t>Breach de sécurité</t>
  </si>
  <si>
    <t>Mettre en place un workflow d'approbation à plusieurs niveaux</t>
  </si>
  <si>
    <t xml:space="preserve"> S'assurer des revues trimestrielles</t>
  </si>
  <si>
    <t xml:space="preserve"> Quand a eu lieu la dernière revue ?</t>
  </si>
  <si>
    <t>PV de revue périodique</t>
  </si>
  <si>
    <t>Planifier des revues trimestrielles systématiques</t>
  </si>
  <si>
    <t xml:space="preserve"> Vérifier le runbook complet</t>
  </si>
  <si>
    <t xml:space="preserve"> Où consulter le runbook complet ?</t>
  </si>
  <si>
    <t>Référentiel des runbooks</t>
  </si>
  <si>
    <t>Procédures incohérentes</t>
  </si>
  <si>
    <t>Erreurs humaines</t>
  </si>
  <si>
    <t>Centraliser la documentation opérationnelle</t>
  </si>
  <si>
    <t xml:space="preserve"> S'assurer des fiches illustrées</t>
  </si>
  <si>
    <t xml:space="preserve"> Les procédures incluent-elles des captures ?</t>
  </si>
  <si>
    <t>Documentation illustrée</t>
  </si>
  <si>
    <t>Mauvaise interprétation</t>
  </si>
  <si>
    <t>Application erronée</t>
  </si>
  <si>
    <t>Compléter les procédures par des visuels annotés</t>
  </si>
  <si>
    <t xml:space="preserve"> Contrôler les contacts d'urgence</t>
  </si>
  <si>
    <t xml:space="preserve"> Quand les contacts ont-ils été vérifiés ?</t>
  </si>
  <si>
    <t>Annuaire des contacts certifié</t>
  </si>
  <si>
    <t>Canaux de communication obsolètes</t>
  </si>
  <si>
    <t>Retard dans l'urgence</t>
  </si>
  <si>
    <t>Vérifier les contacts bimestriellement</t>
  </si>
  <si>
    <t xml:space="preserve"> Vérifier les schémas d'architecture</t>
  </si>
  <si>
    <t xml:space="preserve"> Les schémas reflètent-ils l'état courant ?</t>
  </si>
  <si>
    <t>Politique de mise à jour des schémas</t>
  </si>
  <si>
    <t>Interventions inadaptées</t>
  </si>
  <si>
    <t>Lier les schémas au système de gestion des changements</t>
  </si>
  <si>
    <t xml:space="preserve"> S'assurer du processus de MAJ</t>
  </si>
  <si>
    <t xml:space="preserve"> Qui valide les MAJ documentaires ?</t>
  </si>
  <si>
    <t>Workflow d'approbation documentaire</t>
  </si>
  <si>
    <t>Incohérences documentaires</t>
  </si>
  <si>
    <t>Désigner des propriétaires documentaires par domaine</t>
  </si>
  <si>
    <t xml:space="preserve"> Vérifier la politique de moindre privilège</t>
  </si>
  <si>
    <t xml:space="preserve"> Comment sont attribués les droits en production ?</t>
  </si>
  <si>
    <t>Sur-attribution de droits</t>
  </si>
  <si>
    <t>Risque de sécurité</t>
  </si>
  <si>
    <t>Appliquer le principe du moindre privilège</t>
  </si>
  <si>
    <t xml:space="preserve"> S'assurer des révisions trimestrielles</t>
  </si>
  <si>
    <t xml:space="preserve"> Quand a eu lieu la dernière revue des accès ?</t>
  </si>
  <si>
    <t>Rapport de revue des habilitations</t>
  </si>
  <si>
    <t>Accès obsolètes</t>
  </si>
  <si>
    <t>Exposition au risque</t>
  </si>
  <si>
    <t>Planifier des revues semestrielles des accès</t>
  </si>
  <si>
    <t xml:space="preserve"> Contrôler le journal des accès</t>
  </si>
  <si>
    <t xml:space="preserve"> Comment tracer les accès sensibles ?</t>
  </si>
  <si>
    <t>Journal des accès privilégiés</t>
  </si>
  <si>
    <t>Détection tardive des abus</t>
  </si>
  <si>
    <t>Implémenter un système de logging centralisé</t>
  </si>
  <si>
    <t xml:space="preserve"> Vérifier la procédure de révocation</t>
  </si>
  <si>
    <t xml:space="preserve"> Que faire en cas de compromission ?</t>
  </si>
  <si>
    <t>Plan de réponse aux incidents</t>
  </si>
  <si>
    <t>Gestion de crise inefficace</t>
  </si>
  <si>
    <t>Aggravation de l'incident</t>
  </si>
  <si>
    <t>Tester régulièrement le plan sur des scénarios réalistes</t>
  </si>
  <si>
    <t xml:space="preserve"> S'assurer de l'audit annuel</t>
  </si>
  <si>
    <t xml:space="preserve"> Qui réalise l'audit des permissions ?</t>
  </si>
  <si>
    <t>Programme d'audit des accès</t>
  </si>
  <si>
    <t>Contrôles insuffisants</t>
  </si>
  <si>
    <t>Vulnérabilités persistantes</t>
  </si>
  <si>
    <t>Confier l'audit à une équipe indépendante</t>
  </si>
  <si>
    <t xml:space="preserve">S’assurer qu’une structure de centre d’assistance (help-desk) 
(HD) est mise en place </t>
  </si>
  <si>
    <t xml:space="preserve"> Vérifier l'existence d'une charte du HD</t>
  </si>
  <si>
    <t xml:space="preserve"> Où trouver la charte officielle du HD ?</t>
  </si>
  <si>
    <t>Charte du help desk validée</t>
  </si>
  <si>
    <t>Incohérence dans le service</t>
  </si>
  <si>
    <t>Publier la charte sur l'intranet et la partager lors des formations</t>
  </si>
  <si>
    <t xml:space="preserve"> S'assurer de la définition des rôles (techniciens, superviseurs)</t>
  </si>
  <si>
    <t xml:space="preserve"> Qui compose l'équipe du help desk ?</t>
  </si>
  <si>
    <t>Organigramme de l'équipe HD</t>
  </si>
  <si>
    <t>Manque de visibilité sur les interlocuteurs</t>
  </si>
  <si>
    <t>Mettre à jour trimestriellement l'organigramme avec contacts</t>
  </si>
  <si>
    <t xml:space="preserve"> Contrôler l'organisation des plannings</t>
  </si>
  <si>
    <t xml:space="preserve"> Comment sont organisées les permanences ?</t>
  </si>
  <si>
    <t>Planning des permanences</t>
  </si>
  <si>
    <t>Désorganisation des plannings</t>
  </si>
  <si>
    <t>Absence de couverture</t>
  </si>
  <si>
    <t>Automatiser la gestion des plannings avec alertes de chevauchement</t>
  </si>
  <si>
    <t xml:space="preserve"> Vérifier les locaux et équipements dédiés</t>
  </si>
  <si>
    <t xml:space="preserve"> Existe-t-il un espace physique dédié ?</t>
  </si>
  <si>
    <t>Inventaire des locaux</t>
  </si>
  <si>
    <t>Conditions de travail inadaptées</t>
  </si>
  <si>
    <t>Prévoir un espace ergonomique conforme aux normes</t>
  </si>
  <si>
    <t xml:space="preserve"> S'assurer du budget alloué</t>
  </si>
  <si>
    <t xml:space="preserve"> Quel budget annuel est consacré au HD ?</t>
  </si>
  <si>
    <t>Budget annuel approuvé</t>
  </si>
  <si>
    <t>Dépenses non contrôlées</t>
  </si>
  <si>
    <t>Établir un suivi budgétaire mensuel</t>
  </si>
  <si>
    <t>S’assurer qu’une procédure de gestion des demandes
d’assistance est diffusée et connue des utilisateurs</t>
  </si>
  <si>
    <t xml:space="preserve"> Vérifier le document de procédure validé</t>
  </si>
  <si>
    <t xml:space="preserve"> Où consulter la procédure complète ?</t>
  </si>
  <si>
    <t>Manuel des procédures HD</t>
  </si>
  <si>
    <t>Application disparate des règles</t>
  </si>
  <si>
    <t>Service hétérogène</t>
  </si>
  <si>
    <t>Centraliser la documentation dans un référentiel unique</t>
  </si>
  <si>
    <t xml:space="preserve"> S'assurer des canaux de diffusion (intranet, affichage)</t>
  </si>
  <si>
    <t xml:space="preserve"> Comment les utilisateurs accèdent-ils à l'info ?</t>
  </si>
  <si>
    <t>Guide d'accès aux ressources</t>
  </si>
  <si>
    <t>Mauvaise information des usagers</t>
  </si>
  <si>
    <t>Créer un portail self-service avec FAQ intelligente</t>
  </si>
  <si>
    <t xml:space="preserve"> Contrôler les sessions d'information utilisateurs</t>
  </si>
  <si>
    <t xml:space="preserve"> Quand ont eu lieu les dernières formations ?</t>
  </si>
  <si>
    <t>Erreurs de diagnostic</t>
  </si>
  <si>
    <t>Planifier des formations semestrielles obligatoires</t>
  </si>
  <si>
    <t xml:space="preserve"> Vérifier l'existence de supports synthétiques</t>
  </si>
  <si>
    <t xml:space="preserve"> Existe-t-il une fiche mémo utilisateur ?</t>
  </si>
  <si>
    <t>Kit d'autoformation utilisateur</t>
  </si>
  <si>
    <t>Saturation du help desk</t>
  </si>
  <si>
    <t>Distribuer des fiches visuelles par processus métier</t>
  </si>
  <si>
    <t xml:space="preserve"> S'assurer des tests de connaissance</t>
  </si>
  <si>
    <t xml:space="preserve"> Comment évalue-t-on la compréhension des usagers ?</t>
  </si>
  <si>
    <t>Questionnaire de satisfaction</t>
  </si>
  <si>
    <t>Besoins mal identifiés</t>
  </si>
  <si>
    <t>Implémenter un système de feedback après résolution</t>
  </si>
  <si>
    <t xml:space="preserve">S’assurer qu’une procédure d'escalade mise en place </t>
  </si>
  <si>
    <t xml:space="preserve"> Vérifier les niveaux d'escalade définis</t>
  </si>
  <si>
    <t xml:space="preserve"> Combien de niveaux d'escalade existent ?</t>
  </si>
  <si>
    <t>Blocage des tickets complexes</t>
  </si>
  <si>
    <t>Délais excessifs</t>
  </si>
  <si>
    <t>Limiter à 3 niveaux maximum avec délais définis</t>
  </si>
  <si>
    <t xml:space="preserve"> S'assurer des seuils de déclenchement</t>
  </si>
  <si>
    <t xml:space="preserve"> Quels critères déclenchent une escalade ?</t>
  </si>
  <si>
    <t>Grille de critères d'escalade</t>
  </si>
  <si>
    <t>Escalades inappropriées</t>
  </si>
  <si>
    <t>Définir des seuils objectifs (temps, criticité)</t>
  </si>
  <si>
    <t xml:space="preserve"> Contrôler les fiches contacts urgents</t>
  </si>
  <si>
    <t xml:space="preserve"> Où trouver les contacts des experts ?</t>
  </si>
  <si>
    <t>Annuaire des référents techniques</t>
  </si>
  <si>
    <t>Perte de temps en recherche</t>
  </si>
  <si>
    <t>Résolution retardée</t>
  </si>
  <si>
    <t>Maintenir une liste certifiée mise à jour mensuellement</t>
  </si>
  <si>
    <t xml:space="preserve"> Vérifier les délais de réponse par niveau</t>
  </si>
  <si>
    <t xml:space="preserve"> Quel délai maximum pour un problème critique ?</t>
  </si>
  <si>
    <t>SLA formalisé</t>
  </si>
  <si>
    <t>Impact opérationnel majeur</t>
  </si>
  <si>
    <t>Fixer un délai de 2h max pour les P1 avec alerte automatique</t>
  </si>
  <si>
    <t xml:space="preserve"> S'assurer des comptes-rendus d'incident</t>
  </si>
  <si>
    <t xml:space="preserve"> Comment sont documentés les incidents majeurs ?</t>
  </si>
  <si>
    <t>Fiche post-mortem d'incident</t>
  </si>
  <si>
    <t>Indisponibilités récurrentes</t>
  </si>
  <si>
    <t>Rédiger systématiquement un retour d'expérience</t>
  </si>
  <si>
    <t xml:space="preserve"> Vérifier les zones desservies</t>
  </si>
  <si>
    <t xml:space="preserve"> Quels sites/pays sont couverts ?</t>
  </si>
  <si>
    <t>Périmètre de couverture géographique</t>
  </si>
  <si>
    <t>Demandes hors zone</t>
  </si>
  <si>
    <t>Frustration des usagers</t>
  </si>
  <si>
    <t>Cartographier clairement les zones couvertes/non couvertes</t>
  </si>
  <si>
    <t xml:space="preserve"> S'assurer des horaires de disponibilité</t>
  </si>
  <si>
    <t xml:space="preserve"> Quelles sont les plages horaires d'ouverture ?</t>
  </si>
  <si>
    <t>Tableau des horaires de service</t>
  </si>
  <si>
    <t>Attentes déçues</t>
  </si>
  <si>
    <t>Afficher les horaires sur tous les canaux de contact</t>
  </si>
  <si>
    <t xml:space="preserve"> Contrôler les compétences linguistiques</t>
  </si>
  <si>
    <t xml:space="preserve"> Quelles langues sont disponibles ?</t>
  </si>
  <si>
    <t>Politique linguistique du support</t>
  </si>
  <si>
    <t>Barrière de communication</t>
  </si>
  <si>
    <t>Recruter des agents multilingues pour les langues principales</t>
  </si>
  <si>
    <t xml:space="preserve"> Vérifier les fuseaux horaires couverts</t>
  </si>
  <si>
    <t xml:space="preserve"> Comment gère-t-on les différences horaires ?</t>
  </si>
  <si>
    <t>Procédure de gestion des fuseaux</t>
  </si>
  <si>
    <t>Erreurs de planning</t>
  </si>
  <si>
    <t>Service non disponible</t>
  </si>
  <si>
    <t>Utiliser un outil de planification avec fuseaux horaires</t>
  </si>
  <si>
    <t xml:space="preserve"> S'assurer des relais locaux</t>
  </si>
  <si>
    <t xml:space="preserve"> Existe-t-il des correspondants locaux ?</t>
  </si>
  <si>
    <t>Liste des correspondants locaux</t>
  </si>
  <si>
    <t>Délais de réponse allongés</t>
  </si>
  <si>
    <t>Résolution inefficace</t>
  </si>
  <si>
    <t>Désigner un référent par zone géographique</t>
  </si>
  <si>
    <t xml:space="preserve">S’assurer de la couverture fonctionnelle du HD </t>
  </si>
  <si>
    <t xml:space="preserve"> Vérifier la liste des applications supportées</t>
  </si>
  <si>
    <t xml:space="preserve"> Quels logiciels sont pris en charge ?</t>
  </si>
  <si>
    <t>Catalogue des applications supportées</t>
  </si>
  <si>
    <t>Demandes hors périmètre</t>
  </si>
  <si>
    <t>Mettre à jour le catalogue à chaque nouvelle version</t>
  </si>
  <si>
    <t xml:space="preserve"> S'assurer des périmètres d'intervention</t>
  </si>
  <si>
    <t xml:space="preserve"> Quelles demandes sont hors périmètre ?</t>
  </si>
  <si>
    <t>Liste des exclusions de service</t>
  </si>
  <si>
    <t>Conflits avec les usagers</t>
  </si>
  <si>
    <t>Communiquer clairement sur les limites du support</t>
  </si>
  <si>
    <t xml:space="preserve"> Contrôler les limites d'assistance documentées</t>
  </si>
  <si>
    <t xml:space="preserve"> Où sont listées les limites d'intervention ?</t>
  </si>
  <si>
    <t>Charte des responsabilités</t>
  </si>
  <si>
    <t>Empiètement sur d'autres services</t>
  </si>
  <si>
    <t>Délimiter visuellement les zones de responsabilité</t>
  </si>
  <si>
    <t xml:space="preserve"> Vérifier les compétences techniques de l'équipe</t>
  </si>
  <si>
    <t xml:space="preserve"> L'équipe a-t-elle les certifications nécessaires ?</t>
  </si>
  <si>
    <t>Registre des certifications</t>
  </si>
  <si>
    <t>Incompétence technique</t>
  </si>
  <si>
    <t>Résolutions inadéquates</t>
  </si>
  <si>
    <t>Financer les certifications obligatoires annuellement</t>
  </si>
  <si>
    <t xml:space="preserve"> S'assurer des partenariats avec les éditeurs</t>
  </si>
  <si>
    <t xml:space="preserve"> Comment contacter les support éditeurs ?</t>
  </si>
  <si>
    <t>Liste des contacts éditeurs</t>
  </si>
  <si>
    <t>Délais prolongés</t>
  </si>
  <si>
    <t>Prolongation des incidents</t>
  </si>
  <si>
    <t>Négocier des canaux prioritaires avec les éditeurs clés</t>
  </si>
  <si>
    <t>S’assurer qu’un outil est implémenté pour la prise d'appel et le 
suivi des tickets ;</t>
  </si>
  <si>
    <t xml:space="preserve"> Vérifier l'existence d'un logiciel dédié</t>
  </si>
  <si>
    <t xml:space="preserve"> Quel outil est utilisé pour la gestion des tickets ?</t>
  </si>
  <si>
    <t>Documentation de l'outil ITSM</t>
  </si>
  <si>
    <t>Mauvaise utilisation de l'outil</t>
  </si>
  <si>
    <t>Former les agents à l'outil et auditer son usage</t>
  </si>
  <si>
    <t xml:space="preserve"> S'assurer de l'intégration avec les autres systèmes</t>
  </si>
  <si>
    <t xml:space="preserve"> Est-il connecté à l'annuaire et au monitoring ?</t>
  </si>
  <si>
    <t>Architecture d'intégration</t>
  </si>
  <si>
    <t>Diagnostic incomplet</t>
  </si>
  <si>
    <t>Automatiser les flux entre systèmes via API</t>
  </si>
  <si>
    <t xml:space="preserve"> Contrôler les fonctionnalités de base (création, suivi, clôture)</t>
  </si>
  <si>
    <t xml:space="preserve"> Peut-on suivre l'historique complet d'un ticket ?</t>
  </si>
  <si>
    <t>Politique de rétention des données</t>
  </si>
  <si>
    <t>Difficulté d'audit</t>
  </si>
  <si>
    <t>Configurer l'outil pour conserver l'historique 12 mois</t>
  </si>
  <si>
    <t xml:space="preserve"> Vérifier les droits d'accès différenciés</t>
  </si>
  <si>
    <t xml:space="preserve"> Comment gère-t-on les droits des agents ?</t>
  </si>
  <si>
    <t>Matrice des habilitations</t>
  </si>
  <si>
    <t xml:space="preserve"> S'assurer des sauvegardes régulières</t>
  </si>
  <si>
    <t xml:space="preserve"> Quelle est la fréquence des sauvegardes ?</t>
  </si>
  <si>
    <t>Politique de sauvegarde</t>
  </si>
  <si>
    <t>Interruption de service</t>
  </si>
  <si>
    <t>Sauvegarder quotidiennement avec test mensuel de restauration</t>
  </si>
  <si>
    <t>S’assurer que des critères à renseigner pour la qualification des 
tickets existent</t>
  </si>
  <si>
    <t xml:space="preserve"> Vérifier la grille de qualification obligatoire</t>
  </si>
  <si>
    <t xml:space="preserve"> Quels critères doivent être renseignés ?</t>
  </si>
  <si>
    <t>Template de ticket obligatoire</t>
  </si>
  <si>
    <t>Tickets incomplets</t>
  </si>
  <si>
    <t>Rendre obligatoires les champs critiques (urgence, impact)</t>
  </si>
  <si>
    <t xml:space="preserve"> S'assurer de la typologie des tickets</t>
  </si>
  <si>
    <t xml:space="preserve"> Comment classe-t-on les demandes (incident, requête</t>
  </si>
  <si>
    <t>Arbre de décision de classification</t>
  </si>
  <si>
    <t>Mauvaise priorisation</t>
  </si>
  <si>
    <t>Utiliser des algorithmes de classification automatique</t>
  </si>
  <si>
    <t xml:space="preserve"> Contrôler les champs obligatoires</t>
  </si>
  <si>
    <t xml:space="preserve"> Quels champs ne peuvent pas être laissés vides ?</t>
  </si>
  <si>
    <t>Règles de validation des tickets</t>
  </si>
  <si>
    <t>Données manquantes</t>
  </si>
  <si>
    <t>Impossible à traiter</t>
  </si>
  <si>
    <t>Configurer des validations obligatoires dans l'outil</t>
  </si>
  <si>
    <t xml:space="preserve"> Vérifier les règles d'affectation automatique</t>
  </si>
  <si>
    <t xml:space="preserve"> Comment sont attribués les tickets aux techniciens ?</t>
  </si>
  <si>
    <t>Procédure d'assignation</t>
  </si>
  <si>
    <t>Charge déséquilibrée</t>
  </si>
  <si>
    <t>Surcharge des experts</t>
  </si>
  <si>
    <t>Automatiser l'assignation par compétences/disponibilité</t>
  </si>
  <si>
    <t xml:space="preserve"> S'assurer des indicateurs de qualité</t>
  </si>
  <si>
    <t xml:space="preserve"> Comment mesure-t-on la qualité de qualification ?</t>
  </si>
  <si>
    <t>Grille d'évaluation des tickets</t>
  </si>
  <si>
    <t>Réouvertures fréquentes</t>
  </si>
  <si>
    <t>Auditer aléatoirement 10% des tickets qualifiés</t>
  </si>
  <si>
    <t>S’assure qu’il existe une liste de questions à dérouler lors d'un 
appel afin préciser au mieux la demande de l'utilisateur</t>
  </si>
  <si>
    <t xml:space="preserve"> Vérifier l'existence d'un arbre de questions</t>
  </si>
  <si>
    <t xml:space="preserve"> Où trouver le script des questions standard ?</t>
  </si>
  <si>
    <t>Bibliothèque de scripts</t>
  </si>
  <si>
    <t>Approche non standardisée</t>
  </si>
  <si>
    <t>Intégrer les scripts dans l'outil de ticketing</t>
  </si>
  <si>
    <t xml:space="preserve"> S'assurer de l'adaptation aux différents types de demandes</t>
  </si>
  <si>
    <t xml:space="preserve"> Existe-t-il des variantes selon la nature du problème ?</t>
  </si>
  <si>
    <t>Arbres décisionnels par type d'incident</t>
  </si>
  <si>
    <t>Diagnostic imprécis</t>
  </si>
  <si>
    <t>Résolution inadaptée</t>
  </si>
  <si>
    <t>Développer des workflows spécifiques par catégorie</t>
  </si>
  <si>
    <t xml:space="preserve"> Contrôler la mise à jour régulière</t>
  </si>
  <si>
    <t>Historique des versions des scripts</t>
  </si>
  <si>
    <t>Questions obsolètes</t>
  </si>
  <si>
    <t>Efficacité réduite</t>
  </si>
  <si>
    <t>Réviser les scripts tous les 6 mois</t>
  </si>
  <si>
    <t xml:space="preserve"> Vérifier l'ergonomie du questionnaire</t>
  </si>
  <si>
    <t xml:space="preserve"> Le questionnaire est-il facile à utiliser ?</t>
  </si>
  <si>
    <t>Rapport d'ergonomie</t>
  </si>
  <si>
    <t>Résistance des agents</t>
  </si>
  <si>
    <t>Non-utilisation</t>
  </si>
  <si>
    <t>Concevoir des interfaces intuitives avec UX designer</t>
  </si>
  <si>
    <t xml:space="preserve"> S'assurer de l'utilisation effective</t>
  </si>
  <si>
    <t xml:space="preserve"> Comment vérifie-t-on son application ?</t>
  </si>
  <si>
    <t>Procédure d'audit des appels</t>
  </si>
  <si>
    <t>Écarts par rapport au script</t>
  </si>
  <si>
    <t>Enregistrer et analyser aléatoirement des appels</t>
  </si>
  <si>
    <t>S’assurer qu’il existe une aide à la saisie pour la saisie des 
tickets</t>
  </si>
  <si>
    <t xml:space="preserve"> Un guide de saisie complet et actualisé est disponible pour les utilisateurs</t>
  </si>
  <si>
    <t>Existe-t-il un document ou un module d'aide détaillant la procédure de création des tickets ?</t>
  </si>
  <si>
    <t xml:space="preserve"> Manuel de procédure de ticketing </t>
  </si>
  <si>
    <t xml:space="preserve"> Tickets mal formulés </t>
  </si>
  <si>
    <t xml:space="preserve"> Retards de traitement </t>
  </si>
  <si>
    <t xml:space="preserve"> Développer un guide interactif avec vidéos explicatives </t>
  </si>
  <si>
    <t xml:space="preserve"> L'aide à la saisie est facilement accessible depuis l'interface de ticket</t>
  </si>
  <si>
    <t>Les utilisateurs peuvent-ils accéder à l'aide directement dans l'outil de ticketing ?</t>
  </si>
  <si>
    <t xml:space="preserve"> Capture d'écran de l'interface </t>
  </si>
  <si>
    <t xml:space="preserve"> Mauvaise utilisation </t>
  </si>
  <si>
    <t xml:space="preserve"> Saisie incomplète </t>
  </si>
  <si>
    <t xml:space="preserve"> Intégrer un chatbot d'assistance contextuelle </t>
  </si>
  <si>
    <t xml:space="preserve"> Des exemples concrets et des modèles sont fournis pour faciliter la saisie</t>
  </si>
  <si>
    <t>L'aide comprend-elle des cas pratiques et des templates prédéfinis ?</t>
  </si>
  <si>
    <t xml:space="preserve"> Bibliothèque de templates </t>
  </si>
  <si>
    <t xml:space="preserve"> Incohérence des données </t>
  </si>
  <si>
    <t xml:space="preserve"> Difficultés d'analyse </t>
  </si>
  <si>
    <t xml:space="preserve"> Standardiser 5 templates types couvrant 80% des cas </t>
  </si>
  <si>
    <t xml:space="preserve"> Un mécanisme d'auto-complétion ou d'assistance intelligente est implémenté</t>
  </si>
  <si>
    <t>L'outil propose-t-il des suggestions automatiques pendant la saisie ?</t>
  </si>
  <si>
    <t xml:space="preserve"> Logs des fonctionnalités IA </t>
  </si>
  <si>
    <t xml:space="preserve"> Erreurs de saisie </t>
  </si>
  <si>
    <t xml:space="preserve"> Mauvais routage </t>
  </si>
  <si>
    <t xml:space="preserve"> Implémenter une IA de suggestion basée sur l'historique </t>
  </si>
  <si>
    <t xml:space="preserve"> Une formation initiale sur l'utilisation de l'aide est dispensée aux nouveaux utilisateurs</t>
  </si>
  <si>
    <t>Les collaborateurs reçoivent-ils une formation spécifique sur l'utilisation des outils d'aide ?</t>
  </si>
  <si>
    <t xml:space="preserve"> Programme de formation </t>
  </si>
  <si>
    <t xml:space="preserve"> Sous-utilisation </t>
  </si>
  <si>
    <t xml:space="preserve"> ROI faible </t>
  </si>
  <si>
    <t xml:space="preserve"> Organiser des ateliers mensuels "découverte" </t>
  </si>
  <si>
    <t>S’assurer qu’il existe des revues qualité pour la saisie des 
tickets</t>
  </si>
  <si>
    <t>S'assurer qu'il existe des revues qualité pour la saisie des tickets</t>
  </si>
  <si>
    <t>1. Une procédure formalisée de revue qualité est documentée et accessible</t>
  </si>
  <si>
    <t xml:space="preserve"> Procédure QC signée </t>
  </si>
  <si>
    <t xml:space="preserve"> Non-conformité </t>
  </si>
  <si>
    <t xml:space="preserve"> Amendes </t>
  </si>
  <si>
    <t xml:space="preserve"> Nommer un responsable qualité dédié </t>
  </si>
  <si>
    <t xml:space="preserve"> Les revues qualité sont planifiées régulièrement avec une fréquence définie</t>
  </si>
  <si>
    <t>Des sessions de revue sont-elles organisées au moins mensuellement ?</t>
  </si>
  <si>
    <t xml:space="preserve"> PV des réunions QC </t>
  </si>
  <si>
    <t xml:space="preserve"> Problèmes récurrents </t>
  </si>
  <si>
    <t xml:space="preserve"> Insatisfaction </t>
  </si>
  <si>
    <t xml:space="preserve"> Automatiser les rappels de réunion </t>
  </si>
  <si>
    <t xml:space="preserve"> Un comité pluridisciplinaire participe activement aux revues qualité</t>
  </si>
  <si>
    <t>Plusieurs services concernés sont-ils représentés dans les revues ?</t>
  </si>
  <si>
    <t xml:space="preserve"> Liste des participants </t>
  </si>
  <si>
    <t xml:space="preserve"> Silotage </t>
  </si>
  <si>
    <t xml:space="preserve"> Solutions partielles </t>
  </si>
  <si>
    <t xml:space="preserve"> Imposer 3 services minimum par revue </t>
  </si>
  <si>
    <t xml:space="preserve"> Un système de suivi des actions correctives est mis en place</t>
  </si>
  <si>
    <t>Les anomalies identifiées font-elles l'objet d'un plan d'action avec responsable et échéance ?</t>
  </si>
  <si>
    <t xml:space="preserve"> Fiche d'action corrective </t>
  </si>
  <si>
    <t xml:space="preserve"> Corrections inefficaces </t>
  </si>
  <si>
    <t xml:space="preserve"> Répétition erreurs </t>
  </si>
  <si>
    <t xml:space="preserve"> Utiliser la méthode 5W2H pour les actions </t>
  </si>
  <si>
    <t xml:space="preserve"> Des indicateurs de performance mesurent l'impact des revues qualité</t>
  </si>
  <si>
    <t>Peut-on constater une amélioration quantitative de la qualité des tickets après mise en œuvre des revues ?</t>
  </si>
  <si>
    <t xml:space="preserve"> Dashboard qualité </t>
  </si>
  <si>
    <t xml:space="preserve"> Décisions non data-driven </t>
  </si>
  <si>
    <t xml:space="preserve"> Gaspillage </t>
  </si>
  <si>
    <t xml:space="preserve"> Suivre 3 KPIs clés (complétude, temps, réouverture) </t>
  </si>
  <si>
    <t>Vérifier l'existence d'une base de connaissance</t>
  </si>
  <si>
    <t>1. La base de connaissance est centralisée et accessible à l'ensemble des acteurs concernés</t>
  </si>
  <si>
    <t xml:space="preserve"> Inventaire des ressources </t>
  </si>
  <si>
    <t xml:space="preserve"> Duplication </t>
  </si>
  <si>
    <t xml:space="preserve"> Confusion </t>
  </si>
  <si>
    <t xml:space="preserve"> Migrer vers une plateforme unique type SharePoint </t>
  </si>
  <si>
    <t xml:space="preserve"> Le contenu est organisé par thématiques et mots-clés pertinents</t>
  </si>
  <si>
    <t>La recherche d'informations dans la base est-elle intuitive et efficace ?</t>
  </si>
  <si>
    <t xml:space="preserve"> Rapport d'UX </t>
  </si>
  <si>
    <t xml:space="preserve"> Abandon des recherches </t>
  </si>
  <si>
    <t xml:space="preserve"> Appels évitables </t>
  </si>
  <si>
    <t xml:space="preserve"> Ajouter un moteur de recherche sémantique </t>
  </si>
  <si>
    <t xml:space="preserve"> Un processus de validation et de mise à jour des articles est formalisé</t>
  </si>
  <si>
    <t>Chaque article de la base fait-il l'objet d'une validation avant publication ?</t>
  </si>
  <si>
    <t xml:space="preserve"> Workflow de publication </t>
  </si>
  <si>
    <t xml:space="preserve"> Information erronée </t>
  </si>
  <si>
    <t xml:space="preserve"> Décisions fautives </t>
  </si>
  <si>
    <t xml:space="preserve"> Mettre en place une validation à 2 niveaux </t>
  </si>
  <si>
    <t xml:space="preserve"> La base intègre des fonctionnalités de feedback utilisateur</t>
  </si>
  <si>
    <t>Les utilisateurs peuvent-ils noter et commenter les articles ?</t>
  </si>
  <si>
    <t xml:space="preserve"> Système de feedback </t>
  </si>
  <si>
    <t xml:space="preserve"> Contenu obsolète </t>
  </si>
  <si>
    <t xml:space="preserve"> Perte de confiance </t>
  </si>
  <si>
    <t xml:space="preserve"> Implémenter un "like/dislike" avec commentaires </t>
  </si>
  <si>
    <t xml:space="preserve"> Des statistiques d'utilisation et d'efficacité sont régulièrement analysées</t>
  </si>
  <si>
    <t>La fréquentation et l'utilité perçue de la base sont-elles mesurées ?</t>
  </si>
  <si>
    <t xml:space="preserve"> Analytics d'usage </t>
  </si>
  <si>
    <t xml:space="preserve"> Investissement non justifié </t>
  </si>
  <si>
    <t xml:space="preserve"> Désengagement </t>
  </si>
  <si>
    <t xml:space="preserve"> Calculer un indice de satisfaction (CSAT) </t>
  </si>
  <si>
    <t>S’assurer que les appels sont enregistrés+B62</t>
  </si>
  <si>
    <t>S'assurer que les appels sont enregistrés</t>
  </si>
  <si>
    <t>1. L'ensemble des canaux de communication avec les utilisateurs fait l'objet d'enregistrements</t>
  </si>
  <si>
    <t xml:space="preserve"> Audit de conformité </t>
  </si>
  <si>
    <t xml:space="preserve"> Sanctions </t>
  </si>
  <si>
    <t xml:space="preserve"> Désigner un DPO interne </t>
  </si>
  <si>
    <t xml:space="preserve"> La politique d'enregistrement est conforme aux réglementations en vigueur</t>
  </si>
  <si>
    <t>Les modalités d'enregistrement respectent-elles les exigences du RGPD ?</t>
  </si>
  <si>
    <t xml:space="preserve"> Matrice des habilitations </t>
  </si>
  <si>
    <t xml:space="preserve"> Fuites de données </t>
  </si>
  <si>
    <t xml:space="preserve"> Atteinte réputation </t>
  </si>
  <si>
    <t xml:space="preserve"> Mettre en place un PAM (Privileged Access Management) </t>
  </si>
  <si>
    <t xml:space="preserve"> Les enregistrements sont stockés de manière sécurisée avec contrôle d'accès</t>
  </si>
  <si>
    <t>Seules les personnes autorisées peuvent-elles accéder aux enregistrements ?</t>
  </si>
  <si>
    <t xml:space="preserve"> Politique de rétention </t>
  </si>
  <si>
    <t xml:space="preserve"> Stockage illégal </t>
  </si>
  <si>
    <t xml:space="preserve"> Problèmes légaux </t>
  </si>
  <si>
    <t xml:space="preserve"> Appliquer la durée maximale de 13 mois </t>
  </si>
  <si>
    <t xml:space="preserve"> La durée de conservation des enregistrements est définie et appliquée</t>
  </si>
  <si>
    <t>Existe-t-il une règle claire concernant la période de conservation des données ?</t>
  </si>
  <si>
    <t xml:space="preserve"> Catalogue des cas d'apprentissage </t>
  </si>
  <si>
    <t xml:space="preserve"> Opportunités perdues </t>
  </si>
  <si>
    <t xml:space="preserve"> Stagnation </t>
  </si>
  <si>
    <t xml:space="preserve"> Créer une librairie anonymisée pour le coaching </t>
  </si>
  <si>
    <t xml:space="preserve"> Un échantillonnage des enregistrements est utilisé pour l'amélioration continue</t>
  </si>
  <si>
    <t>Les enregistrements servent-ils régulièrement à des fins de formation et d'optimisation ?</t>
  </si>
  <si>
    <t xml:space="preserve"> Politique de réutilisation </t>
  </si>
  <si>
    <t xml:space="preserve"> Non valorisation </t>
  </si>
  <si>
    <t xml:space="preserve"> Retour sur investissement faible </t>
  </si>
  <si>
    <t xml:space="preserve"> Formaliser un processus d'extraction de bonnes pratiques </t>
  </si>
  <si>
    <t>Image master standardisée disponible</t>
  </si>
  <si>
    <t>Existe-t-il des images système de référence ?</t>
  </si>
  <si>
    <t>Configuration minimum définie</t>
  </si>
  <si>
    <t>Les spécifications minimales sont-elles documentées ?</t>
  </si>
  <si>
    <t>Processus de déploiement automatisé</t>
  </si>
  <si>
    <t>L'installation peut-elle se faire sans intervention manuelle ?</t>
  </si>
  <si>
    <t>Tests de conformité post-installation</t>
  </si>
  <si>
    <t>Vérifie-t-on la conformité des machines déployées ?</t>
  </si>
  <si>
    <t>Mise à jour régulière du master</t>
  </si>
  <si>
    <t>L'image de référence est-elle actualisée trimestriellement ?</t>
  </si>
  <si>
    <t>S’assurer que des études de satisfaction sont réalisées auprès 
des utilisateurs</t>
  </si>
  <si>
    <t>S'assurer que des études de satisfaction sont réalisées</t>
  </si>
  <si>
    <t>1. Un questionnaire standardisé est utilisé pour mesurer la satisfaction utilisateur</t>
  </si>
  <si>
    <t xml:space="preserve"> Modèle de questionnaire validé </t>
  </si>
  <si>
    <t xml:space="preserve"> Feedback non standardisé </t>
  </si>
  <si>
    <t xml:space="preserve"> Données non comparables </t>
  </si>
  <si>
    <t xml:space="preserve"> Adopter un outil professionnel type NPS/CSAT </t>
  </si>
  <si>
    <t xml:space="preserve"> La fréquence des enquêtes permet un suivi significatif de l'évolution</t>
  </si>
  <si>
    <t>Des enquêtes sont-elles menées après chaque interaction significative avec les utilisateurs ?</t>
  </si>
  <si>
    <t xml:space="preserve"> Calendrier des enquêtes </t>
  </si>
  <si>
    <t xml:space="preserve"> Perception incomplète </t>
  </si>
  <si>
    <t xml:space="preserve"> Opportunités manquées </t>
  </si>
  <si>
    <t xml:space="preserve"> Automatiser les sondages post-intervention </t>
  </si>
  <si>
    <t xml:space="preserve"> Les résultats sont analysés et présentés sous forme de tableaux de bord</t>
  </si>
  <si>
    <t>Les données de satisfaction font-elles l'objet d'un reporting mensuel ?</t>
  </si>
  <si>
    <t xml:space="preserve"> Exemple de dashboard satisfaction </t>
  </si>
  <si>
    <t xml:space="preserve"> Décisions sans données </t>
  </si>
  <si>
    <t xml:space="preserve"> Stagnation qualité </t>
  </si>
  <si>
    <t xml:space="preserve"> Produire un rapport analytique mensuel </t>
  </si>
  <si>
    <t xml:space="preserve"> Des actions correctives sont engagées lorsque les scores sont insuffisants</t>
  </si>
  <si>
    <t>Les retours négatifs déclenchent-ils systématiquement un plan d'amélioration ?</t>
  </si>
  <si>
    <t xml:space="preserve"> Procédure gestion réclamations </t>
  </si>
  <si>
    <t xml:space="preserve"> Dégradation service </t>
  </si>
  <si>
    <t xml:space="preserve"> Instaurer un processus de traitement en 48h </t>
  </si>
  <si>
    <t xml:space="preserve"> La communication des résultats et des améliorations est faite auprès des utilisateurs</t>
  </si>
  <si>
    <t>Les clients sont-ils informés des mesures prises suite à leurs feedbacks ?</t>
  </si>
  <si>
    <t xml:space="preserve"> Modèle de communication post-feedback </t>
  </si>
  <si>
    <t xml:space="preserve"> Manque de transparence </t>
  </si>
  <si>
    <t xml:space="preserve"> Envoyer un retour personnalisé sous 5 jours </t>
  </si>
  <si>
    <t>S’assurer qu’il existe une évaluation de l’équipe HD, notamment 
pour les prestataires afin d’en évaluer le niveau de connaissance</t>
  </si>
  <si>
    <t>S'assurer qu'il existe une évaluation de l'équipe HD</t>
  </si>
  <si>
    <t>1. Un référentiel de compétences techniques et relationnelles est défini pour le HD</t>
  </si>
  <si>
    <t xml:space="preserve"> Référentiel métier complet </t>
  </si>
  <si>
    <t xml:space="preserve"> Compétences hétérogènes </t>
  </si>
  <si>
    <t xml:space="preserve"> Service inégal </t>
  </si>
  <si>
    <t xml:space="preserve"> Cartographier 10 compétences clés </t>
  </si>
  <si>
    <t xml:space="preserve"> Le processus d'évaluation inclut des mesures objectives et des feedbacks qualitatifs</t>
  </si>
  <si>
    <t>Les évaluations combinent-elles des KPI quantitatifs et des appréciations managériales ?</t>
  </si>
  <si>
    <t xml:space="preserve"> Grille d'évaluation mixte </t>
  </si>
  <si>
    <t xml:space="preserve"> Jugement subjectif </t>
  </si>
  <si>
    <t xml:space="preserve"> Démotivation </t>
  </si>
  <si>
    <t xml:space="preserve"> Pondérer 70% KPI/30% qualitatif </t>
  </si>
  <si>
    <t xml:space="preserve"> Les prestataires externes sont soumis aux mêmes exigences d'évaluation que le personnel interne</t>
  </si>
  <si>
    <t>Les sous-traitants font-ils l'objet d'évaluations régulières selon les mêmes critères ?</t>
  </si>
  <si>
    <t xml:space="preserve"> Rapport d'évaluation fournisseurs </t>
  </si>
  <si>
    <t xml:space="preserve"> Double standard </t>
  </si>
  <si>
    <t xml:space="preserve"> Risque qualité </t>
  </si>
  <si>
    <t xml:space="preserve"> Appliquer le même référentiel </t>
  </si>
  <si>
    <t xml:space="preserve"> Les résultats des évaluations influent sur les plans de formation individuels</t>
  </si>
  <si>
    <t>Chaque collaborateur dispose-t-il d'un programme de développement personnalisé ?</t>
  </si>
  <si>
    <t xml:space="preserve"> Plan de développement individuel </t>
  </si>
  <si>
    <t xml:space="preserve"> Stagnation compétences </t>
  </si>
  <si>
    <t xml:space="preserve"> Turnover </t>
  </si>
  <si>
    <t xml:space="preserve"> Co-construire des PDP annuels </t>
  </si>
  <si>
    <t xml:space="preserve"> La performance globale de l'équipe HD est suivie dans le temps</t>
  </si>
  <si>
    <t>Des indicateurs synthétiques permettent-ils de mesurer les progrès collectifs ?</t>
  </si>
  <si>
    <t xml:space="preserve"> Tableau de bord des compétences </t>
  </si>
  <si>
    <t xml:space="preserve"> Vision parcellaire </t>
  </si>
  <si>
    <t xml:space="preserve"> Décisions erronées </t>
  </si>
  <si>
    <t xml:space="preserve"> Calculer un indice de maturité trimestriel </t>
  </si>
  <si>
    <t>S’assurer que l’obtention des certifications (ITIL, ISO, COBIT, 
SIGMA) est encouragée au sein de la DSI, et du HD en particulier</t>
  </si>
  <si>
    <t>Encourager l'obtention de certifications</t>
  </si>
  <si>
    <t>1. La direction affiche clairement son soutien à la démarche de certification</t>
  </si>
  <si>
    <t xml:space="preserve"> PV de comité de direction </t>
  </si>
  <si>
    <t xml:space="preserve"> Manque d'engagement </t>
  </si>
  <si>
    <t xml:space="preserve"> Échec certification </t>
  </si>
  <si>
    <t xml:space="preserve"> Inclure la certification dans la stratégie </t>
  </si>
  <si>
    <t xml:space="preserve"> Des moyens financiers et organisationnels sont alloués à la préparation aux certifications</t>
  </si>
  <si>
    <t>Un budget spécifique est-il réservé chaque année aux frais d'examen et de formation ?</t>
  </si>
  <si>
    <t xml:space="preserve"> Budget formation certifié </t>
  </si>
  <si>
    <t xml:space="preserve"> Financement aléatoire </t>
  </si>
  <si>
    <t xml:space="preserve"> Abandons en cours </t>
  </si>
  <si>
    <t xml:space="preserve"> Allouer 5% de la masse salariale </t>
  </si>
  <si>
    <t xml:space="preserve"> Les certifications obtenues sont valorisées dans les parcours professionnels</t>
  </si>
  <si>
    <t>L'obtention de certifications ouvre-t-elle droit à des reconnaissances concrètes ?</t>
  </si>
  <si>
    <t xml:space="preserve"> Politique de récompense </t>
  </si>
  <si>
    <t xml:space="preserve"> Effort non valorisé </t>
  </si>
  <si>
    <t xml:space="preserve"> Prévoir bonus ou promotions </t>
  </si>
  <si>
    <t xml:space="preserve"> Un suivi centralisé des certifications permet de piloter la démarche</t>
  </si>
  <si>
    <t>Existe-t-il un registre des certifications obtenues par les collaborateurs ?</t>
  </si>
  <si>
    <t xml:space="preserve"> Registre des certifications </t>
  </si>
  <si>
    <t xml:space="preserve"> Visibilité insuffisante </t>
  </si>
  <si>
    <t xml:space="preserve"> Doublons formations </t>
  </si>
  <si>
    <t xml:space="preserve"> Tenir un registre centralisé </t>
  </si>
  <si>
    <t xml:space="preserve"> Les référentiels normatifs sont intégrés dans les processus métiers</t>
  </si>
  <si>
    <t>Les bonnes pratiques des normes sont-elles effectivement appliquées au quotidien ?</t>
  </si>
  <si>
    <t xml:space="preserve"> Audit de conformité aux normes </t>
  </si>
  <si>
    <t xml:space="preserve"> Écart théorie/pratique </t>
  </si>
  <si>
    <t xml:space="preserve"> Organiser des audits surprises </t>
  </si>
  <si>
    <t xml:space="preserve">Vérifier la procédure de déploiement des mises à jour, d’un 
nouveau logiciel </t>
  </si>
  <si>
    <t>Procédure documentée pour le déploiement</t>
  </si>
  <si>
    <t>Existe-t-il un document officiel décrivant les étapes ?</t>
  </si>
  <si>
    <t xml:space="preserve"> Procédure de déploiement </t>
  </si>
  <si>
    <t xml:space="preserve"> Incohérence des processus </t>
  </si>
  <si>
    <t xml:space="preserve"> Erreurs de déploiement </t>
  </si>
  <si>
    <t xml:space="preserve"> Formaliser un document unique de référence </t>
  </si>
  <si>
    <t>Des mécanismes de retour arrière sont-ils prévus ?</t>
  </si>
  <si>
    <t xml:space="preserve"> Plan de rollback </t>
  </si>
  <si>
    <t xml:space="preserve"> Impossibilité de restauration </t>
  </si>
  <si>
    <t xml:space="preserve"> Indisponibilité prolongée </t>
  </si>
  <si>
    <t xml:space="preserve"> Pré-tester les procédures de rollback </t>
  </si>
  <si>
    <t>Tests en environnement isolé</t>
  </si>
  <si>
    <t>Les mises à jour sont-elles testées avant déploiement ?</t>
  </si>
  <si>
    <t xml:space="preserve"> Rapport de tests </t>
  </si>
  <si>
    <t xml:space="preserve"> Bugs en production </t>
  </si>
  <si>
    <t xml:space="preserve"> Perturbation des utilisateurs </t>
  </si>
  <si>
    <t xml:space="preserve"> Implémenter un environnement de test dédié </t>
  </si>
  <si>
    <t>Calendrier de déploiement établi</t>
  </si>
  <si>
    <t>Les utilisateurs sont-ils informés des fenêtres de maintenance ?</t>
  </si>
  <si>
    <t xml:space="preserve"> Calendrier des maintenances </t>
  </si>
  <si>
    <t xml:space="preserve"> Perturbations imprévues </t>
  </si>
  <si>
    <t xml:space="preserve"> Perte de productivité </t>
  </si>
  <si>
    <t xml:space="preserve"> Automatiser les notifications 48h à l'avance </t>
  </si>
  <si>
    <t>Mesure d'impact post-déploiement</t>
  </si>
  <si>
    <t>Des indicateurs de performance sont-ils analysés ?</t>
  </si>
  <si>
    <t xml:space="preserve"> Dashboard de suivi </t>
  </si>
  <si>
    <t xml:space="preserve"> Dégradation non détectée </t>
  </si>
  <si>
    <t xml:space="preserve"> Baisse de qualité de service </t>
  </si>
  <si>
    <t xml:space="preserve"> Définir 5 KPI clés mensuels </t>
  </si>
  <si>
    <t>Vérifier les outils mis en place pour gérer les versions des 
logiciels</t>
  </si>
  <si>
    <t>Outil centralisé de gestion des versions</t>
  </si>
  <si>
    <t>Existe-t-il un système unique pour suivre les versions ?</t>
  </si>
  <si>
    <t xml:space="preserve"> Outil de gestion des versions </t>
  </si>
  <si>
    <t xml:space="preserve"> Confusion entre versions </t>
  </si>
  <si>
    <t xml:space="preserve"> Centraliser dans un CMDB </t>
  </si>
  <si>
    <t>Politique de versioning définie</t>
  </si>
  <si>
    <t>Les règles de numérotation sont-elles formalisées ?</t>
  </si>
  <si>
    <t xml:space="preserve"> Charte de versioning </t>
  </si>
  <si>
    <t xml:space="preserve"> Incohérence des numéros </t>
  </si>
  <si>
    <t xml:space="preserve"> Gestion chaotique </t>
  </si>
  <si>
    <t xml:space="preserve"> Adopter le semver (major.minor.patch) </t>
  </si>
  <si>
    <t>Historique des modifications documenté</t>
  </si>
  <si>
    <t>Peut-on tracer toutes les évolutions logicielles ?</t>
  </si>
  <si>
    <t xml:space="preserve"> Journal des changements </t>
  </si>
  <si>
    <t xml:space="preserve"> Historique incomplet </t>
  </si>
  <si>
    <t xml:space="preserve"> Difficulté d'audit </t>
  </si>
  <si>
    <t xml:space="preserve"> Imposer un commentaire obligatoire par commit </t>
  </si>
  <si>
    <t>Identification des versions critiques</t>
  </si>
  <si>
    <t>Les versions stables sont-elles clairement marquées ?</t>
  </si>
  <si>
    <t xml:space="preserve"> Politique de tagging </t>
  </si>
  <si>
    <t xml:space="preserve"> Utilisation de versions instables </t>
  </si>
  <si>
    <t xml:space="preserve"> Incidents évitables </t>
  </si>
  <si>
    <t xml:space="preserve"> Différencier clairement dev/stable/prod </t>
  </si>
  <si>
    <t>Comparaison possible entre versions</t>
  </si>
  <si>
    <t>Peut-on facilement comparer différentes versions ?</t>
  </si>
  <si>
    <t xml:space="preserve"> Outil de comparaison </t>
  </si>
  <si>
    <t xml:space="preserve"> Récupération difficile d'anciennes versions </t>
  </si>
  <si>
    <t xml:space="preserve"> Perte de fonctionnalités </t>
  </si>
  <si>
    <t xml:space="preserve"> Implémenter un système de diff visuel </t>
  </si>
  <si>
    <t>Vérifier les outils mis en place pour gérer le matériel 
informatique</t>
  </si>
  <si>
    <t>Inventaire matériel à jour</t>
  </si>
  <si>
    <t>Tous les équipements sont-ils répertoriés ?</t>
  </si>
  <si>
    <t xml:space="preserve"> Inventaire matériel </t>
  </si>
  <si>
    <t xml:space="preserve"> Machines non gérées </t>
  </si>
  <si>
    <t xml:space="preserve"> Failles de sécurité </t>
  </si>
  <si>
    <t xml:space="preserve"> Scanner automatiquement le réseau mensuellement </t>
  </si>
  <si>
    <t>Suivi du cycle de vie du matériel</t>
  </si>
  <si>
    <t>Existe-t-il un suivi de la durée d'utilisation ?</t>
  </si>
  <si>
    <t xml:space="preserve"> Registre de cycle de vie </t>
  </si>
  <si>
    <t xml:space="preserve"> Utilisation obsolète </t>
  </si>
  <si>
    <t xml:space="preserve"> Coûts inutiles </t>
  </si>
  <si>
    <t xml:space="preserve"> Définir une durée maximale d'utilisation (ex: 5 ans) </t>
  </si>
  <si>
    <t>Monitoring en temps réel du matériel</t>
  </si>
  <si>
    <t>La santé des équipements est-elle surveillée ?</t>
  </si>
  <si>
    <t xml:space="preserve"> Dashboard de monitoring </t>
  </si>
  <si>
    <t xml:space="preserve"> Pannes imprévues </t>
  </si>
  <si>
    <t xml:space="preserve"> Indisponibilité </t>
  </si>
  <si>
    <t xml:space="preserve"> Mettre en place des alertes automatiques </t>
  </si>
  <si>
    <t>Historique des interventions techniques</t>
  </si>
  <si>
    <t>Les réparations sont-elles documentées ?</t>
  </si>
  <si>
    <t xml:space="preserve"> Fiche d'intervention </t>
  </si>
  <si>
    <t xml:space="preserve"> Historique de maintenance perdu </t>
  </si>
  <si>
    <t xml:space="preserve"> Garanties non honorées </t>
  </si>
  <si>
    <t xml:space="preserve"> Compléter systématiquement un ticket de suivi </t>
  </si>
  <si>
    <t>Analyse des performances matérielles</t>
  </si>
  <si>
    <t>Des rapports périodiques sont-ils produits ?</t>
  </si>
  <si>
    <t xml:space="preserve"> Rapport d'activité trimestriel </t>
  </si>
  <si>
    <t xml:space="preserve"> Vision à court terme </t>
  </si>
  <si>
    <t xml:space="preserve"> Décisions non éclairées </t>
  </si>
  <si>
    <t xml:space="preserve"> Générer automatiquement des rapports </t>
  </si>
  <si>
    <t>S’assurer que l'installation des PC / portables est faite à partir 
d'un master (configuration minimum et standardisée)</t>
  </si>
  <si>
    <t xml:space="preserve"> Catalogue des images </t>
  </si>
  <si>
    <t xml:space="preserve"> Configuration hétérogène </t>
  </si>
  <si>
    <t xml:space="preserve"> Problèmes de compatibilité </t>
  </si>
  <si>
    <t xml:space="preserve"> Maintenir une image par type de machine </t>
  </si>
  <si>
    <t xml:space="preserve"> Fiche technique standard </t>
  </si>
  <si>
    <t xml:space="preserve"> Performances insuffisantes </t>
  </si>
  <si>
    <t xml:space="preserve"> Expérience utilisateur dégradée </t>
  </si>
  <si>
    <t xml:space="preserve"> Publier les specs sur l'intranet </t>
  </si>
  <si>
    <t xml:space="preserve"> Script d'installation automatisé </t>
  </si>
  <si>
    <t xml:space="preserve"> Temps de déploiement longs </t>
  </si>
  <si>
    <t xml:space="preserve"> Coûts élevés </t>
  </si>
  <si>
    <t xml:space="preserve"> Développer des packages autonomes </t>
  </si>
  <si>
    <t xml:space="preserve"> Checklist de conformité </t>
  </si>
  <si>
    <t xml:space="preserve"> Écarts par rapport au standard </t>
  </si>
  <si>
    <t xml:space="preserve"> Vulnérabilités </t>
  </si>
  <si>
    <t xml:space="preserve"> Automatiser les vérifications post-install </t>
  </si>
  <si>
    <t xml:space="preserve"> Calendrier des mises à jour </t>
  </si>
  <si>
    <t xml:space="preserve"> Images obsolètes </t>
  </si>
  <si>
    <t xml:space="preserve"> Failles non corrigées </t>
  </si>
  <si>
    <t xml:space="preserve"> Planifier des mises à jour régulières </t>
  </si>
  <si>
    <t>S’assurer qu’il existe un processus spécifique pour le suivi des 
mises à jour sur les portables</t>
  </si>
  <si>
    <t>Procédure dédiée aux portables</t>
  </si>
  <si>
    <t>Existe-t-il un processus spécifique pour les mobiles ?</t>
  </si>
  <si>
    <t xml:space="preserve"> Politique MDM </t>
  </si>
  <si>
    <t xml:space="preserve"> Gestion disparate des mobiles </t>
  </si>
  <si>
    <t xml:space="preserve"> Appliquer les mêmes règles qu'aux fixes </t>
  </si>
  <si>
    <t>Gestion des connexions intermittentes</t>
  </si>
  <si>
    <t>Le processus tient-il compte des connexions instables ?</t>
  </si>
  <si>
    <t xml:space="preserve"> Procédure pour bas débit </t>
  </si>
  <si>
    <t xml:space="preserve"> Échecs de déploiement </t>
  </si>
  <si>
    <t xml:space="preserve"> Temps perdus </t>
  </si>
  <si>
    <t xml:space="preserve"> Optimiser les paquets pour bas débit </t>
  </si>
  <si>
    <t>Priorisation des mises à jour critiques</t>
  </si>
  <si>
    <t>Peut-on forcer les mises à jour de sécurité ?</t>
  </si>
  <si>
    <t xml:space="preserve"> Politique de mise à jour </t>
  </si>
  <si>
    <t xml:space="preserve"> Exploitations possibles </t>
  </si>
  <si>
    <t xml:space="preserve"> Configurer des updates automatiques </t>
  </si>
  <si>
    <t>Centralisation de l'état des mises à jour</t>
  </si>
  <si>
    <t>Peut-on connaître le statut de toutes les machines ?</t>
  </si>
  <si>
    <t xml:space="preserve"> Console de gestion unifiée </t>
  </si>
  <si>
    <t xml:space="preserve"> Visibilité incomplète </t>
  </si>
  <si>
    <t xml:space="preserve"> Réaction retardée </t>
  </si>
  <si>
    <t xml:space="preserve"> Centraliser les informations dans un SIEM </t>
  </si>
  <si>
    <t>Flexibilité pour mises à jour non critiques</t>
  </si>
  <si>
    <t>Les utilisateurs peuvent-ils reporter les mises à jour ?</t>
  </si>
  <si>
    <t xml:space="preserve"> Politique de report </t>
  </si>
  <si>
    <t xml:space="preserve"> Retards critiques </t>
  </si>
  <si>
    <t xml:space="preserve"> Exposition aux risques </t>
  </si>
  <si>
    <t xml:space="preserve"> Limiter les reports à 7 jours max </t>
  </si>
  <si>
    <t xml:space="preserve">S’assurer que le déploiement de nouveaux logiciels ou mises à 
jour est possible à distance (utile pour les utilisateurs nomades) </t>
  </si>
  <si>
    <t>Solution de déploiement distant opérationnelle</t>
  </si>
  <si>
    <t>Peut-on déployer sur les machines nomades ?</t>
  </si>
  <si>
    <t xml:space="preserve"> Solution de déploiement distant </t>
  </si>
  <si>
    <t xml:space="preserve"> Machines non à jour </t>
  </si>
  <si>
    <t xml:space="preserve"> Utiliser un VPN pour les mises à jour </t>
  </si>
  <si>
    <t>Évaluation de la bande passante</t>
  </si>
  <si>
    <t>Les déploiements sont-ils optimisés pour les connexions limitées ?</t>
  </si>
  <si>
    <t xml:space="preserve"> Configuration pour bas débit </t>
  </si>
  <si>
    <t xml:space="preserve"> Consommation excessive </t>
  </si>
  <si>
    <t xml:space="preserve"> Surcharge réseau </t>
  </si>
  <si>
    <t xml:space="preserve"> Activer la compression différentielle </t>
  </si>
  <si>
    <t>Sécurité des transferts à distance</t>
  </si>
  <si>
    <t>Les échanges sont-ils chiffrés et authentifiés ?</t>
  </si>
  <si>
    <t xml:space="preserve"> Audit de sécurité </t>
  </si>
  <si>
    <t xml:space="preserve"> Interceptions possibles </t>
  </si>
  <si>
    <t xml:space="preserve"> Imposer TLS 1.3 + authentification forte </t>
  </si>
  <si>
    <t>Notification aux utilisateurs</t>
  </si>
  <si>
    <t>Les utilisateurs nomades sont-ils avertis ?</t>
  </si>
  <si>
    <t xml:space="preserve"> Procédure de notification </t>
  </si>
  <si>
    <t xml:space="preserve"> Interventions surprises </t>
  </si>
  <si>
    <t xml:space="preserve"> Envoyer une notification push avant déploiement </t>
  </si>
  <si>
    <t>Support technique dédié</t>
  </si>
  <si>
    <t>Existe-t-il une assistance spécifique pour le distant ?</t>
  </si>
  <si>
    <t xml:space="preserve"> Guide d'assistance mobile </t>
  </si>
  <si>
    <t xml:space="preserve"> Problèmes non résolus </t>
  </si>
  <si>
    <t xml:space="preserve"> Former une équipe dédiée au support mobile </t>
  </si>
  <si>
    <t>Vérifier qu’il est possible pour le HD de prendre la main à 
distance, si oui, en vérifier la procédure</t>
  </si>
  <si>
    <t>Outil sécurisé de prise de contrôle</t>
  </si>
  <si>
    <t>Le HD dispose-t-il d'une solution approuvée ?</t>
  </si>
  <si>
    <t xml:space="preserve"> Charte des outils autorisés </t>
  </si>
  <si>
    <t xml:space="preserve"> Outils non sécurisés </t>
  </si>
  <si>
    <t xml:space="preserve"> Violations de sécurité </t>
  </si>
  <si>
    <t xml:space="preserve"> Lister 3 outils approuvés maximum </t>
  </si>
  <si>
    <t>Procédure d'accès distant documentée</t>
  </si>
  <si>
    <t>Existe-t-il un protocole strict pour les interventions ?</t>
  </si>
  <si>
    <t xml:space="preserve"> Procédure d'intervention </t>
  </si>
  <si>
    <t xml:space="preserve"> Actions non contrôlées </t>
  </si>
  <si>
    <t xml:space="preserve"> Erreurs humaines </t>
  </si>
  <si>
    <t xml:space="preserve"> Imposer un workflow validé à chaque étape </t>
  </si>
  <si>
    <t>Consentement utilisateur obligatoire</t>
  </si>
  <si>
    <t>L'utilisateur doit-il donner son accord ?</t>
  </si>
  <si>
    <t xml:space="preserve"> Formulaire de consentement </t>
  </si>
  <si>
    <t xml:space="preserve"> Atteinte à la vie privée </t>
  </si>
  <si>
    <t xml:space="preserve"> Obtenir un accord écrit pour les accès </t>
  </si>
  <si>
    <t>Enregistrement des sessions distantes</t>
  </si>
  <si>
    <t>Peut-on tracer toutes les actions à distance ?</t>
  </si>
  <si>
    <t xml:space="preserve"> Journal d'audit </t>
  </si>
  <si>
    <t xml:space="preserve"> Actions non tracées </t>
  </si>
  <si>
    <t xml:space="preserve"> Abus possibles </t>
  </si>
  <si>
    <t xml:space="preserve"> Logger toutes les commandes exécutées </t>
  </si>
  <si>
    <t>Alternative en cas d'échec de connexion</t>
  </si>
  <si>
    <t>Existe-t-il un plan B pour les interventions ?</t>
  </si>
  <si>
    <t xml:space="preserve"> Procédure alternative </t>
  </si>
  <si>
    <t xml:space="preserve"> Blocage des interventions </t>
  </si>
  <si>
    <t xml:space="preserve"> Délais prolongés </t>
  </si>
  <si>
    <t xml:space="preserve"> Prévoir un accès physique en backup </t>
  </si>
  <si>
    <t>Vérifier comment est géré le parc informatique, quel type de 
machine, et quels outils y sont déployés</t>
  </si>
  <si>
    <t>Inventaire complet du parc</t>
  </si>
  <si>
    <t>Toutes les machines sont-elles répertoriées ?</t>
  </si>
  <si>
    <t xml:space="preserve"> Inventaire complet </t>
  </si>
  <si>
    <t xml:space="preserve"> Machines fantômes </t>
  </si>
  <si>
    <t xml:space="preserve"> Automatiser la découverte réseau hebdomadaire </t>
  </si>
  <si>
    <t>Adéquation machines/besoins métiers</t>
  </si>
  <si>
    <t>La répartition correspond-elle aux usages ?</t>
  </si>
  <si>
    <t xml:space="preserve"> Rapport d'adéquation besoins/ressources </t>
  </si>
  <si>
    <t xml:space="preserve"> Sur/sous dimensionnement </t>
  </si>
  <si>
    <t xml:space="preserve"> Analyser les logs d'utilisation trimestriellement </t>
  </si>
  <si>
    <t>Plan stratégique de renouvellement</t>
  </si>
  <si>
    <t>Existe-t-il une planification des investissements ?</t>
  </si>
  <si>
    <t xml:space="preserve"> Plan pluriannuel d'évolution </t>
  </si>
  <si>
    <t xml:space="preserve"> Obsolescence programmée </t>
  </si>
  <si>
    <t xml:space="preserve"> Coûts de rattrapage </t>
  </si>
  <si>
    <t xml:space="preserve"> Établir un cycle de renouvellement </t>
  </si>
  <si>
    <t>Gestion centralisée du parc</t>
  </si>
  <si>
    <t>Peut-on administrer toutes les machines depuis une console ?</t>
  </si>
  <si>
    <t xml:space="preserve"> Solution d'administration centralisée </t>
  </si>
  <si>
    <t xml:space="preserve"> Gestion fragmentée </t>
  </si>
  <si>
    <t xml:space="preserve"> Inefficacité </t>
  </si>
  <si>
    <t xml:space="preserve"> Déployer un outil comme SCCM/Ansible </t>
  </si>
  <si>
    <t>Vérification régulière de conformité</t>
  </si>
  <si>
    <t>Des audits techniques sont-ils réalisés périodiquement ?</t>
  </si>
  <si>
    <t xml:space="preserve"> Rapport d'audit </t>
  </si>
  <si>
    <t xml:space="preserve"> Dérives non détectées </t>
  </si>
  <si>
    <t xml:space="preserve"> Cumul de vulnérabilités </t>
  </si>
  <si>
    <t xml:space="preserve"> Programmer des audits semestriels </t>
  </si>
  <si>
    <t>Gestion du parc matériel et logiciel : audit d'efficacité et de 
performance</t>
  </si>
  <si>
    <t>Vérifier comment est effectué l'inventaire des licences (logiciel, 
version, date de mise en production, nombre d'utilisateurs)</t>
  </si>
  <si>
    <t>L'inventaire recense précisément chaque logiciel, sa version, sa date de déploiement et son nombre d'utilisateurs autorisés.</t>
  </si>
  <si>
    <t>L'inventaire actuel contient-il ces quatre informations pour 100 % des licences ?</t>
  </si>
  <si>
    <t xml:space="preserve"> Rapport d'exhaustivité de l'inventaire </t>
  </si>
  <si>
    <t xml:space="preserve"> Automatiser la collecte des données </t>
  </si>
  <si>
    <t>Existe-t-il un référent identifié pour les mises à jour mensuelles de l'inventaire ?</t>
  </si>
  <si>
    <t xml:space="preserve"> Désignation officielle du référent </t>
  </si>
  <si>
    <t xml:space="preserve"> Données obsolètes </t>
  </si>
  <si>
    <t xml:space="preserve"> Nommer un référent principal + un suppléant </t>
  </si>
  <si>
    <t>Les services impliqués peuvent-ils consulter facilement les données ?</t>
  </si>
  <si>
    <t xml:space="preserve"> Manuel d'accès aux données </t>
  </si>
  <si>
    <t xml:space="preserve"> Silos d'information </t>
  </si>
  <si>
    <t xml:space="preserve"> Doublons de travail </t>
  </si>
  <si>
    <t xml:space="preserve"> Créer un portail unique de consultation </t>
  </si>
  <si>
    <t>Les modifications suivent-elles une procédure documentée ?</t>
  </si>
  <si>
    <t xml:space="preserve"> Procédure de gestion des changements </t>
  </si>
  <si>
    <t xml:space="preserve"> Modifications non contrôlées </t>
  </si>
  <si>
    <t xml:space="preserve"> Incohérences </t>
  </si>
  <si>
    <t xml:space="preserve"> Implémenter un workflow validé </t>
  </si>
  <si>
    <t>Des vérifications ponctuelles sont-elles prévues pour corriger les écarts ?</t>
  </si>
  <si>
    <t xml:space="preserve"> Calendrier des audits </t>
  </si>
  <si>
    <t xml:space="preserve"> Écarts non détectés </t>
  </si>
  <si>
    <t xml:space="preserve"> Cumul d'erreurs </t>
  </si>
  <si>
    <t xml:space="preserve"> Programmer des vérifications trimestrielles </t>
  </si>
  <si>
    <t>S’assurer que les outils de type SAM (Software Asset 
Management) sont déployés</t>
  </si>
  <si>
    <t>L'outil couvre-t-il au moins 90 % du parc logiciel ?</t>
  </si>
  <si>
    <t xml:space="preserve"> Rapport de couverture fonctionnelle </t>
  </si>
  <si>
    <t xml:space="preserve"> Zones d'ombre </t>
  </si>
  <si>
    <t xml:space="preserve"> Risques cachés </t>
  </si>
  <si>
    <t xml:space="preserve"> Étendre la couverture ou changer d'outil </t>
  </si>
  <si>
    <t>Des notifications proactives sont-elles configurées ?</t>
  </si>
  <si>
    <t xml:space="preserve"> Journal des alertes </t>
  </si>
  <si>
    <t xml:space="preserve"> Réaction tardive </t>
  </si>
  <si>
    <t xml:space="preserve"> Problèmes aggravés </t>
  </si>
  <si>
    <t xml:space="preserve"> Configurer des alertes pour les dates clés </t>
  </si>
  <si>
    <t>Existe-t-il une synchronisation entre le SAM et les autres bases ?</t>
  </si>
  <si>
    <t xml:space="preserve"> Schéma d'intégration des systèmes </t>
  </si>
  <si>
    <t xml:space="preserve"> Données contradictoires </t>
  </si>
  <si>
    <t xml:space="preserve"> Automatiser les synchronisations quotidiennes </t>
  </si>
  <si>
    <t>Le personnel concerné a-t-il reçu une formation dans les 6 derniers mois ?</t>
  </si>
  <si>
    <t xml:space="preserve"> Registre des formations </t>
  </si>
  <si>
    <t xml:space="preserve"> Organiser des sessions semestrielles </t>
  </si>
  <si>
    <t>Ces rapports incluent-ils des recommandations d'optimisation ?</t>
  </si>
  <si>
    <t xml:space="preserve"> Exemple de rapport avec recommandations </t>
  </si>
  <si>
    <t xml:space="preserve"> Standardiser une section "recommandations" </t>
  </si>
  <si>
    <t>Ces réunions ont-elles lieu systématiquement avec un template défini ?</t>
  </si>
  <si>
    <t xml:space="preserve"> Template de compte-rendu </t>
  </si>
  <si>
    <t xml:space="preserve"> Discussions inefficaces </t>
  </si>
  <si>
    <t xml:space="preserve"> Décisions floues </t>
  </si>
  <si>
    <t xml:space="preserve"> Utiliser un modèle structuré </t>
  </si>
  <si>
    <t>Toutes les parties prenantes sont-elles représentées ?</t>
  </si>
  <si>
    <t xml:space="preserve"> Points de vue manquants </t>
  </si>
  <si>
    <t xml:space="preserve"> Décisions partiales </t>
  </si>
  <si>
    <t xml:space="preserve"> Imposer la présence des services clés </t>
  </si>
  <si>
    <t>Les décisions sont-elles documentées et assignées à des responsables ?</t>
  </si>
  <si>
    <t xml:space="preserve"> PV de réunion avec actions </t>
  </si>
  <si>
    <t xml:space="preserve"> Suivi impossible </t>
  </si>
  <si>
    <t xml:space="preserve"> Rien ne change </t>
  </si>
  <si>
    <t xml:space="preserve"> Utiliser un outil de suivi d'actions </t>
  </si>
  <si>
    <t>Les risques juridiques/financiers sont-ils analysés en premier ?</t>
  </si>
  <si>
    <t xml:space="preserve"> Procédure d'analyse des risques </t>
  </si>
  <si>
    <t xml:space="preserve"> Priorités mal définies </t>
  </si>
  <si>
    <t xml:space="preserve"> Problèmes graves non traités </t>
  </si>
  <si>
    <t xml:space="preserve"> Adopter une méthodologie type ISO 31000 </t>
  </si>
  <si>
    <t>Peut-on retrouver les comptes-rendus des 12 derniers mois ?</t>
  </si>
  <si>
    <t xml:space="preserve"> Archive des comptes-rendus </t>
  </si>
  <si>
    <t xml:space="preserve"> Historique perdu </t>
  </si>
  <si>
    <t xml:space="preserve"> Centraliser dans un système de GED </t>
  </si>
  <si>
    <t>S’assurer qu’il existe une base de données de gestion de 
configuration de type CMDB (Configuration Management Data Base)</t>
  </si>
  <si>
    <t>La base intègre-t-elle les logiciels, serveurs et utilisateurs finaux ?</t>
  </si>
  <si>
    <t xml:space="preserve"> Modèle de données complet </t>
  </si>
  <si>
    <t xml:space="preserve"> Vision fragmentée </t>
  </si>
  <si>
    <t xml:space="preserve"> Concevoir un modèle unifié </t>
  </si>
  <si>
    <t>Au moins 80 % des données sont-elles synchronisées sans intervention manuelle ?</t>
  </si>
  <si>
    <t xml:space="preserve"> Rapport de synchronisation </t>
  </si>
  <si>
    <t xml:space="preserve"> Saisie manuelle </t>
  </si>
  <si>
    <t xml:space="preserve"> Automatiser les flux via API </t>
  </si>
  <si>
    <t>Existe-t-il une checklist pour vérifier les nouvelles entrées ?</t>
  </si>
  <si>
    <t xml:space="preserve"> Checklist de validation </t>
  </si>
  <si>
    <t xml:space="preserve"> Données incomplètes </t>
  </si>
  <si>
    <t xml:space="preserve"> Inventaire peu fiable </t>
  </si>
  <si>
    <t xml:space="preserve"> Intégrer la checklist dans le workflow </t>
  </si>
  <si>
    <t>Peut-on extraire des rapports combinant plusieurs types de données ?</t>
  </si>
  <si>
    <t xml:space="preserve"> Catalogue des rapports disponibles </t>
  </si>
  <si>
    <t xml:space="preserve"> Analyses limitées </t>
  </si>
  <si>
    <t xml:space="preserve"> Décisions partielles </t>
  </si>
  <si>
    <t xml:space="preserve"> Développer des vues croisées </t>
  </si>
  <si>
    <t>Les droits sont-ils attribués en fonction des besoins de chaque service ?</t>
  </si>
  <si>
    <t xml:space="preserve"> Accès excessifs </t>
  </si>
  <si>
    <t xml:space="preserve"> Appliquer le principe du moindre privilège </t>
  </si>
  <si>
    <t>S’assurer que la DSI est sensibilisée aux enjeux de la maîtrise 
des licences ? (notamment en cas de contrôle)</t>
  </si>
  <si>
    <t>Tous les collaborateurs ont-ils suivi ce module dans les 12 derniers mois ?</t>
  </si>
  <si>
    <t xml:space="preserve"> Rapport de complétion des formations </t>
  </si>
  <si>
    <t xml:space="preserve"> Non-conformité généralisée </t>
  </si>
  <si>
    <t xml:space="preserve"> Risque juridique </t>
  </si>
  <si>
    <t xml:space="preserve"> Bloquer les accès sans formation </t>
  </si>
  <si>
    <t>Les exemples de sanctions ou amendes sont-ils mentionnés ?</t>
  </si>
  <si>
    <t xml:space="preserve"> Recueil de cas pratiques </t>
  </si>
  <si>
    <t xml:space="preserve"> Sous-estimation des risques </t>
  </si>
  <si>
    <t xml:space="preserve"> Répétition d'erreurs </t>
  </si>
  <si>
    <t xml:space="preserve"> Ajouter des cas concrets dans la formation </t>
  </si>
  <si>
    <t>Ces rapports incluent-ils une évaluation des risques ?</t>
  </si>
  <si>
    <t xml:space="preserve"> Modèle de rapport avec analyse risque </t>
  </si>
  <si>
    <t xml:space="preserve"> Problèmes non anticipés </t>
  </si>
  <si>
    <t xml:space="preserve"> Adopter une échelle de risque standardisée </t>
  </si>
  <si>
    <t>Existe-t-il un guide sur l’usage conforme des logiciels ?</t>
  </si>
  <si>
    <t xml:space="preserve"> Guide des bonnes pratiques </t>
  </si>
  <si>
    <t xml:space="preserve"> Utilisation abusive </t>
  </si>
  <si>
    <t xml:space="preserve"> Violation de licence </t>
  </si>
  <si>
    <t xml:space="preserve"> Diffuser largement le guide </t>
  </si>
  <si>
    <t>La gestion des licences fait-elle partie des formations initiales ?</t>
  </si>
  <si>
    <t xml:space="preserve"> Programme d'onboarding </t>
  </si>
  <si>
    <t xml:space="preserve"> Nouveaux collaborateurs non formés </t>
  </si>
  <si>
    <t xml:space="preserve"> Erreurs rapides </t>
  </si>
  <si>
    <t xml:space="preserve"> Intégrer un module obligatoire </t>
  </si>
  <si>
    <t>Cette politique est-elle signée par la direction générale ?</t>
  </si>
  <si>
    <t xml:space="preserve"> Politique signée </t>
  </si>
  <si>
    <t xml:space="preserve"> Non-application </t>
  </si>
  <si>
    <t xml:space="preserve"> Obtenir la signature formelle </t>
  </si>
  <si>
    <t>Chaque service connaît-il ses obligations concernant les licences ?</t>
  </si>
  <si>
    <t xml:space="preserve"> Matrice RACI </t>
  </si>
  <si>
    <t xml:space="preserve"> Confusion des rôles </t>
  </si>
  <si>
    <t xml:space="preserve"> Responsabilités floues </t>
  </si>
  <si>
    <t xml:space="preserve"> Clarifier les responsabilités par service </t>
  </si>
  <si>
    <t>Tous les types de licences sont-ils explicitement mentionnés ?</t>
  </si>
  <si>
    <t xml:space="preserve"> Liste exhaustive des types </t>
  </si>
  <si>
    <t xml:space="preserve"> Gestion inadaptée </t>
  </si>
  <si>
    <t xml:space="preserve"> Maintenir une typologie à jour </t>
  </si>
  <si>
    <t>Existe-t-il un protocole pour fournir les preuves de conformité ?</t>
  </si>
  <si>
    <t xml:space="preserve"> Procédure de réponse aux audits </t>
  </si>
  <si>
    <t xml:space="preserve"> Preuves incomplètes </t>
  </si>
  <si>
    <t xml:space="preserve"> Préparer un dossier type toujours à jour </t>
  </si>
  <si>
    <t>Une mise à jour a-t-elle été effectuée dans l’année écoulée ?</t>
  </si>
  <si>
    <t xml:space="preserve"> Historique des versions </t>
  </si>
  <si>
    <t xml:space="preserve"> Politique obsolète </t>
  </si>
  <si>
    <t xml:space="preserve"> Planifier des révisions annuelles </t>
  </si>
  <si>
    <t>Une politique logicielle formelle est documentée et approuvée par la direction</t>
  </si>
  <si>
    <t>Existe-t-il un document officiel définissant la politique de gestion des licences logicielles, signé par la direction générale ?</t>
  </si>
  <si>
    <t xml:space="preserve"> Politique de gestion des licences </t>
  </si>
  <si>
    <t xml:space="preserve"> Approche disparate </t>
  </si>
  <si>
    <t xml:space="preserve"> Rédiger et diffuser un document cadre </t>
  </si>
  <si>
    <t>La politique couvre l'ensemble du cycle de vie des licences (acquisition, déploiement, suivi, renouvellement, désinstallation)</t>
  </si>
  <si>
    <t>Le document aborde-t-il toutes les étapes depuis l'achat jusqu'à la fin d'utilisation des licences ?</t>
  </si>
  <si>
    <t xml:space="preserve"> Processus complet documenté </t>
  </si>
  <si>
    <t xml:space="preserve"> Étapes manquantes </t>
  </si>
  <si>
    <t xml:space="preserve"> Risques non couverts </t>
  </si>
  <si>
    <t xml:space="preserve"> Modéliser le processus de A à Z </t>
  </si>
  <si>
    <t>Les rôles et responsabilités des différents acteurs (DSI, services achats, utilisateurs) sont clairement définis</t>
  </si>
  <si>
    <t>La politique précise-t-elle qui est responsable de chaque activité liée aux licences (demande, approbation, gestion) ?</t>
  </si>
  <si>
    <t xml:space="preserve"> Organigramme des responsabilités </t>
  </si>
  <si>
    <t xml:space="preserve"> Dilution des responsabilités </t>
  </si>
  <si>
    <t xml:space="preserve"> Actions non menées </t>
  </si>
  <si>
    <t xml:space="preserve"> Désigner clairement les responsables </t>
  </si>
  <si>
    <t>La politique intègre des procédures spécifiques pour faire face aux audits des éditeurs</t>
  </si>
  <si>
    <t>Le document prévoit-il des actions à mener en cas de contrôle par un éditeur de logiciel ?</t>
  </si>
  <si>
    <t xml:space="preserve"> Plan de réponse aux audits </t>
  </si>
  <si>
    <t xml:space="preserve"> Improvisation lors des contrôles </t>
  </si>
  <si>
    <t xml:space="preserve"> Sanctions sévères </t>
  </si>
  <si>
    <t xml:space="preserve"> Préparer des scénarios de réponse </t>
  </si>
  <si>
    <t>La politique est régulièrement mise à jour pour tenir compte des évolutions technologiques et juridiques</t>
  </si>
  <si>
    <t>La dernière révision de la politique date-t-elle de moins d'un an ?</t>
  </si>
  <si>
    <t xml:space="preserve"> PV de dernière révision </t>
  </si>
  <si>
    <t xml:space="preserve"> Politique dépassée </t>
  </si>
  <si>
    <t xml:space="preserve"> Planifier des revues annuelles systématiques </t>
  </si>
  <si>
    <t>Une personne responsable est désignée pour maintenir cet inventaire à jour.</t>
  </si>
  <si>
    <t>L'inventaire est accessible aux équipes concernées (DSI, achats, juridique).</t>
  </si>
  <si>
    <t>Un processus formalisé existe pour ajouter/supprimer des licences dans l'inventaire.</t>
  </si>
  <si>
    <t>Des contrôles aléatoires sont effectués pour valider l'exactitude des données.</t>
  </si>
  <si>
    <t>Un outil SAM est utilisé pour suivre automatiquement les licences et leur utilisation.</t>
  </si>
  <si>
    <t>Le SAM génère des alertes pour les licences expirées ou sous-utilisées.</t>
  </si>
  <si>
    <t>L'outil est interfacé avec l'inventaire manuel pour éviter les doublons.</t>
  </si>
  <si>
    <t>Les équipes techniques sont formées à son utilisation.</t>
  </si>
  <si>
    <t>Un rapport mensuel est produit pour analyser les économies potentielles.</t>
  </si>
  <si>
    <t>Des revues trimestrielles sont planifiées avec un ordre du jour standardisé.</t>
  </si>
  <si>
    <t>Les participants incluent la DSI, les achats et les métiers concernés.</t>
  </si>
  <si>
    <t>Un suivi des actions correctives est partagé après chaque revue.</t>
  </si>
  <si>
    <t>Les écarts de conformité sont prioritaires dans les discussions.</t>
  </si>
  <si>
    <t>L’historique des revues est archivé pour référence future.</t>
  </si>
  <si>
    <t>Une CMDB centralise les données de configuration, incluant les licences.</t>
  </si>
  <si>
    <t>Les mises à jour sont automatiques via des connecteurs avec les outils métiers.</t>
  </si>
  <si>
    <t>Un processus de validation garantit la qualité des données avant intégration.</t>
  </si>
  <si>
    <t>La CMDB permet des analyses transverses (coûts, risques, performance).</t>
  </si>
  <si>
    <t>L’accès est restreint selon les rôles (lecture/modification).</t>
  </si>
  <si>
    <t>ne formation annuelle est obligatoire pour les équipes techniques.</t>
  </si>
  <si>
    <t>Les risques financiers et juridiques sont inclus dans les supports de formation.</t>
  </si>
  <si>
    <t>La direction reçoit un reporting trimestriel sur l’état des licences.</t>
  </si>
  <si>
    <t>Un référentiel des bonnes pratiques est accessible en interne.</t>
  </si>
  <si>
    <t>Les nouveaux employés sont sensibilisés lors de leur onboarding.</t>
  </si>
  <si>
    <t>Un document officiel définit les règles d’achat, de déploiement et de suivi.</t>
  </si>
  <si>
    <t>Les rôles et responsabilités (DSI, achats, métiers) sont clairement attribués.</t>
  </si>
  <si>
    <t>La politique couvre les logiciels libres, SaaS et sur étagère.</t>
  </si>
  <si>
    <t>Les procédures en cas de contrôle d’un éditeur sont détaillées.</t>
  </si>
  <si>
    <t>La politique est révisée annuellement pour s’adapter aux évolutions.</t>
  </si>
  <si>
    <t>Points de contrôle</t>
  </si>
  <si>
    <t>Objectifs de contrôle</t>
  </si>
  <si>
    <t>Critères d'évaluation</t>
  </si>
  <si>
    <t>Gestion des communications et des opérations</t>
  </si>
  <si>
    <t>Vérifier que la documentation des procédures et les 
responsabilités opérationnelles existe</t>
  </si>
  <si>
    <t>Toutes les procédures opérationnelles critiques sont documentées</t>
  </si>
  <si>
    <t>Toutes les procédures critiques sont-elles formalisées par écrit ?</t>
  </si>
  <si>
    <t xml:space="preserve"> Inventaire des procédures critiques </t>
  </si>
  <si>
    <t xml:space="preserve"> Erreurs opérationnelles </t>
  </si>
  <si>
    <t xml:space="preserve"> Établir une matrice des procédures obligatoires </t>
  </si>
  <si>
    <t>Les responsabilités opérationnelles sont clairement attribuées et documentées</t>
  </si>
  <si>
    <t>Les rôles et responsabilités sont-ils explicitement définis ?</t>
  </si>
  <si>
    <t xml:space="preserve"> Confusion des responsabilités </t>
  </si>
  <si>
    <t xml:space="preserve"> Retards dans l'exécution </t>
  </si>
  <si>
    <t xml:space="preserve"> Mettre à jour la matrice semestriellement </t>
  </si>
  <si>
    <t>La documentation est accessible à l'ensemble du personnel concerné</t>
  </si>
  <si>
    <t>Le personnel a-t-il facilement accès à la documentation ?</t>
  </si>
  <si>
    <t xml:space="preserve"> Guide d'accès à la documentation </t>
  </si>
  <si>
    <t xml:space="preserve"> Non-application des procédures </t>
  </si>
  <si>
    <t xml:space="preserve"> Déployer un portail documentaire unique </t>
  </si>
  <si>
    <t>La documentation est à jour et révisée régulièrement</t>
  </si>
  <si>
    <t>La documentation est-elle actualisée au moins annuellement ?</t>
  </si>
  <si>
    <t xml:space="preserve"> Historique des révisions </t>
  </si>
  <si>
    <t xml:space="preserve"> Procédures obsolètes </t>
  </si>
  <si>
    <t>Un processus de validation de la documentation est formalisé</t>
  </si>
  <si>
    <t>Existe-t-il une procédure de validation des documents ?</t>
  </si>
  <si>
    <t xml:space="preserve"> Workflow de validation </t>
  </si>
  <si>
    <t xml:space="preserve"> Documents non validés </t>
  </si>
  <si>
    <t xml:space="preserve"> Imposer une validation à deux niveaux </t>
  </si>
  <si>
    <t>Vérifier que le contrôle des modifications opérationnelles est 
réalisé</t>
  </si>
  <si>
    <t>Toute modification opérationnelle fait l'objet d'une demande formalisée</t>
  </si>
  <si>
    <t>Existe-t-il un formulaire de demande de modification ?</t>
  </si>
  <si>
    <t xml:space="preserve"> Modèle de demande de modification </t>
  </si>
  <si>
    <t xml:space="preserve"> Changements non contrôlés </t>
  </si>
  <si>
    <t xml:space="preserve"> Instabilité </t>
  </si>
  <si>
    <t xml:space="preserve"> Standardiser les demandes via un formulaire électronique </t>
  </si>
  <si>
    <t>Les modifications sont analysées pour évaluer leur impact</t>
  </si>
  <si>
    <t>L'impact des modifications est-il systématiquement évalué ?</t>
  </si>
  <si>
    <t xml:space="preserve"> Grille d'analyse d'impact </t>
  </si>
  <si>
    <t xml:space="preserve"> Changements mal évalués </t>
  </si>
  <si>
    <t xml:space="preserve"> Incidents post-déploiement </t>
  </si>
  <si>
    <t xml:space="preserve"> Implémenter une analyse d'impact formelle </t>
  </si>
  <si>
    <t>Un processus d'approbation des modifications est en place</t>
  </si>
  <si>
    <t>Les modifications requièrent-elles une approbation formelle ?</t>
  </si>
  <si>
    <t xml:space="preserve"> Procédure d'approbation </t>
  </si>
  <si>
    <t xml:space="preserve"> Changements non autorisés </t>
  </si>
  <si>
    <t xml:space="preserve"> Risques non maîtrisés </t>
  </si>
  <si>
    <t xml:space="preserve"> Exiger une signature électronique </t>
  </si>
  <si>
    <t>Les modifications sont testées avant mise en production</t>
  </si>
  <si>
    <t>Des tests sont-ils réalisés avant déploiement ?</t>
  </si>
  <si>
    <t xml:space="preserve"> Plan de tests </t>
  </si>
  <si>
    <t xml:space="preserve"> Perturbation du service </t>
  </si>
  <si>
    <t xml:space="preserve"> Créer un environnement de test dédié </t>
  </si>
  <si>
    <t>Un journal des modifications est tenu à jour</t>
  </si>
  <si>
    <t>Toutes les modifications sont-elles enregistrées et tracées ?</t>
  </si>
  <si>
    <t xml:space="preserve"> Utiliser un système de ticketing </t>
  </si>
  <si>
    <t>Une procédure formelle de déclaration des incidents existe</t>
  </si>
  <si>
    <t>Comment les incidents doivent-ils être déclarés ?</t>
  </si>
  <si>
    <t xml:space="preserve"> Procédure de déclaration d'incident </t>
  </si>
  <si>
    <t xml:space="preserve"> Signalement tardif </t>
  </si>
  <si>
    <t xml:space="preserve"> Aggravation </t>
  </si>
  <si>
    <t xml:space="preserve"> Simplifier le processus de déclaration </t>
  </si>
  <si>
    <t>Les différents niveaux de gravité des incidents sont définis</t>
  </si>
  <si>
    <t>Existe-t-il une classification des incidents par criticité ?</t>
  </si>
  <si>
    <t xml:space="preserve"> Grille de criticité </t>
  </si>
  <si>
    <t xml:space="preserve"> Priorisation erronée </t>
  </si>
  <si>
    <t xml:space="preserve"> Ressources mal allouées </t>
  </si>
  <si>
    <t xml:space="preserve"> Adopter une échelle à 4 niveaux </t>
  </si>
  <si>
    <t>Les délais de traitement sont formalisés pour chaque type d'incident</t>
  </si>
  <si>
    <t>Des délais de résolution sont-ils définis ?</t>
  </si>
  <si>
    <t xml:space="preserve"> Tableau des SLA incidents </t>
  </si>
  <si>
    <t xml:space="preserve"> Délais excessifs </t>
  </si>
  <si>
    <t xml:space="preserve"> Définir des objectifs réalistes </t>
  </si>
  <si>
    <t>Un processus d'analyse post-incident est prévu</t>
  </si>
  <si>
    <t>Les incidents font-ils l'objet d'une analyse a posteriori ?</t>
  </si>
  <si>
    <t xml:space="preserve"> Procédure post-mortem </t>
  </si>
  <si>
    <t xml:space="preserve"> Répétition des incidents </t>
  </si>
  <si>
    <t xml:space="preserve"> Non-amélioration </t>
  </si>
  <si>
    <t xml:space="preserve"> Organiser des retours d'expérience </t>
  </si>
  <si>
    <t>Les actions correctives sont documentées et suivies</t>
  </si>
  <si>
    <t>Les solutions apportées sont-elles enregistrées ?</t>
  </si>
  <si>
    <t xml:space="preserve"> Base de connaissances </t>
  </si>
  <si>
    <t xml:space="preserve"> Perte d'expérience </t>
  </si>
  <si>
    <t xml:space="preserve"> Temps perdu </t>
  </si>
  <si>
    <t xml:space="preserve"> Alimenter systématiquement la KB </t>
  </si>
  <si>
    <t>Vérifier que la séparation des fonctions et des 
infrastructures existe</t>
  </si>
  <si>
    <t>Les droits d'accès sont attribués selon le principe de moindre privilège</t>
  </si>
  <si>
    <t>Les accès sont-ils limités au strict nécessaire ?</t>
  </si>
  <si>
    <t xml:space="preserve"> Politique de moindre privilège </t>
  </si>
  <si>
    <t xml:space="preserve"> Réviser les habilitations trimestriellement </t>
  </si>
  <si>
    <t>Les environnements de production et de développement sont physiquement ou logiquement séparés</t>
  </si>
  <si>
    <t>La séparation production/développement est-elle effective ?</t>
  </si>
  <si>
    <t xml:space="preserve"> Audit d'environnements </t>
  </si>
  <si>
    <t xml:space="preserve"> Contamination production </t>
  </si>
  <si>
    <t xml:space="preserve"> Isoler physiquement les environnements </t>
  </si>
  <si>
    <t>Aucun individu ne cumule des fonctions incompatibles</t>
  </si>
  <si>
    <t>Les conflits d'intérêts potentiels sont-ils identifiés ?</t>
  </si>
  <si>
    <t xml:space="preserve"> Matrice des conflits </t>
  </si>
  <si>
    <t xml:space="preserve"> Abus de position </t>
  </si>
  <si>
    <t xml:space="preserve"> Fraude </t>
  </si>
  <si>
    <t xml:space="preserve"> Former les managers à la détection </t>
  </si>
  <si>
    <t>Les accès aux systèmes critiques font l'objet d'un contrôle renforcé</t>
  </si>
  <si>
    <t>Existe-t-il un double contrôle pour les accès sensibles ?</t>
  </si>
  <si>
    <t xml:space="preserve"> Procédure à quatre yeux </t>
  </si>
  <si>
    <t xml:space="preserve"> Erreurs critiques </t>
  </si>
  <si>
    <t xml:space="preserve"> Imposer une validation systématique </t>
  </si>
  <si>
    <t>La matrice des droits d'accès est documentée et actualisée</t>
  </si>
  <si>
    <t>La liste des habilitations est-elle à jour ?</t>
  </si>
  <si>
    <t xml:space="preserve"> Rapport d'habilitations </t>
  </si>
  <si>
    <t xml:space="preserve"> Accès obsolètes </t>
  </si>
  <si>
    <t xml:space="preserve"> Sécurité compromise </t>
  </si>
  <si>
    <t xml:space="preserve"> Automatiser les désactivations </t>
  </si>
  <si>
    <t xml:space="preserve">Vérifier qu’une étude de sécurité en cas de gestion externe des 
infrastructures a été réalisée </t>
  </si>
  <si>
    <t>Une analyse des risques spécifiques a été conduite pour l'externalisation</t>
  </si>
  <si>
    <t>Les risques liés à l'externalisation ont-ils été identifiés ?</t>
  </si>
  <si>
    <t xml:space="preserve"> Analyse de risques spécifique </t>
  </si>
  <si>
    <t xml:space="preserve"> Menaces sous-estimées </t>
  </si>
  <si>
    <t xml:space="preserve"> Incidents graves </t>
  </si>
  <si>
    <t xml:space="preserve"> Réaliser une analyse poussée préalable </t>
  </si>
  <si>
    <t>Les exigences de sécurité sont contractualisées avec le prestataire</t>
  </si>
  <si>
    <t>Le contrat inclut-il des clauses de sécurité précises ?</t>
  </si>
  <si>
    <t xml:space="preserve"> Modèle de contrat type </t>
  </si>
  <si>
    <t xml:space="preserve"> Litiges </t>
  </si>
  <si>
    <t xml:space="preserve"> Faire valider par le juridique </t>
  </si>
  <si>
    <t>Les contrôles d'accès du prestataire sont conformes à la politique interne</t>
  </si>
  <si>
    <t>Les accès du prestataire respectent-ils nos standards ?</t>
  </si>
  <si>
    <t xml:space="preserve"> Politique d'accès externes </t>
  </si>
  <si>
    <t xml:space="preserve"> Failles introduites </t>
  </si>
  <si>
    <t xml:space="preserve"> Compromission </t>
  </si>
  <si>
    <t xml:space="preserve"> Appliquer les mêmes règles qu'en interne </t>
  </si>
  <si>
    <t>Un audit de sécurité du prestataire a été réalisé avant la contractualisation</t>
  </si>
  <si>
    <t>Le prestataire a-t-il été audité sur ses pratiques de sécurité ?</t>
  </si>
  <si>
    <t xml:space="preserve"> Rapport d'audit fournisseur </t>
  </si>
  <si>
    <t xml:space="preserve"> Pratiques défaillantes </t>
  </si>
  <si>
    <t xml:space="preserve"> Exiger des certifications reconnues </t>
  </si>
  <si>
    <t>Un plan de continuité d'activité spécifique a été élaboré</t>
  </si>
  <si>
    <t>Existe-t-il un PCA pour le scénario d'externalisation ?</t>
  </si>
  <si>
    <t xml:space="preserve"> Plan de Continuité d'Activité </t>
  </si>
  <si>
    <t xml:space="preserve"> Pertes financières </t>
  </si>
  <si>
    <t xml:space="preserve"> Tester le PCA annuellement </t>
  </si>
  <si>
    <t xml:space="preserve">Conformité
</t>
  </si>
  <si>
    <t>Vérifier que les politique et procédures de sécurité internalisent 
les exigences légales et réglementaires</t>
  </si>
  <si>
    <t>Les politiques de sécurité mentionnent explicitement les textes réglementaires applicables.</t>
  </si>
  <si>
    <t>Les politiques font-elles référence aux lois et règlements en vigueur ?</t>
  </si>
  <si>
    <t xml:space="preserve"> Référentiel législatif annexé </t>
  </si>
  <si>
    <t xml:space="preserve"> Non-conformité juridique </t>
  </si>
  <si>
    <t xml:space="preserve"> Sanctions pénales </t>
  </si>
  <si>
    <t xml:space="preserve"> Mettre à jour les références légales semestriellement </t>
  </si>
  <si>
    <t>Les procédures opérationnelles intègrent les obligations légales (ex : RGPD, directives sectorielles).</t>
  </si>
  <si>
    <t>Les procédures reflètent-elles les exigences légales ?</t>
  </si>
  <si>
    <t xml:space="preserve"> Matrice de correspondance procédures-lois </t>
  </si>
  <si>
    <t xml:space="preserve"> Procédures non conformes </t>
  </si>
  <si>
    <t xml:space="preserve"> Nullité des actes </t>
  </si>
  <si>
    <t xml:space="preserve"> Réaliser un audit de conformité procédurale </t>
  </si>
  <si>
    <t>Un processus de veille réglementaire est formalisé pour mettre à jour les documents.</t>
  </si>
  <si>
    <t>Existe-t-il un mécanisme de mise à jour face aux évolutions légales ?</t>
  </si>
  <si>
    <t xml:space="preserve"> Procédure de veille réglementaire </t>
  </si>
  <si>
    <t xml:space="preserve"> Délais d'adaptation trop longs </t>
  </si>
  <si>
    <t xml:space="preserve"> Nommer un veilleur réglementaire dédié </t>
  </si>
  <si>
    <t>Les employés sont formés sur les aspects réglementaires liés à leur fonction.</t>
  </si>
  <si>
    <t>Le personnel connaît-il ses obligations légales ?</t>
  </si>
  <si>
    <t xml:space="preserve"> Méconnaissance des règles </t>
  </si>
  <si>
    <t xml:space="preserve"> Erreurs involontaires </t>
  </si>
  <si>
    <t xml:space="preserve"> Organiser des formations annuelles obligatoires </t>
  </si>
  <si>
    <t>Un contrôle annuel vérifie l’alignement des politiques avec le cadre légal.</t>
  </si>
  <si>
    <t>Un audit de conformité est-il réalisé chaque année ?</t>
  </si>
  <si>
    <t xml:space="preserve"> Programme d'audit annuel </t>
  </si>
  <si>
    <t xml:space="preserve"> Cumul de non-conformités </t>
  </si>
  <si>
    <t xml:space="preserve"> Externaliser l'audit pour impartialité </t>
  </si>
  <si>
    <t>Vérifier que la convergence vers le cadre règlementaire national 
est recherchée</t>
  </si>
  <si>
    <t>Une analyse comparative entre les pratiques internes et les exigences nationales est disponible.</t>
  </si>
  <si>
    <t>Une cartographie des écarts avec la réglementation nationale existe-t-elle ?</t>
  </si>
  <si>
    <t xml:space="preserve"> Matrice des écarts </t>
  </si>
  <si>
    <t xml:space="preserve"> Cécité réglementaire </t>
  </si>
  <si>
    <t xml:space="preserve"> Maintenir un tableau de bord dynamique </t>
  </si>
  <si>
    <t>Un plan d’action priorise les corrections pour atteindre la conformité.</t>
  </si>
  <si>
    <t>Des mesures correctives sont-elles planifiées pour réduire les écarts ?</t>
  </si>
  <si>
    <t xml:space="preserve"> Plan d'action correctif </t>
  </si>
  <si>
    <t xml:space="preserve"> Correction aléatoire </t>
  </si>
  <si>
    <t xml:space="preserve"> Persistance des écarts </t>
  </si>
  <si>
    <t xml:space="preserve"> Prioriser les écarts par criticité </t>
  </si>
  <si>
    <t>Les mises à jour réglementaires nationales sont intégrées dans un délai maximal de 6 mois.</t>
  </si>
  <si>
    <t>Les nouvelles obligations légales sont-elles implémentées rapidement ?</t>
  </si>
  <si>
    <t xml:space="preserve"> Journal des mises en conformité </t>
  </si>
  <si>
    <t xml:space="preserve"> Retards d'implémentation </t>
  </si>
  <si>
    <t xml:space="preserve"> Fixer un délai max de 3 mois </t>
  </si>
  <si>
    <t>La direction valide annuellement les objectifs de conformité réglementaire.</t>
  </si>
  <si>
    <t>La conformité nationale est-elle une priorité stratégique ?</t>
  </si>
  <si>
    <t xml:space="preserve"> Procès-verbal du COMEX </t>
  </si>
  <si>
    <t xml:space="preserve"> Culture non conforme </t>
  </si>
  <si>
    <t xml:space="preserve"> Inscrire la conformité dans la stratégie </t>
  </si>
  <si>
    <t>Les indicateurs de conformité sont suivis et rapportés trimestriellement.</t>
  </si>
  <si>
    <t>La progression vers la conformité est-elle mesurée et communiquée ?</t>
  </si>
  <si>
    <t xml:space="preserve"> Tableau de bord de conformité </t>
  </si>
  <si>
    <t xml:space="preserve"> Efforts invisibles </t>
  </si>
  <si>
    <t xml:space="preserve"> Publier un bulletin trimestriel </t>
  </si>
  <si>
    <t>S’assurer qu’un document retraçant le gap entre l’état actuel 
des politiques et procédures de sécurité interne et le cadre 
réglementaire existe et est tenu à jour</t>
  </si>
  <si>
    <t>Un registre des écarts de conformité est maintenu et accessible.</t>
  </si>
  <si>
    <t>Le document identifiant les gaps est-il facilement consultable ?</t>
  </si>
  <si>
    <t xml:space="preserve"> Politique d'accès aux documents </t>
  </si>
  <si>
    <t xml:space="preserve"> Information cachée </t>
  </si>
  <si>
    <t xml:space="preserve"> Mauvaises décisions </t>
  </si>
  <si>
    <t xml:space="preserve"> Héberger sur l'intranet </t>
  </si>
  <si>
    <t>Chaque écart documenté est associé à un responsable de correction.</t>
  </si>
  <si>
    <t>Des responsables sont-ils assignés pour chaque non-conformité ?</t>
  </si>
  <si>
    <t xml:space="preserve"> Matrice des responsables </t>
  </si>
  <si>
    <t xml:space="preserve"> Aucune correction </t>
  </si>
  <si>
    <t xml:space="preserve"> Utiliser la méthode RACI </t>
  </si>
  <si>
    <t>Le registre est mis à jour lors de changements réglementaires ou internes.</t>
  </si>
  <si>
    <t>Le document est-il actualisé au moins semestriellement ?</t>
  </si>
  <si>
    <t xml:space="preserve"> Programmer des mises à jour </t>
  </si>
  <si>
    <t>Les écarts sont classés par niveau de criticité (ex : légal, financier, opérationnel).</t>
  </si>
  <si>
    <t>Une analyse de risque est-elle appliquée aux écarts identifiés ?</t>
  </si>
  <si>
    <t xml:space="preserve"> Grille d'analyse des risques </t>
  </si>
  <si>
    <t xml:space="preserve"> Priorisation impossible </t>
  </si>
  <si>
    <t xml:space="preserve"> Gaspillage de ressources </t>
  </si>
  <si>
    <t xml:space="preserve"> Adopter la méthode EBIOS </t>
  </si>
  <si>
    <t>Le registre inclut des preuves de résolution pour les écarts corrigés.</t>
  </si>
  <si>
    <t>Les corrections sont-elles justifiées par des preuves documentées ?</t>
  </si>
  <si>
    <t xml:space="preserve"> Dossier de preuves </t>
  </si>
  <si>
    <t xml:space="preserve"> Actions non vérifiables </t>
  </si>
  <si>
    <t xml:space="preserve"> Audit défavorable </t>
  </si>
  <si>
    <t xml:space="preserve"> Constituer un dossier par écart </t>
  </si>
  <si>
    <t>Un calendrier des audits obligatoires est établi et respecté.</t>
  </si>
  <si>
    <t>Tous les audits requis sont-ils planifiés et exécutés à temps ?</t>
  </si>
  <si>
    <t xml:space="preserve"> Manquement aux obligations </t>
  </si>
  <si>
    <t xml:space="preserve"> Automatiser les rappels </t>
  </si>
  <si>
    <t>Les rapports d’audit identifient clairement les non-conformités.</t>
  </si>
  <si>
    <t>Les écarts sont-ils formalisés dans les comptes rendus d’audit ?</t>
  </si>
  <si>
    <t xml:space="preserve"> Modèle de compte-rendu </t>
  </si>
  <si>
    <t xml:space="preserve"> Problèmes minimisés </t>
  </si>
  <si>
    <t xml:space="preserve"> Non-traitement </t>
  </si>
  <si>
    <t xml:space="preserve"> Standardiser les rapports </t>
  </si>
  <si>
    <t>Les recommandations des audits font l’objet d’un suivi formalisé.</t>
  </si>
  <si>
    <t>Un plan d’action est-il élaboré pour chaque audit ?</t>
  </si>
  <si>
    <t xml:space="preserve"> Template de plan d'action </t>
  </si>
  <si>
    <t xml:space="preserve"> Correction inefficace </t>
  </si>
  <si>
    <t xml:space="preserve"> Répétition des écarts </t>
  </si>
  <si>
    <t xml:space="preserve"> Imposer des échéances contraignantes </t>
  </si>
  <si>
    <t>Les auditeurs internes ou externes sont accrédités selon les standards sectoriels.</t>
  </si>
  <si>
    <t>Les auditeurs disposent-ils des compétences requises ?</t>
  </si>
  <si>
    <t xml:space="preserve"> Référentiel de compétences </t>
  </si>
  <si>
    <t xml:space="preserve"> Audit superficiel </t>
  </si>
  <si>
    <t xml:space="preserve"> Dangers non détectés </t>
  </si>
  <si>
    <t xml:space="preserve"> Exiger des certifications spécifiques </t>
  </si>
  <si>
    <t>La direction examine systématiquement les conclusions des audits.</t>
  </si>
  <si>
    <t>Les résultats des audits sont-ils présentés au comité de direction ?</t>
  </si>
  <si>
    <t xml:space="preserve"> PV de présentation </t>
  </si>
  <si>
    <t xml:space="preserve"> Manque de visibilité </t>
  </si>
  <si>
    <t xml:space="preserve"> Priorité faible </t>
  </si>
  <si>
    <t xml:space="preserve"> Inscrire à l'ordre du jour annuel </t>
  </si>
  <si>
    <t>Le rôle et les missions du responsable conformité sont formalisés par écrit.</t>
  </si>
  <si>
    <t>Une fiche de poste détaillée existe-t-elle pour ce responsable ?</t>
  </si>
  <si>
    <t xml:space="preserve"> Description de poste </t>
  </si>
  <si>
    <t xml:space="preserve"> Rôle mal défini </t>
  </si>
  <si>
    <t xml:space="preserve"> Pouvoirs insuffisants </t>
  </si>
  <si>
    <t xml:space="preserve"> Faire valider par la DRH </t>
  </si>
  <si>
    <t>Le responsable conformité a une autorité suffisante pour agir sur les processus.</t>
  </si>
  <si>
    <t>Le responsable a-t-il le pouvoir de faire appliquer les corrections ?</t>
  </si>
  <si>
    <t xml:space="preserve"> Procès-verbal de délégation </t>
  </si>
  <si>
    <t xml:space="preserve"> Impuissance </t>
  </si>
  <si>
    <t xml:space="preserve"> Blocage des corrections </t>
  </si>
  <si>
    <t xml:space="preserve"> Donner un pouvoir de sanction </t>
  </si>
  <si>
    <t>Un délégataire est prévu en cas d’absence du responsable titulaire.</t>
  </si>
  <si>
    <t>Existe-t-il un suppléant désigné ?</t>
  </si>
  <si>
    <t xml:space="preserve"> Arrêté de suppléance </t>
  </si>
  <si>
    <t xml:space="preserve"> Vacance du poste </t>
  </si>
  <si>
    <t xml:space="preserve"> Paralysie </t>
  </si>
  <si>
    <t xml:space="preserve"> Former un binôme </t>
  </si>
  <si>
    <t>Le responsable rend compte directement à la direction générale ou au conseil d’administration.</t>
  </si>
  <si>
    <t>Le responsable a-t-il un accès direct aux décideurs ?</t>
  </si>
  <si>
    <t xml:space="preserve"> Organigramme fonctionnel </t>
  </si>
  <si>
    <t xml:space="preserve"> Filtrage de l'information </t>
  </si>
  <si>
    <t xml:space="preserve"> Alertes non remontées </t>
  </si>
  <si>
    <t xml:space="preserve"> Prévoir des points directs </t>
  </si>
  <si>
    <t>Les compétences du responsable sont régulièrement évaluées et mises à jour.</t>
  </si>
  <si>
    <t>Le responsable suit-il des formations sur les évolutions réglementaires ?</t>
  </si>
  <si>
    <t xml:space="preserve"> Plan de formation individuel </t>
  </si>
  <si>
    <t xml:space="preserve"> Connaissances obsolètes </t>
  </si>
  <si>
    <t xml:space="preserve"> Conseils erronés </t>
  </si>
  <si>
    <t xml:space="preserve"> Abonnement à des revues spécialisées </t>
  </si>
  <si>
    <t>Chaque identifiant système est attribué à un unique utilisateur nominatif</t>
  </si>
  <si>
    <t>Les identifiants sont-ils strictement individuels et nominatifs ?</t>
  </si>
  <si>
    <t xml:space="preserve"> Politique de gestion des identifiants </t>
  </si>
  <si>
    <t xml:space="preserve"> Usurpation d'identité </t>
  </si>
  <si>
    <t xml:space="preserve"> Imposer la création nominative avec vérification RH </t>
  </si>
  <si>
    <t>Le partage d'identifiants entre collaborateurs est formellement interdit</t>
  </si>
  <si>
    <t>Existe-t-il une clause explicite interdisant le partage d'identifiants ?</t>
  </si>
  <si>
    <t xml:space="preserve"> Charte utilisateur signée </t>
  </si>
  <si>
    <t xml:space="preserve"> Accès non autorisés </t>
  </si>
  <si>
    <t xml:space="preserve"> Inclure la clause dans le contrat de travail </t>
  </si>
  <si>
    <t>La liste des identifiants actifs est vérifiée trimestriellement</t>
  </si>
  <si>
    <t>Une revue périodique des comptes utilisateurs est-elle effectuée ?</t>
  </si>
  <si>
    <t xml:space="preserve"> Rapport de revue des comptes </t>
  </si>
  <si>
    <t xml:space="preserve"> Comptes obsolètes </t>
  </si>
  <si>
    <t xml:space="preserve"> Accès résiduels </t>
  </si>
  <si>
    <t xml:space="preserve"> Automatiser les revues trimestrielles </t>
  </si>
  <si>
    <t>Les comptes génériques font l'objet d'une gestion exceptionnelle et documentée</t>
  </si>
  <si>
    <t>Les comptes non nominatifs sont-ils justifiés et contrôlés ?</t>
  </si>
  <si>
    <t xml:space="preserve"> Registre des comptes génériques </t>
  </si>
  <si>
    <t xml:space="preserve"> Traçabilité impossible </t>
  </si>
  <si>
    <t xml:space="preserve"> Abus </t>
  </si>
  <si>
    <t xml:space="preserve"> Limiter aux cas techniques avec double approbation </t>
  </si>
  <si>
    <t>Le système technique empêche la création de comptes dupliqués</t>
  </si>
  <si>
    <t>L'outil informatique bloque-t-il la création de doublons ?</t>
  </si>
  <si>
    <t xml:space="preserve"> Configuration technique </t>
  </si>
  <si>
    <t xml:space="preserve"> Doublons d'identité </t>
  </si>
  <si>
    <t xml:space="preserve"> Activer le contrôle d'unicité dans l'AD </t>
  </si>
  <si>
    <t>Vérifier que les identifiants inutilisés pendant un certain délai 
sont révoqués</t>
  </si>
  <si>
    <t>Une politique de durée maximale d'inactivité est définie (ex: 90 jours)</t>
  </si>
  <si>
    <t>Le délai maximal d'inactivité avant révocation est-il formalisé ?</t>
  </si>
  <si>
    <t xml:space="preserve"> Politique de révocation </t>
  </si>
  <si>
    <t xml:space="preserve"> Comptes dormants </t>
  </si>
  <si>
    <t xml:space="preserve"> Fixer à 90 jours max pour les comptes standards </t>
  </si>
  <si>
    <t>Le système identifie automatiquement les comptes inactifs</t>
  </si>
  <si>
    <t>Existe-t-il un processus automatisé de détection d'inactivité ?</t>
  </si>
  <si>
    <t xml:space="preserve"> Procédure technique </t>
  </si>
  <si>
    <t xml:space="preserve"> Détection manuelle </t>
  </si>
  <si>
    <t xml:space="preserve"> Oublis </t>
  </si>
  <si>
    <t xml:space="preserve"> Implémenter des scripts de détection </t>
  </si>
  <si>
    <t>Les comptes inactifs sont désactivés selon le délai prévu</t>
  </si>
  <si>
    <t>La révocation est-elle systématique après la période définie ?</t>
  </si>
  <si>
    <t xml:space="preserve"> Journal des révocations </t>
  </si>
  <si>
    <t xml:space="preserve"> Accumulation de risques </t>
  </si>
  <si>
    <t xml:space="preserve"> Automatiser le processus </t>
  </si>
  <si>
    <t>Une procédure exceptionnelle permet de réactiver les comptes nécessaires</t>
  </si>
  <si>
    <t>Existe-t-il un processus sécurisé pour réactiver des comptes ?</t>
  </si>
  <si>
    <t xml:space="preserve"> Procédure de réactivation </t>
  </si>
  <si>
    <t xml:space="preserve"> Réactivations frauduleuses </t>
  </si>
  <si>
    <t xml:space="preserve"> Accès illégitimes </t>
  </si>
  <si>
    <t xml:space="preserve"> Exiger une validation hiérarchique </t>
  </si>
  <si>
    <t>Un rapport mensuel liste les comptes désactivés pour inactivité</t>
  </si>
  <si>
    <t>La révocation des comptes inactifs est-elle tracée ?</t>
  </si>
  <si>
    <t xml:space="preserve"> Log des actions d'administration </t>
  </si>
  <si>
    <t xml:space="preserve"> Non-reconstitution </t>
  </si>
  <si>
    <t xml:space="preserve"> Centraliser les logs dans un SIEM </t>
  </si>
  <si>
    <t>Vérifier que des règles de gestion de la casse des mots de passe 
existent</t>
  </si>
  <si>
    <t>La politique exige une alternance de minuscules et majuscules</t>
  </si>
  <si>
    <t>Les mots de passe doivent-ils contenir des majuscules et minuscules ?</t>
  </si>
  <si>
    <t xml:space="preserve"> Politique de complexité </t>
  </si>
  <si>
    <t xml:space="preserve"> Faible robustesse </t>
  </si>
  <si>
    <t xml:space="preserve"> Bruteforce </t>
  </si>
  <si>
    <t xml:space="preserve"> Imposer 12 caractères minimum avec 4 types </t>
  </si>
  <si>
    <t>Le système impose la complexité lors de la création/modification</t>
  </si>
  <si>
    <t>L'outil technique valide-t-il automatiquement la complexité ?</t>
  </si>
  <si>
    <t xml:space="preserve"> Configuration système </t>
  </si>
  <si>
    <t xml:space="preserve"> Contournements possibles </t>
  </si>
  <si>
    <t xml:space="preserve"> Mots de passe faibles </t>
  </si>
  <si>
    <t xml:space="preserve"> Activer le contrôle technique </t>
  </si>
  <si>
    <t>Les règles sont documentées et accessibles aux utilisateurs</t>
  </si>
  <si>
    <t>Les exigences sont-elles communiquées à tous les collaborateurs ?</t>
  </si>
  <si>
    <t xml:space="preserve"> Support de formation </t>
  </si>
  <si>
    <t xml:space="preserve"> Non-respect </t>
  </si>
  <si>
    <t xml:space="preserve"> Diffuser des mémo visuels </t>
  </si>
  <si>
    <t>La politique distingue les exigences selon la criticité des accès</t>
  </si>
  <si>
    <t>Les comptes sensibles ont-ils des règles renforcées ?</t>
  </si>
  <si>
    <t xml:space="preserve"> Politique des comptes privilégiés </t>
  </si>
  <si>
    <t xml:space="preserve"> Cible privilégiée </t>
  </si>
  <si>
    <t xml:space="preserve"> Imposer 16 caractères + changement 30 jours </t>
  </si>
  <si>
    <t>Un mécanisme empêche la réutilisation des anciens mots de passe</t>
  </si>
  <si>
    <t>Le système interdit-il la réutilisation des N derniers mots de passe ?</t>
  </si>
  <si>
    <t xml:space="preserve"> Paramétrage technique </t>
  </si>
  <si>
    <t xml:space="preserve"> Recyclage de mots de passe </t>
  </si>
  <si>
    <t xml:space="preserve"> Sécurité illusoire </t>
  </si>
  <si>
    <t xml:space="preserve"> Bloquer les 24 derniers mots de passe </t>
  </si>
  <si>
    <t>Un contrôle technique empêche la création de mots de passe non conformes</t>
  </si>
  <si>
    <t>Le système bloque-t-il les mots de passe non conformes ?</t>
  </si>
  <si>
    <t xml:space="preserve"> Journal des rejets </t>
  </si>
  <si>
    <t xml:space="preserve"> Contournement des règles </t>
  </si>
  <si>
    <t xml:space="preserve"> Mettre en place un contrôle en temps réel </t>
  </si>
  <si>
    <t>Des audits aléatoires vérifient la conformité des mots de passe existants</t>
  </si>
  <si>
    <t>Des vérifications ponctuelles des mots de passe sont-elles faites ?</t>
  </si>
  <si>
    <t xml:space="preserve"> Rapport de vérification </t>
  </si>
  <si>
    <t xml:space="preserve"> Mots de passe faibles persistants </t>
  </si>
  <si>
    <t xml:space="preserve"> Risque résiduel </t>
  </si>
  <si>
    <t xml:space="preserve"> Tester mensuellement via scripts </t>
  </si>
  <si>
    <t>Les exceptions font l'objet d'une autorisation exceptionnelle documentée</t>
  </si>
  <si>
    <t>Les dérogations sont-elles approuvées et justifiées ?</t>
  </si>
  <si>
    <t xml:space="preserve"> Registre des dérogations </t>
  </si>
  <si>
    <t xml:space="preserve"> Exceptions non contrôlées </t>
  </si>
  <si>
    <t xml:space="preserve"> Failles </t>
  </si>
  <si>
    <t xml:space="preserve"> Limiter à 7 jours max avec approbation CISO </t>
  </si>
  <si>
    <t>Les violations des règles déclenchent des alertes sécurité</t>
  </si>
  <si>
    <t>Les tentatives de contournement sont-elles détectées ?</t>
  </si>
  <si>
    <t xml:space="preserve"> Configuration des logs </t>
  </si>
  <si>
    <t xml:space="preserve"> Contournements non vus </t>
  </si>
  <si>
    <t xml:space="preserve"> Culture du non-respect </t>
  </si>
  <si>
    <t xml:space="preserve"> Monitorer les tentatives de modification </t>
  </si>
  <si>
    <t>Le taux de conformité des mots de passe est mesuré mensuellement</t>
  </si>
  <si>
    <t>Existe-t-il un indicateur de conformité des mots de passe ?</t>
  </si>
  <si>
    <t xml:space="preserve"> Dashboard sécurité </t>
  </si>
  <si>
    <t xml:space="preserve"> Mauvaise priorisation </t>
  </si>
  <si>
    <t xml:space="preserve"> Calculer un % de conformité mensuel </t>
  </si>
  <si>
    <t>Vérifier qu’il existe une procédure de gestion des mots de 
passe</t>
  </si>
  <si>
    <t>Une procédure écrite décrit le cycle de vie complet des mots de passe</t>
  </si>
  <si>
    <t>Existe-t-il un document formalisant la gestion des mots de passe ?</t>
  </si>
  <si>
    <t xml:space="preserve"> Politique de sécurité </t>
  </si>
  <si>
    <t xml:space="preserve"> Rédiger une politique approuvée par la DG </t>
  </si>
  <si>
    <t>Le processus couvre la création, modification et révocation des accès</t>
  </si>
  <si>
    <t>Toutes les étapes de gestion sont-elles prévues ?</t>
  </si>
  <si>
    <t xml:space="preserve"> Workflow complet </t>
  </si>
  <si>
    <t xml:space="preserve"> Processus incomplet </t>
  </si>
  <si>
    <t xml:space="preserve"> Points aveugles </t>
  </si>
  <si>
    <t xml:space="preserve"> Modéliser le cycle de vie complet </t>
  </si>
  <si>
    <t>La procédure inclut un mécanisme sécurisé de réinitialisation</t>
  </si>
  <si>
    <t>Comment un utilisateur peut-il réinitialiser son mot de passe ?</t>
  </si>
  <si>
    <t xml:space="preserve"> Procédure de reset </t>
  </si>
  <si>
    <t xml:space="preserve"> Pertes de productivité </t>
  </si>
  <si>
    <t xml:space="preserve"> Mettre en place un portail self-service </t>
  </si>
  <si>
    <t>Les rôles et responsabilités dans la gestion des accès sont définis</t>
  </si>
  <si>
    <t>Qui est responsable de l'administration des mots de passe ?</t>
  </si>
  <si>
    <t xml:space="preserve"> Désignation officielle </t>
  </si>
  <si>
    <t xml:space="preserve"> Nommer un référent sécurité dédié </t>
  </si>
  <si>
    <t>La procédure est révisée annuellement ou après incident majeur</t>
  </si>
  <si>
    <t>Quand la procédure a-t-elle été mise à jour pour la dernière fois ?</t>
  </si>
  <si>
    <t xml:space="preserve"> Réviser annuellement ou après incident </t>
  </si>
  <si>
    <t>Vérifier que la définition et la documentation de la politique de 
contrôle d'accès existent</t>
  </si>
  <si>
    <t>La politique de contrôle d'accès est formalisée par écrit</t>
  </si>
  <si>
    <t>Existe-t-il un document officiel définissant la politique de contrôle d'accès ?</t>
  </si>
  <si>
    <t xml:space="preserve"> Politique de contrôle d'accès signée </t>
  </si>
  <si>
    <t xml:space="preserve"> Accès non contrôlés </t>
  </si>
  <si>
    <t xml:space="preserve"> Formaliser et faire valider par la direction </t>
  </si>
  <si>
    <t>La politique couvre tous les systèmes critiques de l'organisation</t>
  </si>
  <si>
    <t>Tous les systèmes importants sont-ils inclus dans la politique ?</t>
  </si>
  <si>
    <t xml:space="preserve"> Inventaire des systèmes critiques </t>
  </si>
  <si>
    <t xml:space="preserve"> Zones non sécurisées </t>
  </si>
  <si>
    <t xml:space="preserve"> Vulnérabilités ciblées </t>
  </si>
  <si>
    <t xml:space="preserve"> Mettre à jour l'inventaire trimestriellement </t>
  </si>
  <si>
    <t>Les rôles et niveaux d'accès sont clairement définis</t>
  </si>
  <si>
    <t>La politique précise-t-elle les différents profils d'accès ?</t>
  </si>
  <si>
    <t xml:space="preserve"> Matrice des profils d'accès </t>
  </si>
  <si>
    <t xml:space="preserve"> Accès inadaptés </t>
  </si>
  <si>
    <t xml:space="preserve"> Sur/sous-privilèges </t>
  </si>
  <si>
    <t xml:space="preserve"> Définir 5 niveaux d'accès standardisés </t>
  </si>
  <si>
    <t>La politique est approuvée par la direction</t>
  </si>
  <si>
    <t>La direction a-t-elle validé formellement le document ?</t>
  </si>
  <si>
    <t xml:space="preserve"> Procès-verbal de validation </t>
  </si>
  <si>
    <t xml:space="preserve"> Obtenir signature formelle de la DG </t>
  </si>
  <si>
    <t>La politique est révisée annuellement</t>
  </si>
  <si>
    <t>La politique est-elle mise à jour régulièrement ?</t>
  </si>
  <si>
    <t xml:space="preserve"> Règles obsolètes </t>
  </si>
  <si>
    <t xml:space="preserve"> Prévoir une révision annuelle systématique </t>
  </si>
  <si>
    <t>Un processus formalisé existe pour la création/modification/suppression des accès</t>
  </si>
  <si>
    <t>Existe-t-il une procédure documentée pour la gestion des comptes ?</t>
  </si>
  <si>
    <t xml:space="preserve"> Procédure de gestion des comptes </t>
  </si>
  <si>
    <t xml:space="preserve"> Création anarchique </t>
  </si>
  <si>
    <t xml:space="preserve"> Problèmes de traçabilité </t>
  </si>
  <si>
    <t xml:space="preserve"> Standardiser le workflow complet </t>
  </si>
  <si>
    <t>Les demandes d'accès nécessitent une approbation préalable</t>
  </si>
  <si>
    <t>Tous les nouveaux accès sont-ils approuvés avant activation ?</t>
  </si>
  <si>
    <t xml:space="preserve"> Formulaire de demande d'accès </t>
  </si>
  <si>
    <t xml:space="preserve"> Imposer une approbation hiérarchique + validation SI </t>
  </si>
  <si>
    <t>Les droits d'accès sont révisés semestriellement</t>
  </si>
  <si>
    <t>Une revue périodique des habilitations est-elle effectuée ?</t>
  </si>
  <si>
    <t xml:space="preserve"> Rapport de revue des habilitations </t>
  </si>
  <si>
    <t xml:space="preserve"> Droit d'accès résiduels </t>
  </si>
  <si>
    <t xml:space="preserve"> Failles persistantes </t>
  </si>
  <si>
    <t>Les comptes obsolètes sont désactivés dans un délai maximum de 24h après départ</t>
  </si>
  <si>
    <t>Les comptes des collaborateurs partis sont-ils rapidement désactivés ?</t>
  </si>
  <si>
    <t xml:space="preserve"> Procédure de départ </t>
  </si>
  <si>
    <t xml:space="preserve"> Accès actifs post-départ </t>
  </si>
  <si>
    <t xml:space="preserve"> Usurpation </t>
  </si>
  <si>
    <t xml:space="preserve"> Désactiver le jour même du départ </t>
  </si>
  <si>
    <t>Un registre des modifications d'accès est maintenu</t>
  </si>
  <si>
    <t>Toutes les modifications d'accès sont-elles tracées ?</t>
  </si>
  <si>
    <t xml:space="preserve"> Journal des modifications </t>
  </si>
  <si>
    <t xml:space="preserve"> Actions non traçables </t>
  </si>
  <si>
    <t xml:space="preserve"> Centraliser dans un SIEM avec alertes </t>
  </si>
  <si>
    <t>S’assurer que l'utilisation de mots de passe et de systèmes de 
déconnexion automatique est effective</t>
  </si>
  <si>
    <t>Une politique de complexité des mots de passe est implémentée</t>
  </si>
  <si>
    <t>Les mots de passe doivent-ils respecter des règles de complexité ?</t>
  </si>
  <si>
    <t xml:space="preserve"> Politique de mots de passe </t>
  </si>
  <si>
    <t xml:space="preserve"> Authentification faible </t>
  </si>
  <si>
    <t>Le système impose le changement périodique des mots de passe</t>
  </si>
  <si>
    <t>Les utilisateurs doivent-ils changer leur mot de passe régulièrement ?</t>
  </si>
  <si>
    <t xml:space="preserve"> Mots de passe persistants </t>
  </si>
  <si>
    <t xml:space="preserve"> Risque accru </t>
  </si>
  <si>
    <t xml:space="preserve"> Forcer le changement tous les 90 jours </t>
  </si>
  <si>
    <t>Les sessions inactives se ferment automatiquement après 15 minutes</t>
  </si>
  <si>
    <t>Existe-t-il un mécanisme de déconnexion automatique ?</t>
  </si>
  <si>
    <t xml:space="preserve"> Sessions orphelines </t>
  </si>
  <si>
    <t xml:space="preserve"> Accès non surveillés </t>
  </si>
  <si>
    <t xml:space="preserve"> Déconnexion après 15 min d'inactivité </t>
  </si>
  <si>
    <t>L'historique des mots de passe empêche leur réutilisation</t>
  </si>
  <si>
    <t>Peut-on réutiliser les N derniers mots de passe ?</t>
  </si>
  <si>
    <t xml:space="preserve"> Paramètres de sécurité </t>
  </si>
  <si>
    <t>Les tentatives infructueuses de connexion bloquent temporairement le compte</t>
  </si>
  <si>
    <t>Le système limite-t-il les tentatives de connexion ?</t>
  </si>
  <si>
    <t xml:space="preserve"> Attaques par bruteforce </t>
  </si>
  <si>
    <t xml:space="preserve"> Bloquer après 5 tentatives + alerte </t>
  </si>
  <si>
    <t>Critère d'évaluation</t>
  </si>
  <si>
    <t>Question d'évaluation</t>
  </si>
  <si>
    <t xml:space="preserve"> Schéma d'architecture réseau </t>
  </si>
  <si>
    <t xml:space="preserve"> Contamination croisée </t>
  </si>
  <si>
    <t xml:space="preserve"> Propagation de menaces </t>
  </si>
  <si>
    <t xml:space="preserve"> Implémenter le modèle Zero Trust </t>
  </si>
  <si>
    <t>Les accès réseau sont segmentés par zones de sécurité</t>
  </si>
  <si>
    <t>Le réseau est-il divisé en zones avec différents niveaux d'accès ?</t>
  </si>
  <si>
    <t xml:space="preserve"> Implémenter une segmentation VLAN stricte </t>
  </si>
  <si>
    <t>Les connexions distantes utilisent des canaux sécurisés (VPN)</t>
  </si>
  <si>
    <t>Les accès externes passent-ils par des tunnels sécurisés ?</t>
  </si>
  <si>
    <t xml:space="preserve"> Politique d'accès distant </t>
  </si>
  <si>
    <t xml:space="preserve"> Interceptions </t>
  </si>
  <si>
    <t xml:space="preserve"> Imposer VPN avec chiffrement AES-256 </t>
  </si>
  <si>
    <t>Les équipements réseau critiques sont protégés par des contrôles d'accès stricts</t>
  </si>
  <si>
    <t>Les routeurs/switchs ont-ils des protections renforcées ?</t>
  </si>
  <si>
    <t xml:space="preserve"> Benchmark CIS pour équipements </t>
  </si>
  <si>
    <t xml:space="preserve"> Equipements vulnérables </t>
  </si>
  <si>
    <t xml:space="preserve"> Portes dérobées </t>
  </si>
  <si>
    <t xml:space="preserve"> Désactiver les services inutiles (Telnet) </t>
  </si>
  <si>
    <t>Les flux réseau sont monitorés et analysés en continu</t>
  </si>
  <si>
    <t>Existe-t-il une solution de surveillance du trafic réseau ?</t>
  </si>
  <si>
    <t xml:space="preserve"> Rapport de configuration IDS/IPS </t>
  </si>
  <si>
    <t xml:space="preserve"> Anomalies non détectées </t>
  </si>
  <si>
    <t xml:space="preserve"> Intrusions persistantes </t>
  </si>
  <si>
    <t xml:space="preserve"> Déployer un SIEM avec analyse comportementale </t>
  </si>
  <si>
    <t>Vérifier que le contrôle d'accès aux systèmes d'exploitation est 
effectif</t>
  </si>
  <si>
    <t>Les comptes administrateurs sont strictement limités</t>
  </si>
  <si>
    <t>Le nombre de comptes privilégiés est-il minimisé ?</t>
  </si>
  <si>
    <t xml:space="preserve"> Inventaire des comptes admin </t>
  </si>
  <si>
    <t xml:space="preserve"> Surface d'attaque étendue </t>
  </si>
  <si>
    <t xml:space="preserve"> Risque élevé </t>
  </si>
  <si>
    <t xml:space="preserve"> Appliquer le principe du besoin de savoir </t>
  </si>
  <si>
    <t>L'accès root/administrateur nécessite une double authentification</t>
  </si>
  <si>
    <t>Les comptes privilégiés ont-ils une protection renforcée ?</t>
  </si>
  <si>
    <t xml:space="preserve"> Politique des comptes sensibles </t>
  </si>
  <si>
    <t xml:space="preserve"> Compromission critique </t>
  </si>
  <si>
    <t xml:space="preserve"> Paralysie du SI </t>
  </si>
  <si>
    <t xml:space="preserve"> Imposer MFA + journalisation complète </t>
  </si>
  <si>
    <t>Les journaux d'accès aux systèmes sont activés et conservés 6 mois</t>
  </si>
  <si>
    <t>Les connexions aux systèmes sont-elles journalisées ?</t>
  </si>
  <si>
    <t xml:space="preserve"> Politique de journalisation </t>
  </si>
  <si>
    <t xml:space="preserve"> Activités non tracées </t>
  </si>
  <si>
    <t xml:space="preserve"> Investigations impossibles </t>
  </si>
  <si>
    <t xml:space="preserve"> Conserver les logs 13 mois minimum </t>
  </si>
  <si>
    <t>Les correctifs de sécurité sont appliqués dans un délai maximum d'1 mois</t>
  </si>
  <si>
    <t>Les systèmes sont-ils patchés régulièrement ?</t>
  </si>
  <si>
    <t xml:space="preserve"> Calendrier de patching </t>
  </si>
  <si>
    <t xml:space="preserve"> Failles connues non corrigées </t>
  </si>
  <si>
    <t xml:space="preserve"> Exploitations </t>
  </si>
  <si>
    <t xml:space="preserve"> Automatiser les mises à jour critiques (&lt;72h) </t>
  </si>
  <si>
    <t>Les configurations de sécurité sont durcies selon les standards du secteur</t>
  </si>
  <si>
    <t>Les systèmes respectent-ils des benchmarks de sécurité ?</t>
  </si>
  <si>
    <t xml:space="preserve"> Rapport de conformité CIS </t>
  </si>
  <si>
    <t xml:space="preserve"> Configurations laxistes </t>
  </si>
  <si>
    <t xml:space="preserve"> Appliquer les hardening guides </t>
  </si>
  <si>
    <t xml:space="preserve">Développement et maintenance des systèmes
</t>
  </si>
  <si>
    <t>Un document formalisé définit les exigences de sécurité pour tous les systèmes</t>
  </si>
  <si>
    <t>Existe-t-il une politique écrite des exigences de sécurité système ?</t>
  </si>
  <si>
    <t xml:space="preserve"> Politique de sécurité système signée </t>
  </si>
  <si>
    <t xml:space="preserve"> Vulnérabilités non couvertes </t>
  </si>
  <si>
    <t xml:space="preserve"> Rédiger une politique globale validée par la direction </t>
  </si>
  <si>
    <t>Les exigences couvrent les aspects techniques, organisationnels et juridiques</t>
  </si>
  <si>
    <t>La politique aborde-t-elle les trois dimensions (technique, organisationnelle, légale) ?</t>
  </si>
  <si>
    <t xml:space="preserve"> Référentiel des exigences </t>
  </si>
  <si>
    <t xml:space="preserve"> Protection incomplète </t>
  </si>
  <si>
    <t xml:space="preserve"> Structurer le document en 3 parties distinctes </t>
  </si>
  <si>
    <t>Les exigences sont alignées sur les standards du secteur (ISO, NIST, etc.)</t>
  </si>
  <si>
    <t>Les référentiels sectoriels sont-ils pris en compte ?</t>
  </si>
  <si>
    <t xml:space="preserve"> Matrice d'alignement sectoriel </t>
  </si>
  <si>
    <t xml:space="preserve"> Pratiques obsolètes </t>
  </si>
  <si>
    <t xml:space="preserve"> Retard technologique </t>
  </si>
  <si>
    <t xml:space="preserve"> Mettre à jour annuellement les références </t>
  </si>
  <si>
    <t>Les exigences sont révisées annuellement ou après un incident majeur</t>
  </si>
  <si>
    <t>Quand la politique a-t-elle été mise à jour pour la dernière fois ?</t>
  </si>
  <si>
    <t xml:space="preserve"> Règles dépassées </t>
  </si>
  <si>
    <t xml:space="preserve"> Fausse sécurité </t>
  </si>
  <si>
    <t xml:space="preserve"> Planifier des révisions semestrielles </t>
  </si>
  <si>
    <t>Un responsable est désigné pour maintenir ces exigences à jour</t>
  </si>
  <si>
    <t>Qui est en charge de la maintenance de ce document ?</t>
  </si>
  <si>
    <t xml:space="preserve"> Désignation officielle du responsable </t>
  </si>
  <si>
    <t xml:space="preserve"> Document orphelin </t>
  </si>
  <si>
    <t xml:space="preserve"> Non-actualisation </t>
  </si>
  <si>
    <t xml:space="preserve"> Nommer un RSSI dédié </t>
  </si>
  <si>
    <t>S’assurer que la sécurité des systèmes d'application est 
effective</t>
  </si>
  <si>
    <t>Les applications critiques ont passé un audit de sécurité récent (moins d'1 an)</t>
  </si>
  <si>
    <t>Chaque application critique a-t-elle été audité récemment ?</t>
  </si>
  <si>
    <t xml:space="preserve"> Rapport d'audit des applications </t>
  </si>
  <si>
    <t xml:space="preserve"> Vulnérabilités non détectées </t>
  </si>
  <si>
    <t xml:space="preserve"> Auditer les applications critiques annuellement </t>
  </si>
  <si>
    <t>Les vulnérabilités identifiées sont corrigées dans des délais définis</t>
  </si>
  <si>
    <t>Existe-t-il un SLA pour la correction des vulnérabilités ?</t>
  </si>
  <si>
    <t xml:space="preserve"> Accord de niveau de service sécurité </t>
  </si>
  <si>
    <t xml:space="preserve"> Correctifs retardés </t>
  </si>
  <si>
    <t xml:space="preserve"> Exposition prolongée </t>
  </si>
  <si>
    <t xml:space="preserve"> Fixer des délais stricts (ex: 72h pour critiques) </t>
  </si>
  <si>
    <t>Le principe du moindre privilège est appliqué pour les accès applicatifs</t>
  </si>
  <si>
    <t>Les droits utilisateurs sont-ils restreints au nécessaire ?</t>
  </si>
  <si>
    <t xml:space="preserve"> Privilèges excessifs </t>
  </si>
  <si>
    <t xml:space="preserve"> Abus ou fuites </t>
  </si>
  <si>
    <t>Les données sensibles sont chiffrées dans les applications</t>
  </si>
  <si>
    <t>Le chiffrement est-il implémenté pour les données sensibles ?</t>
  </si>
  <si>
    <t xml:space="preserve"> Rapport de configuration </t>
  </si>
  <si>
    <t xml:space="preserve"> Données non protégées </t>
  </si>
  <si>
    <t xml:space="preserve"> Fuites critiques </t>
  </si>
  <si>
    <t xml:space="preserve"> Chiffrer données au repos/transit </t>
  </si>
  <si>
    <t>Un journal des activités critiques est maintenu pour chaque application</t>
  </si>
  <si>
    <t>Les actions sensibles sont-elles tracées et journalisées ?</t>
  </si>
  <si>
    <t xml:space="preserve"> Conserver les logs 1 an minimum </t>
  </si>
  <si>
    <t>Un document formalisé décrit le processus complet de recette</t>
  </si>
  <si>
    <t>Existe-t-il une procédure écrite pour les recettes ?</t>
  </si>
  <si>
    <t xml:space="preserve"> Protocole de recette validé </t>
  </si>
  <si>
    <t xml:space="preserve"> Tests inadéquats </t>
  </si>
  <si>
    <t xml:space="preserve"> Standardiser le processus de recette </t>
  </si>
  <si>
    <t>Le protocole définit clairement les rôles et responsabilités</t>
  </si>
  <si>
    <t>Les acteurs de la recette sont-ils identifiés avec leurs missions ?</t>
  </si>
  <si>
    <t xml:space="preserve"> Matrice RACI recette </t>
  </si>
  <si>
    <t xml:space="preserve"> Tests incomplets </t>
  </si>
  <si>
    <t xml:space="preserve"> Désigner un responsable qualité </t>
  </si>
  <si>
    <t>Les critères d'acceptation sont prédéfinis et mesurables</t>
  </si>
  <si>
    <t>Les conditions de validation sont-elles quantifiables ?</t>
  </si>
  <si>
    <t xml:space="preserve"> Grille de critères de validation </t>
  </si>
  <si>
    <t xml:space="preserve"> Jugements subjectifs </t>
  </si>
  <si>
    <t xml:space="preserve"> Acceptation de défauts </t>
  </si>
  <si>
    <t xml:space="preserve"> Définir des métriques objectives </t>
  </si>
  <si>
    <t>Le protocole inclut un volet spécifique pour la sécurité</t>
  </si>
  <si>
    <t>Les tests de sécurité font-ils partie intégrante de la recette ?</t>
  </si>
  <si>
    <t xml:space="preserve"> Plan de tests sécurité </t>
  </si>
  <si>
    <t xml:space="preserve"> Failles non détectées </t>
  </si>
  <si>
    <t xml:space="preserve"> Vulnérabilités en prod </t>
  </si>
  <si>
    <t xml:space="preserve"> Intégrer OWASP dans les tests </t>
  </si>
  <si>
    <t>Le document est accessible à toutes les parties prenantes</t>
  </si>
  <si>
    <t>L'équipe projet et les testeurs ont-ils accès au protocole ?</t>
  </si>
  <si>
    <t xml:space="preserve"> Registre de diffusion </t>
  </si>
  <si>
    <t xml:space="preserve"> Héberger le protocole sur plateforme partagée </t>
  </si>
  <si>
    <t>Des tests réels ont été conduits selon le protocole défini</t>
  </si>
  <si>
    <t>Le protocole a-t-il été appliqué sur au moins un projet pilote ?</t>
  </si>
  <si>
    <t xml:space="preserve"> Rapport projet pilote </t>
  </si>
  <si>
    <t xml:space="preserve"> Procédures non éprouvées </t>
  </si>
  <si>
    <t xml:space="preserve"> Échecs opérationnels </t>
  </si>
  <si>
    <t xml:space="preserve"> Tester sur 3 projets avant généralisation </t>
  </si>
  <si>
    <t>Les résultats des tests sont documentés et archivés</t>
  </si>
  <si>
    <t>Existe-t-il un rapport de test validant le protocole ?</t>
  </si>
  <si>
    <t xml:space="preserve"> Rapport de validation </t>
  </si>
  <si>
    <t xml:space="preserve"> Efficacité non prouvée </t>
  </si>
  <si>
    <t xml:space="preserve"> Confiance limitée </t>
  </si>
  <si>
    <t xml:space="preserve"> Faire certifier par un tiers indépendant </t>
  </si>
  <si>
    <t>Les écarts identifiés ont donné lieu à des améliorations</t>
  </si>
  <si>
    <t>Le protocole a-t-il été ajusté suite aux retours des tests ?</t>
  </si>
  <si>
    <t xml:space="preserve"> Améliorations bloquées </t>
  </si>
  <si>
    <t xml:space="preserve"> Prévoir des revues après chaque projet </t>
  </si>
  <si>
    <t>L'équipe de test confirme la praticabilité du protocole</t>
  </si>
  <si>
    <t>Les testeurs valident-ils la faisabilité des procédures ?</t>
  </si>
  <si>
    <t xml:space="preserve"> Compte-rendu de test utilisateur </t>
  </si>
  <si>
    <t xml:space="preserve"> Procédures irréalistes </t>
  </si>
  <si>
    <t xml:space="preserve"> Impliquer les testeurs dans la conception </t>
  </si>
  <si>
    <t>Un cycle complet de test a été réalisé (unitaire, d'intégration, de charge)</t>
  </si>
  <si>
    <t>Toutes les phases de test ont-elles été éprouvées ?</t>
  </si>
  <si>
    <t xml:space="preserve"> Rapport de couverture des tests </t>
  </si>
  <si>
    <t xml:space="preserve"> Zones non testées </t>
  </si>
  <si>
    <t xml:space="preserve"> Défauts résiduels </t>
  </si>
  <si>
    <t xml:space="preserve"> Vérifier 100% des cas d'usage </t>
  </si>
  <si>
    <t>Une classification des fichiers (public, interne, confidentiel, secret) existe</t>
  </si>
  <si>
    <t>Les fichiers sont-ils classés par niveau de sensibilité ?</t>
  </si>
  <si>
    <t xml:space="preserve"> Politique de classification </t>
  </si>
  <si>
    <t xml:space="preserve"> Données mal protégées </t>
  </si>
  <si>
    <t xml:space="preserve"> Fuites accidentelles </t>
  </si>
  <si>
    <t xml:space="preserve"> Implémenter 4 niveaux de sensibilité </t>
  </si>
  <si>
    <t>Les droits d'accès aux fichiers sont attribués selon le besoin de connaître</t>
  </si>
  <si>
    <t>L'accès aux fichiers sensibles est-il restreint au strict nécessaire ?</t>
  </si>
  <si>
    <t xml:space="preserve"> Matrice d'accès aux fichiers </t>
  </si>
  <si>
    <t xml:space="preserve"> Fuites intentionnelles </t>
  </si>
  <si>
    <t xml:space="preserve"> Revoir les accès trimestriellement </t>
  </si>
  <si>
    <t>Les fichiers critiques sont chiffrés en stockage et en transmission</t>
  </si>
  <si>
    <t>Le chiffrement est-il appliqué aux fichiers sensibles ?</t>
  </si>
  <si>
    <t xml:space="preserve"> Rapport de chiffrement </t>
  </si>
  <si>
    <t xml:space="preserve"> Données exposées </t>
  </si>
  <si>
    <t xml:space="preserve"> Violations RGPD </t>
  </si>
  <si>
    <t xml:space="preserve"> Chiffrer systématiquement niveau 3+ </t>
  </si>
  <si>
    <t>Un système de versioning et de récupération des fichiers est en place</t>
  </si>
  <si>
    <t>Peut-on restaurer les fichiers modifiés ou supprimés accidentellement ?</t>
  </si>
  <si>
    <t xml:space="preserve"> Politique de sauvegarde </t>
  </si>
  <si>
    <t xml:space="preserve"> Pertes de données </t>
  </si>
  <si>
    <t xml:space="preserve"> Interruptions d'activité </t>
  </si>
  <si>
    <t xml:space="preserve"> Sauvegarder quotidiennement + tests mensuels </t>
  </si>
  <si>
    <t>Les fichiers temporaires et les copies non autorisées sont automatiquement purgés</t>
  </si>
  <si>
    <t>Existe-t-il un mécanisme de nettoyage des fichiers obsolètes ?</t>
  </si>
  <si>
    <t xml:space="preserve"> Stockage excessif </t>
  </si>
  <si>
    <t xml:space="preserve"> Automatiser la purge selon durée légale </t>
  </si>
  <si>
    <t>Existe-t-il un document officiel décrivant la charte éthique de l'organisation ?</t>
  </si>
  <si>
    <t>Charte éthique, Manuel des procédures internes</t>
  </si>
  <si>
    <t>Absence de cadre éthique formel pouvant entraîner des comportements non conformes</t>
  </si>
  <si>
    <t>La charte éthique inclut-elle explicitement des pratiques et des directives spécifiques concernant l'utilisation et la gestion des systèmes d'information ?</t>
  </si>
  <si>
    <t>Charte éthique, Politique de sécurité des SI</t>
  </si>
  <si>
    <t>Manque de directives claires sur l’usage des SI, augmentant les risques de non-conformité et de failles</t>
  </si>
  <si>
    <t>La charte éthique a-t-elle été validée et approuvée par la direction et les instances compétentes de l'organisation ?</t>
  </si>
  <si>
    <t>Procès-verbal d'approbation, Document de validation interne</t>
  </si>
  <si>
    <t>Absence d’engagement de la direction, réduisant l’efficacité et l’application de la charte</t>
  </si>
  <si>
    <t>La charte éthique est-elle facilement disponible et accessible à tous les employés et partenaires de l'organisation ?</t>
  </si>
  <si>
    <t>Site intranet de l'organisation, Support de communication interne</t>
  </si>
  <si>
    <t>Manque de sensibilisation pouvant entraîner des violations involontaires</t>
  </si>
  <si>
    <t>La charte éthique est-elle mise à jour régulièrement pour tenir compte des évolutions réglementaires et technologiques ?</t>
  </si>
  <si>
    <t>Versionnage des mises à jour, Références aux nouvelles réglementations</t>
  </si>
  <si>
    <t>Risque de non-conformité aux nouvelles réglementations</t>
  </si>
  <si>
    <t>Des procédures de contrôle et de suivi sont-elles en place pour s'assurer du respect de la charte éthique par les employés et partenaires ?</t>
  </si>
  <si>
    <t>Rapports d’audit interne, Registre des incidents éthiques</t>
  </si>
  <si>
    <t>Absence de contrôle favorisant la non-application des règles éthiques</t>
  </si>
  <si>
    <t>Les employés, partenaires et prestataires sont-ils tenus de signer un engagement de conformité à la charte éthique ?</t>
  </si>
  <si>
    <t>Registre des engagements signés, Contrats de prestation</t>
  </si>
  <si>
    <t>Absence d’obligation formelle pouvant limiter la responsabilisation</t>
  </si>
  <si>
    <t>Des sanctions claires et définies sont-elles en place en cas de non-respect de la charte éthique ?</t>
  </si>
  <si>
    <t>Politique disciplinaire, Procès-verbaux de sanctions</t>
  </si>
  <si>
    <t>Absence de mesures dissuasives entraînant une application inefficace des règles</t>
  </si>
  <si>
    <t>Des audits périodiques sont-ils réalisés pour évaluer le respect des règles éthiques au sein de l'organisation ?</t>
  </si>
  <si>
    <t>Plan d’audit, Rapports d’audit éthique</t>
  </si>
  <si>
    <t>Non-détection des violations éthiques entraînant des risques légaux et réputationnels</t>
  </si>
  <si>
    <t>Un responsable ou un comité spécifique est-il chargé du suivi de la conformité à la charte éthique au sein de l'organisation ?</t>
  </si>
  <si>
    <t>Organigramme de gouvernance, Procès-verbal de nomination</t>
  </si>
  <si>
    <t>Manque de gouvernance claire sur l’application des principes éthiques</t>
  </si>
  <si>
    <t>Un programme de formation régulier sur l'éthique et l'utilisation des systèmes d'information est-il en place pour les employés ?</t>
  </si>
  <si>
    <t>Programme de formation</t>
  </si>
  <si>
    <t>Manque de sensibilisation augmentant les risques d’erreurs humaines</t>
  </si>
  <si>
    <t>Les employés et intervenants sont-ils tenus de suivre les formations sur l'éthique et l'utilisation des systèmes d'information ?</t>
  </si>
  <si>
    <t>Non-formation des employés entraînant des comportements non conformes</t>
  </si>
  <si>
    <t>Les connaissances acquises par les participants aux formations sur l'éthique et l'utilisation des systèmes d'information sont-elles évaluées ?</t>
  </si>
  <si>
    <t>Résultats d’évaluation</t>
  </si>
  <si>
    <t>Formation inefficace ne garantissant pas une réelle assimilation</t>
  </si>
  <si>
    <t>Un enregistrement et un suivi des employés ayant suivi les formations sur l'éthique et l'utilisation des systèmes d'information sont-ils mis en place ?</t>
  </si>
  <si>
    <t>Absence de traçabilité empêchant de vérifier la couverture des formations</t>
  </si>
  <si>
    <t>Les supports de formation sur l'éthique et l'utilisation des systèmes d'information sont-ils mis à jour en fonction des évolutions des bonnes pratiques et des réglementations ?</t>
  </si>
  <si>
    <t>Versions mises à jour des supports</t>
  </si>
  <si>
    <t>Obsolescence des formations menant à une non-conformité</t>
  </si>
  <si>
    <t>Un processus formel de signalement et de traitement des violations éthiques est-il en place au sein de l'organisation ?</t>
  </si>
  <si>
    <t>Absence de canal de signalement décourageant les déclarations d’incidents</t>
  </si>
  <si>
    <t>Les sanctions applicables en cas de violation éthique sont-elles définies de manière proportionnée à la gravité des violations ?</t>
  </si>
  <si>
    <t>Politique disciplinaire</t>
  </si>
  <si>
    <t>Incohérence dans l’application des sanctions, compromettant l’équité</t>
  </si>
  <si>
    <t>Un système de suivi des incidents éthiques (signalements, enquêtes, sanctions) est-il en place ?</t>
  </si>
  <si>
    <t>Absence de traçabilité limitant les actions correctives</t>
  </si>
  <si>
    <t>Les mesures correctives prises en cas de violation éthique sont-elles communiquées de manière transparente au sein de l'organisation (dans le respect de la confidentialité) ?</t>
  </si>
  <si>
    <t>Rapports internes de conformité</t>
  </si>
  <si>
    <t>Manque de transparence réduisant l’effet dissuasif des sanctions</t>
  </si>
  <si>
    <t>Des audits périodiques sont-ils réalisés pour évaluer l'efficacité du mécanisme de gestion des violations éthiques ?</t>
  </si>
  <si>
    <t>Inefficacité du processus de gestion des violations, augmentant les risques de récidive</t>
  </si>
  <si>
    <t>Un canal de signalement anonyme et sécurisé (ex : hotline, plateforme en ligne) est-il mis à disposition des employés et partenaires pour signaler des violations éthiques ?</t>
  </si>
  <si>
    <t>Documentation du canal</t>
  </si>
  <si>
    <t>Absence de moyen sécurisé pouvant décourager le signalement</t>
  </si>
  <si>
    <t>Des mesures sont-elles en place pour garantir la confidentialité des signalements et protéger les lanceurs d'alerte contre les représailles ?</t>
  </si>
  <si>
    <t>Politique de protection des lanceurs d’alerte</t>
  </si>
  <si>
    <t>Peur des représailles réduisant le taux de signalement</t>
  </si>
  <si>
    <t>L'existence et l'accessibilité du canal de signalement anonyme et sécurisé sont-elles clairement communiquées à tous les employés et partenaires ?</t>
  </si>
  <si>
    <t>Communication interne sur le canal</t>
  </si>
  <si>
    <t>Méconnaissance du canal entraînant une sous-utilisation</t>
  </si>
  <si>
    <t>Une procédure d'enquête et de traitement des signalements reçus via le canal anonyme est-elle en place ?</t>
  </si>
  <si>
    <t>Procédure d’enquête</t>
  </si>
  <si>
    <t>Signalements non traités réduisant la confiance des employés</t>
  </si>
  <si>
    <t>Les signalements reçus via le canal anonyme sont-ils suivis et l'efficacité de ce canal est-elle évaluée périodiquement ?</t>
  </si>
  <si>
    <t>Rapports d’évaluation du canal</t>
  </si>
  <si>
    <t>Manque d’amélioration continue pouvant réduire son efficacité</t>
  </si>
  <si>
    <t>Un organigramme détaillé décrivant les rôles et responsabilités de chaque fonction au sein de l'organisation existe-t-il ?</t>
  </si>
  <si>
    <t>Manque de clarté organisationnelle créant des conflits de responsabilité</t>
  </si>
  <si>
    <t>Les attributions et les pouvoirs de chaque poste au sein de l'organisation sont-ils formellement définis ?</t>
  </si>
  <si>
    <t>Fiches de poste</t>
  </si>
  <si>
    <t>Risque de confusion dans la prise de décisions et la délégation</t>
  </si>
  <si>
    <t>Des fiches de poste précisant les responsabilités de chaque collaborateur sont-elles en place et régulièrement mises à jour ?</t>
  </si>
  <si>
    <t>Fiches de poste mises à jour</t>
  </si>
  <si>
    <t>Incohérences dans la répartition des tâches</t>
  </si>
  <si>
    <t>Un cadre de référence est-il en place pour clarifier les relations hiérarchiques et fonctionnelles entre les différentes entités et les collaborateurs ?</t>
  </si>
  <si>
    <t>Document de référence organisationnel</t>
  </si>
  <si>
    <t>Ambiguïtés dans la gestion des interactions et responsabilités</t>
  </si>
  <si>
    <t>La structure organisationnelle est-elle accessible à tous les employés via un support officiel (intranet, manuel interne, etc.) ?</t>
  </si>
  <si>
    <t>Support de communication interne</t>
  </si>
  <si>
    <t>Méconnaissance des circuits hiérarchiques ralentissant la prise de décision</t>
  </si>
  <si>
    <t>Un processus formalisé d’attribution des responsabilités basé sur les compétences et qualifications est-il en place ?</t>
  </si>
  <si>
    <t>Procédure de gestion des compétences</t>
  </si>
  <si>
    <t>Attribution inadaptée des responsabilités pouvant compromettre l’efficacité</t>
  </si>
  <si>
    <t>Existe-t-il une cohérence entre les attributions de pouvoir et les objectifs stratégiques de l’organisation ?</t>
  </si>
  <si>
    <t>Politique interne d’alignement stratégique</t>
  </si>
  <si>
    <t>Décalage entre les décisions prises et les objectifs globaux</t>
  </si>
  <si>
    <t>Des mécanismes de contrôle sont-ils en place pour éviter la concentration excessive de pouvoirs au sein de l'organisation ?</t>
  </si>
  <si>
    <t>Procédure de délégation et contrôle interne</t>
  </si>
  <si>
    <t>Risque d’abus de pouvoir et de fraude</t>
  </si>
  <si>
    <t>Un processus d’évaluation des compétences est-il en place avant l’attribution de nouvelles responsabilités ?</t>
  </si>
  <si>
    <t>Rapports d’évaluation des compétences</t>
  </si>
  <si>
    <t>Affectation inadaptée compromettant la performance</t>
  </si>
  <si>
    <t>L'adéquation entre les responsabilités attribuées et les résultats attendus est-elle vérifiée régulièrement ?</t>
  </si>
  <si>
    <t>Rapports de performance</t>
  </si>
  <si>
    <t>Risque de non-atteinte des objectifs stratégiques</t>
  </si>
  <si>
    <t>Un processus formel de validation des changements structurels par le Conseil d'administration existe-t-il ?</t>
  </si>
  <si>
    <t>Procès-verbaux du Conseil d'Administration, Politique de gestion des changements</t>
  </si>
  <si>
    <t>Changements structurels non approuvés.</t>
  </si>
  <si>
    <t>Les décisions et les motivations derrière chaque modification de la structure organisationnelle sont-elles documentées ?</t>
  </si>
  <si>
    <t>Documents de conception de la structure, Procès-verbaux des décisions</t>
  </si>
  <si>
    <t>Manque de traçabilité des décisions.</t>
  </si>
  <si>
    <t>Le Conseil d'administration participe-t-il activement à l’analyse des impacts des changements organisationnels ?</t>
  </si>
  <si>
    <t>Procès-verbaux du Conseil d'Administration, Rapports d'analyse d'impact</t>
  </si>
  <si>
    <t>Impacts négatifs des changements non anticipés.</t>
  </si>
  <si>
    <t>Les recommandations du Conseil d'administration sont-elles intégrées avant la mise en œuvre des modifications structurelles ?</t>
  </si>
  <si>
    <t>Procès-verbaux du Conseil d'Administration, Plans de mise en œuvre des changements</t>
  </si>
  <si>
    <t>Non-prise en compte de l'expertise du Conseil.</t>
  </si>
  <si>
    <t>La conformité des modifications structurelles avec les objectifs et les valeurs de l’organisation est-elle vérifiée ?</t>
  </si>
  <si>
    <t>Documents de conception de la structure, Référentiel des objectifs et valeurs</t>
  </si>
  <si>
    <t>Structure organisationnelle non alignée avec la stratégie.</t>
  </si>
  <si>
    <t>Un document officiel décrivant la structure organisationnelle est-il disponible et à jour ?</t>
  </si>
  <si>
    <t>Organigramme officiel, Manuel d'organisation</t>
  </si>
  <si>
    <t>Manque de clarté sur les rôles et responsabilités.</t>
  </si>
  <si>
    <t>Des sessions d’information ou de formation sur la structure organisationnelle et les responsabilités sont-elles organisées pour les employés ?</t>
  </si>
  <si>
    <t>Plans de formation, Supports de formation, Compte-rendus de sessions</t>
  </si>
  <si>
    <t>Mauvaise compréhension de la structure.</t>
  </si>
  <si>
    <t>Les documents relatifs à la structure organisationnelle sont-ils facilement accessibles aux employés via l’intranet ou d'autres moyens de diffusion interne ?</t>
  </si>
  <si>
    <t>Intranet, Manuel d'organisation, Plateformes de communication interne</t>
  </si>
  <si>
    <t>Difficulté à trouver les informations.</t>
  </si>
  <si>
    <t>Un point de contact est-il en place pour répondre aux questions des employés concernant la structure organisationnelle et les responsabilités ?</t>
  </si>
  <si>
    <t>Liste des contacts, Portail RH</t>
  </si>
  <si>
    <t>Questions des employés sans réponse.</t>
  </si>
  <si>
    <t>La compréhension de la structure organisationnelle par les employés est-elle vérifiée via des enquêtes ou des entretiens ?</t>
  </si>
  <si>
    <t>Résultats d'enquêtes, Compte-rendus d'entretiens</t>
  </si>
  <si>
    <t>Lacunes dans la compréhension non identifiées.</t>
  </si>
  <si>
    <t>Un document officiel et à jour sur les rattachements hiérarchiques et les responsabilités de chaque poste existe-t-il ?</t>
  </si>
  <si>
    <t>Fiches de poste, Organigramme détaillé</t>
  </si>
  <si>
    <t>Ambiguïté sur les responsabilités.</t>
  </si>
  <si>
    <t>Les modifications structurelles sont-elles archivées avec la justification et la validation correspondantes ?</t>
  </si>
  <si>
    <t>Archives des documents organisationnels, Historique des modifications</t>
  </si>
  <si>
    <t>Perte de traçabilité des évolutions.</t>
  </si>
  <si>
    <t>Les documents organisationnels sont-ils facilement accessibles aux managers et aux employés concernés ?</t>
  </si>
  <si>
    <t>Intranet, Systèmes de gestion documentaire</t>
  </si>
  <si>
    <t>Difficulté d'accès à l'information pour la prise de décision.</t>
  </si>
  <si>
    <t>Un processus de contrôle est-il en place pour garantir la cohérence des documents organisationnels avec la réalité opérationnelle ?</t>
  </si>
  <si>
    <t>Procédures de revue documentaire, Audits internes</t>
  </si>
  <si>
    <t>Documents obsolètes ou incorrects.</t>
  </si>
  <si>
    <t>Les documents organisationnels sont-ils intégrés dans un référentiel structuré et centralisé ?</t>
  </si>
  <si>
    <t>Système de gestion documentaire, Intranet</t>
  </si>
  <si>
    <t>Difficulté à trouver les informations fiables.</t>
  </si>
  <si>
    <t>Une politique de recrutement détaillant les besoins en compétences clés est-elle en place ?</t>
  </si>
  <si>
    <t>Difficulté à attirer les bons profils.</t>
  </si>
  <si>
    <t>Un processus structuré de sélection des candidats basé sur des critères objectifs est-il en place ?</t>
  </si>
  <si>
    <t>Procédure de recrutement, Grilles d'évaluation</t>
  </si>
  <si>
    <t>Risque de biais dans le recrutement.</t>
  </si>
  <si>
    <t>L'organisation utilise-t-elle des canaux de recrutement adaptés (plateformes spécialisées, réseaux professionnels, partenariats avec des universités) ?</t>
  </si>
  <si>
    <t>Stratégie de sourcing, Liste des canaux utilisés</t>
  </si>
  <si>
    <t>Difficulté à atteindre les profils recherchés.</t>
  </si>
  <si>
    <t>Une grille d'évaluation est-elle utilisée pour s'assurer de l'adéquation entre les profils recrutés et les besoins organisationnels ?</t>
  </si>
  <si>
    <t>Grilles d'évaluation, Descriptions de poste</t>
  </si>
  <si>
    <t>Risque de recruter des personnes inadaptées aux postes.</t>
  </si>
  <si>
    <t>Un suivi et une évaluation des performances des nouvelles recrues sont-ils réalisés pour valider leur adaptation et leur efficacité ?</t>
  </si>
  <si>
    <t>Politique d'intégration, Entretiens de suivi, Périodes d'essai</t>
  </si>
  <si>
    <t>Difficulté à identifier les problèmes d'intégration rapidement.</t>
  </si>
  <si>
    <t>Un plan de formation annuel couvrant les domaines clés, dont les systèmes d’information et la cybersécurité, est-il en place ?</t>
  </si>
  <si>
    <t>Plan de formation annuel</t>
  </si>
  <si>
    <t>Compétences clés manquantes.</t>
  </si>
  <si>
    <t>Les employés participent-ils activement aux formations et les compétences acquises sont-elles certifiées ?</t>
  </si>
  <si>
    <t>Registres de participation, Certifications, Évaluations de formation</t>
  </si>
  <si>
    <t>Investissement en formation non valorisé.</t>
  </si>
  <si>
    <t>Des ressources pédagogiques accessibles (plateformes en ligne, formations en présentiel, webinaires) sont-elles disponibles pour les employés ?</t>
  </si>
  <si>
    <t>Catalogue de formations, Plateformes LMS, Supports de formation</t>
  </si>
  <si>
    <t>Difficulté pour les employés de se former.</t>
  </si>
  <si>
    <t>L'efficacité des formations est-elle évaluée périodiquement à travers des tests et des retours des participants ?</t>
  </si>
  <si>
    <t>Résultats d'évaluations de formation, Enquêtes de satisfaction</t>
  </si>
  <si>
    <t>Efficacité des formations non mesurée.</t>
  </si>
  <si>
    <t>Les formations sont-elles alignées avec les évolutions technologiques et les besoins stratégiques de l’organisation ?</t>
  </si>
  <si>
    <t>Plans de formation, Stratégie de l'organisation, Veille technologique</t>
  </si>
  <si>
    <t>Compétences obsolètes.</t>
  </si>
  <si>
    <t>Des plans de carrière clairs et évolutifs sont-ils mis en place pour les employés ?</t>
  </si>
  <si>
    <t>Politique de gestion des carrières, Plans de développement individuel</t>
  </si>
  <si>
    <t>Manque de motivation et d'engagement.</t>
  </si>
  <si>
    <t>Un système d’avantages compétitifs (rémunération attractive, primes, flexibilité de travail) est-il en place ?</t>
  </si>
  <si>
    <t>Politique de rémunération, Grilles salariales, Offres d'avantages sociaux</t>
  </si>
  <si>
    <t>Difficulté à attirer et retenir les talents.</t>
  </si>
  <si>
    <t>Des programmes de mentorat et d’accompagnement professionnel existent-ils au sein de l'organisation ?</t>
  </si>
  <si>
    <t>Politique de mentorat, Liste des mentors</t>
  </si>
  <si>
    <t>Développement des compétences plus lent.</t>
  </si>
  <si>
    <t>Des activités de team-building et de reconnaissance des performances sont-elles organisées régulièrement ?</t>
  </si>
  <si>
    <t>Calendrier des événements, Politique de reconnaissance</t>
  </si>
  <si>
    <t>Moral des employés plus faible.</t>
  </si>
  <si>
    <t>Les taux de rétention sont-ils suivis et les raisons des départs volontaires sont-elles identifiées ?</t>
  </si>
  <si>
    <t>Données de turnover, Enquêtes de départ</t>
  </si>
  <si>
    <t>Difficulté à identifier les problèmes de rétention.</t>
  </si>
  <si>
    <t>Un système d’évaluation de la performance basé sur des critères objectifs et mesurables est-il en place ?</t>
  </si>
  <si>
    <t>Politique d'évaluation de la performance, Grilles d'évaluation</t>
  </si>
  <si>
    <t>Subjectivité dans l'évaluation.</t>
  </si>
  <si>
    <t>Des entretiens d’évaluation périodiques avec des retours constructifs sont-ils organisés ?</t>
  </si>
  <si>
    <t>Planning des entretiens, Guides d'entretien</t>
  </si>
  <si>
    <t>Manque de communication sur la performance.</t>
  </si>
  <si>
    <t>Des plans de développement personnalisés sont-ils mis en place pour chaque employé ?</t>
  </si>
  <si>
    <t>Plans de développement individuel</t>
  </si>
  <si>
    <t>Potentiel des employés non exploité.</t>
  </si>
  <si>
    <t>Les progrès individuels sont-ils suivis et les objectifs ajustés en fonction des résultats ?</t>
  </si>
  <si>
    <t>Outils de suivi des objectifs, Entretiens de suivi</t>
  </si>
  <si>
    <t>Désengagement si les objectifs sont irréalistes ou non suivis.</t>
  </si>
  <si>
    <t>Les managers sont-ils impliqués dans le processus d’évaluation et de développement des compétences de leurs équipes ?</t>
  </si>
  <si>
    <t>Programmes de formation pour managers, Guides d'évaluation</t>
  </si>
  <si>
    <t>Évaluations non cohérentes.</t>
  </si>
  <si>
    <t>Existe-t-il un document officiel décrivant les responsabilités de chaque collaborateur en matière de contrôle interne ?</t>
  </si>
  <si>
    <t>Manuel de contrôle interne, Charte d'audit interne, Descriptions de poste</t>
  </si>
  <si>
    <t>Manque de clarté sur les responsabilités en matière de contrôle interne.</t>
  </si>
  <si>
    <t>Les documents de référence relatifs au contrôle interne sont-ils diffusés et accessibles à l’ensemble des collaborateurs ?</t>
  </si>
  <si>
    <t>Politique de contrôle interne, Manuel de procédures, Intranet, Plateformes de communication interne</t>
  </si>
  <si>
    <t>Méconnaissance des procédures de contrôle interne par les collaborateurs.</t>
  </si>
  <si>
    <t>Des sessions d’information et de sensibilisation sur les responsabilités en matière de contrôle interne sont-elles organisées ?</t>
  </si>
  <si>
    <t>Sensibilisation insuffisante des collaborateurs aux enjeux du contrôle interne.</t>
  </si>
  <si>
    <t>Les rôles et responsabilités en matière de contrôle interne sont-ils mis à jour régulièrement en fonction des évolutions organisationnelles et réglementaires ?</t>
  </si>
  <si>
    <t>Organigramme, Descriptions de poste, Politique de contrôle interne, Veille réglementaire</t>
  </si>
  <si>
    <t>Responsabilités obsolètes ou non alignées avec la réalité.</t>
  </si>
  <si>
    <t>La compréhension des collaborateurs concernant leurs responsabilités en matière de contrôle interne est-elle vérifiée à travers des tests ou des évaluations internes ?</t>
  </si>
  <si>
    <t>Résultats de tests, Compte-rendus d'évaluations</t>
  </si>
  <si>
    <t>Niveau de compréhension des responsabilités non évalué.</t>
  </si>
  <si>
    <t>Un système de suivi des activités des responsables du contrôle interne est-il en place ?</t>
  </si>
  <si>
    <t>Tableaux de bord, Rapports d'activité, Outils de gestion des tâches</t>
  </si>
  <si>
    <t>Manque de visibilité sur les actions des responsables du contrôle interne.</t>
  </si>
  <si>
    <t>Des indicateurs de performance sont-ils définis pour évaluer la conformité des actions des responsables du contrôle interne avec les attentes ?</t>
  </si>
  <si>
    <t>Cadre de performance, Tableaux de bord, Rapports d'audit interne</t>
  </si>
  <si>
    <t>Évaluation de la performance des responsables du contrôle interne subjective ou non mesurable.</t>
  </si>
  <si>
    <t>Des revues périodiques sont-elles réalisées par la direction ou le conseil pour évaluer le respect des responsabilités en matière de contrôle interne ?</t>
  </si>
  <si>
    <t>Procès-verbaux de réunions de direction ou du conseil, Rapports d'évaluation</t>
  </si>
  <si>
    <t>Supervision insuffisante du respect des responsabilités en matière de contrôle interne.</t>
  </si>
  <si>
    <t>Les rapports de suivi et les comptes rendus de réunions relatifs au contrôle interne sont-ils documentés et archivés ?</t>
  </si>
  <si>
    <t>Systèmes de gestion documentaire, Archives</t>
  </si>
  <si>
    <t>Perte d'informations importantes sur le contrôle interne.</t>
  </si>
  <si>
    <t>Un processus de signalement des manquements observés en matière de contrôle interne est-il mis en œuvre ?</t>
  </si>
  <si>
    <t>Politique de signalement, Plateforme de signalement, Procédures de traitement des signalements</t>
  </si>
  <si>
    <t>Manque de canaux pour signaler les problèmes de contrôle interne.</t>
  </si>
  <si>
    <t>Les formats et contenus des rapports de contrôle interne sont-ils clairement définis ?</t>
  </si>
  <si>
    <t>Modèles de rapports, Guides de reporting</t>
  </si>
  <si>
    <t>Rapports de contrôle interne non standardisés et difficiles à interpréter.</t>
  </si>
  <si>
    <t>Une fréquence est-elle définie et respectée pour la transmission des rapports de suivi du contrôle interne ?</t>
  </si>
  <si>
    <t>Calendrier de reporting, Politique de contrôle interne</t>
  </si>
  <si>
    <t>Transmission irrégulière ou tardive des informations de contrôle interne.</t>
  </si>
  <si>
    <t>Des indicateurs de performance précis sont-ils intégrés pour mesurer l’efficacité des actions menées en matière de contrôle interne ?</t>
  </si>
  <si>
    <t>Tableaux de bord, Rapports d'audit interne, Cadre de performance</t>
  </si>
  <si>
    <t>Difficulté à mesurer l'efficacité des actions de contrôle interne.</t>
  </si>
  <si>
    <t>Les rapports de contrôle interne sont-ils analysés et validés par une instance de supervision dédiée ?</t>
  </si>
  <si>
    <t>Procès-verbaux de réunions du comité d'audit ou de direction, Rapports d'analyse</t>
  </si>
  <si>
    <t>Manque de supervision et de validation des informations de contrôle interne.</t>
  </si>
  <si>
    <t>Des retours et des recommandations sont-ils formulés suite à l’analyse des rapports de contrôle interne soumis ?</t>
  </si>
  <si>
    <t>Procès-verbaux de réunions, Plans d'action, Suivi des recommandations</t>
  </si>
  <si>
    <t>Absence de suivi et d'amélioration continue basés sur les rapports de contrôle interne.</t>
  </si>
  <si>
    <t>Un cadre normatif de référence existe-t-il pour l’évaluation des actions des responsables du contrôle interne ?</t>
  </si>
  <si>
    <t>Cadre de référence du contrôle interne (ex: COSO), Chartes professionnelles</t>
  </si>
  <si>
    <t>Évaluation non standardisée et potentiellement biaisée des actions des responsables du contrôle interne.</t>
  </si>
  <si>
    <t>Des audits réguliers sont-ils mis en place pour contrôler la conformité des actions des responsables du contrôle interne avec les normes établies ?</t>
  </si>
  <si>
    <t>Plans d'audit, Rapports d'audit interne, Suivi des recommandations</t>
  </si>
  <si>
    <t>Non-détection des non-conformités dans les actions des responsables du contrôle interne.</t>
  </si>
  <si>
    <t>Des critères d’évaluation clairs sont-ils définis pour identifier les écarts et les non-conformités en matière de contrôle interne ?</t>
  </si>
  <si>
    <t>Manuels de contrôle interne, Procédures, Grilles d'évaluation</t>
  </si>
  <si>
    <t>Évaluation subjective des écarts et des non-conformités.</t>
  </si>
  <si>
    <t>Les écarts identifiés en matière de contrôle interne sont-ils documentés et suivis avec des recommandations d’amélioration ?</t>
  </si>
  <si>
    <t>Registre des incidents, Plans d'action corrective, Suivi des actions</t>
  </si>
  <si>
    <t>Non-suivi et non-correction des écarts identifiés.</t>
  </si>
  <si>
    <t>Des sanctions ou des mesures correctives sont-elles mises en place en cas de non-respect des procédures de contrôle interne ?</t>
  </si>
  <si>
    <t>Politique disciplinaire, Procédures de sanctions</t>
  </si>
  <si>
    <t>Non-respect des procédures de contrôle interne non sanctionné.</t>
  </si>
  <si>
    <t>Un programme de formation dédié au contrôle interne est-il déployé pour les collaborateurs ?</t>
  </si>
  <si>
    <t>Plan de formation, Supports de formation, Registres de participation</t>
  </si>
  <si>
    <t>Connaissances insuffisantes des collaborateurs sur le contrôle interne.</t>
  </si>
  <si>
    <t>Des sessions de sensibilisation au contrôle interne sont-elles organisées régulièrement pour les collaborateurs ?</t>
  </si>
  <si>
    <t>Calendrier des sessions, Supports de sensibilisation, Compte-rendus</t>
  </si>
  <si>
    <t>Sensibilisation ponctuelle et potentiellement oubliée.</t>
  </si>
  <si>
    <t>Des supports pédagogiques accessibles (guides, vidéos, e-learning) sur le contrôle interne sont-ils mis à disposition des collaborateurs ?</t>
  </si>
  <si>
    <t>Intranet, Plateformes e-learning, Manuels et guides</t>
  </si>
  <si>
    <t>Difficulté pour les collaborateurs d'accéder à l'information sur le contrôle interne.</t>
  </si>
  <si>
    <t>L’efficacité des formations au contrôle interne est-elle évaluée par des tests ou des études d’impact ?</t>
  </si>
  <si>
    <t>Résultats de tests, Enquêtes de satisfaction, Évaluations post-formation</t>
  </si>
  <si>
    <t>Les contenus de formation au contrôle interne sont-ils mis à jour en fonction des évolutions réglementaires et organisationnelles ?</t>
  </si>
  <si>
    <t>Plans de formation, Supports de formation, Veille réglementaire, Documentation des changements organisationnels</t>
  </si>
  <si>
    <t>Formation au contrôle interne obsolète.</t>
  </si>
  <si>
    <t>Un organigramme détaillant les rôles et responsabilités liés aux systèmes d’information existe-t-il ?</t>
  </si>
  <si>
    <t>Organigramme SI, Descriptions de poste SI</t>
  </si>
  <si>
    <t>Manque de clarté sur les responsabilités au sein de la direction des systèmes d'information.</t>
  </si>
  <si>
    <t>Les attributions spécifiques aux fonctions SI (DSI, RSSI, administrateurs, etc.) sont-elles documentées ?</t>
  </si>
  <si>
    <t>Fiches de poste, Politiques de sécurité SI</t>
  </si>
  <si>
    <t>Ambiguïté sur les responsabilités des acteurs clés des systèmes d'information.</t>
  </si>
  <si>
    <t>La structure organisationnelle des systèmes d’information est-elle communiquée aux collaborateurs concernés ?</t>
  </si>
  <si>
    <t>Intranet, Communications internes</t>
  </si>
  <si>
    <t>Méconnaissance de l'organisation de la direction des systèmes d'information par les collaborateurs.</t>
  </si>
  <si>
    <t>La structure organisationnelle des systèmes d’information est-elle alignée avec les besoins stratégiques en SI ?</t>
  </si>
  <si>
    <t>Plan stratégique SI, Organigramme SI</t>
  </si>
  <si>
    <t>Structure SI non adaptée aux objectifs de l'organisation.</t>
  </si>
  <si>
    <t>La structure organisationnelle des systèmes d’information est-elle mise à jour régulièrement en fonction des évolutions technologiques et réglementaires ?</t>
  </si>
  <si>
    <t>Organigramme SI, Politique de gestion des changements SI, Veille technologique et réglementaire</t>
  </si>
  <si>
    <t>Structure SI obsolète face aux évolutions technologiques et réglementaires.</t>
  </si>
  <si>
    <t>Les responsabilités en matière de cybersécurité et de gestion des données sont-elles clairement attribuées ?</t>
  </si>
  <si>
    <t>Organigramme SI, Fiches de poste, Politiques de sécurité SI, Politiques de gestion des données</t>
  </si>
  <si>
    <t>Responsabilités ambiguës en matière de cybersécurité et de gestion des données.</t>
  </si>
  <si>
    <t>Des fiches de poste détaillant les tâches spécifiques de chaque acteur clé des systèmes d’information existent-elles ?</t>
  </si>
  <si>
    <t>Fiches de poste SI</t>
  </si>
  <si>
    <t>Manque de précision dans les rôles et responsabilités au sein des équipes SI.</t>
  </si>
  <si>
    <t>L’accès aux documents de référence relatifs aux systèmes d’information est-il facilité pour les collaborateurs concernés ?</t>
  </si>
  <si>
    <t>Intranet, Systèmes de gestion documentaire, Politiques de sécurité SI</t>
  </si>
  <si>
    <t>Difficulté d'accès aux informations importantes pour les équipes SI.</t>
  </si>
  <si>
    <t>La conformité des descriptions de rôle dans les systèmes d’information avec les réglementations en vigueur est-elle vérifiée ?</t>
  </si>
  <si>
    <t>Fiches de poste SI, Veille réglementaire, Avis juridique</t>
  </si>
  <si>
    <t>Descriptions de rôle non conformes aux réglementations.</t>
  </si>
  <si>
    <t>Un processus de validation et de révision des rôles dans les systèmes d’information en fonction des besoins est-il en place ?</t>
  </si>
  <si>
    <t>Politique de gestion des rôles, Procédures de revue organisationnelle</t>
  </si>
  <si>
    <t>Rôles SI non adaptés aux besoins évolutifs.</t>
  </si>
  <si>
    <t>Les outils et infrastructures nécessaires à la gestion efficace des systèmes d’information sont-ils disponibles ?</t>
  </si>
  <si>
    <t>Inventaire des outils et infrastructures, Budgets SI</t>
  </si>
  <si>
    <t>Manque d'outils et d'infrastructures adéquats.</t>
  </si>
  <si>
    <t>Les responsables des systèmes d’information ont-ils un accès approprié aux ressources critiques ?</t>
  </si>
  <si>
    <t>Politiques de gestion des accès, Inventaire des ressources</t>
  </si>
  <si>
    <t>Accès inapproprié aux ressources critiques.</t>
  </si>
  <si>
    <t>Les budgets alloués aux équipes des systèmes d’information sont-ils validés pour garantir leur bon fonctionnement ?</t>
  </si>
  <si>
    <t>Processus budgétaire, Budgets SI approuvés</t>
  </si>
  <si>
    <t>Budgets SI insuffisants ou non validés.</t>
  </si>
  <si>
    <t>Des procédures de gestion des accès et des autorisations aux systèmes d’information existent-elles ?</t>
  </si>
  <si>
    <t>Politique de gestion des accès, Procédures d'attribution et de révocation des accès</t>
  </si>
  <si>
    <t>Gestion des accès et des autorisations inadéquate.</t>
  </si>
  <si>
    <t>La suffisance des ressources allouées aux systèmes d’information est-elle évaluée périodiquement ?</t>
  </si>
  <si>
    <t>Rapports d'utilisation des ressources, Enquêtes de satisfaction des équipes SI</t>
  </si>
  <si>
    <t>Insuffisance des ressources SI non identifiée.</t>
  </si>
  <si>
    <t>Des réunions régulières sont-elles organisées entre les équipes des systèmes d’information et les autres départements ?</t>
  </si>
  <si>
    <t>Calendrier des réunions, Procès-verbaux</t>
  </si>
  <si>
    <t>Communication insuffisante entre les équipes SI et les autres départements.</t>
  </si>
  <si>
    <t>Des outils de communication collaborative sont-ils utilisés pour faciliter les échanges entre les équipes des systèmes d’information et les autres départements ?</t>
  </si>
  <si>
    <t>Liste des outils de communication, Politiques d'utilisation</t>
  </si>
  <si>
    <t>Utilisation inefficace des outils de communication.</t>
  </si>
  <si>
    <t>Les circuits d’information et de validation entre les équipes des systèmes d’information et les autres départements sont-ils clairement définis ?</t>
  </si>
  <si>
    <t>Cartographie des processus, Politiques de communication</t>
  </si>
  <si>
    <t>Circuits d'information et de validation ambigus.</t>
  </si>
  <si>
    <t>Des processus de remontée et d’escalade en cas d’incident lié aux systèmes d’information sont-ils formalisés ?</t>
  </si>
  <si>
    <t>Procédures de gestion des incidents, Plan de réponse aux incidents</t>
  </si>
  <si>
    <t>Gestion des incidents SI inefficace.</t>
  </si>
  <si>
    <t>L’efficacité des canaux de communication entre les équipes des systèmes d’information et les autres départements est-elle mesurée via des feedbacks internes ?</t>
  </si>
  <si>
    <t>Enquêtes de satisfaction, Analyse des temps de réponse</t>
  </si>
  <si>
    <t>Efficacité de la communication non évaluée.</t>
  </si>
  <si>
    <t>Un cadre de reporting structuré sur la performance des systèmes d’information est-il mis en place ?</t>
  </si>
  <si>
    <t>Modèles de rapports SI, Politique de reporting</t>
  </si>
  <si>
    <t>Manque de reporting structuré sur la performance des SI.</t>
  </si>
  <si>
    <t>Des indicateurs clés sont-ils définis pour évaluer l’efficacité des systèmes d’information ?</t>
  </si>
  <si>
    <t>Tableaux de bord SI, Catalogue d'indicateurs</t>
  </si>
  <si>
    <t>Évaluation subjective de l'efficacité des SI.</t>
  </si>
  <si>
    <t>Une fréquence est-elle définie pour la remise des rapports sur la performance des systèmes d’information à la direction ?</t>
  </si>
  <si>
    <t>Calendrier de reporting SI, Politique de reporting</t>
  </si>
  <si>
    <t>Remise irrégulière des rapports de performance SI.</t>
  </si>
  <si>
    <t>Les rapports sur la performance des systèmes d’information sont-ils analysés et exploités pour améliorer les processus SI ?</t>
  </si>
  <si>
    <t>Procès-verbaux de réunions de direction, Plans d'amélioration SI</t>
  </si>
  <si>
    <t>Non-utilisation des rapports pour l'amélioration continue des SI.</t>
  </si>
  <si>
    <t>Des plans d’amélioration basés sur les observations issues des rapports sur la performance des systèmes d’information existent-ils ?</t>
  </si>
  <si>
    <t>Plans d'amélioration SI, Suivi des actions</t>
  </si>
  <si>
    <t>Absence de plans d'amélioration basés sur les données de performance SI.</t>
  </si>
  <si>
    <t>Des plans d’action détaillés sont-ils définis pour adapter les contrôles internes en réponse aux changements ?</t>
  </si>
  <si>
    <t>Plans d'action de contrôle interne, Analyse d'impact des changements</t>
  </si>
  <si>
    <t>Plans d'action de contrôle interne incomplets ou inexistants face aux changements.</t>
  </si>
  <si>
    <t>Des tests pilotes sont-ils mis en œuvre avant la généralisation des nouvelles mesures de contrôle interne ?</t>
  </si>
  <si>
    <t>Plans de tests pilotes, Rapports de tests</t>
  </si>
  <si>
    <t>Mise en œuvre de contrôles internes non testés.</t>
  </si>
  <si>
    <t>Un calendrier précis de mise à jour des procédures de contrôle interne existe-t-il ?</t>
  </si>
  <si>
    <t>Calendrier de revue des procédures, Politique de contrôle interne</t>
  </si>
  <si>
    <t>Procédures de contrôle interne obsolètes.</t>
  </si>
  <si>
    <t>L’efficacité des ajustements apportés aux contrôles internes est-elle suivie et évaluée ?</t>
  </si>
  <si>
    <t>Indicateurs de performance, Rapports de suivi</t>
  </si>
  <si>
    <t>Efficacité des ajustements non mesurée.</t>
  </si>
  <si>
    <t>Les modifications des contrôles internes et leurs impacts sur l’organisation sont-ils documentés de manière systématique ?</t>
  </si>
  <si>
    <t>Registre des modifications de contrôle interne, Analyse d'impact</t>
  </si>
  <si>
    <t>Manque de traçabilité des modifications de contrôle interne.</t>
  </si>
  <si>
    <t>Existe-t-il une procédure formelle pour l’évaluation des changements internes et externes ?</t>
  </si>
  <si>
    <t>Politique de gestion des changements, Procédure d'évaluation des impacts</t>
  </si>
  <si>
    <t>Évaluation informelle ou inexistante des changements.</t>
  </si>
  <si>
    <t>Les analyses d’impact effectuées sur les contrôles internes suite à des changements sont-elles documentées ?</t>
  </si>
  <si>
    <t>Rapports d'analyse d'impact sur le contrôle interne</t>
  </si>
  <si>
    <t>Manque de documentation des impacts des changements sur le contrôle interne.</t>
  </si>
  <si>
    <t>Les risques associés sont-ils pris en compte lors de l’évaluation des changements affectant le contrôle interne ?</t>
  </si>
  <si>
    <t>Registre des risques, Analyse d'impact des changements</t>
  </si>
  <si>
    <t>Risques non pris en compte lors de l'évaluation des changements.</t>
  </si>
  <si>
    <t>Les évaluations des changements et leurs impacts sur le contrôle interne sont-elles validées par les parties prenantes concernées ?</t>
  </si>
  <si>
    <t>Procès-verbaux de réunions, Listes de validation</t>
  </si>
  <si>
    <t>Évaluations des changements non validées.</t>
  </si>
  <si>
    <t>Les décisions prises suite à l’évaluation des changements affectant le contrôle interne sont-elles suivies ?</t>
  </si>
  <si>
    <t>Plans d'action, Suivi des décisions</t>
  </si>
  <si>
    <t>Non-suivi des décisions prises suite aux évaluations des changements.</t>
  </si>
  <si>
    <t>Les responsables du contrôle interne sont-ils présents dans les comités de gestion du changement ?</t>
  </si>
  <si>
    <t>Listes de participation aux comités, Chartes des comités</t>
  </si>
  <si>
    <t>Absence des responsables du contrôle interne dans les comités de gestion du changement.</t>
  </si>
  <si>
    <t>La participation des responsables du contrôle interne aux revues de changements est-elle traçable ?</t>
  </si>
  <si>
    <t>Procès-verbaux de réunions, Listes de présence</t>
  </si>
  <si>
    <t>Participation des responsables du contrôle interne non tracée.</t>
  </si>
  <si>
    <t>Les recommandations des responsables du contrôle interne sont-elles intégrées dans les décisions finales relatives aux changements ?</t>
  </si>
  <si>
    <t>Procès-verbaux de réunions, Documents de décision</t>
  </si>
  <si>
    <t>Recommandations du contrôle interne non prises en compte.</t>
  </si>
  <si>
    <t>Une communication formelle existe-t-elle entre les équipes en charge des changements et les responsables du contrôle interne ?</t>
  </si>
  <si>
    <t>Politique de communication, Procédures de communication</t>
  </si>
  <si>
    <t>Communication informelle ou inexistante entre les équipes de changement et le contrôle interne.</t>
  </si>
  <si>
    <t>Une formation continue sur les évolutions du système est-elle proposée aux responsables du contrôle interne ?</t>
  </si>
  <si>
    <t>Plans de formation, Supports de formation</t>
  </si>
  <si>
    <t>Formation continue insuffisante pour les responsables du contrôle interne.</t>
  </si>
  <si>
    <t>Des plans d’action détaillés sont-ils systématiquement élaborés pour chaque changement majeur impactant le contrôle interne ?</t>
  </si>
  <si>
    <t>Absence de plans d'action détaillés pour les changements majeurs.</t>
  </si>
  <si>
    <t>Un processus de validation et de mise en œuvre des plans d’action relatifs aux changements du contrôle interne existe-t-il ?</t>
  </si>
  <si>
    <t>Procédures de validation, Suivi de la mise en œuvre</t>
  </si>
  <si>
    <t>Validation et mise en œuvre des plans d'action non structurées.</t>
  </si>
  <si>
    <t>Les procédures et contrôles internes documentés sont-ils mis à jour régulièrement en fonction des changements ?</t>
  </si>
  <si>
    <t>Documentation des contrôles internes non mise à jour.</t>
  </si>
  <si>
    <t>Les responsabilités pour l’application des ajustements aux contrôles internes sont-elles clairement attribuées ?</t>
  </si>
  <si>
    <t>Organigramme, Descriptions de poste, Plans d'action</t>
  </si>
  <si>
    <t>Responsabilités ambiguës pour l'application des ajustements.</t>
  </si>
  <si>
    <t>L’exécution des plans d’action relatifs aux changements du contrôle interne est-elle suivie et leur efficacité évaluée ?</t>
  </si>
  <si>
    <t>Rapports de suivi, Indicateurs de performance</t>
  </si>
  <si>
    <t>Suivi et évaluation de l'exécution des plans d'action insuffisants.</t>
  </si>
  <si>
    <t>Un système de reporting régulier sur les changements et leur impact sur le contrôle interne est-il en place ?</t>
  </si>
  <si>
    <t>Modèles de rapports, Politique de reporting</t>
  </si>
  <si>
    <t>Manque de reporting régulier sur l'impact des changements.</t>
  </si>
  <si>
    <t>Des indicateurs de suivi des modifications du contrôle interne existent-ils ?</t>
  </si>
  <si>
    <t>Tableaux de bord, Catalogue d'indicateurs</t>
  </si>
  <si>
    <t>Suivi des modifications du contrôle interne non formalisé.</t>
  </si>
  <si>
    <t>La fréquence et la qualité des rapports sur les changements du contrôle interne transmis à la direction sont-elles définies et respectées ?</t>
  </si>
  <si>
    <t>Calendrier de reporting, Politique de reporting, Évaluations de la qualité des rapports</t>
  </si>
  <si>
    <t>Rapports sur les changements de contrôle interne irréguliers ou de qualité insuffisante.</t>
  </si>
  <si>
    <t>Les recommandations issues des rapports sur les changements du contrôle interne sont-elles intégrées dans les décisions stratégiques ?</t>
  </si>
  <si>
    <t>Procès-verbaux de réunions de direction, Documents de décision stratégique</t>
  </si>
  <si>
    <t>Recommandations des rapports non prises en compte dans les décisions stratégiques.</t>
  </si>
  <si>
    <t>Les parties prenantes concernées ont-elles accès aux informations critiques sur les changements affectant le contrôle interne ?</t>
  </si>
  <si>
    <t>Politique de communication, Plateformes de communication</t>
  </si>
  <si>
    <t>Manque de transparence sur les changements affectant le contrôle interne.</t>
  </si>
  <si>
    <t>Une analyse des risques documentée et mise à jour périodiquement existe-t-elle ?</t>
  </si>
  <si>
    <t>Plan d'analyse des risques</t>
  </si>
  <si>
    <t>Absence d'identification et d'évaluation des risques</t>
  </si>
  <si>
    <t>Les activités de contrôle sont-elles alignées avec la criticité des risques identifiés ?</t>
  </si>
  <si>
    <t>Matrice des risques et des contrôles</t>
  </si>
  <si>
    <t>Contrôles non pertinents par rapport aux risques</t>
  </si>
  <si>
    <t>Les spécificités opérationnelles sont-elles prises en compte dans le choix des contrôles ?</t>
  </si>
  <si>
    <t>Documentation des contrôles opérationnels</t>
  </si>
  <si>
    <t>Contrôles inadaptés au contexte opérationnel</t>
  </si>
  <si>
    <t>Les contrôles sélectionnés sont-ils validés par les instances de gouvernance ?</t>
  </si>
  <si>
    <t>Procès-verbaux des instances de gouvernance</t>
  </si>
  <si>
    <t>Manque de validation et d'approbation des contrôles</t>
  </si>
  <si>
    <t>Les contrôles sont-ils ajustés en fonction des nouvelles menaces et vulnérabilités ?</t>
  </si>
  <si>
    <t>Politique de gestion des changements, Veille sécurité</t>
  </si>
  <si>
    <t>Obsolescence des contrôles face aux nouvelles menaces</t>
  </si>
  <si>
    <t>Des indicateurs de performance sont-ils mis en place pour mesurer l’efficacité des contrôles ?</t>
  </si>
  <si>
    <t>Tableau de bord des indicateurs de performance</t>
  </si>
  <si>
    <t>Incapacité à évaluer l'efficacité des contrôles</t>
  </si>
  <si>
    <t>Des audits internes et externes sont-ils réalisés pour évaluer les contrôles ?</t>
  </si>
  <si>
    <t>Rapports d'audits internes et externes</t>
  </si>
  <si>
    <t>Manque d'évaluation indépendante de l'efficacité des contrôles</t>
  </si>
  <si>
    <t>Les écarts identifiés lors des audits des contrôles sont-ils documentés et des mesures correctives mises en place ?</t>
  </si>
  <si>
    <t>Registre des anomalies et des plans d'action</t>
  </si>
  <si>
    <t>Absence de suivi et de correction des faiblesses des contrôles</t>
  </si>
  <si>
    <t>Les niveaux de risques sont-ils suivis régulièrement après l’application des contrôles ?</t>
  </si>
  <si>
    <t>Rapports de suivi des risques résiduels</t>
  </si>
  <si>
    <t>Mauvaise appréciation de l'évolution des risques après contrôles</t>
  </si>
  <si>
    <t>Les résultats des évaluations des contrôles sont-ils présentés aux instances de décision ?</t>
  </si>
  <si>
    <t>Rapports de synthèse des évaluations de contrôles</t>
  </si>
  <si>
    <t>Manque d'information pour la prise de décision éclairée</t>
  </si>
  <si>
    <t>Les contrôles sont-ils intégrés dans les procédures et workflows opérationnels ?</t>
  </si>
  <si>
    <t>Documentation des procédures et workflows</t>
  </si>
  <si>
    <t>Application non systématique et incohérente des contrôles</t>
  </si>
  <si>
    <t>Le personnel est-il formé à l’application des contrôles dans les processus métiers concernés ?</t>
  </si>
  <si>
    <t>Plan de formation, supports de formation, enregistrements de formation</t>
  </si>
  <si>
    <t>Mauvaise application des contrôles par manque de connaissance</t>
  </si>
  <si>
    <t>Des contrôles sont-ils automatisés pour assurer leur application systématique ?</t>
  </si>
  <si>
    <t>Liste des contrôles automatisés, règles d'automatisation</t>
  </si>
  <si>
    <t>Dépendance de l'application manuelle des contrôles et risque d'erreur</t>
  </si>
  <si>
    <t>Les incidents opérationnels sont-ils suivis pour identifier d'éventuelles failles dans les contrôles ?</t>
  </si>
  <si>
    <t>Registre des incidents opérationnels, analyses post-incident</t>
  </si>
  <si>
    <t>Manque d'apprentissage des incidents pour améliorer les contrôles</t>
  </si>
  <si>
    <t>Les équipes opérationnelles sont-elles responsabilisées dans la mise en œuvre des contrôles ?</t>
  </si>
  <si>
    <t>Définition des rôles et responsabilités, indicateurs de responsabilisation</t>
  </si>
  <si>
    <t>Manque d'appropriation et d'engagement des équipes dans les contrôles</t>
  </si>
  <si>
    <t>Les contrôles sont-ils mis à jour périodiquement en fonction des analyses de risques ?</t>
  </si>
  <si>
    <t>Politique de mise à jour des contrôles</t>
  </si>
  <si>
    <t>Obsolescence des contrôles par rapport à l'évolution des risques</t>
  </si>
  <si>
    <t>Une surveillance continue des nouvelles menaces et vulnérabilités est-elle en place ?</t>
  </si>
  <si>
    <t>Processus de veille des menaces et vulnérabilités</t>
  </si>
  <si>
    <t>Absence d'anticipation des nouvelles menaces et vulnérabilités</t>
  </si>
  <si>
    <t>Des évaluations post-incident sont-elles réalisées pour ajuster les contrôles en place ?</t>
  </si>
  <si>
    <t>Procédures d'analyse post-incident</t>
  </si>
  <si>
    <t>Manque d'amélioration des contrôles suite aux incidents</t>
  </si>
  <si>
    <t>Les experts en gestion des risques sont-ils impliqués dans la révision des contrôles ?</t>
  </si>
  <si>
    <t>Politique de gestion des risques, liste des acteurs</t>
  </si>
  <si>
    <t>Contrôles non alignés avec l'expertise en gestion des risques</t>
  </si>
  <si>
    <t>Les contrôles sont-ils adaptés aux évolutions technologiques et réglementaires ?</t>
  </si>
  <si>
    <t>Politique de gestion des changements, Veille réglementaire et technologique</t>
  </si>
  <si>
    <t>Inadéquation des contrôles face aux évolutions technologiques/réglementaires</t>
  </si>
  <si>
    <t>Les rôles et responsabilités en matière de contrôle sont-ils formellement attribués ?</t>
  </si>
  <si>
    <t>Organigramme, descriptions de poste</t>
  </si>
  <si>
    <t>Confusion et manque de clarté dans les responsabilités des contrôles</t>
  </si>
  <si>
    <t>Une documentation précisant les obligations de chaque acteur en matière de contrôle existe-t-elle ?</t>
  </si>
  <si>
    <t>Manuels de procédures, chartes</t>
  </si>
  <si>
    <t>Manque de compréhension des obligations en matière de contrôle</t>
  </si>
  <si>
    <t>Des budgets et des ressources sont-ils alloués pour la mise en œuvre des contrôles ?</t>
  </si>
  <si>
    <t>Plan budgétaire, allocation des ressources</t>
  </si>
  <si>
    <t>Mise en œuvre des contrôles compromise par un manque de ressources</t>
  </si>
  <si>
    <t>Les actions des parties prenantes sont-elles suivies pour assurer leur implication effective dans le contrôle ?</t>
  </si>
  <si>
    <t>Indicateurs de suivi de l'implication des parties prenantes</t>
  </si>
  <si>
    <t>Implication insuffisante des parties prenantes dans les contrôles</t>
  </si>
  <si>
    <t>Des formations sont-elles mises en place pour renforcer les compétences en gestion des contrôles ?</t>
  </si>
  <si>
    <t>Compétences insuffisantes pour la gestion efficace des contrôles</t>
  </si>
  <si>
    <t>Des rapports réguliers sur l’état des contrôles et leur efficacité existent-ils ?</t>
  </si>
  <si>
    <t>Rapports de suivi des contrôles</t>
  </si>
  <si>
    <t>Manque de visibilité sur l'état et l'efficacité des contrôles</t>
  </si>
  <si>
    <t>Les résultats de l'évaluation des contrôles sont-ils communiqués aux instances décisionnelles ?</t>
  </si>
  <si>
    <t>Rapports d'évaluation des contrôles</t>
  </si>
  <si>
    <t>Prise de décision non informée sur l'efficacité des contrôles</t>
  </si>
  <si>
    <t>Les recommandations issues des évaluations de contrôle sont-elles prises en compte ?</t>
  </si>
  <si>
    <t>Registre des recommandations, plans d'action</t>
  </si>
  <si>
    <t>Non-amélioration des contrôles malgré les évaluations</t>
  </si>
  <si>
    <t>Les documents d’audit sont-ils conservés pour assurer la traçabilité des actions liées au contrôle ?</t>
  </si>
  <si>
    <t>Politique de conservation des documents, archives d'audit</t>
  </si>
  <si>
    <t>Manque de traçabilité des actions liées au contrôle</t>
  </si>
  <si>
    <t>Un processus de retour d’information est-il en place pour améliorer les contrôles ?</t>
  </si>
  <si>
    <t>Procédure de retour d'information</t>
  </si>
  <si>
    <t>Opportunités d'amélioration des contrôles non exploitées</t>
  </si>
  <si>
    <t>Les menaces internes et externes affectant les systèmes d'information sont-elles identifiées et classifiées ?</t>
  </si>
  <si>
    <t>Analyse des risques SI, cartographie des menaces</t>
  </si>
  <si>
    <t>Mauvaise identification et classification des menaces SI</t>
  </si>
  <si>
    <t>Un cadre de contrôle aligné sur les meilleures pratiques de cybersécurité est-il en place ?</t>
  </si>
  <si>
    <t>Politique de sécurité SI, référentiels de sécurité</t>
  </si>
  <si>
    <t>Cadre de contrôle SI non aligné sur les meilleures pratiques</t>
  </si>
  <si>
    <t>Des mesures de protection adaptées aux risques identifiés pour les systèmes d'information sont-elles mises en place ?</t>
  </si>
  <si>
    <t>Architecture de sécurité, documentation des mesures de sécurité</t>
  </si>
  <si>
    <t>Mesures de protection SI inadaptées aux risques</t>
  </si>
  <si>
    <t>Des plans de réponse aux incidents de sécurité sont-ils en place en cas de compromission des systèmes d'information ?</t>
  </si>
  <si>
    <t>Plans de réponse aux incidents de sécurité</t>
  </si>
  <si>
    <t>Gestion inefficace des incidents de sécurité SI</t>
  </si>
  <si>
    <t>Les contrôles de sécurité des systèmes d'information sont-ils validés par la direction et les experts en sécurité ?</t>
  </si>
  <si>
    <t>Procès-verbaux de validation, rapports d'expertise</t>
  </si>
  <si>
    <t>Manque de validation des contrôles de sécurité SI</t>
  </si>
  <si>
    <t>Des contrôles de sécurité sont-ils présents à chaque niveau de l’architecture informatique ?</t>
  </si>
  <si>
    <t>Architecture de sécurité, documentation des contrôles par niveau</t>
  </si>
  <si>
    <t>Couverture incomplète des contrôles de sécurité dans l'architecture SI</t>
  </si>
  <si>
    <t>Les contrôles de sécurité sont-ils intégrés dans les politiques de gestion des accès et des identités ?</t>
  </si>
  <si>
    <t>Politiques de gestion des accès et des identités</t>
  </si>
  <si>
    <t>Contrôles de sécurité non intégrés à la gestion des accès/identités</t>
  </si>
  <si>
    <t>Des mécanismes de surveillance sont-ils en place pour détecter les vulnérabilités dans les systèmes d'information ?</t>
  </si>
  <si>
    <t>Outils de surveillance des vulnérabilités, procédures de gestion des vulnérabilités</t>
  </si>
  <si>
    <t>Détection tardive des vulnérabilités SI</t>
  </si>
  <si>
    <t>Des tests réguliers sont-ils effectués pour vérifier l’efficacité des contrôles de sécurité sur l’ensemble des infrastructures informatiques ?</t>
  </si>
  <si>
    <t>Plans de tests de sécurité, rapports de tests d'intrusion, audits de sécurité</t>
  </si>
  <si>
    <t>Efficacité non prouvée des contrôles de sécurité SI</t>
  </si>
  <si>
    <t>Une documentation détaillée des contrôles mis en place sur chaque composant des systèmes d'information existe-t-elle ?</t>
  </si>
  <si>
    <t>Documentation technique des systèmes, inventaire des contrôles SI</t>
  </si>
  <si>
    <t>Manque de visibilité sur les contrôles de sécurité SI mis en place</t>
  </si>
  <si>
    <t>Des règles de contrôle applicables à chaque domaine critique des systèmes d'information sont-elles explicitement définies ?</t>
  </si>
  <si>
    <t>Politiques de sécurité SI, normes et standards internes</t>
  </si>
  <si>
    <t>Manque de clarté et d'exhaustivité des règles de contrôle SI</t>
  </si>
  <si>
    <t>Les règles de contrôle des systèmes d'information sont-elles alignées avec les réglementations en vigueur ?</t>
  </si>
  <si>
    <t>Analyse de conformité réglementaire, cartographie des obligations légales</t>
  </si>
  <si>
    <t>Non-conformité réglementaire des contrôles SI</t>
  </si>
  <si>
    <t>Des mécanismes de contrôle sont-ils mis en place pour assurer l’application des règles de sécurité des systèmes d'information ?</t>
  </si>
  <si>
    <t>Outils de gestion de la conformité, mécanismes d'application des politiques</t>
  </si>
  <si>
    <t>Non-respect des règles de sécurité SI</t>
  </si>
  <si>
    <t>Les règles de contrôle des systèmes d'information et les responsabilités associées sont-elles documentées ?</t>
  </si>
  <si>
    <t>Politiques de sécurité SI, descriptions de rôles et responsabilités</t>
  </si>
  <si>
    <t>Confusion sur les responsabilités d'application des règles de contrôle SI</t>
  </si>
  <si>
    <t>L’adéquation des règles de contrôle des systèmes d'information avec les objectifs de sécurité et de conformité est-elle vérifiée ?</t>
  </si>
  <si>
    <t>Rapports d'évaluation de la conformité, audits de sécurité</t>
  </si>
  <si>
    <t>Règles de contrôle SI potentiellement inefficaces ou non pertinentes</t>
  </si>
  <si>
    <t>Les procédures de mise en œuvre des règles de contrôle des systèmes d'information sont-elles formalisées ?</t>
  </si>
  <si>
    <t>Manuels de procédures de sécurité SI</t>
  </si>
  <si>
    <t>Application non standardisée et potentiellement erronée des règles SI</t>
  </si>
  <si>
    <t>Les instructions relatives aux règles de contrôle des systèmes d'information sont-elles intégrées dans les politiques et guides de sécurité ?</t>
  </si>
  <si>
    <t>Politiques de sécurité SI, guides de bonnes pratiques</t>
  </si>
  <si>
    <t>Manque de sensibilisation et de guidance sur les règles de contrôle SI</t>
  </si>
  <si>
    <t>Des formations sont-elles mises en place pour sensibiliser les utilisateurs aux règles de contrôle des systèmes d'information ?</t>
  </si>
  <si>
    <t>Plan de formation à la sécurité SI, supports de formation</t>
  </si>
  <si>
    <t>Non-respect des règles de contrôle SI par manque de sensibilisation</t>
  </si>
  <si>
    <t>L’application des procédures de contrôle des systèmes d'information est-elle surveillée et les écarts identifiés ?</t>
  </si>
  <si>
    <t>Outils de surveillance, rapports de conformité</t>
  </si>
  <si>
    <t>Non-détection des non-conformités aux procédures de contrôle SI</t>
  </si>
  <si>
    <t>Les procédures de contrôle des systèmes d'information sont-elles mises à jour en fonction des évolutions des règles de contrôle ?</t>
  </si>
  <si>
    <t>Politique de mise à jour des procédures</t>
  </si>
  <si>
    <t>Procédures de contrôle SI obsolètes par rapport aux règles</t>
  </si>
  <si>
    <t>Des révisions périodiques des règles et procédures de contrôle des systèmes d'information sont-elles planifiées ?</t>
  </si>
  <si>
    <t>Calendrier des revues, politique de révision</t>
  </si>
  <si>
    <t>Règles et procédures de contrôle SI potentiellement dépassées</t>
  </si>
  <si>
    <t>Les évolutions réglementaires et technologiques impactant les contrôles des systèmes d'information sont-elles suivies ?</t>
  </si>
  <si>
    <t>Veille réglementaire et technologique</t>
  </si>
  <si>
    <t>Non-adaptation des contrôles SI aux évolutions externes</t>
  </si>
  <si>
    <t>Les parties prenantes sont-elles consultées lors des mises à jour des procédures de contrôle des systèmes d'information ?</t>
  </si>
  <si>
    <t>Plan de communication, processus de consultation</t>
  </si>
  <si>
    <t>Adhésion limitée des parties prenantes aux nouvelles procédures SI</t>
  </si>
  <si>
    <t>Les modifications apportées aux procédures de contrôle des systèmes d'information sont-elles documentées et communiquées aux équipes concernées ?</t>
  </si>
  <si>
    <t>Journal des modifications, plan de communication</t>
  </si>
  <si>
    <t>Manque de traçabilité et de communication des changements de procédures SI</t>
  </si>
  <si>
    <t>Les retours d’expérience sont-ils intégrés dans l’amélioration continue des procédures de contrôle des systèmes d'information ?</t>
  </si>
  <si>
    <t>Processus d'amélioration continue, analyse des retours d'expérience</t>
  </si>
  <si>
    <t>Opportunités d'amélioration des procédures de contrôle SI non exploitées</t>
  </si>
  <si>
    <t>Taux de précision des informations validées via les processus formels.</t>
  </si>
  <si>
    <t>Un taux de précision est-il défini et mesuré pour les informations validées via les processus formels ?</t>
  </si>
  <si>
    <t>Politique de validation des données, rapports de suivi de la qualité des données</t>
  </si>
  <si>
    <t>Fiabilité incertaine des informations validées</t>
  </si>
  <si>
    <t>Exhaustivité des validations réalisées pour couvrir toutes les données critiques</t>
  </si>
  <si>
    <t>Les validations réalisées couvrent-elles toutes les données critiques des systèmes d'information ?</t>
  </si>
  <si>
    <t>Inventaire des données critiques, matrice de couverture des validations</t>
  </si>
  <si>
    <t>Données critiques non validées, risque d'erreurs importantes</t>
  </si>
  <si>
    <t>Fréquence des mises à jour des processus de validation en fonction des nouvelles exigences</t>
  </si>
  <si>
    <t>La fréquence des mises à jour des processus de validation est-elle adaptée en fonction des nouvelles exigences réglementaires ou opérationnelles ?</t>
  </si>
  <si>
    <t>Politique de mise à jour des processus, documentation des exigences</t>
  </si>
  <si>
    <t>Processus de validation obsolètes face aux nouvelles exigences</t>
  </si>
  <si>
    <t>Temps moyen requis pour valider les informations critiques.</t>
  </si>
  <si>
    <t>Un temps moyen requis pour valider les informations critiques des systèmes d'information est-il défini et suivi ?</t>
  </si>
  <si>
    <t>Indicateurs de performance des processus de validation, rapports de suivi des délais</t>
  </si>
  <si>
    <t>Inefficacité et retards dans la validation des informations critiques</t>
  </si>
  <si>
    <t>Documentation des résultats de validation pour une traçabilité complète.</t>
  </si>
  <si>
    <t>Les résultats des validations des informations des systèmes d'information sont-ils documentés pour assurer une traçabilité complète ?</t>
  </si>
  <si>
    <t>Registres de validation, journaux d'audit</t>
  </si>
  <si>
    <t>Manque de traçabilité des validations, difficulté à identifier les erreurs et les responsabilités</t>
  </si>
  <si>
    <t>Fréquence des mises à jour des informations relatives aux risques et contrôles internes.</t>
  </si>
  <si>
    <t>Les informations relatives aux risques et contrôles internes des systèmes d'information sont-elles mises à jour à une fréquence appropriée ?</t>
  </si>
  <si>
    <t>Politique de mise à jour des informations sur les risques et contrôles, calendriers de mise à jour</t>
  </si>
  <si>
    <t>Informations sur les risques et contrôles obsolètes, mauvaise évaluation de la situation actuelle</t>
  </si>
  <si>
    <t>Pertinence des informations partagées auprès des parties prenantes.</t>
  </si>
  <si>
    <t>Les informations relatives aux risques et contrôles des systèmes d'information partagées auprès des parties prenantes sont-elles pertinentes pour leurs rôles et responsabilités ?</t>
  </si>
  <si>
    <t>Plan de communication, matrice des parties prenantes et des besoins d'information</t>
  </si>
  <si>
    <t>Informations non adaptées aux besoins des parties prenantes, mauvaise compréhension des risques et contrôles</t>
  </si>
  <si>
    <t>Nombre de retours positifs des parties prenantes sur la qualité des informations mises à jour</t>
  </si>
  <si>
    <t>Le nombre de retours positifs des parties prenantes sur la qualité des informations mises à jour concernant les systèmes d'information est-il suivi ?</t>
  </si>
  <si>
    <t>Enquêtes de satisfaction, registre des feedbacks</t>
  </si>
  <si>
    <t>Manque de mesure de la satisfaction des parties prenantes, potentielle mauvaise qualité des informations</t>
  </si>
  <si>
    <t>Taux de conformité des informations mises à jour avec les exigences réglementaires.</t>
  </si>
  <si>
    <t>Les informations mises à jour concernant les systèmes d'information sont-elles conformes aux exigences réglementaires applicables ?</t>
  </si>
  <si>
    <t>Non-conformité réglementaire des informations</t>
  </si>
  <si>
    <t>Impact des mises à jour sur l’amélioration de la gestion des risques et des contrôles internes.</t>
  </si>
  <si>
    <t>L'impact des mises à jour d'informations sur l'amélioration de la gestion des risques et des contrôles internes des systèmes d'information est-il évalué ?</t>
  </si>
  <si>
    <t>Rapports d'évaluation de l'impact, indicateurs clés de performance de la gestion des risques et contrôles</t>
  </si>
  <si>
    <t>Incapacité à mesurer l'efficacité des mises à jour d'informations</t>
  </si>
  <si>
    <t>Fréquence de communication des informations essentielles à toutes les parties concernées.</t>
  </si>
  <si>
    <t>La fréquence de communication des informations essentielles relatives aux systèmes d'information est-elle adaptée à toutes les parties concernées ?</t>
  </si>
  <si>
    <t>Plan de communication, matrice des parties prenantes et des fréquences de communication</t>
  </si>
  <si>
    <t>Communication inefficace par une fréquence inadaptée</t>
  </si>
  <si>
    <t>Clarté et pertinence des informations communiquées selon le public cible.</t>
  </si>
  <si>
    <t>La clarté et la pertinence des informations communiquées sur les systèmes d'information sont-elles adaptées au public cible ?</t>
  </si>
  <si>
    <t>Guides de communication, exemples de communications</t>
  </si>
  <si>
    <t>Informations incomprises ou non pertinentes pour le public cible</t>
  </si>
  <si>
    <t>Satisfaction des parties prenantes sur la transparence des communications</t>
  </si>
  <si>
    <t>La satisfaction des parties prenantes sur la transparence des communications relatives aux systèmes d'information est-elle mesurée ?</t>
  </si>
  <si>
    <t>Manque de mesure de la satisfaction sur la transparence des communications</t>
  </si>
  <si>
    <t>Existence de mécanismes pour recueillir les retours d’information sur les communications.</t>
  </si>
  <si>
    <t>Des mécanismes sont-ils en place pour recueillir les retours d’information sur les communications relatives aux systèmes d'information ?</t>
  </si>
  <si>
    <t>Processus de feedback, outils de collecte de retours</t>
  </si>
  <si>
    <t>Manque d'opportunités d'amélioration des communications</t>
  </si>
  <si>
    <t>Niveau de cohérence des informations communiquées entre les différents niveaux de l’organisation.</t>
  </si>
  <si>
    <t>Le niveau de cohérence des informations communiquées sur les systèmes d'information est-il assuré entre les différents niveaux de l’organisation ?</t>
  </si>
  <si>
    <t>Politiques de communication, processus de validation des informations</t>
  </si>
  <si>
    <t>Informations contradictoires entre les niveaux de l'organisation, confusion et mauvaise prise de décision</t>
  </si>
  <si>
    <t>Taux de personnalisation des informations partagées selon les rôles et responsabilités.</t>
  </si>
  <si>
    <t>Le taux de personnalisation des informations partagées est-il adapté aux rôles et responsabilités des destinataires ?</t>
  </si>
  <si>
    <t>Plan de communication, segmentation des audiences</t>
  </si>
  <si>
    <t>Informations non pertinentes pour certains destinataires</t>
  </si>
  <si>
    <t>Fréquence des vérifications pour s’assurer de la pertinence des informations fournies.</t>
  </si>
  <si>
    <t>Des vérifications sont-elles effectuées à une fréquence appropriée pour s'assurer de la pertinence des informations fournies ?</t>
  </si>
  <si>
    <t>Processus de revue de la pertinence des informations, calendriers de vérification</t>
  </si>
  <si>
    <t>Informations non pertinentes ou obsolètes fournies</t>
  </si>
  <si>
    <t>Respect des délais pour partager les informations aux parties concernées</t>
  </si>
  <si>
    <t>Les délais pour partager les informations avec les parties concernées sont-ils respectés ?</t>
  </si>
  <si>
    <t>Indicateurs de performance des communications, rapports de suivi des délais</t>
  </si>
  <si>
    <t>Communication tardive, impact sur la prise de décision et les actions</t>
  </si>
  <si>
    <t>Mesure de la compréhension et de l’utilité des informations reçues par chaque groupe cible</t>
  </si>
  <si>
    <t>La compréhension et l'utilité des informations reçues sont-elles mesurées pour chaque groupe cible ?</t>
  </si>
  <si>
    <t>Enquêtes de satisfaction, sondages, analyses de l'utilisation des informations</t>
  </si>
  <si>
    <t>Informations non comprises ou inutiles, gaspillage de ressources</t>
  </si>
  <si>
    <t>Adaptation des processus de partage pour intégrer les évolutions des rôles et responsabilités</t>
  </si>
  <si>
    <t>Les processus de partage des informations sont-ils adaptés pour intégrer les évolutions des rôles et responsabilités ?</t>
  </si>
  <si>
    <t>Politique de gestion des changements, revue des processus de communication</t>
  </si>
  <si>
    <t>Processus de partage inadaptés aux nouvelles structures et responsabilités</t>
  </si>
  <si>
    <t>Complétude des indicateurs clés de performance dans les rapports de contrôle interne.</t>
  </si>
  <si>
    <t>Les rapports de contrôle interne contiennent-ils tous les indicateurs clés de performance pertinents et complets ?</t>
  </si>
  <si>
    <t>Modèles de rapports de contrôle interne, cartographie des indicateurs clés de performance</t>
  </si>
  <si>
    <t>Manque d'informations essentielles pour le suivi et la prise de décision</t>
  </si>
  <si>
    <t>Existence et application de procédures de validation de l'exactitude et de l'exhaustivité des données sources.</t>
  </si>
  <si>
    <t>Des procédures de validation de l'exactitude et de l'exhaustivité des données sources existent-elles et sont-elles appliquées ?</t>
  </si>
  <si>
    <t>Politiques de validation des données, documentation des procédures de validation</t>
  </si>
  <si>
    <t>Données sources inexactes ou incomplètes, fiabilité des rapports compromise</t>
  </si>
  <si>
    <t>Adéquation de la fréquence de génération des rapports aux besoins de suivi et de décision.</t>
  </si>
  <si>
    <t>La fréquence de génération des rapports de contrôle interne est-elle adéquate pour répondre aux besoins de suivi et de décision ?</t>
  </si>
  <si>
    <t>Plan de génération des rapports, analyse des besoins des utilisateurs</t>
  </si>
  <si>
    <t>Rapports non disponibles en temps utile pour le suivi et la prise de décision</t>
  </si>
  <si>
    <t>Actualisation des rapports en temps réel ou à intervalles réguliers pour refléter la situation actuelle.</t>
  </si>
  <si>
    <t>Les rapports de contrôle interne sont-ils actualisés en temps réel ou à intervalles réguliers pour refléter la situation actuelle ?</t>
  </si>
  <si>
    <t>Processus de génération des rapports, systèmes d'information</t>
  </si>
  <si>
    <t>Rapports obsolètes, ne reflétant pas la situation actuelle</t>
  </si>
  <si>
    <t>Clarté et concision de la présentation des informations, facilitant l'interprétation de la performance du contrôle interne.</t>
  </si>
  <si>
    <t>La présentation des informations dans les rapports de contrôle interne est-elle claire et concise, facilitant l'interprétation de la performance ?</t>
  </si>
  <si>
    <t>Modèles de rapports, guides de présentation des données</t>
  </si>
  <si>
    <t>Rapports difficiles à comprendre et à interpréter, mauvaise prise de décision</t>
  </si>
  <si>
    <t>Fréquence des mécanismes de feedback activés par les parties prenantes internes</t>
  </si>
  <si>
    <t>Les mécanismes de feedback sont-ils activés à une fréquence appropriée par les parties prenantes internes concernant le contrôle interne ?</t>
  </si>
  <si>
    <t>Processus de feedback, calendriers de sollicitation de feedback</t>
  </si>
  <si>
    <t>Manque d'opportunités d'amélioration du contrôle interne</t>
  </si>
  <si>
    <t>Taux de satisfaction des utilisateurs vis-à-vis des réponses apportées lors des feedbacks</t>
  </si>
  <si>
    <t>Le taux de satisfaction des utilisateurs vis-à-vis des réponses apportées lors des feedbacks relatifs au contrôle interne est-il mesuré ?</t>
  </si>
  <si>
    <t>Insatisfaction des utilisateurs face aux réponses, potentielle inefficacité du processus de feedback</t>
  </si>
  <si>
    <t>Rapidité de clarification des informations suite aux demandes des parties prenantes</t>
  </si>
  <si>
    <t>La clarification des informations suite aux demandes des parties prenantes internes concernant le contrôle interne est-elle rapide ?</t>
  </si>
  <si>
    <t>Procédures de gestion des demandes d'information, indicateurs de temps de réponse</t>
  </si>
  <si>
    <t>Réponses tardives, frustration des utilisateurs</t>
  </si>
  <si>
    <t>Exhaustivité des réponses fournies pour résoudre les points de confusion</t>
  </si>
  <si>
    <t>Les réponses fournies pour résoudre les points de confusion relatifs au contrôle interne sont-elles exhaustives ?</t>
  </si>
  <si>
    <t>Procédures de gestion des demandes d'information, guides de réponse</t>
  </si>
  <si>
    <t>Réponses incomplètes, persistance des incompréhensions</t>
  </si>
  <si>
    <t>Amélioration mesurable de la communication interne après les sessions de feedback</t>
  </si>
  <si>
    <t>Une amélioration mesurable de la communication interne relative au contrôle interne est-elle constatée après les sessions de feedback ?</t>
  </si>
  <si>
    <t>Indicateurs de performance de la communication interne, analyses post-feedback</t>
  </si>
  <si>
    <t>Efficacité non prouvée des sessions de feedback</t>
  </si>
  <si>
    <t>Taux d’utilisation des outils de communication par les parties prenantes.</t>
  </si>
  <si>
    <t>Le taux d’utilisation des outils de communication internes par les parties prenantes concernées par le contrôle interne est-il satisfaisant ?</t>
  </si>
  <si>
    <t>Statistiques d'utilisation des outils, enquêtes</t>
  </si>
  <si>
    <t>Sous-utilisation des outils, communication potentiellement inefficace</t>
  </si>
  <si>
    <t>Efficacité des outils pour transmettre les informations pertinentes en temps utile</t>
  </si>
  <si>
    <t>Les outils de communication internes sont-ils efficaces pour transmettre les informations pertinentes relatives au contrôle interne en temps utile ?</t>
  </si>
  <si>
    <t>Évaluations de l'efficacité des outils, enquêtes auprès des utilisateurs</t>
  </si>
  <si>
    <t>Outils inefficaces, communication retardée ou perdue</t>
  </si>
  <si>
    <t>Nombre de problèmes résolus grâce aux échanges via ces outils</t>
  </si>
  <si>
    <t>Un nombre significatif de problèmes liés au contrôle interne est-il résolu grâce aux échanges via les outils de communication internes ?</t>
  </si>
  <si>
    <t>Registre des problèmes, analyse des solutions apportées via les outils</t>
  </si>
  <si>
    <t>Efficacité limitée des outils pour résoudre les problèmes de contrôle interne</t>
  </si>
  <si>
    <t>Accessibilité des outils de communication pour tous les collaborateurs concernés</t>
  </si>
  <si>
    <t>Les outils de communication internes sont-ils accessibles à tous les collaborateurs concernés par le contrôle interne ?</t>
  </si>
  <si>
    <t>Analyse des accès, enquêtes</t>
  </si>
  <si>
    <t>Accès limité aux outils pour certains collaborateurs</t>
  </si>
  <si>
    <t>Mise à jour régulière des outils pour intégrer les nouvelles technologies ou besoins</t>
  </si>
  <si>
    <t>Les outils de communication internes sont-ils mis à jour régulièrement pour intégrer les nouvelles technologies ou les besoins des utilisateurs en matière de contrôle interne ?</t>
  </si>
  <si>
    <t>Politique de mise à jour des outils, processus de recueil des besoins utilisateurs</t>
  </si>
  <si>
    <t>Outils obsolètes ou ne répondant pas aux besoins des utilisateurs</t>
  </si>
  <si>
    <t>Fréquence et qualité des audits réalisés sur les processus de communication interne</t>
  </si>
  <si>
    <t>Des audits sont-ils réalisés à une fréquence appropriée et avec une qualité suffisante sur les processus de communication interne relatifs au contrôle interne ?</t>
  </si>
  <si>
    <t>Plan d'audit, rapports d'audit de la communication interne</t>
  </si>
  <si>
    <t>Manque d'assurance sur l'efficacité des processus de communication interne</t>
  </si>
  <si>
    <t>Taux de recommandations issues des audits mises en œuvre</t>
  </si>
  <si>
    <t>Le taux de recommandations issues des audits de communication interne relatives au contrôle interne qui sont mises en œuvre est-il satisfaisant ?</t>
  </si>
  <si>
    <t>Non-amélioration des processus de communication interne malgré les audits</t>
  </si>
  <si>
    <t>Niveau de satisfaction des collaborateurs concernant la communication interne</t>
  </si>
  <si>
    <t>Le niveau de satisfaction des collaborateurs concernant la communication interne relative au contrôle interne est-il mesuré ?</t>
  </si>
  <si>
    <t>Enquêtes de satisfaction, sondages</t>
  </si>
  <si>
    <t>Manque de mesure de la satisfaction des collaborateurs</t>
  </si>
  <si>
    <t>Cohérence des informations analysées dans les rapports d’audit</t>
  </si>
  <si>
    <t>Les informations analysées dans les rapports d’audit de communication interne sont-elles cohérentes avec les autres données relatives au contrôle interne ?</t>
  </si>
  <si>
    <t>Comparaison des rapports d'audit avec d'autres données de contrôle interne</t>
  </si>
  <si>
    <t>Incohérences dans les informations, vision biaisée du contrôle interne</t>
  </si>
  <si>
    <t>Réduction des problèmes de communication identifiés après suivi</t>
  </si>
  <si>
    <t>Une réduction des problèmes de communication identifiés lors des audits est-elle constatée après la mise en œuvre des actions de suivi relatives au contrôle interne ?</t>
  </si>
  <si>
    <t>Suivi des problèmes identifiés lors des audits, analyses post-implémentation des actions</t>
  </si>
  <si>
    <t>Efficacité non prouvée des actions de suivi</t>
  </si>
  <si>
    <t>Existence de processus formels documentés pour communiquer avec les tiers</t>
  </si>
  <si>
    <t>Des processus formels documentés pour communiquer avec les tiers concernant le contrôle interne existent-ils ?</t>
  </si>
  <si>
    <t>Politiques de communication externe, procédures de communication avec les tiers</t>
  </si>
  <si>
    <t>Communication informelle et potentiellement non contrôlée avec les tiers</t>
  </si>
  <si>
    <t>Pertinence des informations communiquées aux tiers pour répondre à leurs besoins</t>
  </si>
  <si>
    <t>Les informations communiquées aux tiers concernant le contrôle interne sont-elles pertinentes pour répondre à leurs besoins ?</t>
  </si>
  <si>
    <t>Plan de communication externe, matrice des tiers et des besoins d'information</t>
  </si>
  <si>
    <t>Informations non adaptées aux besoins des tiers, communication inefficace</t>
  </si>
  <si>
    <t>Fréquence et régularité des communications avec les tiers</t>
  </si>
  <si>
    <t>La fréquence et la régularité des communications avec les tiers concernant le contrôle interne sont-elles définies et respectées ?</t>
  </si>
  <si>
    <t>Plan de communication externe, calendriers de communication</t>
  </si>
  <si>
    <t>Communication irrégulière ou trop fréquente, impact sur la relation avec les tiers</t>
  </si>
  <si>
    <t>Respect des réglementations et des normes dans les processus de communication externe</t>
  </si>
  <si>
    <t>Les processus de communication externe concernant le contrôle interne respectent-ils les réglementations et les normes applicables ?</t>
  </si>
  <si>
    <t>Analyse de conformité réglementaire, politiques de communication externe</t>
  </si>
  <si>
    <t>Non-conformité réglementaire des communications externes</t>
  </si>
  <si>
    <t>Feedback des tiers sur la qualité et la clarté des communications reçues</t>
  </si>
  <si>
    <t>Un feedback est-il sollicité auprès des tiers sur la qualité et la clarté des communications reçues concernant le contrôle interne ?</t>
  </si>
  <si>
    <t>Processus de feedback externe, enquêtes auprès des tiers</t>
  </si>
  <si>
    <t>Manque d'opportunités d'amélioration de la communication externe</t>
  </si>
  <si>
    <t>Rapidité avec laquelle les parties externes sont informées des évolutions critiques</t>
  </si>
  <si>
    <t>La rapidité avec laquelle les parties externes sont informées des évolutions critiques concernant le contrôle interne est-elle adéquate ?</t>
  </si>
  <si>
    <t>Plan de communication externe, indicateurs de performance des communications</t>
  </si>
  <si>
    <t>Information tardive des parties externes sur des aspects critiques</t>
  </si>
  <si>
    <t>Exactitude et pertinence des informations communiquées aux parties externes</t>
  </si>
  <si>
    <t>Les informations communiquées aux parties externes concernant le contrôle interne sont-elles exactes et pertinentes ?</t>
  </si>
  <si>
    <t>Processus de validation des informations, guides de communication externe</t>
  </si>
  <si>
    <t>Communication d'informations inexactes ou non pertinentes aux parties externes</t>
  </si>
  <si>
    <t>Fréquence des mises à jour concernant les évolutions importantes</t>
  </si>
  <si>
    <t>La fréquence des mises à jour des informations communiquées aux parties externes concernant les évolutions importantes du contrôle interne est-elle appropriée ?</t>
  </si>
  <si>
    <t>Plan de communication externe, calendrier des communications</t>
  </si>
  <si>
    <t>Fréquence de communication inadaptée aux besoins d'information des parties externes</t>
  </si>
  <si>
    <t>Niveau de compréhension des informations communiquées par les parties externes</t>
  </si>
  <si>
    <t>Le niveau de compréhension des informations communiquées par les parties externes concernant le contrôle interne est-il évalué ?</t>
  </si>
  <si>
    <t>Enquêtes de satisfaction des parties externes, mécanismes de feedback</t>
  </si>
  <si>
    <t>Mauvaise compréhension des informations communiquées par les parties externes</t>
  </si>
  <si>
    <t>Respect des délais pour informer des changements, conformément aux engagements pris.</t>
  </si>
  <si>
    <t>Les délais pour informer les parties externes des changements relatifs au contrôle interne sont-ils respectés, conformément aux engagements pris ?</t>
  </si>
  <si>
    <t>Accords contractuels, indicateurs de performance des communications</t>
  </si>
  <si>
    <t>Non-respect des engagements contractuels en matière de communication</t>
  </si>
  <si>
    <t>Taux de conformité des tiers aux engagements définis dans les contrats</t>
  </si>
  <si>
    <t>Le taux de conformité des tiers aux engagements définis dans les contrats relatifs au contrôle interne est-il suivi et évalué ?</t>
  </si>
  <si>
    <t>Accords contractuels, rapports de suivi de la conformité des tiers</t>
  </si>
  <si>
    <t>Non-respect des engagements des tiers, impact sur l'efficacité du contrôle interne</t>
  </si>
  <si>
    <t>Fréquence et qualité des audits effectués pour vérifier le respect des engagements</t>
  </si>
  <si>
    <t>Des audits sont-ils effectués à une fréquence appropriée et avec une qualité suffisante pour vérifier le respect des engagements des tiers relatifs au contrôle interne ?</t>
  </si>
  <si>
    <t>Plan d'audit, rapports d'audit des engagements des tiers</t>
  </si>
  <si>
    <t>Manque d'assurance sur le respect des engagements des tiers</t>
  </si>
  <si>
    <t>Rapidité de détection et de correction des écarts constatés</t>
  </si>
  <si>
    <t>La rapidité de détection et de correction des écarts constatés concernant les engagements des tiers relatifs au contrôle interne est-elle adéquate ?</t>
  </si>
  <si>
    <t>Processus de gestion des incidents, indicateurs de performance de la résolution des incidents</t>
  </si>
  <si>
    <t>Détection et correction tardives des écarts, impact prolongé sur le contrôle interne</t>
  </si>
  <si>
    <t>Niveau de collaboration entre les tiers et l’organisation pour améliorer les contrôles</t>
  </si>
  <si>
    <t>Le niveau de collaboration entre les tiers et l’organisation pour améliorer les contrôles relatifs au contrôle interne est-il satisfaisant ?</t>
  </si>
  <si>
    <t>Enquêtes de satisfaction, évaluations des relations avec les tiers</t>
  </si>
  <si>
    <t>Collaboration insuffisante, opportunités d'amélioration non exploitées</t>
  </si>
  <si>
    <t>Documentation des résultats des suivis et communication aux parties prenantes internes</t>
  </si>
  <si>
    <t>Les résultats des suivis des communications avec les tiers sont-ils documentés et communiqués aux parties prenantes internes concernées par le contrôle interne ?</t>
  </si>
  <si>
    <t>Registres de communication externe, rapports de synthèse</t>
  </si>
  <si>
    <t>Manque de visibilité interne sur les communications avec les tiers</t>
  </si>
  <si>
    <t>Existence d’une politique de communication définissant les outils et canaux utilisés.</t>
  </si>
  <si>
    <t>Une politique de communication définissant les outils et canaux utilisés pour les échanges relatifs au contrôle interne existe-t-elle ?</t>
  </si>
  <si>
    <t>Politique de communication interne</t>
  </si>
  <si>
    <t>Utilisation d'outils et de canaux de communication non définis et potentiellement inefficaces</t>
  </si>
  <si>
    <t>Disponibilité et accessibilité des outils de communication aux parties prenantes concernées.</t>
  </si>
  <si>
    <t>Les outils de communication relatifs au contrôle interne sont-ils disponibles et accessibles à toutes les parties prenantes concernées ?</t>
  </si>
  <si>
    <t>Inventaire des outils de communication, analyse des accès</t>
  </si>
  <si>
    <t>Accès limité aux outils de communication pour certaines parties prenantes</t>
  </si>
  <si>
    <t>Fréquence et pertinence des échanges d’informations via ces outils.</t>
  </si>
  <si>
    <t>La fréquence et la pertinence des échanges d’informations via les outils de communication relatifs au contrôle interne sont-elles appropriées ?</t>
  </si>
  <si>
    <t>Analyse de l'utilisation des outils, enquêtes auprès des utilisateurs</t>
  </si>
  <si>
    <t>Échanges d'informations trop fréquents ou non pertinents, surcharge d'information ou manque d'information</t>
  </si>
  <si>
    <t>Suivi et évaluation réguliers de l’efficacité des outils de communication.</t>
  </si>
  <si>
    <t>L'efficacité des outils de communication utilisés pour les échanges relatifs au contrôle interne est-elle suivie et évaluée régulièrement ?</t>
  </si>
  <si>
    <t>Évaluations de l'efficacité des outils, indicateurs de performance de la communication</t>
  </si>
  <si>
    <t>Utilisation d'outils de communication inefficaces, impact sur la qualité et la rapidité des échanges</t>
  </si>
  <si>
    <t>Intégration des retours des parties prenantes pour améliorer la communication.</t>
  </si>
  <si>
    <t>Les retours des parties prenantes sont-ils intégrés pour améliorer la communication relative au contrôle interne ?</t>
  </si>
  <si>
    <t>Processus de gestion des feedbacks, documentation des améliorations</t>
  </si>
  <si>
    <t>Opportunités d'amélioration de la communication non exploitées</t>
  </si>
  <si>
    <t>Mise en place de rapports et d’audits périodiques sur la communication interne.</t>
  </si>
  <si>
    <t>Des rapports et des audits périodiques sur la communication interne relative au contrôle interne sont-ils mis en place ?</t>
  </si>
  <si>
    <t>Manque d'assurance sur l'efficacité de la communication interne</t>
  </si>
  <si>
    <t>Existence de processus documentés garantissant le suivi des échanges internes.</t>
  </si>
  <si>
    <t>Des processus documentés garantissant le suivi des échanges internes relatifs au contrôle interne existent-ils ?</t>
  </si>
  <si>
    <t>Procédures de gestion des communications internes, registres de suivi</t>
  </si>
  <si>
    <t>Manque de traçabilité des échanges internes, difficulté à suivre les décisions et les actions</t>
  </si>
  <si>
    <t>Niveau d’engagement et de participation des parties prenantes internes.</t>
  </si>
  <si>
    <t>Le niveau d’engagement et de participation des parties prenantes internes dans les communications relatives au contrôle interne est-il satisfaisant ?</t>
  </si>
  <si>
    <t>Enquêtes de satisfaction, observations</t>
  </si>
  <si>
    <t>Faible engagement des parties prenantes, communication potentiellement à sens unique et moins efficace</t>
  </si>
  <si>
    <t>Présence d’un système d’alerte ou d’escalade en cas de défaut de communication.</t>
  </si>
  <si>
    <t>Un système d’alerte ou d’escalade est-il en place en cas de défaut de communication relative au contrôle interne ?</t>
  </si>
  <si>
    <t>Procédures d'alerte et d'escalade</t>
  </si>
  <si>
    <t>Gestion inefficace des problèmes de communication, retards dans la résolution des problèmes de contrôle interne</t>
  </si>
  <si>
    <t>Mesure de l’impact des actions de communication sur l’efficacité du contrôle interne.</t>
  </si>
  <si>
    <t>L'impact des actions de communication sur l'efficacité du contrôle interne est-il mesuré ?</t>
  </si>
  <si>
    <t>Indicateurs clés de performance du contrôle interne, analyses de corrélation</t>
  </si>
  <si>
    <t>Incapacité à évaluer l'impact de la communication sur l'efficacité du contrôle interne</t>
  </si>
  <si>
    <t>Existence de procédures documentées pour la communication avec les tiers.</t>
  </si>
  <si>
    <t>Des procédures documentées pour la communication avec les tiers concernant le contrôle interne existent-elles ?</t>
  </si>
  <si>
    <t>Clarté et exhaustivité des informations partagées avec les partenaires externes.</t>
  </si>
  <si>
    <t>Les informations partagées avec les partenaires externes concernant le contrôle interne sont-elles claires et exhaustives ?</t>
  </si>
  <si>
    <t>Guides de communication externe, processus de validation des informations</t>
  </si>
  <si>
    <t>Informations ambiguës ou incomplètes partagées avec les partenaires externes</t>
  </si>
  <si>
    <t>Mécanismes de validation et d’approbation des messages à destination des tiers.</t>
  </si>
  <si>
    <t>Des mécanismes de validation et d’approbation des messages à destination des tiers concernant le contrôle interne existent-ils ?</t>
  </si>
  <si>
    <t>Processus d'approbation des communications externes, workflow</t>
  </si>
  <si>
    <t>Risque de communication d'informations erronées ou non approuvées aux tiers</t>
  </si>
  <si>
    <t>Suivi et archivage des échanges avec les parties externes.</t>
  </si>
  <si>
    <t>Les échanges avec les parties externes concernant le contrôle interne sont-ils suivis et archivés ?</t>
  </si>
  <si>
    <t>Registres de communication externe, systèmes d'archivage</t>
  </si>
  <si>
    <t>Manque de traçabilité des échanges avec les parties externes, difficulté en cas de litige ou de besoin de référence</t>
  </si>
  <si>
    <t>Évaluation de l’impact des échanges externes sur la gestion des risques.</t>
  </si>
  <si>
    <t>L'impact des échanges externes sur la gestion des risques liés au contrôle interne est-il évalué ?</t>
  </si>
  <si>
    <t>Indicateurs clés de performance de la gestion des risques, analyses de corrélation</t>
  </si>
  <si>
    <t>Incapacité à évaluer l'impact des échanges externes sur la gestion des risques</t>
  </si>
  <si>
    <t>Définition des parties prenantes externes concernées par la communication.</t>
  </si>
  <si>
    <t>Les parties prenantes externes concernées par la communication relative au contrôle interne sont-elles clairement définies ?</t>
  </si>
  <si>
    <t>Matrice des parties prenantes externes, plan de communication externe</t>
  </si>
  <si>
    <t>Communication potentiellement adressée aux mauvaises personnes ou oubli de parties prenantes importantes</t>
  </si>
  <si>
    <t>Existence d’un calendrier ou d’une procédure définissant les moments clés de communication.</t>
  </si>
  <si>
    <t>Un calendrier ou une procédure définissant les moments clés de communication concernant le contrôle interne existe-t-il pour les parties externes ?</t>
  </si>
  <si>
    <t>Communication avec les parties externes non coordonnée et potentiellement inefficace</t>
  </si>
  <si>
    <t>Suivi des modifications réglementaires et organisationnelles impactant le contrôle interne.</t>
  </si>
  <si>
    <t>Les modifications réglementaires et organisationnelles impactant le contrôle interne sont-elles suivies pour adapter la communication avec les parties externes ?</t>
  </si>
  <si>
    <t>Processus de veille réglementaire et organisationnelle, plan de communication externe</t>
  </si>
  <si>
    <t>Communication obsolète ou non conforme aux évolutions</t>
  </si>
  <si>
    <t>Rapidité et efficacité des mécanismes de diffusion de l’information.</t>
  </si>
  <si>
    <t>Les mécanismes de diffusion de l’information relative au contrôle interne aux parties externes sont-ils rapides et efficaces ?</t>
  </si>
  <si>
    <t>Évaluation des canaux de communication, indicateurs de performance des communications</t>
  </si>
  <si>
    <t>Diffusion lente ou inefficace des informations critiques aux parties externes</t>
  </si>
  <si>
    <t>Suivi de la compréhension et de la prise en compte des informations par les parties externes.</t>
  </si>
  <si>
    <t>La compréhension et la prise en compte des informations relatives au contrôle interne par les parties externes sont-elles suivies ?</t>
  </si>
  <si>
    <t>Mécanismes de feedback externe, suivi des actions des parties externes</t>
  </si>
  <si>
    <t>Incertitude quant à la compréhension et à la prise en compte des informations par les parties externes</t>
  </si>
  <si>
    <t>Définition des critères de pertinence et d’exhaustivité des informations communiquées.</t>
  </si>
  <si>
    <t>Les critères de pertinence et d’exhaustivité des informations communiquées aux parties externes concernant le contrôle interne sont-ils définis ?</t>
  </si>
  <si>
    <t>Politiques de communication externe, guides de contenu</t>
  </si>
  <si>
    <t>Risque de communiquer des informations non pertinentes ou incomplètes</t>
  </si>
  <si>
    <t>Adaptation du format et du contenu des communications en fonction des destinataires.</t>
  </si>
  <si>
    <t>Le format et le contenu des communications relatives au contrôle interne sont-ils adaptés aux destinataires externes ?</t>
  </si>
  <si>
    <t>Guides de communication externe, segmentation des audiences</t>
  </si>
  <si>
    <t>Communication non adaptée aux besoins et à la compréhension des destinataires externes</t>
  </si>
  <si>
    <t>Vérification systématique de la qualité et de la clarté des informations envoyées.</t>
  </si>
  <si>
    <t>La qualité et la clarté des informations envoyées aux parties externes concernant le contrôle interne sont-elles vérifiées systématiquement ?</t>
  </si>
  <si>
    <t>Processus de validation des communications externes, contrôles qualité</t>
  </si>
  <si>
    <t>Risque de communication d'informations de mauvaise qualité ou peu claires</t>
  </si>
  <si>
    <t>Existence de retours ou de feedbacks des parties prenantes externes.</t>
  </si>
  <si>
    <t>Des retours ou des feedbacks sont-ils sollicités auprès des parties prenantes externes concernant la communication relative au contrôle interne ?</t>
  </si>
  <si>
    <t>Processus de feedback externe, enquêtes auprès des parties externes</t>
  </si>
  <si>
    <t>Manque d'opportunités d'amélioration de la communication externe en fonction des besoins des parties externes</t>
  </si>
  <si>
    <t>Suivi des ajustements effectués sur les communications en fonction des retours reçus.</t>
  </si>
  <si>
    <t>Les ajustements effectués sur les communications relatives au contrôle interne sont-ils suivis en fonction des retours reçus des parties externes ?</t>
  </si>
  <si>
    <t>Non-prise en compte des retours des parties externes pour améliorer la communication</t>
  </si>
  <si>
    <t>Existence d’un processus formel de suivi et de contrôle des engagements des tiers.</t>
  </si>
  <si>
    <t>Un processus formel de suivi et de contrôle des engagements des tiers relatifs au contrôle interne existe-t-il ?</t>
  </si>
  <si>
    <t>Politiques de gestion des tiers, procédures de suivi des engagements</t>
  </si>
  <si>
    <t>Manque de surveillance des engagements des tiers, exposition accrue aux risques</t>
  </si>
  <si>
    <t>Mise en place d’indicateurs de performance pour évaluer la coopération avec les tiers.</t>
  </si>
  <si>
    <t>Des indicateurs de performance sont-ils mis en place pour évaluer la coopération des tiers en matière de contrôle interne ?</t>
  </si>
  <si>
    <t>Indicateurs clés de performance des relations avec les tiers, rapports de suivi</t>
  </si>
  <si>
    <t>Incapacité à mesurer la coopération des tiers, difficulté à identifier les problèmes potentiels</t>
  </si>
  <si>
    <t>Fréquence et rigueur des évaluations des tiers sur le respect des engagements.</t>
  </si>
  <si>
    <t>Les tiers sont-ils évalués à une fréquence appropriée et avec rigueur concernant le respect de leurs engagements en matière de contrôle interne ?</t>
  </si>
  <si>
    <t>Politique d'évaluation des tiers, calendriers d'évaluation, méthodologie d'évaluation</t>
  </si>
  <si>
    <t>Évaluation insuffisante ou non rigoureuse, risque de non-détection des manquements</t>
  </si>
  <si>
    <t>Documentation et traçabilité des résultats des évaluations.</t>
  </si>
  <si>
    <t>Les résultats des évaluations des tiers concernant le respect de leurs engagements en matière de contrôle interne sont-ils documentés et traçables ?</t>
  </si>
  <si>
    <t>Rapports d'évaluation des tiers, registres de suivi</t>
  </si>
  <si>
    <t>Manque de traçabilité des évaluations, difficulté à justifier les décisions et les actions</t>
  </si>
  <si>
    <t>Existence de mesures correctives en cas de non-respect des engagements.</t>
  </si>
  <si>
    <t>Des mesures correctives sont-elles en place en cas de non-respect des engagements des tiers relatifs au contrôle interne ?</t>
  </si>
  <si>
    <t>Politiques de gestion des incidents, procédures de mise en œuvre des mesures correctives</t>
  </si>
  <si>
    <t>Non-correction des manquements des tiers, impact prolongé sur le contrôle interne</t>
  </si>
  <si>
    <t>Identification et classification des risques liés à la communication avec les tiers.</t>
  </si>
  <si>
    <t>Les risques liés à la communication avec les tiers concernant le contrôle interne sont-ils identifiés et classifiés ?</t>
  </si>
  <si>
    <t>Analyse des risques de communication, cartographie des risques</t>
  </si>
  <si>
    <t>Mauvaise identification et classification des risques de communication, gestion des risques inefficace</t>
  </si>
  <si>
    <t>Existence de protocoles de confidentialité et de protection des données.</t>
  </si>
  <si>
    <t>Des protocoles de confidentialité et de protection des données sont-ils en place pour les échanges avec les tiers concernant le contrôle interne ?</t>
  </si>
  <si>
    <t>Politiques de confidentialité et de protection des données, accords de confidentialité</t>
  </si>
  <si>
    <t>Violation de la confidentialité et de la protection des données, risques juridiques et réputationnels</t>
  </si>
  <si>
    <t>Mise en place de clauses contractuelles garantissant la conformité aux réglementations.</t>
  </si>
  <si>
    <t>Des clauses contractuelles garantissant la conformité aux réglementations relatives au contrôle interne sont-elles mises en place avec les tiers ?</t>
  </si>
  <si>
    <t>Modèles de contrats, clauses spécifiques relatives au contrôle interne</t>
  </si>
  <si>
    <t>Non-respect des réglementations par les tiers, risques juridiques et financiers</t>
  </si>
  <si>
    <t>Surveillance continue et mise à jour des politiques de gestion des risques.</t>
  </si>
  <si>
    <t>Une surveillance continue et une mise à jour régulière des politiques de gestion des risques liés à la communication avec les tiers concernant le contrôle interne sont-elles effectuées ?</t>
  </si>
  <si>
    <t>Politique de gestion des risques de communication, calendriers de mise à jour</t>
  </si>
  <si>
    <t>Politiques obsolètes, gestion des risques de communication inadaptée aux évolutions</t>
  </si>
  <si>
    <t>Sensibilisation et formation des parties prenantes sur les risques liés à la communication avec les tiers.</t>
  </si>
  <si>
    <t>Les parties prenantes internes et externes sont-elles sensibilisées et formées aux risques liés à la communication avec les tiers concernant le contrôle interne ?</t>
  </si>
  <si>
    <t>Sensibilisation et formation insuffisantes, risque accru d'incidents de communication</t>
  </si>
  <si>
    <t>Exhaustivité et fiabilité des informations documentées issues des échanges</t>
  </si>
  <si>
    <t>Les informations documentées issues des échanges relatifs au contrôle interne avec les tiers sont-elles exhaustives et fiables ?</t>
  </si>
  <si>
    <t>Politiques de gestion de l'information, procédures de documentation</t>
  </si>
  <si>
    <t>Informations incomplètes ou non fiables, mauvaises décisions basées sur des données erronées</t>
  </si>
  <si>
    <t>Fréquence de mise à jour du système de gestion des risques avec ces informations</t>
  </si>
  <si>
    <t>Le système de gestion des risques est-il mis à jour à une fréquence appropriée avec les informations issues des échanges avec les tiers concernant le contrôle interne ?</t>
  </si>
  <si>
    <t>Politique de gestion des risques, procédures de mise à jour du système</t>
  </si>
  <si>
    <t>Système de gestion des risques non à jour, incapacité à prendre en compte les informations externes</t>
  </si>
  <si>
    <t>Utilisation des données intégrées pour adapter les stratégies de gestion des risques</t>
  </si>
  <si>
    <t>Les données issues des échanges avec les tiers concernant le contrôle interne sont-elles utilisées pour adapter les stratégies de gestion des risques ?</t>
  </si>
  <si>
    <t>Processus d'analyse des données, procédures de mise à jour des stratégies</t>
  </si>
  <si>
    <t>Non-utilisation des données externes pour améliorer la gestion des risques</t>
  </si>
  <si>
    <t>Accessibilité des résultats documentés pour les décideurs et parties concernées</t>
  </si>
  <si>
    <t>Les résultats documentés des échanges avec les tiers relatifs au contrôle interne sont-ils accessibles aux décideurs et aux parties concernées ?</t>
  </si>
  <si>
    <t>Politiques d'accès à l'information, systèmes de partage de documents</t>
  </si>
  <si>
    <t>Manque de visibilité sur les informations, décisions potentiellement non éclairées</t>
  </si>
  <si>
    <t>Amélioration observable dans la gestion des risques suite à l’intégration des résultats</t>
  </si>
  <si>
    <t>Une amélioration observable dans la gestion des risques est-elle constatée suite à l’intégration des résultats des échanges avec les tiers concernant le contrôle interne ?</t>
  </si>
  <si>
    <t>Indicateurs clés de performance de la gestion des risques, analyses post-implémentation</t>
  </si>
  <si>
    <t>Efficacité non prouvée de l'intégration des informations externes dans la gestion des risques</t>
  </si>
  <si>
    <t>Satisfaction des parties prenantes concernant le processus d’évaluation</t>
  </si>
  <si>
    <t>La satisfaction des parties prenantes concernant le processus d’évaluation du contrôle interne est-elle mesurée ?</t>
  </si>
  <si>
    <t>Manque de mesure de la satisfaction des parties prenantes, potentielle insatisfaction et manque d'adhésion</t>
  </si>
  <si>
    <t>Rapidité de réalisation des évaluations suite à des changements significatifs.</t>
  </si>
  <si>
    <t>Les évaluations du contrôle interne sont-elles réalisées rapidement suite à des changements significatifs ?</t>
  </si>
  <si>
    <t>Procédures d'évaluation du contrôle interne, déclencheurs d'évaluation</t>
  </si>
  <si>
    <t>Évaluations tardives, risque de non-adaptation du contrôle interne aux changements</t>
  </si>
  <si>
    <t>Exhaustivité des points analysés lors des évaluations ponctuelles</t>
  </si>
  <si>
    <t>Les points analysés lors des évaluations ponctuelles du contrôle interne sont-ils exhaustifs ?</t>
  </si>
  <si>
    <t>Mandats d'évaluation, méthodologie d'évaluation</t>
  </si>
  <si>
    <t>Analyse incomplète des aspects importants, risque de négliger des faiblesses</t>
  </si>
  <si>
    <t>Qualité des ajustements effectués pour refléter les changements dans le contrôle interne</t>
  </si>
  <si>
    <t>La qualité des ajustements effectués pour refléter les changements dans le contrôle interne suite aux évaluations ponctuelles est-elle satisfaisante ?</t>
  </si>
  <si>
    <t>Processus de gestion des changements, procédures de mise à jour du contrôle interne</t>
  </si>
  <si>
    <t>Ajustements inefficaces ou de mauvaise qualité, contrôle interne toujours inadapté</t>
  </si>
  <si>
    <t>Documentation des résultats des évaluations ponctuelles et partage avec la direction</t>
  </si>
  <si>
    <t>Les résultats des évaluations ponctuelles du contrôle interne sont-ils documentés et partagés avec la direction ?</t>
  </si>
  <si>
    <t>Rapports d'évaluation, circuits de communication</t>
  </si>
  <si>
    <t>Manque d'information pour la direction, décisions potentiellement non éclairées</t>
  </si>
  <si>
    <t>Définition claire des rôles et responsabilités des responsables du contrôle interne.</t>
  </si>
  <si>
    <t>Les rôles et responsabilités des responsables du contrôle interne sont-ils clairement définis ?</t>
  </si>
  <si>
    <t>Confusion et manque de clarté dans les responsabilités, potentielle inefficacité du contrôle interne</t>
  </si>
  <si>
    <t>Inclusion systématique des responsables dans le processus d’évaluation.</t>
  </si>
  <si>
    <t>Les responsables du contrôle interne sont-ils systématiquement inclus dans le processus d’évaluation ?</t>
  </si>
  <si>
    <t>Procédures d'évaluation, listes de participants</t>
  </si>
  <si>
    <t>Manque d'expertise des responsables du contrôle interne dans les évaluations, risque d'évaluation incomplète ou biaisée</t>
  </si>
  <si>
    <t>Accès aux résultats des évaluations pour les responsables concernés.</t>
  </si>
  <si>
    <t>Les responsables du contrôle interne ont-ils accès aux résultats des évaluations ?</t>
  </si>
  <si>
    <t>Manque d'information pour les responsables du contrôle interne, difficulté à identifier les axes d'amélioration</t>
  </si>
  <si>
    <t>Mise en place de réunions ou de briefings pour discuter des résultats.</t>
  </si>
  <si>
    <t>Des réunions ou des briefings sont-ils organisés pour discuter des résultats des évaluations du contrôle interne avec les responsables ?</t>
  </si>
  <si>
    <t>Calendrier des réunions, ordres du jour</t>
  </si>
  <si>
    <t>Manque de communication et de discussion sur les résultats, opportunités d'amélioration non exploitées</t>
  </si>
  <si>
    <t>Intégration des retours des responsables dans les améliorations du contrôle interne.</t>
  </si>
  <si>
    <t>Les retours des responsables du contrôle interne sont-ils intégrés dans les améliorations du contrôle interne ?</t>
  </si>
  <si>
    <t>Processus de gestion des améliorations, registres des retours</t>
  </si>
  <si>
    <t>Non-prise en compte de l'expertise des responsables, améliorations potentiellement moins efficaces</t>
  </si>
  <si>
    <t>Efficacité des ajustements dans la prévention ou la réduction des nouveaux risques identifiés</t>
  </si>
  <si>
    <t>Les ajustements apportés au contrôle interne après les retours des responsables sont-ils efficaces dans la prévention ou la réduction des nouveaux risques identifiés ?</t>
  </si>
  <si>
    <t>Indicateurs clés de performance du contrôle interne, analyses post-implémentation</t>
  </si>
  <si>
    <t>Efficacité non prouvée des ajustements, risque que les nouveaux risques ne soient pas correctement adressés</t>
  </si>
  <si>
    <t>Pertinence des critères utilisés par rapport aux objectifs stratégiques de l'organisation</t>
  </si>
  <si>
    <t>Les critères utilisés pour l'évaluation du contrôle interne sont-ils pertinents par rapport aux objectifs stratégiques de l'organisation ?</t>
  </si>
  <si>
    <t>Cartographie des objectifs stratégiques, alignement des critères d'évaluation</t>
  </si>
  <si>
    <t>Évaluation non alignée sur les priorités de l'organisation, risque de se concentrer sur des aspects moins importants</t>
  </si>
  <si>
    <t>Mesurabilité des indicateurs sélectionnés pour suivre les performances des contrôles internes.</t>
  </si>
  <si>
    <t>Les indicateurs sélectionnés pour suivre les performances des contrôles internes sont-ils mesurables ?</t>
  </si>
  <si>
    <t>Définition des indicateurs, méthodologie de mesure</t>
  </si>
  <si>
    <t>Indicateurs non mesurables, difficulté à évaluer objectivement la performance des contrôles</t>
  </si>
  <si>
    <t>Fréquence des révisions des critères pour s’adapter aux évolutions internes et externes.</t>
  </si>
  <si>
    <t>La fréquence des révisions des critères d'évaluation du contrôle interne est-elle adaptée pour tenir compte des évolutions internes et externes ?</t>
  </si>
  <si>
    <t>Politique de révision des critères, calendriers de révision</t>
  </si>
  <si>
    <t>Critères obsolètes, évaluation potentiellement non pertinente</t>
  </si>
  <si>
    <t>Taux d’adhésion des parties prenantes aux critères établis.</t>
  </si>
  <si>
    <t>Le taux d’adhésion des parties prenantes aux critères établis pour l'évaluation du contrôle interne est-il satisfaisant ?</t>
  </si>
  <si>
    <t>Enquêtes d'adhésion, observations</t>
  </si>
  <si>
    <t>Faible adhésion, risque de résistance et de non-application des critères</t>
  </si>
  <si>
    <t>Existence d’un format standardisé pour la documentation des évaluations.</t>
  </si>
  <si>
    <t>Un format standardisé est-il utilisé pour la documentation des évaluations du contrôle interne ?</t>
  </si>
  <si>
    <t>Modèles de rapports d'évaluation, guides de documentation</t>
  </si>
  <si>
    <t>Documentation incohérente, difficulté à comparer les évaluations et à tirer des conclusions globales</t>
  </si>
  <si>
    <t>Définition des circuits de communication des résultats vers la direction et le Conseil.</t>
  </si>
  <si>
    <t>Les circuits de communication des résultats des évaluations du contrôle interne vers la direction et le Conseil d'administration sont-ils définis ?</t>
  </si>
  <si>
    <t>Organigramme, plan de communication</t>
  </si>
  <si>
    <t>Communication inefficace ou retardée des résultats aux instances de gouvernance</t>
  </si>
  <si>
    <t>Mise en place de rapports périodiques sur l’état du contrôle interne.</t>
  </si>
  <si>
    <t>Des rapports périodiques sur l’état du contrôle interne sont-ils mis en place ?</t>
  </si>
  <si>
    <t>Calendrier de reporting, modèles de rapports</t>
  </si>
  <si>
    <t>Manque de visibilité régulière sur l'état du contrôle interne, prise de décision potentiellement non éclairée</t>
  </si>
  <si>
    <t>Accès sécurisé aux documents pour garantir leur confidentialité.</t>
  </si>
  <si>
    <t>Un accès sécurisé aux documents relatifs aux évaluations du contrôle interne est-il garanti pour assurer leur confidentialité ?</t>
  </si>
  <si>
    <t>Politiques de sécurité de l'information, gestion des accès</t>
  </si>
  <si>
    <t>Risque de violation de la confidentialité, accès non autorisé aux informations sensibles</t>
  </si>
  <si>
    <t>Prise en compte des résultats des évaluations dans la prise de décision stratégique.</t>
  </si>
  <si>
    <t>Les résultats des évaluations du contrôle interne sont-ils pris en compte dans la prise de décision stratégique ?</t>
  </si>
  <si>
    <t>Processus de prise de décision, documentation des décisions</t>
  </si>
  <si>
    <t>Décisions stratégiques non informées par l'état du contrôle interne, risque de ne pas tenir compte des faiblesses</t>
  </si>
  <si>
    <t>Formalisation et validation des plans d’action correctifs.</t>
  </si>
  <si>
    <t>Les plans d’action correctifs suite aux évaluations du contrôle interne sont-ils formalisés et validés ?</t>
  </si>
  <si>
    <t>Modèles de plans d'action, processus de validation</t>
  </si>
  <si>
    <t>Actions correctives non formalisées ou non approuvées, risque de non-mise en œuvre ou de mise en œuvre inefficace</t>
  </si>
  <si>
    <t>Définition des délais et des responsabilités pour la mise en œuvre des actions correctives.</t>
  </si>
  <si>
    <t>Les délais et les responsabilités pour la mise en œuvre des actions correctives suite aux évaluations du contrôle interne sont-ils définis ?</t>
  </si>
  <si>
    <t>Plans d'action, attribution des responsabilités, échéanciers</t>
  </si>
  <si>
    <t>Mise en œuvre tardive ou non réalisée des actions correctives, impact prolongé des faiblesses identifiées</t>
  </si>
  <si>
    <t>Suivi régulier de l’exécution des actions correctives.</t>
  </si>
  <si>
    <t>L’exécution des actions correctives suite aux évaluations du contrôle interne est-elle suivie régulièrement ?</t>
  </si>
  <si>
    <t>Rapports de suivi des actions correctives, indicateurs de performance</t>
  </si>
  <si>
    <t>Suivi insuffisant, risque de non-réalisation effective des actions correctives</t>
  </si>
  <si>
    <t>Évaluation de l’efficacité des mesures correctives mises en place.</t>
  </si>
  <si>
    <t>L’efficacité des mesures correctives mises en place suite aux évaluations du contrôle interne est-elle évaluée ?</t>
  </si>
  <si>
    <t>Efficacité non prouvée des mesures correctives, risque de persistance des faiblesses</t>
  </si>
  <si>
    <t>Documentation des actions correctives et des résultats obtenus.</t>
  </si>
  <si>
    <t>Les actions correctives mises en place suite aux évaluations du contrôle interne et les résultats obtenus sont-ils documentés ?</t>
  </si>
  <si>
    <t>Registre des actions correctives, rapports de suivi</t>
  </si>
  <si>
    <t>Manque de traçabilité des actions correctives et de leurs résultats, difficulté à tirer des leçons pour l'avenir</t>
  </si>
  <si>
    <t xml:space="preserve">Sanctions réglementaires et amendes  </t>
  </si>
  <si>
    <t xml:space="preserve">Dérives organisationnelles incontrôlées  </t>
  </si>
  <si>
    <t xml:space="preserve">Non-respect des règles par méconnaissance  </t>
  </si>
  <si>
    <t xml:space="preserve">Pertes financières et atteinte à la réputation  </t>
  </si>
  <si>
    <t xml:space="preserve">Décisions incohérentes et inefficaces  </t>
  </si>
  <si>
    <t xml:space="preserve">Perte de confiance des parties prenantes  </t>
  </si>
  <si>
    <t xml:space="preserve">Violations involontaires des réglementations  </t>
  </si>
  <si>
    <t xml:space="preserve">Baisse de l'adhésion et de l'implication  </t>
  </si>
  <si>
    <t xml:space="preserve">Erreurs répétées et non-conformités  </t>
  </si>
  <si>
    <t xml:space="preserve">Impossibilité de démontrer la conformité  </t>
  </si>
  <si>
    <t xml:space="preserve">Pratiques dépassées et non adaptatives  </t>
  </si>
  <si>
    <t xml:space="preserve">Inadéquation avec l'environnement actuel  </t>
  </si>
  <si>
    <t xml:space="preserve">Malentendus et conflits internes  </t>
  </si>
  <si>
    <t xml:space="preserve">Impossibilité d'audit et de preuve  </t>
  </si>
  <si>
    <t xml:space="preserve">Incompatibilités techniques et dysfonctionnements  </t>
  </si>
  <si>
    <t xml:space="preserve">Comportements à risque non maîtrisés  </t>
  </si>
  <si>
    <t xml:space="preserve">Formations inefficaces et ressources gaspillées  </t>
  </si>
  <si>
    <t xml:space="preserve">Zones d'ombre dans les processus  </t>
  </si>
  <si>
    <t xml:space="preserve">Incapacité à appliquer en situation réelle  </t>
  </si>
  <si>
    <t xml:space="preserve">Incidents non remontés et aggravés  </t>
  </si>
  <si>
    <t xml:space="preserve">Atteinte à la confidentialité des données  </t>
  </si>
  <si>
    <t xml:space="preserve">Manquements aux engagements contractuels  </t>
  </si>
  <si>
    <t xml:space="preserve">Traitements inappropriés des demandes  </t>
  </si>
  <si>
    <t xml:space="preserve">Détection trop tardive des fraudes  </t>
  </si>
  <si>
    <t xml:space="preserve">Prise de décision biaisée  </t>
  </si>
  <si>
    <t xml:space="preserve">Réponse inefficace aux crises  </t>
  </si>
  <si>
    <t xml:space="preserve">Accès non autorisés aux informations  </t>
  </si>
  <si>
    <t xml:space="preserve">Impossibilité de reconstituer les événements  </t>
  </si>
  <si>
    <t xml:space="preserve">Évaluations subjectives et partiales  </t>
  </si>
  <si>
    <t xml:space="preserve">Prise de décision sur des bases erronées  </t>
  </si>
  <si>
    <t xml:space="preserve">Suivi irrégulier des performances  </t>
  </si>
  <si>
    <t xml:space="preserve">Décisions prises sans visibilité complète  </t>
  </si>
  <si>
    <t xml:space="preserve">Processus incontrôlés et variables  </t>
  </si>
  <si>
    <t xml:space="preserve">Perte d'informations critiques  </t>
  </si>
  <si>
    <t xml:space="preserve">Décisions sans consensus ni légitimité  </t>
  </si>
  <si>
    <t xml:space="preserve">Choix stratégiques non éclairés  </t>
  </si>
  <si>
    <t xml:space="preserve">Communication inefficace entre services  </t>
  </si>
  <si>
    <t xml:space="preserve">Actions correctives non suivies  </t>
  </si>
  <si>
    <t xml:space="preserve">Décisions arbitraires et contestables  </t>
  </si>
  <si>
    <t xml:space="preserve">Évaluations non reproductibles  </t>
  </si>
  <si>
    <t xml:space="preserve">Critères d'évaluation inconstants  </t>
  </si>
  <si>
    <t xml:space="preserve">Données historiques inexactes  </t>
  </si>
  <si>
    <t xml:space="preserve">Problèmes récurrents non résolus  </t>
  </si>
  <si>
    <t xml:space="preserve">Information incomplète pour décideurs  </t>
  </si>
  <si>
    <t xml:space="preserve">Réponse inadéquate aux incidents  </t>
  </si>
  <si>
    <t xml:space="preserve">Problèmes non clôturés durablement  </t>
  </si>
  <si>
    <t xml:space="preserve">Délais critiques non respectés  </t>
  </si>
  <si>
    <t xml:space="preserve">Erreurs répétées par manque de retour  </t>
  </si>
  <si>
    <t xml:space="preserve">Améliorations non mesurables  </t>
  </si>
  <si>
    <t xml:space="preserve">Structure inadaptée aux besoins  </t>
  </si>
  <si>
    <t xml:space="preserve">Confusion dans les chaînes hiérarchiques  </t>
  </si>
  <si>
    <t xml:space="preserve">Processus non actualisés  </t>
  </si>
  <si>
    <t xml:space="preserve">Modifications non maîtrisées  </t>
  </si>
  <si>
    <t xml:space="preserve">Perte de connaissance organisationnelle  </t>
  </si>
  <si>
    <t xml:space="preserve">Chevauchements de responsabilités  </t>
  </si>
  <si>
    <t xml:space="preserve">Délégations ambiguës et contestables  </t>
  </si>
  <si>
    <t xml:space="preserve">Doublons et gaspillage de ressources  </t>
  </si>
  <si>
    <t xml:space="preserve">Pilotage inefficace des processus  </t>
  </si>
  <si>
    <t xml:space="preserve">Attributions confuses et conflits  </t>
  </si>
  <si>
    <t xml:space="preserve">Recrutements inadaptés aux besoins  </t>
  </si>
  <si>
    <t xml:space="preserve">Inadéquation des compétences disponibles  </t>
  </si>
  <si>
    <t xml:space="preserve">Évaluations subjectives des candidats  </t>
  </si>
  <si>
    <t xml:space="preserve">Processus de décision opaque  </t>
  </si>
  <si>
    <t xml:space="preserve">Mauvaise intégration des nouveaux  </t>
  </si>
  <si>
    <t xml:space="preserve">Formations non accessibles aux équipes  </t>
  </si>
  <si>
    <t xml:space="preserve">Parcours professionnels flous  </t>
  </si>
  <si>
    <t xml:space="preserve">Compétences non validées avant affectation  </t>
  </si>
  <si>
    <t xml:space="preserve">Rigidité face aux changements  </t>
  </si>
  <si>
    <t xml:space="preserve">Taux de complétion inconnus  </t>
  </si>
  <si>
    <t xml:space="preserve">Référentiel non actualisé  </t>
  </si>
  <si>
    <t xml:space="preserve">Développement des talents aléatoire  </t>
  </si>
  <si>
    <t xml:space="preserve">Besoins en compétences non anticipés  </t>
  </si>
  <si>
    <t xml:space="preserve">Absence de certifications reconnues  </t>
  </si>
  <si>
    <t xml:space="preserve">Dépassements budgétaires non contrôlés  </t>
  </si>
  <si>
    <t xml:space="preserve">Échéances non respectées  </t>
  </si>
  <si>
    <t xml:space="preserve">Grilles d'évaluation compromises  </t>
  </si>
  <si>
    <t xml:space="preserve">Processus hétérogènes et inefficaces  </t>
  </si>
  <si>
    <t xml:space="preserve">Objectifs individuels flous  </t>
  </si>
  <si>
    <t xml:space="preserve">Problèmes récurrents non corrigés  </t>
  </si>
  <si>
    <t xml:space="preserve">Départ des collaborateurs clés  </t>
  </si>
  <si>
    <t xml:space="preserve">Climat social dégradé  </t>
  </si>
  <si>
    <t xml:space="preserve">Parcours professionnels illisibles  </t>
  </si>
  <si>
    <t xml:space="preserve">Rémunérations inéquitables  </t>
  </si>
  <si>
    <t xml:space="preserve">Perte des talents stratégiques  </t>
  </si>
  <si>
    <t xml:space="preserve">Rôles mal compris et mal remplis  </t>
  </si>
  <si>
    <t xml:space="preserve">Attributions imprécises  </t>
  </si>
  <si>
    <t xml:space="preserve">Absence de référentiels métiers  </t>
  </si>
  <si>
    <t xml:space="preserve">Délégations mal formalisées  </t>
  </si>
  <si>
    <t xml:space="preserve">Descriptions de postes obsolètes  </t>
  </si>
  <si>
    <t xml:space="preserve">Contrôles inefficaces  </t>
  </si>
  <si>
    <t xml:space="preserve">Vérifications aléatoires  </t>
  </si>
  <si>
    <t xml:space="preserve">Écarts non corrigés  </t>
  </si>
  <si>
    <t xml:space="preserve">Améliorations continues absentes  </t>
  </si>
  <si>
    <t xml:space="preserve">Communication interne défaillante  </t>
  </si>
  <si>
    <t xml:space="preserve">Traitement retardé des alertes  </t>
  </si>
  <si>
    <t xml:space="preserve">Inventaire inexact des actifs  </t>
  </si>
  <si>
    <t xml:space="preserve">Sauvegardes non fonctionnelles  </t>
  </si>
  <si>
    <t xml:space="preserve">Reprise d'activité impossible  </t>
  </si>
  <si>
    <t xml:space="preserve">Scénarios de crise non validés  </t>
  </si>
  <si>
    <t xml:space="preserve">Processus d'accès non respectés  </t>
  </si>
  <si>
    <t xml:space="preserve">Habilitations inadaptées  </t>
  </si>
  <si>
    <t xml:space="preserve">Comptes actifs non utilisés  </t>
  </si>
  <si>
    <t xml:space="preserve">Droits excessifs non justifiés  </t>
  </si>
  <si>
    <t xml:space="preserve">Contrôles insuffisants  </t>
  </si>
  <si>
    <t xml:space="preserve">Preuves non conservées  </t>
  </si>
  <si>
    <t xml:space="preserve">Anomalies non détectées  </t>
  </si>
  <si>
    <t xml:space="preserve">Seuils d'alerte inefficaces  </t>
  </si>
  <si>
    <t xml:space="preserve">Réponse automatique absente  </t>
  </si>
  <si>
    <t xml:space="preserve">Dérogations non contrôlées  </t>
  </si>
  <si>
    <t xml:space="preserve">Conformité non démontrable  </t>
  </si>
  <si>
    <t xml:space="preserve">Référentiels non appliqués  </t>
  </si>
  <si>
    <t xml:space="preserve">Calendrier non respecté  </t>
  </si>
  <si>
    <t xml:space="preserve">Écarts permanents  </t>
  </si>
  <si>
    <t xml:space="preserve">Non-conformité persistante  </t>
  </si>
  <si>
    <t xml:space="preserve">Vulnérabilités exploitées  </t>
  </si>
  <si>
    <t xml:space="preserve">Correctifs non appliqués  </t>
  </si>
  <si>
    <t xml:space="preserve">Systèmes vulnérables  </t>
  </si>
  <si>
    <t xml:space="preserve">Accès non autorisés  </t>
  </si>
  <si>
    <t xml:space="preserve">Certificats non valides  </t>
  </si>
  <si>
    <t xml:space="preserve">Décisions sans indicateurs  </t>
  </si>
  <si>
    <t xml:space="preserve">Tableaux de bord manquants  </t>
  </si>
  <si>
    <t xml:space="preserve">Alertes mal paramétrées  </t>
  </si>
  <si>
    <t xml:space="preserve">Tendances non identifiées  </t>
  </si>
  <si>
    <t xml:space="preserve">Rapports manuels fastidieux  </t>
  </si>
  <si>
    <t xml:space="preserve">Couverture partielle des risques  </t>
  </si>
  <si>
    <t xml:space="preserve">Détection trop tardive  </t>
  </si>
  <si>
    <t xml:space="preserve">Revues non systématiques  </t>
  </si>
  <si>
    <t xml:space="preserve">Indicateurs non disponibles  </t>
  </si>
  <si>
    <t xml:space="preserve">Comptes partagés risqués  </t>
  </si>
  <si>
    <t xml:space="preserve">Mots de passe facilement crackables  </t>
  </si>
  <si>
    <t xml:space="preserve">Accès temporaires prolongés  </t>
  </si>
  <si>
    <t xml:space="preserve">Droits résiduels non révoqués  </t>
  </si>
  <si>
    <t xml:space="preserve">Révocation trop lente  </t>
  </si>
  <si>
    <t xml:space="preserve">Intrusions non détectées  </t>
  </si>
  <si>
    <t xml:space="preserve">Privilèges excessifs non justifiés  </t>
  </si>
  <si>
    <t xml:space="preserve">Authentification faible  </t>
  </si>
  <si>
    <t xml:space="preserve">Privilèges non nécessaires  </t>
  </si>
  <si>
    <t xml:space="preserve">Référentiel obsolète  </t>
  </si>
  <si>
    <t xml:space="preserve">Validation manquante  </t>
  </si>
  <si>
    <t xml:space="preserve">Profils non actualisés  </t>
  </si>
  <si>
    <t xml:space="preserve">Droits résiduels persistants  </t>
  </si>
  <si>
    <t xml:space="preserve">Procédures non éprouvées  </t>
  </si>
  <si>
    <t xml:space="preserve">Détection tardive des incidents  </t>
  </si>
  <si>
    <t xml:space="preserve">Comptes externes non restreints  </t>
  </si>
  <si>
    <t xml:space="preserve">Référentiel non mis à jour  </t>
  </si>
  <si>
    <t xml:space="preserve">Cyber-risques sous-estimés  </t>
  </si>
  <si>
    <t xml:space="preserve">Contrôles disproportionnés  </t>
  </si>
  <si>
    <t xml:space="preserve">Risques non couverts  </t>
  </si>
  <si>
    <t xml:space="preserve">Seuils inadaptés  </t>
  </si>
  <si>
    <t xml:space="preserve">Résilience non testée  </t>
  </si>
  <si>
    <t xml:space="preserve">Couverture incomplète  </t>
  </si>
  <si>
    <t xml:space="preserve">Données non protégées  </t>
  </si>
  <si>
    <t xml:space="preserve">Délais non définis  </t>
  </si>
  <si>
    <t xml:space="preserve">Restauration impossible  </t>
  </si>
  <si>
    <t xml:space="preserve">Dépendances critiques ignorées  </t>
  </si>
  <si>
    <t xml:space="preserve">Clauses de sécurité absentes  </t>
  </si>
  <si>
    <t xml:space="preserve">Audits non réalisés  </t>
  </si>
  <si>
    <t xml:space="preserve">Accès externes non contrôlés  </t>
  </si>
  <si>
    <t xml:space="preserve">Criticité mal évaluée  </t>
  </si>
  <si>
    <t xml:space="preserve">Délais de traitement dépassés  </t>
  </si>
  <si>
    <t xml:space="preserve">Analyse post-incident absente  </t>
  </si>
  <si>
    <t xml:space="preserve">Capitalisation absente  </t>
  </si>
  <si>
    <t xml:space="preserve">Vulnérabilités persistantes  </t>
  </si>
  <si>
    <t xml:space="preserve">Composants obsolètes  </t>
  </si>
  <si>
    <t xml:space="preserve">Configurations variables  </t>
  </si>
  <si>
    <t xml:space="preserve">Tests insuffisants  </t>
  </si>
  <si>
    <t xml:space="preserve">Journaux non centralisés  </t>
  </si>
  <si>
    <t xml:space="preserve">Accès non tracés  </t>
  </si>
  <si>
    <t xml:space="preserve">Détection absente  </t>
  </si>
  <si>
    <t xml:space="preserve">Corrélation impossible  </t>
  </si>
  <si>
    <t xml:space="preserve">Indicateurs de compromission ignorés  </t>
  </si>
  <si>
    <t xml:space="preserve">Filtrage inexistant  </t>
  </si>
  <si>
    <t xml:space="preserve">Isolation absente  </t>
  </si>
  <si>
    <t xml:space="preserve">Connexions non sécurisées  </t>
  </si>
  <si>
    <t xml:space="preserve">Appareils non conformes  </t>
  </si>
  <si>
    <t xml:space="preserve">Appareils personnels non contrôlés  </t>
  </si>
  <si>
    <t xml:space="preserve">Supports non protégés  </t>
  </si>
  <si>
    <t xml:space="preserve">Impressions non contrôlées  </t>
  </si>
  <si>
    <t xml:space="preserve">Documents non protégés  </t>
  </si>
  <si>
    <t xml:space="preserve">Sessions non verrouillées  </t>
  </si>
  <si>
    <t xml:space="preserve">Traitement retardé  </t>
  </si>
  <si>
    <t xml:space="preserve">Cartographie manquante  </t>
  </si>
  <si>
    <t xml:space="preserve">Obligations ignorées  </t>
  </si>
  <si>
    <t xml:space="preserve">Veille inactive  </t>
  </si>
  <si>
    <t xml:space="preserve">Plans d'action absents  </t>
  </si>
  <si>
    <t xml:space="preserve">Preuves manquantes  </t>
  </si>
  <si>
    <t xml:space="preserve">Contrôles irréguliers  </t>
  </si>
  <si>
    <t xml:space="preserve">Exceptions non contrôlées  </t>
  </si>
  <si>
    <t xml:space="preserve">Reporting irrégulier  </t>
  </si>
  <si>
    <t xml:space="preserve">Accès refusés aux auditeurs  </t>
  </si>
  <si>
    <t xml:space="preserve">Recommandations non appliquées  </t>
  </si>
  <si>
    <t xml:space="preserve">Indicateurs non définis  </t>
  </si>
  <si>
    <t xml:space="preserve">Tableaux de bord absents  </t>
  </si>
  <si>
    <t xml:space="preserve">Adaptation impossible  </t>
  </si>
  <si>
    <t xml:space="preserve">Retours non pris en compte  </t>
  </si>
  <si>
    <t xml:space="preserve">Ajustements absents  </t>
  </si>
  <si>
    <t xml:space="preserve">Bénéfices non quantifiés  </t>
  </si>
  <si>
    <t xml:space="preserve">Risques non évalués  </t>
  </si>
  <si>
    <t xml:space="preserve">Contrôles absents  </t>
  </si>
  <si>
    <t xml:space="preserve">Plans absents  </t>
  </si>
  <si>
    <t xml:space="preserve">Scénarios non testés  </t>
  </si>
  <si>
    <t xml:space="preserve">Procédures absentes  </t>
  </si>
  <si>
    <t xml:space="preserve">Formation absente  </t>
  </si>
  <si>
    <t xml:space="preserve">Surveillance absente  </t>
  </si>
  <si>
    <t xml:space="preserve">Reporting incomplet  </t>
  </si>
  <si>
    <t xml:space="preserve">Information absente  </t>
  </si>
  <si>
    <t xml:space="preserve">Décisions non alignées  </t>
  </si>
  <si>
    <t xml:space="preserve">Indicateurs absents  </t>
  </si>
  <si>
    <t xml:space="preserve">Présentation irrégulière  </t>
  </si>
  <si>
    <t xml:space="preserve">Analyse absente  </t>
  </si>
  <si>
    <t xml:space="preserve">Traçabilité absente  </t>
  </si>
  <si>
    <t xml:space="preserve">Amélioration non documentée  </t>
  </si>
  <si>
    <t xml:space="preserve">Retours non formalisés  </t>
  </si>
  <si>
    <t xml:space="preserve">Suggestions découragées  </t>
  </si>
  <si>
    <t xml:space="preserve">Bonnes pratiques non partagées  </t>
  </si>
  <si>
    <t xml:space="preserve">Suivi absent  </t>
  </si>
  <si>
    <t xml:space="preserve">Résultats non mesurés  </t>
  </si>
  <si>
    <t xml:space="preserve">Gains non quantifiés  </t>
  </si>
  <si>
    <t xml:space="preserve">Processus non documentés  </t>
  </si>
  <si>
    <t xml:space="preserve">Formation non adaptée  </t>
  </si>
  <si>
    <t xml:space="preserve">Indicateurs obsolètes  </t>
  </si>
  <si>
    <t xml:space="preserve">Benchmarks absents  </t>
  </si>
  <si>
    <t xml:space="preserve">Écarts ignorés  </t>
  </si>
  <si>
    <t xml:space="preserve">Pratiques non évaluées  </t>
  </si>
  <si>
    <t xml:space="preserve">Technologies ignorées  </t>
  </si>
  <si>
    <t xml:space="preserve">Opportunités manquées  </t>
  </si>
  <si>
    <t xml:space="preserve">Tests absents  </t>
  </si>
  <si>
    <t xml:space="preserve">Planification absente  </t>
  </si>
  <si>
    <t xml:space="preserve">Indicateurs inadaptés  </t>
  </si>
  <si>
    <t xml:space="preserve">Retours non analysés  </t>
  </si>
  <si>
    <t xml:space="preserve">Bénéfices non comparés  </t>
  </si>
  <si>
    <t xml:space="preserve">Configurations ignorées  </t>
  </si>
  <si>
    <t xml:space="preserve">Alerte absente  </t>
  </si>
  <si>
    <t xml:space="preserve">Projections absentes  </t>
  </si>
  <si>
    <t xml:space="preserve">Justification absente  </t>
  </si>
  <si>
    <t xml:space="preserve">Fiches absentes  </t>
  </si>
  <si>
    <t xml:space="preserve">Système absent  </t>
  </si>
  <si>
    <t xml:space="preserve">Partage absent  </t>
  </si>
  <si>
    <t xml:space="preserve">Responsables absents  </t>
  </si>
  <si>
    <t xml:space="preserve">Avancement non mesuré  </t>
  </si>
  <si>
    <t xml:space="preserve">Gains non chiffrés  </t>
  </si>
  <si>
    <t xml:space="preserve">Versions non documentées  </t>
  </si>
  <si>
    <t xml:space="preserve">Formation non mise à jour  </t>
  </si>
  <si>
    <t xml:space="preserve">Indicateurs non révisés  </t>
  </si>
  <si>
    <t xml:space="preserve">Comparaisons absentes  </t>
  </si>
  <si>
    <t xml:space="preserve">Alignement absent  </t>
  </si>
  <si>
    <t xml:space="preserve">Références absentes  </t>
  </si>
  <si>
    <t xml:space="preserve">Évaluation absente  </t>
  </si>
  <si>
    <t xml:space="preserve">Identification absente  </t>
  </si>
  <si>
    <t xml:space="preserve">Études absentes  </t>
  </si>
  <si>
    <t xml:space="preserve">Phases absentes  </t>
  </si>
  <si>
    <t xml:space="preserve">Sélection absente  </t>
  </si>
  <si>
    <t xml:space="preserve">Comparaison absente  </t>
  </si>
  <si>
    <t xml:space="preserve">Validation absente  </t>
  </si>
  <si>
    <t xml:space="preserve">Contractualisation absente  </t>
  </si>
  <si>
    <t xml:space="preserve">Cartographie absente  </t>
  </si>
  <si>
    <t xml:space="preserve">Scénarios absents  </t>
  </si>
  <si>
    <t xml:space="preserve">Procédures inadaptées  </t>
  </si>
  <si>
    <t xml:space="preserve">Reporting absent  </t>
  </si>
  <si>
    <t xml:space="preserve">Documentation absente  </t>
  </si>
  <si>
    <t xml:space="preserve">Formalisation absente  </t>
  </si>
  <si>
    <t xml:space="preserve">Veille absente  </t>
  </si>
  <si>
    <t xml:space="preserve">Feuilles de route absentes  </t>
  </si>
  <si>
    <t xml:space="preserve">Mesure absente  </t>
  </si>
  <si>
    <t xml:space="preserve">Communication absente  </t>
  </si>
  <si>
    <t xml:space="preserve">Standardisation absente  </t>
  </si>
  <si>
    <t xml:space="preserve">Intégration absente  </t>
  </si>
  <si>
    <t xml:space="preserve">Modélisation absente  </t>
  </si>
  <si>
    <t xml:space="preserve">Participation absente  </t>
  </si>
  <si>
    <t xml:space="preserve">Quantification absente  </t>
  </si>
  <si>
    <t xml:space="preserve">Préparation absente  </t>
  </si>
  <si>
    <t xml:space="preserve">Outils absents  </t>
  </si>
  <si>
    <t>Synthèse Numérique</t>
  </si>
  <si>
    <t>N°</t>
  </si>
  <si>
    <t>Total OUI</t>
  </si>
  <si>
    <t>Total NON</t>
  </si>
  <si>
    <t>Total PAS</t>
  </si>
  <si>
    <t>Total</t>
  </si>
  <si>
    <t>Score</t>
  </si>
  <si>
    <t>COSO</t>
  </si>
  <si>
    <t>Fonction_Informatique</t>
  </si>
  <si>
    <t>Projets Informatiques</t>
  </si>
  <si>
    <t>Support Utilisateur</t>
  </si>
  <si>
    <t>Sécurité Informatique</t>
  </si>
  <si>
    <t>Application_service</t>
  </si>
  <si>
    <t>SYNTHESE GRAPHIQUE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</si>
</sst>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sz val="20"/>
      <color theme="1"/>
      <name val="Calibri"/>
      <family val="2"/>
      <scheme val="minor"/>
    </font>
    <font>
      <sz val="16"/>
      <color theme="1"/>
      <name val="Calibri"/>
      <family val="2"/>
      <scheme val="minor"/>
    </font>
    <font>
      <b/>
      <sz val="16"/>
      <color theme="1"/>
      <name val="Calibri"/>
      <family val="2"/>
      <scheme val="minor"/>
    </font>
    <font>
      <sz val="11"/>
      <color theme="1"/>
      <name val="Calibri"/>
      <family val="2"/>
      <scheme val="minor"/>
    </font>
    <font>
      <b/>
      <sz val="11"/>
      <color theme="1"/>
      <name val="Calibri"/>
      <family val="2"/>
      <scheme val="minor"/>
    </font>
    <font>
      <sz val="18"/>
      <color theme="1"/>
      <name val="Calibri"/>
      <family val="2"/>
      <scheme val="minor"/>
    </font>
    <font>
      <b/>
      <sz val="22"/>
      <color theme="1"/>
      <name val="Calibri"/>
      <family val="2"/>
      <scheme val="minor"/>
    </font>
    <font>
      <b/>
      <sz val="22"/>
      <color theme="1"/>
      <name val="Aptos"/>
    </font>
    <font>
      <b/>
      <sz val="22"/>
      <color theme="1"/>
      <name val="Aptos"/>
      <family val="2"/>
    </font>
    <font>
      <b/>
      <sz val="20"/>
      <color theme="1"/>
      <name val="Aptos"/>
      <family val="2"/>
    </font>
    <font>
      <b/>
      <sz val="18"/>
      <color theme="1"/>
      <name val="Aptos"/>
      <family val="2"/>
    </font>
    <font>
      <b/>
      <sz val="24"/>
      <color theme="1"/>
      <name val="Aptos"/>
      <family val="2"/>
    </font>
    <font>
      <sz val="24"/>
      <color theme="1"/>
      <name val="Aptos"/>
    </font>
    <font>
      <b/>
      <sz val="20"/>
      <color theme="1"/>
      <name val="Aptos"/>
    </font>
    <font>
      <sz val="18"/>
      <color theme="1"/>
      <name val="Aptos"/>
    </font>
    <font>
      <sz val="18"/>
      <color theme="1"/>
      <name val="Aptos"/>
      <family val="2"/>
    </font>
    <font>
      <sz val="20"/>
      <color theme="1"/>
      <name val="Aptos"/>
      <family val="2"/>
    </font>
    <font>
      <b/>
      <sz val="18"/>
      <color theme="1"/>
      <name val="Calibri"/>
      <family val="2"/>
      <scheme val="minor"/>
    </font>
    <font>
      <b/>
      <sz val="18"/>
      <name val="Calibri"/>
      <family val="2"/>
      <scheme val="minor"/>
    </font>
    <font>
      <sz val="16"/>
      <color theme="1"/>
      <name val="Aptos"/>
      <family val="2"/>
    </font>
    <font>
      <b/>
      <sz val="18"/>
      <color theme="1"/>
      <name val="Aptos"/>
    </font>
    <font>
      <b/>
      <sz val="12"/>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39">
    <border>
      <left/>
      <right/>
      <top/>
      <bottom/>
      <diagonal/>
    </border>
    <border>
      <left style="thin">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s>
  <cellStyleXfs count="2">
    <xf numFmtId="0" fontId="0" fillId="0" borderId="0"/>
    <xf numFmtId="9" fontId="4" fillId="0" borderId="0" applyFont="0" applyFill="0" applyBorder="0" applyAlignment="0" applyProtection="0"/>
  </cellStyleXfs>
  <cellXfs count="240">
    <xf numFmtId="0" fontId="0" fillId="0" borderId="0" xfId="0"/>
    <xf numFmtId="0" fontId="1" fillId="0" borderId="0" xfId="0" applyFont="1"/>
    <xf numFmtId="0" fontId="2" fillId="0" borderId="0" xfId="0" applyFont="1"/>
    <xf numFmtId="0" fontId="2" fillId="0" borderId="3" xfId="0" applyFont="1" applyBorder="1"/>
    <xf numFmtId="0" fontId="2" fillId="0" borderId="4" xfId="0" applyFont="1" applyBorder="1"/>
    <xf numFmtId="0" fontId="0" fillId="0" borderId="0" xfId="0" applyBorder="1"/>
    <xf numFmtId="0" fontId="6" fillId="0" borderId="0" xfId="0" applyFont="1"/>
    <xf numFmtId="0" fontId="6" fillId="0" borderId="0" xfId="0" applyFont="1" applyAlignment="1">
      <alignment horizontal="left"/>
    </xf>
    <xf numFmtId="0" fontId="7" fillId="0" borderId="10" xfId="0" applyFont="1" applyBorder="1" applyAlignment="1">
      <alignment horizontal="center"/>
    </xf>
    <xf numFmtId="0" fontId="7" fillId="0" borderId="11" xfId="0" applyFont="1" applyBorder="1" applyAlignment="1">
      <alignment horizontal="center" wrapText="1"/>
    </xf>
    <xf numFmtId="0" fontId="8" fillId="0" borderId="11" xfId="0" applyFont="1" applyBorder="1" applyAlignment="1">
      <alignment horizontal="center" wrapText="1"/>
    </xf>
    <xf numFmtId="0" fontId="9" fillId="0" borderId="11" xfId="0" applyFont="1" applyBorder="1" applyAlignment="1">
      <alignment horizontal="center"/>
    </xf>
    <xf numFmtId="0" fontId="10" fillId="0" borderId="11" xfId="0" applyFont="1" applyBorder="1" applyAlignment="1">
      <alignment horizontal="center"/>
    </xf>
    <xf numFmtId="0" fontId="11" fillId="0" borderId="11" xfId="0" applyFont="1" applyBorder="1" applyAlignment="1">
      <alignment horizontal="center"/>
    </xf>
    <xf numFmtId="0" fontId="12" fillId="0" borderId="11" xfId="0" applyFont="1" applyBorder="1" applyAlignment="1">
      <alignment horizontal="center"/>
    </xf>
    <xf numFmtId="0" fontId="11" fillId="0" borderId="11" xfId="0" applyFont="1" applyBorder="1" applyAlignment="1">
      <alignment horizontal="center" vertical="center"/>
    </xf>
    <xf numFmtId="0" fontId="9" fillId="0" borderId="1" xfId="0" applyFont="1" applyBorder="1" applyAlignment="1">
      <alignment horizontal="center"/>
    </xf>
    <xf numFmtId="0" fontId="13" fillId="2" borderId="12" xfId="0" applyFont="1" applyFill="1" applyBorder="1" applyAlignment="1">
      <alignment horizontal="center" vertical="center"/>
    </xf>
    <xf numFmtId="0" fontId="14" fillId="3" borderId="12"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5" fillId="3" borderId="13" xfId="0" applyFont="1" applyFill="1" applyBorder="1" applyAlignment="1">
      <alignment horizontal="left" vertical="center"/>
    </xf>
    <xf numFmtId="0" fontId="14" fillId="3" borderId="14" xfId="0" applyFont="1" applyFill="1" applyBorder="1" applyAlignment="1">
      <alignment horizontal="left" vertical="center"/>
    </xf>
    <xf numFmtId="0" fontId="2" fillId="3" borderId="15" xfId="0" applyFont="1" applyFill="1" applyBorder="1" applyAlignment="1">
      <alignment horizontal="center"/>
    </xf>
    <xf numFmtId="0" fontId="16" fillId="3" borderId="13" xfId="0" applyFont="1" applyFill="1" applyBorder="1" applyAlignment="1">
      <alignment horizontal="left" vertical="center"/>
    </xf>
    <xf numFmtId="0" fontId="6" fillId="3" borderId="13" xfId="0" applyFont="1" applyFill="1" applyBorder="1" applyAlignment="1">
      <alignment horizontal="center" vertical="center"/>
    </xf>
    <xf numFmtId="0" fontId="6" fillId="3" borderId="14" xfId="0" applyFont="1" applyFill="1" applyBorder="1" applyAlignment="1">
      <alignment horizontal="left" vertical="center"/>
    </xf>
    <xf numFmtId="0" fontId="13" fillId="2" borderId="16" xfId="0" applyFont="1" applyFill="1" applyBorder="1" applyAlignment="1">
      <alignment horizontal="center" vertical="center"/>
    </xf>
    <xf numFmtId="0" fontId="14" fillId="3" borderId="16" xfId="0" applyFont="1" applyFill="1" applyBorder="1" applyAlignment="1">
      <alignment horizontal="center" vertical="center" wrapText="1"/>
    </xf>
    <xf numFmtId="0" fontId="15" fillId="3" borderId="17" xfId="0" applyFont="1" applyFill="1" applyBorder="1" applyAlignment="1">
      <alignment horizontal="center" vertical="center" wrapText="1"/>
    </xf>
    <xf numFmtId="0" fontId="15" fillId="3" borderId="0" xfId="0" applyFont="1" applyFill="1" applyAlignment="1">
      <alignment horizontal="left" vertical="center"/>
    </xf>
    <xf numFmtId="0" fontId="17" fillId="3" borderId="18" xfId="0" applyFont="1" applyFill="1" applyBorder="1" applyAlignment="1">
      <alignment horizontal="left" vertical="center"/>
    </xf>
    <xf numFmtId="0" fontId="2" fillId="3" borderId="4" xfId="0" applyFont="1" applyFill="1" applyBorder="1" applyAlignment="1">
      <alignment horizontal="center"/>
    </xf>
    <xf numFmtId="0" fontId="16" fillId="3" borderId="3" xfId="0" applyFont="1" applyFill="1" applyBorder="1" applyAlignment="1">
      <alignment horizontal="left" vertical="center"/>
    </xf>
    <xf numFmtId="0" fontId="6" fillId="3" borderId="3" xfId="0" applyFont="1" applyFill="1" applyBorder="1" applyAlignment="1">
      <alignment horizontal="center" vertical="center"/>
    </xf>
    <xf numFmtId="0" fontId="6" fillId="3" borderId="18" xfId="0" applyFont="1" applyFill="1" applyBorder="1" applyAlignment="1">
      <alignment horizontal="left" vertical="center"/>
    </xf>
    <xf numFmtId="0" fontId="15" fillId="3" borderId="19" xfId="0" applyFont="1" applyFill="1" applyBorder="1" applyAlignment="1">
      <alignment horizontal="left" vertical="center"/>
    </xf>
    <xf numFmtId="0" fontId="15" fillId="3" borderId="20" xfId="0" applyFont="1" applyFill="1" applyBorder="1" applyAlignment="1">
      <alignment horizontal="center" vertical="center" wrapText="1"/>
    </xf>
    <xf numFmtId="0" fontId="15" fillId="3" borderId="21" xfId="0" applyFont="1" applyFill="1" applyBorder="1" applyAlignment="1">
      <alignment horizontal="left" vertical="center"/>
    </xf>
    <xf numFmtId="0" fontId="17" fillId="3" borderId="22" xfId="0" applyFont="1" applyFill="1" applyBorder="1" applyAlignment="1">
      <alignment horizontal="left" vertical="center"/>
    </xf>
    <xf numFmtId="0" fontId="16" fillId="3" borderId="5" xfId="0" applyFont="1" applyFill="1" applyBorder="1" applyAlignment="1">
      <alignment horizontal="left" vertical="center"/>
    </xf>
    <xf numFmtId="0" fontId="6" fillId="3" borderId="5" xfId="0" applyFont="1" applyFill="1" applyBorder="1" applyAlignment="1">
      <alignment horizontal="center" vertical="center"/>
    </xf>
    <xf numFmtId="0" fontId="6" fillId="3" borderId="23" xfId="0" applyFont="1" applyFill="1" applyBorder="1" applyAlignment="1">
      <alignment horizontal="left" vertical="center"/>
    </xf>
    <xf numFmtId="0" fontId="17" fillId="3" borderId="14" xfId="0" applyFont="1" applyFill="1" applyBorder="1" applyAlignment="1">
      <alignment horizontal="left" vertical="center"/>
    </xf>
    <xf numFmtId="0" fontId="2" fillId="3" borderId="9" xfId="0" applyFont="1" applyFill="1" applyBorder="1" applyAlignment="1">
      <alignment horizontal="center"/>
    </xf>
    <xf numFmtId="0" fontId="16" fillId="3" borderId="2" xfId="0" applyFont="1" applyFill="1" applyBorder="1" applyAlignment="1">
      <alignment horizontal="left" vertical="center"/>
    </xf>
    <xf numFmtId="0" fontId="6" fillId="3" borderId="2" xfId="0" applyFont="1" applyFill="1" applyBorder="1" applyAlignment="1">
      <alignment horizontal="center" vertical="center"/>
    </xf>
    <xf numFmtId="0" fontId="6" fillId="3" borderId="24" xfId="0" applyFont="1" applyFill="1" applyBorder="1" applyAlignment="1">
      <alignment horizontal="left" vertical="center"/>
    </xf>
    <xf numFmtId="0" fontId="15" fillId="3" borderId="2" xfId="0" applyFont="1" applyFill="1" applyBorder="1" applyAlignment="1">
      <alignment horizontal="left" vertical="center"/>
    </xf>
    <xf numFmtId="0" fontId="15" fillId="3" borderId="25" xfId="0" applyFont="1" applyFill="1" applyBorder="1" applyAlignment="1">
      <alignment horizontal="left" vertical="center"/>
    </xf>
    <xf numFmtId="0" fontId="2" fillId="3" borderId="8" xfId="0" applyFont="1" applyFill="1" applyBorder="1" applyAlignment="1">
      <alignment horizontal="center"/>
    </xf>
    <xf numFmtId="0" fontId="16" fillId="3" borderId="6" xfId="0" applyFont="1" applyFill="1" applyBorder="1" applyAlignment="1">
      <alignment horizontal="left" vertical="center"/>
    </xf>
    <xf numFmtId="0" fontId="6" fillId="3" borderId="6" xfId="0" applyFont="1" applyFill="1" applyBorder="1" applyAlignment="1">
      <alignment horizontal="center" vertical="center"/>
    </xf>
    <xf numFmtId="0" fontId="6" fillId="3" borderId="26" xfId="0" applyFont="1" applyFill="1" applyBorder="1" applyAlignment="1">
      <alignment horizontal="left" vertical="center"/>
    </xf>
    <xf numFmtId="0" fontId="2" fillId="3" borderId="27" xfId="0" applyFont="1" applyFill="1" applyBorder="1" applyAlignment="1">
      <alignment horizontal="center"/>
    </xf>
    <xf numFmtId="0" fontId="16" fillId="3" borderId="25" xfId="0" applyFont="1" applyFill="1" applyBorder="1" applyAlignment="1">
      <alignment horizontal="left" vertical="center"/>
    </xf>
    <xf numFmtId="0" fontId="6" fillId="3" borderId="25" xfId="0" applyFont="1" applyFill="1" applyBorder="1" applyAlignment="1">
      <alignment horizontal="center" vertical="center"/>
    </xf>
    <xf numFmtId="0" fontId="6" fillId="3" borderId="28" xfId="0" applyFont="1" applyFill="1" applyBorder="1" applyAlignment="1">
      <alignment horizontal="left" vertical="center"/>
    </xf>
    <xf numFmtId="0" fontId="17" fillId="3" borderId="2" xfId="0" applyFont="1" applyFill="1" applyBorder="1" applyAlignment="1">
      <alignment horizontal="left" vertical="center"/>
    </xf>
    <xf numFmtId="0" fontId="17" fillId="3" borderId="3" xfId="0" applyFont="1" applyFill="1" applyBorder="1" applyAlignment="1">
      <alignment horizontal="left" vertical="center"/>
    </xf>
    <xf numFmtId="0" fontId="15" fillId="3" borderId="6" xfId="0" applyFont="1" applyFill="1" applyBorder="1" applyAlignment="1">
      <alignment horizontal="left" vertical="center"/>
    </xf>
    <xf numFmtId="0" fontId="17" fillId="3" borderId="5" xfId="0" applyFont="1" applyFill="1" applyBorder="1" applyAlignment="1">
      <alignment horizontal="left" vertical="center"/>
    </xf>
    <xf numFmtId="0" fontId="17" fillId="3" borderId="13" xfId="0" applyFont="1" applyFill="1" applyBorder="1" applyAlignment="1">
      <alignment horizontal="left" vertical="center"/>
    </xf>
    <xf numFmtId="0" fontId="17" fillId="3" borderId="21" xfId="0" applyFont="1" applyFill="1" applyBorder="1" applyAlignment="1">
      <alignment horizontal="left" vertical="center"/>
    </xf>
    <xf numFmtId="0" fontId="17" fillId="3" borderId="23" xfId="0" applyFont="1" applyFill="1" applyBorder="1" applyAlignment="1">
      <alignment horizontal="left" vertical="center"/>
    </xf>
    <xf numFmtId="0" fontId="16" fillId="3" borderId="10" xfId="0" applyFont="1" applyFill="1" applyBorder="1" applyAlignment="1">
      <alignment horizontal="center" vertical="center" wrapText="1"/>
    </xf>
    <xf numFmtId="0" fontId="16" fillId="3" borderId="17" xfId="0" applyFont="1" applyFill="1" applyBorder="1" applyAlignment="1">
      <alignment horizontal="center" vertical="center" wrapText="1"/>
    </xf>
    <xf numFmtId="0" fontId="16" fillId="3" borderId="0" xfId="0" applyFont="1" applyFill="1" applyAlignment="1">
      <alignment horizontal="left" vertical="center"/>
    </xf>
    <xf numFmtId="0" fontId="16" fillId="3" borderId="19" xfId="0" applyFont="1" applyFill="1" applyBorder="1" applyAlignment="1">
      <alignment horizontal="left" vertical="center"/>
    </xf>
    <xf numFmtId="0" fontId="16" fillId="3" borderId="20" xfId="0" applyFont="1" applyFill="1" applyBorder="1" applyAlignment="1">
      <alignment horizontal="center" vertical="center" wrapText="1"/>
    </xf>
    <xf numFmtId="0" fontId="16" fillId="3" borderId="21" xfId="0" applyFont="1" applyFill="1" applyBorder="1" applyAlignment="1">
      <alignment horizontal="left" vertical="center"/>
    </xf>
    <xf numFmtId="0" fontId="14" fillId="4" borderId="16" xfId="0" applyFont="1" applyFill="1" applyBorder="1" applyAlignment="1">
      <alignment horizontal="center" vertical="center" wrapText="1"/>
    </xf>
    <xf numFmtId="0" fontId="16" fillId="4" borderId="10" xfId="0" applyFont="1" applyFill="1" applyBorder="1" applyAlignment="1">
      <alignment horizontal="center" vertical="center" wrapText="1"/>
    </xf>
    <xf numFmtId="0" fontId="16" fillId="4" borderId="13" xfId="0" applyFont="1" applyFill="1" applyBorder="1" applyAlignment="1">
      <alignment horizontal="left" vertical="center"/>
    </xf>
    <xf numFmtId="0" fontId="17" fillId="4" borderId="14" xfId="0" applyFont="1" applyFill="1" applyBorder="1" applyAlignment="1">
      <alignment horizontal="left" vertical="center"/>
    </xf>
    <xf numFmtId="0" fontId="2" fillId="4" borderId="15" xfId="0" applyFont="1" applyFill="1" applyBorder="1" applyAlignment="1">
      <alignment horizontal="center"/>
    </xf>
    <xf numFmtId="0" fontId="6" fillId="4" borderId="13" xfId="0" applyFont="1" applyFill="1" applyBorder="1" applyAlignment="1">
      <alignment horizontal="center" vertical="center"/>
    </xf>
    <xf numFmtId="0" fontId="16" fillId="4" borderId="29" xfId="0" applyFont="1" applyFill="1" applyBorder="1" applyAlignment="1">
      <alignment horizontal="left" vertical="center"/>
    </xf>
    <xf numFmtId="0" fontId="15" fillId="4" borderId="3" xfId="0" applyFont="1" applyFill="1" applyBorder="1" applyAlignment="1">
      <alignment horizontal="left" vertical="center"/>
    </xf>
    <xf numFmtId="0" fontId="16" fillId="4" borderId="17" xfId="0" applyFont="1" applyFill="1" applyBorder="1" applyAlignment="1">
      <alignment horizontal="center" vertical="center" wrapText="1"/>
    </xf>
    <xf numFmtId="0" fontId="16" fillId="4" borderId="0" xfId="0" applyFont="1" applyFill="1" applyAlignment="1">
      <alignment horizontal="left" vertical="center"/>
    </xf>
    <xf numFmtId="0" fontId="17" fillId="4" borderId="18" xfId="0" applyFont="1" applyFill="1" applyBorder="1" applyAlignment="1">
      <alignment horizontal="left" vertical="center"/>
    </xf>
    <xf numFmtId="0" fontId="2" fillId="4" borderId="4" xfId="0" applyFont="1" applyFill="1" applyBorder="1" applyAlignment="1">
      <alignment horizontal="center"/>
    </xf>
    <xf numFmtId="0" fontId="16" fillId="4" borderId="3" xfId="0" applyFont="1" applyFill="1" applyBorder="1" applyAlignment="1">
      <alignment horizontal="left" vertical="center"/>
    </xf>
    <xf numFmtId="0" fontId="6" fillId="4" borderId="3" xfId="0" applyFont="1" applyFill="1" applyBorder="1" applyAlignment="1">
      <alignment horizontal="center" vertical="center"/>
    </xf>
    <xf numFmtId="0" fontId="16" fillId="4" borderId="30" xfId="0" applyFont="1" applyFill="1" applyBorder="1" applyAlignment="1">
      <alignment horizontal="left" vertical="center"/>
    </xf>
    <xf numFmtId="0" fontId="16" fillId="4" borderId="19" xfId="0" applyFont="1" applyFill="1" applyBorder="1" applyAlignment="1">
      <alignment horizontal="left" vertical="center"/>
    </xf>
    <xf numFmtId="0" fontId="16" fillId="4" borderId="20" xfId="0" applyFont="1" applyFill="1" applyBorder="1" applyAlignment="1">
      <alignment horizontal="center" vertical="center" wrapText="1"/>
    </xf>
    <xf numFmtId="0" fontId="16" fillId="4" borderId="21" xfId="0" applyFont="1" applyFill="1" applyBorder="1" applyAlignment="1">
      <alignment horizontal="left" vertical="center"/>
    </xf>
    <xf numFmtId="0" fontId="17" fillId="4" borderId="22" xfId="0" applyFont="1" applyFill="1" applyBorder="1" applyAlignment="1">
      <alignment horizontal="left" vertical="center"/>
    </xf>
    <xf numFmtId="0" fontId="2" fillId="4" borderId="7" xfId="0" applyFont="1" applyFill="1" applyBorder="1" applyAlignment="1">
      <alignment horizontal="center"/>
    </xf>
    <xf numFmtId="0" fontId="16" fillId="4" borderId="5" xfId="0" applyFont="1" applyFill="1" applyBorder="1" applyAlignment="1">
      <alignment horizontal="left" vertical="center"/>
    </xf>
    <xf numFmtId="0" fontId="16" fillId="4" borderId="31" xfId="0" applyFont="1" applyFill="1" applyBorder="1" applyAlignment="1">
      <alignment horizontal="left" vertical="center"/>
    </xf>
    <xf numFmtId="0" fontId="6" fillId="4" borderId="5" xfId="0" applyFont="1" applyFill="1" applyBorder="1" applyAlignment="1">
      <alignment horizontal="center" vertical="center"/>
    </xf>
    <xf numFmtId="0" fontId="14" fillId="4" borderId="32" xfId="0" applyFont="1" applyFill="1" applyBorder="1" applyAlignment="1">
      <alignment horizontal="center" vertical="center" wrapText="1"/>
    </xf>
    <xf numFmtId="0" fontId="17" fillId="4" borderId="23" xfId="0" applyFont="1" applyFill="1" applyBorder="1" applyAlignment="1">
      <alignment horizontal="left" vertical="center"/>
    </xf>
    <xf numFmtId="0" fontId="15" fillId="4" borderId="5" xfId="0" applyFont="1" applyFill="1" applyBorder="1" applyAlignment="1">
      <alignment horizontal="left" vertical="center"/>
    </xf>
    <xf numFmtId="0" fontId="16" fillId="3" borderId="29" xfId="0" applyFont="1" applyFill="1" applyBorder="1" applyAlignment="1">
      <alignment horizontal="left" vertical="center"/>
    </xf>
    <xf numFmtId="0" fontId="15" fillId="3" borderId="14" xfId="0" applyFont="1" applyFill="1" applyBorder="1" applyAlignment="1">
      <alignment horizontal="left" vertical="center"/>
    </xf>
    <xf numFmtId="0" fontId="16" fillId="3" borderId="30" xfId="0" applyFont="1" applyFill="1" applyBorder="1" applyAlignment="1">
      <alignment horizontal="left" vertical="center"/>
    </xf>
    <xf numFmtId="0" fontId="15" fillId="3" borderId="18" xfId="0" applyFont="1" applyFill="1" applyBorder="1" applyAlignment="1">
      <alignment horizontal="left" vertical="center"/>
    </xf>
    <xf numFmtId="0" fontId="2" fillId="3" borderId="33" xfId="0" applyFont="1" applyFill="1" applyBorder="1" applyAlignment="1">
      <alignment horizontal="center"/>
    </xf>
    <xf numFmtId="0" fontId="6" fillId="3" borderId="21" xfId="0" applyFont="1" applyFill="1" applyBorder="1" applyAlignment="1">
      <alignment horizontal="center" vertical="center"/>
    </xf>
    <xf numFmtId="0" fontId="16" fillId="3" borderId="34" xfId="0" applyFont="1" applyFill="1" applyBorder="1" applyAlignment="1">
      <alignment horizontal="left" vertical="center"/>
    </xf>
    <xf numFmtId="0" fontId="15" fillId="3" borderId="22" xfId="0" applyFont="1" applyFill="1" applyBorder="1" applyAlignment="1">
      <alignment horizontal="left" vertical="center"/>
    </xf>
    <xf numFmtId="0" fontId="17" fillId="3" borderId="24" xfId="0" applyFont="1" applyFill="1" applyBorder="1" applyAlignment="1">
      <alignment horizontal="left" vertical="center"/>
    </xf>
    <xf numFmtId="0" fontId="16" fillId="3" borderId="35" xfId="0" applyFont="1" applyFill="1" applyBorder="1" applyAlignment="1">
      <alignment horizontal="left" vertical="center"/>
    </xf>
    <xf numFmtId="0" fontId="15" fillId="3" borderId="3" xfId="0" applyFont="1" applyFill="1" applyBorder="1" applyAlignment="1">
      <alignment horizontal="left" vertical="center"/>
    </xf>
    <xf numFmtId="0" fontId="14" fillId="4" borderId="12" xfId="0" applyFont="1" applyFill="1" applyBorder="1" applyAlignment="1">
      <alignment horizontal="center" vertical="center" wrapText="1"/>
    </xf>
    <xf numFmtId="0" fontId="6" fillId="4" borderId="3" xfId="0" applyFont="1" applyFill="1" applyBorder="1" applyAlignment="1">
      <alignment horizontal="left" vertical="center"/>
    </xf>
    <xf numFmtId="0" fontId="17" fillId="4" borderId="3" xfId="0" applyFont="1" applyFill="1" applyBorder="1" applyAlignment="1">
      <alignment horizontal="left" vertical="center"/>
    </xf>
    <xf numFmtId="0" fontId="2" fillId="4" borderId="3" xfId="0" applyFont="1" applyFill="1" applyBorder="1" applyAlignment="1">
      <alignment horizontal="center"/>
    </xf>
    <xf numFmtId="0" fontId="2" fillId="4" borderId="33" xfId="0" applyFont="1" applyFill="1" applyBorder="1" applyAlignment="1">
      <alignment horizontal="center"/>
    </xf>
    <xf numFmtId="0" fontId="17" fillId="4" borderId="21" xfId="0" applyFont="1" applyFill="1" applyBorder="1" applyAlignment="1">
      <alignment horizontal="left" vertical="center"/>
    </xf>
    <xf numFmtId="0" fontId="6" fillId="4" borderId="21" xfId="0" applyFont="1" applyFill="1" applyBorder="1" applyAlignment="1">
      <alignment horizontal="center" vertical="center"/>
    </xf>
    <xf numFmtId="0" fontId="16" fillId="4" borderId="34" xfId="0" applyFont="1" applyFill="1" applyBorder="1" applyAlignment="1">
      <alignment horizontal="left" vertical="center"/>
    </xf>
    <xf numFmtId="0" fontId="15" fillId="4" borderId="10" xfId="0" applyFont="1" applyFill="1" applyBorder="1" applyAlignment="1">
      <alignment horizontal="center" vertical="center" wrapText="1"/>
    </xf>
    <xf numFmtId="0" fontId="15" fillId="4" borderId="13" xfId="0" applyFont="1" applyFill="1" applyBorder="1" applyAlignment="1">
      <alignment horizontal="left" vertical="center"/>
    </xf>
    <xf numFmtId="0" fontId="14" fillId="4" borderId="14" xfId="0" applyFont="1" applyFill="1" applyBorder="1" applyAlignment="1">
      <alignment horizontal="left" vertical="center"/>
    </xf>
    <xf numFmtId="0" fontId="15" fillId="4" borderId="17" xfId="0" applyFont="1" applyFill="1" applyBorder="1" applyAlignment="1">
      <alignment horizontal="center" vertical="center" wrapText="1"/>
    </xf>
    <xf numFmtId="0" fontId="15" fillId="4" borderId="0" xfId="0" applyFont="1" applyFill="1" applyAlignment="1">
      <alignment horizontal="left" vertical="center"/>
    </xf>
    <xf numFmtId="0" fontId="15" fillId="4" borderId="19" xfId="0" applyFont="1" applyFill="1" applyBorder="1" applyAlignment="1">
      <alignment horizontal="left" vertical="center"/>
    </xf>
    <xf numFmtId="0" fontId="15" fillId="4" borderId="20" xfId="0" applyFont="1" applyFill="1" applyBorder="1" applyAlignment="1">
      <alignment horizontal="center" vertical="center" wrapText="1"/>
    </xf>
    <xf numFmtId="0" fontId="15" fillId="4" borderId="21" xfId="0" applyFont="1" applyFill="1" applyBorder="1" applyAlignment="1">
      <alignment horizontal="left" vertical="center"/>
    </xf>
    <xf numFmtId="0" fontId="16" fillId="3" borderId="14" xfId="0" applyFont="1" applyFill="1" applyBorder="1" applyAlignment="1">
      <alignment horizontal="left" vertical="center"/>
    </xf>
    <xf numFmtId="0" fontId="6" fillId="3" borderId="15" xfId="0" applyFont="1" applyFill="1" applyBorder="1" applyAlignment="1">
      <alignment horizontal="center"/>
    </xf>
    <xf numFmtId="0" fontId="6" fillId="3" borderId="3" xfId="0" applyFont="1" applyFill="1" applyBorder="1" applyAlignment="1">
      <alignment horizontal="center"/>
    </xf>
    <xf numFmtId="0" fontId="6" fillId="3" borderId="21" xfId="0" applyFont="1" applyFill="1" applyBorder="1" applyAlignment="1">
      <alignment horizontal="center"/>
    </xf>
    <xf numFmtId="0" fontId="6" fillId="3" borderId="5" xfId="0" applyFont="1" applyFill="1" applyBorder="1" applyAlignment="1">
      <alignment horizontal="center"/>
    </xf>
    <xf numFmtId="0" fontId="16" fillId="3" borderId="31" xfId="0" applyFont="1" applyFill="1" applyBorder="1" applyAlignment="1">
      <alignment horizontal="left" vertical="center"/>
    </xf>
    <xf numFmtId="0" fontId="15" fillId="3" borderId="5" xfId="0" applyFont="1" applyFill="1" applyBorder="1" applyAlignment="1">
      <alignment horizontal="left" vertical="center"/>
    </xf>
    <xf numFmtId="0" fontId="6" fillId="3" borderId="2" xfId="0" applyFont="1" applyFill="1" applyBorder="1" applyAlignment="1">
      <alignment horizontal="center"/>
    </xf>
    <xf numFmtId="0" fontId="14" fillId="3" borderId="32" xfId="0" applyFont="1" applyFill="1" applyBorder="1" applyAlignment="1">
      <alignment horizontal="center" vertical="center" wrapText="1"/>
    </xf>
    <xf numFmtId="0" fontId="6" fillId="4" borderId="14" xfId="0" applyFont="1" applyFill="1" applyBorder="1" applyAlignment="1">
      <alignment horizontal="left" vertical="center"/>
    </xf>
    <xf numFmtId="0" fontId="6" fillId="4" borderId="18" xfId="0" applyFont="1" applyFill="1" applyBorder="1" applyAlignment="1">
      <alignment horizontal="left" vertical="center"/>
    </xf>
    <xf numFmtId="0" fontId="2" fillId="4" borderId="21" xfId="0" applyFont="1" applyFill="1" applyBorder="1" applyAlignment="1">
      <alignment horizontal="center"/>
    </xf>
    <xf numFmtId="0" fontId="6" fillId="4" borderId="22" xfId="0" applyFont="1" applyFill="1" applyBorder="1" applyAlignment="1">
      <alignment horizontal="left" vertical="center"/>
    </xf>
    <xf numFmtId="0" fontId="13" fillId="2" borderId="32" xfId="0" applyFont="1" applyFill="1" applyBorder="1" applyAlignment="1">
      <alignment horizontal="center" vertical="center"/>
    </xf>
    <xf numFmtId="0" fontId="2" fillId="3" borderId="36" xfId="0" applyFont="1" applyFill="1" applyBorder="1" applyAlignment="1">
      <alignment horizont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6" fillId="0" borderId="2" xfId="0" applyFont="1" applyBorder="1" applyAlignment="1">
      <alignment horizontal="center" vertical="center"/>
    </xf>
    <xf numFmtId="0" fontId="18" fillId="0" borderId="3" xfId="0" applyFont="1" applyBorder="1" applyAlignment="1">
      <alignment horizontal="center" vertical="top"/>
    </xf>
    <xf numFmtId="0" fontId="19" fillId="0" borderId="3" xfId="0" applyFont="1" applyBorder="1" applyAlignment="1">
      <alignment horizontal="center" vertical="top" wrapText="1"/>
    </xf>
    <xf numFmtId="0" fontId="19" fillId="0" borderId="3" xfId="0" applyFont="1" applyBorder="1" applyAlignment="1">
      <alignment horizontal="center" vertical="top"/>
    </xf>
    <xf numFmtId="0" fontId="18" fillId="0" borderId="3" xfId="0" applyFont="1" applyBorder="1" applyAlignment="1">
      <alignment vertical="top"/>
    </xf>
    <xf numFmtId="0" fontId="6" fillId="5" borderId="3" xfId="0" applyFont="1" applyFill="1" applyBorder="1" applyAlignment="1">
      <alignment horizontal="center" vertical="center" wrapText="1"/>
    </xf>
    <xf numFmtId="0" fontId="6" fillId="5" borderId="3" xfId="0" applyFont="1" applyFill="1" applyBorder="1"/>
    <xf numFmtId="0" fontId="6" fillId="5" borderId="5" xfId="0" applyFont="1" applyFill="1" applyBorder="1" applyAlignment="1">
      <alignment horizontal="center" vertical="center"/>
    </xf>
    <xf numFmtId="0" fontId="6" fillId="5" borderId="5" xfId="0" applyFont="1" applyFill="1" applyBorder="1" applyAlignment="1">
      <alignment horizontal="center" vertical="center" wrapText="1"/>
    </xf>
    <xf numFmtId="0" fontId="6" fillId="5" borderId="6" xfId="0" applyFont="1" applyFill="1" applyBorder="1" applyAlignment="1">
      <alignment horizontal="center" vertical="center"/>
    </xf>
    <xf numFmtId="0" fontId="6" fillId="5" borderId="6"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5" borderId="2" xfId="0" applyFont="1" applyFill="1" applyBorder="1" applyAlignment="1">
      <alignment horizontal="center" vertical="center"/>
    </xf>
    <xf numFmtId="0" fontId="6" fillId="2" borderId="3" xfId="0" applyFont="1" applyFill="1" applyBorder="1" applyAlignment="1">
      <alignment horizontal="center" vertical="center" wrapText="1"/>
    </xf>
    <xf numFmtId="0" fontId="6" fillId="2" borderId="3" xfId="0" applyFont="1" applyFill="1" applyBorder="1"/>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2" xfId="0" applyFont="1" applyFill="1" applyBorder="1" applyAlignment="1">
      <alignment horizontal="center" vertical="center"/>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0" fillId="0" borderId="0" xfId="0" applyAlignment="1"/>
    <xf numFmtId="0" fontId="0" fillId="0" borderId="0" xfId="0" applyAlignment="1">
      <alignment wrapText="1"/>
    </xf>
    <xf numFmtId="0" fontId="6" fillId="2" borderId="3" xfId="0" applyFont="1" applyFill="1" applyBorder="1" applyAlignment="1">
      <alignment horizontal="center" vertical="center"/>
    </xf>
    <xf numFmtId="0" fontId="6" fillId="5" borderId="3" xfId="0" applyFont="1" applyFill="1" applyBorder="1" applyAlignment="1">
      <alignment horizontal="center" vertical="center"/>
    </xf>
    <xf numFmtId="0" fontId="0" fillId="0" borderId="0" xfId="0" applyBorder="1" applyAlignment="1">
      <alignment wrapText="1"/>
    </xf>
    <xf numFmtId="0" fontId="0" fillId="0" borderId="0" xfId="0" applyAlignment="1">
      <alignment horizontal="center" wrapText="1"/>
    </xf>
    <xf numFmtId="0" fontId="9" fillId="0" borderId="11" xfId="0" applyFont="1" applyBorder="1" applyAlignment="1">
      <alignment horizontal="left"/>
    </xf>
    <xf numFmtId="0" fontId="9" fillId="0" borderId="11" xfId="0" applyFont="1" applyBorder="1" applyAlignment="1">
      <alignment horizontal="center" vertical="center"/>
    </xf>
    <xf numFmtId="0" fontId="6" fillId="5" borderId="3" xfId="0" applyFont="1" applyFill="1" applyBorder="1" applyAlignment="1">
      <alignment horizontal="center"/>
    </xf>
    <xf numFmtId="0" fontId="6" fillId="2" borderId="3" xfId="0" applyFont="1" applyFill="1" applyBorder="1" applyAlignment="1">
      <alignment horizontal="center"/>
    </xf>
    <xf numFmtId="0" fontId="6" fillId="5" borderId="3" xfId="0" applyFont="1" applyFill="1" applyBorder="1" applyAlignment="1">
      <alignment horizontal="center" vertical="center"/>
    </xf>
    <xf numFmtId="0" fontId="0" fillId="0" borderId="0" xfId="0"/>
    <xf numFmtId="0" fontId="5" fillId="0" borderId="37" xfId="0" applyFont="1" applyBorder="1"/>
    <xf numFmtId="0" fontId="5" fillId="0" borderId="13" xfId="0" applyFont="1" applyBorder="1"/>
    <xf numFmtId="0" fontId="5" fillId="0" borderId="14" xfId="0" applyFont="1" applyBorder="1"/>
    <xf numFmtId="0" fontId="0" fillId="0" borderId="36" xfId="0" applyBorder="1"/>
    <xf numFmtId="0" fontId="0" fillId="0" borderId="3" xfId="0" applyBorder="1"/>
    <xf numFmtId="9" fontId="0" fillId="0" borderId="18" xfId="1" applyFont="1" applyBorder="1"/>
    <xf numFmtId="0" fontId="5" fillId="0" borderId="21" xfId="0" applyFont="1" applyBorder="1"/>
    <xf numFmtId="9" fontId="5" fillId="0" borderId="22" xfId="1" applyFont="1" applyBorder="1"/>
    <xf numFmtId="0" fontId="6" fillId="2" borderId="3" xfId="0" applyFont="1" applyFill="1" applyBorder="1" applyAlignment="1">
      <alignment horizontal="center" vertical="center"/>
    </xf>
    <xf numFmtId="0" fontId="18" fillId="2" borderId="3" xfId="0" applyFont="1" applyFill="1" applyBorder="1" applyAlignment="1">
      <alignment horizontal="center" vertical="center"/>
    </xf>
    <xf numFmtId="0" fontId="18" fillId="2" borderId="3" xfId="0" applyFont="1" applyFill="1" applyBorder="1" applyAlignment="1">
      <alignment horizontal="left" vertical="center"/>
    </xf>
    <xf numFmtId="0" fontId="18" fillId="2" borderId="13" xfId="0" applyFont="1" applyFill="1" applyBorder="1" applyAlignment="1">
      <alignment horizontal="left" vertical="center"/>
    </xf>
    <xf numFmtId="0" fontId="6" fillId="2" borderId="3" xfId="0" applyFont="1" applyFill="1" applyBorder="1" applyAlignment="1">
      <alignment horizontal="left" vertical="center"/>
    </xf>
    <xf numFmtId="0" fontId="6" fillId="5" borderId="3" xfId="0" applyFont="1" applyFill="1" applyBorder="1" applyAlignment="1">
      <alignment horizontal="left" vertical="center"/>
    </xf>
    <xf numFmtId="0" fontId="0" fillId="0" borderId="0" xfId="0" applyAlignment="1">
      <alignment horizontal="left"/>
    </xf>
    <xf numFmtId="0" fontId="0" fillId="0" borderId="0" xfId="0" applyAlignment="1">
      <alignment horizontal="left" wrapText="1"/>
    </xf>
    <xf numFmtId="0" fontId="0" fillId="0" borderId="0" xfId="0" applyFont="1" applyAlignment="1">
      <alignment horizontal="center"/>
    </xf>
    <xf numFmtId="0" fontId="2" fillId="0" borderId="3" xfId="0" applyFont="1" applyBorder="1" applyAlignment="1">
      <alignment horizontal="center"/>
    </xf>
    <xf numFmtId="0" fontId="6" fillId="2" borderId="21" xfId="0" applyFont="1" applyFill="1" applyBorder="1" applyAlignment="1">
      <alignment horizontal="center" vertical="center"/>
    </xf>
    <xf numFmtId="0" fontId="6" fillId="5" borderId="21" xfId="0" applyFont="1" applyFill="1" applyBorder="1" applyAlignment="1">
      <alignment horizontal="center" vertical="center"/>
    </xf>
    <xf numFmtId="0" fontId="18" fillId="0" borderId="3" xfId="0" applyFont="1" applyBorder="1" applyAlignment="1">
      <alignment horizontal="center" vertical="center"/>
    </xf>
    <xf numFmtId="0" fontId="18" fillId="0" borderId="3" xfId="0" applyFont="1" applyBorder="1"/>
    <xf numFmtId="0" fontId="18" fillId="2" borderId="3" xfId="0" applyFont="1" applyFill="1" applyBorder="1" applyAlignment="1">
      <alignment horizontal="center"/>
    </xf>
    <xf numFmtId="0" fontId="18" fillId="2" borderId="3" xfId="0" applyFont="1" applyFill="1" applyBorder="1"/>
    <xf numFmtId="0" fontId="18" fillId="2" borderId="3" xfId="0" applyFont="1" applyFill="1" applyBorder="1" applyAlignment="1">
      <alignment horizontal="center" vertical="center" wrapText="1"/>
    </xf>
    <xf numFmtId="0" fontId="13"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20" fillId="3" borderId="13" xfId="0" applyFont="1" applyFill="1" applyBorder="1" applyAlignment="1">
      <alignment horizontal="left" vertical="center"/>
    </xf>
    <xf numFmtId="0" fontId="2" fillId="3" borderId="14" xfId="0" applyFont="1" applyFill="1" applyBorder="1" applyAlignment="1">
      <alignment horizontal="left" vertical="center"/>
    </xf>
    <xf numFmtId="0" fontId="13" fillId="3" borderId="16" xfId="0" applyFont="1" applyFill="1" applyBorder="1" applyAlignment="1">
      <alignment horizontal="center" vertical="center"/>
    </xf>
    <xf numFmtId="0" fontId="2" fillId="3" borderId="3" xfId="0" applyFont="1" applyFill="1" applyBorder="1" applyAlignment="1">
      <alignment horizontal="center"/>
    </xf>
    <xf numFmtId="0" fontId="2" fillId="3" borderId="3" xfId="0" applyFont="1" applyFill="1" applyBorder="1" applyAlignment="1">
      <alignment horizontal="center" vertical="center"/>
    </xf>
    <xf numFmtId="0" fontId="20" fillId="3" borderId="3" xfId="0" applyFont="1" applyFill="1" applyBorder="1" applyAlignment="1">
      <alignment horizontal="left" vertical="center"/>
    </xf>
    <xf numFmtId="0" fontId="2" fillId="3" borderId="18" xfId="0" applyFont="1" applyFill="1" applyBorder="1" applyAlignment="1">
      <alignment horizontal="left" vertical="center"/>
    </xf>
    <xf numFmtId="0" fontId="2" fillId="3" borderId="21" xfId="0" applyFont="1" applyFill="1" applyBorder="1" applyAlignment="1">
      <alignment horizontal="center"/>
    </xf>
    <xf numFmtId="0" fontId="2" fillId="3" borderId="21" xfId="0" applyFont="1" applyFill="1" applyBorder="1" applyAlignment="1">
      <alignment horizontal="center" vertical="center"/>
    </xf>
    <xf numFmtId="0" fontId="20" fillId="3" borderId="21" xfId="0" applyFont="1" applyFill="1" applyBorder="1" applyAlignment="1">
      <alignment horizontal="left" vertical="center"/>
    </xf>
    <xf numFmtId="0" fontId="2" fillId="3" borderId="22" xfId="0" applyFont="1" applyFill="1" applyBorder="1" applyAlignment="1">
      <alignment horizontal="left" vertical="center"/>
    </xf>
    <xf numFmtId="0" fontId="2" fillId="3" borderId="13" xfId="0" applyFont="1" applyFill="1" applyBorder="1" applyAlignment="1">
      <alignment horizontal="center"/>
    </xf>
    <xf numFmtId="0" fontId="14" fillId="3" borderId="24" xfId="0" applyFont="1" applyFill="1" applyBorder="1" applyAlignment="1">
      <alignment horizontal="left" vertical="center"/>
    </xf>
    <xf numFmtId="0" fontId="2" fillId="3" borderId="2" xfId="0" applyFont="1" applyFill="1" applyBorder="1" applyAlignment="1">
      <alignment horizontal="center" vertical="center"/>
    </xf>
    <xf numFmtId="0" fontId="20" fillId="3" borderId="2" xfId="0" applyFont="1" applyFill="1" applyBorder="1" applyAlignment="1">
      <alignment horizontal="left" vertical="center"/>
    </xf>
    <xf numFmtId="0" fontId="2" fillId="3" borderId="24" xfId="0" applyFont="1" applyFill="1" applyBorder="1" applyAlignment="1">
      <alignment horizontal="left" vertical="center"/>
    </xf>
    <xf numFmtId="0" fontId="13" fillId="4" borderId="12" xfId="0" applyFont="1" applyFill="1" applyBorder="1" applyAlignment="1">
      <alignment horizontal="center" vertical="center"/>
    </xf>
    <xf numFmtId="0" fontId="17" fillId="4" borderId="13" xfId="0" applyFont="1" applyFill="1" applyBorder="1" applyAlignment="1">
      <alignment horizontal="left" vertical="center"/>
    </xf>
    <xf numFmtId="0" fontId="2" fillId="4" borderId="13" xfId="0" applyFont="1" applyFill="1" applyBorder="1" applyAlignment="1">
      <alignment horizontal="center" vertical="center"/>
    </xf>
    <xf numFmtId="0" fontId="20" fillId="4" borderId="13" xfId="0" applyFont="1" applyFill="1" applyBorder="1" applyAlignment="1">
      <alignment horizontal="left" vertical="center"/>
    </xf>
    <xf numFmtId="0" fontId="2" fillId="4" borderId="14" xfId="0" applyFont="1" applyFill="1" applyBorder="1" applyAlignment="1">
      <alignment horizontal="left" vertical="center"/>
    </xf>
    <xf numFmtId="0" fontId="13" fillId="4" borderId="16" xfId="0" applyFont="1" applyFill="1" applyBorder="1" applyAlignment="1">
      <alignment horizontal="center" vertical="center"/>
    </xf>
    <xf numFmtId="0" fontId="2" fillId="4" borderId="3" xfId="0" applyFont="1" applyFill="1" applyBorder="1" applyAlignment="1">
      <alignment horizontal="center" vertical="center"/>
    </xf>
    <xf numFmtId="0" fontId="20" fillId="4" borderId="3" xfId="0" applyFont="1" applyFill="1" applyBorder="1" applyAlignment="1">
      <alignment horizontal="left" vertical="center"/>
    </xf>
    <xf numFmtId="0" fontId="2" fillId="4" borderId="18" xfId="0" applyFont="1" applyFill="1" applyBorder="1" applyAlignment="1">
      <alignment horizontal="left" vertical="center"/>
    </xf>
    <xf numFmtId="0" fontId="2" fillId="4" borderId="13" xfId="0" applyFont="1" applyFill="1" applyBorder="1" applyAlignment="1">
      <alignment horizontal="center"/>
    </xf>
    <xf numFmtId="0" fontId="2" fillId="4" borderId="9" xfId="0" applyFont="1" applyFill="1" applyBorder="1" applyAlignment="1">
      <alignment horizontal="center"/>
    </xf>
    <xf numFmtId="0" fontId="2" fillId="4" borderId="21" xfId="0" applyFont="1" applyFill="1" applyBorder="1" applyAlignment="1">
      <alignment horizontal="center" vertical="center"/>
    </xf>
    <xf numFmtId="0" fontId="20" fillId="4" borderId="21" xfId="0" applyFont="1" applyFill="1" applyBorder="1" applyAlignment="1">
      <alignment horizontal="left" vertical="center"/>
    </xf>
    <xf numFmtId="0" fontId="2" fillId="4" borderId="22" xfId="0" applyFont="1" applyFill="1" applyBorder="1" applyAlignment="1">
      <alignment horizontal="left" vertical="center"/>
    </xf>
    <xf numFmtId="0" fontId="21" fillId="4" borderId="13" xfId="0" applyFont="1" applyFill="1" applyBorder="1" applyAlignment="1">
      <alignment horizontal="left" vertical="center"/>
    </xf>
    <xf numFmtId="0" fontId="13" fillId="4" borderId="32" xfId="0" applyFont="1" applyFill="1" applyBorder="1" applyAlignment="1">
      <alignment horizontal="center" vertical="center"/>
    </xf>
    <xf numFmtId="0" fontId="21" fillId="3" borderId="13" xfId="0" applyFont="1" applyFill="1" applyBorder="1" applyAlignment="1">
      <alignment horizontal="left" vertical="center"/>
    </xf>
    <xf numFmtId="0" fontId="5" fillId="0" borderId="38" xfId="0" applyFont="1" applyBorder="1" applyAlignment="1">
      <alignment horizontal="right"/>
    </xf>
    <xf numFmtId="0" fontId="5" fillId="0" borderId="33" xfId="0" applyFont="1" applyBorder="1" applyAlignment="1">
      <alignment horizontal="right"/>
    </xf>
    <xf numFmtId="0" fontId="22" fillId="0" borderId="0" xfId="0" applyFont="1" applyAlignment="1">
      <alignment horizontal="center" vertical="center"/>
    </xf>
    <xf numFmtId="0" fontId="3" fillId="0" borderId="0" xfId="0" applyFont="1" applyAlignment="1">
      <alignment horizontal="center"/>
    </xf>
  </cellXfs>
  <cellStyles count="2">
    <cellStyle name="Normal" xfId="0" builtinId="0"/>
    <cellStyle name="Pourcentage" xfId="1" builtinId="5"/>
  </cellStyles>
  <dxfs count="1632">
    <dxf>
      <fill>
        <patternFill>
          <bgColor rgb="FFFFFF00"/>
        </patternFill>
      </fill>
    </dxf>
    <dxf>
      <fill>
        <patternFill>
          <bgColor rgb="FF00B05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1"/>
      </font>
      <fill>
        <patternFill>
          <bgColor rgb="FFFF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ill>
        <patternFill>
          <bgColor rgb="FFFFC000"/>
        </patternFill>
      </fill>
    </dxf>
    <dxf>
      <fill>
        <patternFill>
          <bgColor rgb="FFFF0000"/>
        </patternFill>
      </fill>
    </dxf>
    <dxf>
      <fill>
        <patternFill>
          <bgColor rgb="FF00B050"/>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5700"/>
      </font>
      <fill>
        <patternFill>
          <bgColor rgb="FFFFEB9C"/>
        </patternFill>
      </fill>
    </dxf>
    <dxf>
      <font>
        <color rgb="FF9C0006"/>
      </font>
      <fill>
        <patternFill>
          <bgColor rgb="FFFFC7CE"/>
        </patternFill>
      </fill>
    </dxf>
    <dxf>
      <font>
        <color theme="1"/>
      </font>
      <fill>
        <patternFill>
          <bgColor rgb="FFFF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ont>
        <color theme="1"/>
      </font>
      <fill>
        <patternFill>
          <bgColor rgb="FFFF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ill>
        <patternFill>
          <bgColor rgb="FFFFC000"/>
        </patternFill>
      </fill>
    </dxf>
    <dxf>
      <fill>
        <patternFill>
          <bgColor rgb="FFFF0000"/>
        </patternFill>
      </fill>
    </dxf>
    <dxf>
      <fill>
        <patternFill>
          <bgColor rgb="FF00B050"/>
        </patternFill>
      </fill>
    </dxf>
    <dxf>
      <font>
        <color theme="1"/>
      </font>
      <fill>
        <patternFill>
          <bgColor rgb="FFFF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ill>
        <patternFill>
          <bgColor rgb="FFFFC000"/>
        </patternFill>
      </fill>
    </dxf>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Synthèse!$E$6</c:f>
              <c:strCache>
                <c:ptCount val="1"/>
                <c:pt idx="0">
                  <c:v>Total OUI</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cat>
            <c:strRef>
              <c:f>Synthèse!$D$7:$D$12</c:f>
              <c:strCache>
                <c:ptCount val="6"/>
                <c:pt idx="0">
                  <c:v>COSO</c:v>
                </c:pt>
                <c:pt idx="1">
                  <c:v>Fonction_Informatique</c:v>
                </c:pt>
                <c:pt idx="2">
                  <c:v>Projets Informatiques</c:v>
                </c:pt>
                <c:pt idx="3">
                  <c:v>Support Utilisateur</c:v>
                </c:pt>
                <c:pt idx="4">
                  <c:v>Sécurité Informatique</c:v>
                </c:pt>
                <c:pt idx="5">
                  <c:v>Application_service</c:v>
                </c:pt>
              </c:strCache>
            </c:strRef>
          </c:cat>
          <c:val>
            <c:numRef>
              <c:f>Synthèse!$E$7:$E$12</c:f>
              <c:numCache>
                <c:formatCode>General</c:formatCode>
                <c:ptCount val="6"/>
                <c:pt idx="0">
                  <c:v>129</c:v>
                </c:pt>
                <c:pt idx="1">
                  <c:v>64</c:v>
                </c:pt>
                <c:pt idx="2">
                  <c:v>325</c:v>
                </c:pt>
                <c:pt idx="3">
                  <c:v>80</c:v>
                </c:pt>
                <c:pt idx="4">
                  <c:v>56</c:v>
                </c:pt>
                <c:pt idx="5">
                  <c:v>130</c:v>
                </c:pt>
              </c:numCache>
            </c:numRef>
          </c:val>
          <c:extLst>
            <c:ext xmlns:c16="http://schemas.microsoft.com/office/drawing/2014/chart" uri="{C3380CC4-5D6E-409C-BE32-E72D297353CC}">
              <c16:uniqueId val="{00000000-78D7-4D4A-B61D-78900F17178B}"/>
            </c:ext>
          </c:extLst>
        </c:ser>
        <c:ser>
          <c:idx val="1"/>
          <c:order val="1"/>
          <c:tx>
            <c:strRef>
              <c:f>Synthèse!$F$6</c:f>
              <c:strCache>
                <c:ptCount val="1"/>
                <c:pt idx="0">
                  <c:v>Total NON</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cat>
            <c:strRef>
              <c:f>Synthèse!$D$7:$D$12</c:f>
              <c:strCache>
                <c:ptCount val="6"/>
                <c:pt idx="0">
                  <c:v>COSO</c:v>
                </c:pt>
                <c:pt idx="1">
                  <c:v>Fonction_Informatique</c:v>
                </c:pt>
                <c:pt idx="2">
                  <c:v>Projets Informatiques</c:v>
                </c:pt>
                <c:pt idx="3">
                  <c:v>Support Utilisateur</c:v>
                </c:pt>
                <c:pt idx="4">
                  <c:v>Sécurité Informatique</c:v>
                </c:pt>
                <c:pt idx="5">
                  <c:v>Application_service</c:v>
                </c:pt>
              </c:strCache>
            </c:strRef>
          </c:cat>
          <c:val>
            <c:numRef>
              <c:f>Synthèse!$F$7:$F$12</c:f>
              <c:numCache>
                <c:formatCode>General</c:formatCode>
                <c:ptCount val="6"/>
                <c:pt idx="0">
                  <c:v>146</c:v>
                </c:pt>
                <c:pt idx="1">
                  <c:v>93</c:v>
                </c:pt>
                <c:pt idx="2">
                  <c:v>181</c:v>
                </c:pt>
                <c:pt idx="3">
                  <c:v>51</c:v>
                </c:pt>
                <c:pt idx="4">
                  <c:v>49</c:v>
                </c:pt>
                <c:pt idx="5">
                  <c:v>90</c:v>
                </c:pt>
              </c:numCache>
            </c:numRef>
          </c:val>
          <c:extLst>
            <c:ext xmlns:c16="http://schemas.microsoft.com/office/drawing/2014/chart" uri="{C3380CC4-5D6E-409C-BE32-E72D297353CC}">
              <c16:uniqueId val="{00000001-78D7-4D4A-B61D-78900F17178B}"/>
            </c:ext>
          </c:extLst>
        </c:ser>
        <c:ser>
          <c:idx val="2"/>
          <c:order val="2"/>
          <c:tx>
            <c:strRef>
              <c:f>Synthèse!$G$6</c:f>
              <c:strCache>
                <c:ptCount val="1"/>
                <c:pt idx="0">
                  <c:v>Total PAS</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cat>
            <c:strRef>
              <c:f>Synthèse!$D$7:$D$12</c:f>
              <c:strCache>
                <c:ptCount val="6"/>
                <c:pt idx="0">
                  <c:v>COSO</c:v>
                </c:pt>
                <c:pt idx="1">
                  <c:v>Fonction_Informatique</c:v>
                </c:pt>
                <c:pt idx="2">
                  <c:v>Projets Informatiques</c:v>
                </c:pt>
                <c:pt idx="3">
                  <c:v>Support Utilisateur</c:v>
                </c:pt>
                <c:pt idx="4">
                  <c:v>Sécurité Informatique</c:v>
                </c:pt>
                <c:pt idx="5">
                  <c:v>Application_service</c:v>
                </c:pt>
              </c:strCache>
            </c:strRef>
          </c:cat>
          <c:val>
            <c:numRef>
              <c:f>Synthèse!$G$7:$G$12</c:f>
              <c:numCache>
                <c:formatCode>General</c:formatCode>
                <c:ptCount val="6"/>
                <c:pt idx="0">
                  <c:v>45</c:v>
                </c:pt>
                <c:pt idx="1">
                  <c:v>39</c:v>
                </c:pt>
                <c:pt idx="2">
                  <c:v>79</c:v>
                </c:pt>
                <c:pt idx="3">
                  <c:v>24</c:v>
                </c:pt>
                <c:pt idx="4">
                  <c:v>20</c:v>
                </c:pt>
                <c:pt idx="5">
                  <c:v>35</c:v>
                </c:pt>
              </c:numCache>
            </c:numRef>
          </c:val>
          <c:extLst>
            <c:ext xmlns:c16="http://schemas.microsoft.com/office/drawing/2014/chart" uri="{C3380CC4-5D6E-409C-BE32-E72D297353CC}">
              <c16:uniqueId val="{00000002-78D7-4D4A-B61D-78900F17178B}"/>
            </c:ext>
          </c:extLst>
        </c:ser>
        <c:dLbls>
          <c:showLegendKey val="0"/>
          <c:showVal val="0"/>
          <c:showCatName val="0"/>
          <c:showSerName val="0"/>
          <c:showPercent val="0"/>
          <c:showBubbleSize val="0"/>
        </c:dLbls>
        <c:axId val="380318911"/>
        <c:axId val="392567759"/>
      </c:radarChart>
      <c:catAx>
        <c:axId val="38031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392567759"/>
        <c:crosses val="autoZero"/>
        <c:auto val="1"/>
        <c:lblAlgn val="ctr"/>
        <c:lblOffset val="100"/>
        <c:noMultiLvlLbl val="0"/>
      </c:catAx>
      <c:valAx>
        <c:axId val="39256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380318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237464253535474"/>
          <c:y val="0"/>
          <c:w val="0.75686250506000186"/>
          <c:h val="0.78928989935606608"/>
        </c:manualLayout>
      </c:layout>
      <c:barChart>
        <c:barDir val="bar"/>
        <c:grouping val="clustered"/>
        <c:varyColors val="0"/>
        <c:ser>
          <c:idx val="0"/>
          <c:order val="0"/>
          <c:tx>
            <c:strRef>
              <c:f>Synthèse!$E$6</c:f>
              <c:strCache>
                <c:ptCount val="1"/>
                <c:pt idx="0">
                  <c:v>Total OUI</c:v>
                </c:pt>
              </c:strCache>
            </c:strRef>
          </c:tx>
          <c:spPr>
            <a:solidFill>
              <a:schemeClr val="accent2"/>
            </a:solidFill>
            <a:ln>
              <a:noFill/>
            </a:ln>
            <a:effectLst/>
          </c:spPr>
          <c:invertIfNegative val="0"/>
          <c:cat>
            <c:strRef>
              <c:f>Synthèse!$D$7:$D$12</c:f>
              <c:strCache>
                <c:ptCount val="6"/>
                <c:pt idx="0">
                  <c:v>COSO</c:v>
                </c:pt>
                <c:pt idx="1">
                  <c:v>Fonction_Informatique</c:v>
                </c:pt>
                <c:pt idx="2">
                  <c:v>Projets Informatiques</c:v>
                </c:pt>
                <c:pt idx="3">
                  <c:v>Support Utilisateur</c:v>
                </c:pt>
                <c:pt idx="4">
                  <c:v>Sécurité Informatique</c:v>
                </c:pt>
                <c:pt idx="5">
                  <c:v>Application_service</c:v>
                </c:pt>
              </c:strCache>
            </c:strRef>
          </c:cat>
          <c:val>
            <c:numRef>
              <c:f>Synthèse!$E$7:$E$12</c:f>
              <c:numCache>
                <c:formatCode>General</c:formatCode>
                <c:ptCount val="6"/>
                <c:pt idx="0">
                  <c:v>129</c:v>
                </c:pt>
                <c:pt idx="1">
                  <c:v>64</c:v>
                </c:pt>
                <c:pt idx="2">
                  <c:v>325</c:v>
                </c:pt>
                <c:pt idx="3">
                  <c:v>80</c:v>
                </c:pt>
                <c:pt idx="4">
                  <c:v>56</c:v>
                </c:pt>
                <c:pt idx="5">
                  <c:v>130</c:v>
                </c:pt>
              </c:numCache>
            </c:numRef>
          </c:val>
          <c:extLst>
            <c:ext xmlns:c16="http://schemas.microsoft.com/office/drawing/2014/chart" uri="{C3380CC4-5D6E-409C-BE32-E72D297353CC}">
              <c16:uniqueId val="{00000000-3112-4DC2-A434-EE155DAC08CA}"/>
            </c:ext>
          </c:extLst>
        </c:ser>
        <c:ser>
          <c:idx val="1"/>
          <c:order val="1"/>
          <c:tx>
            <c:strRef>
              <c:f>Synthèse!$F$6</c:f>
              <c:strCache>
                <c:ptCount val="1"/>
                <c:pt idx="0">
                  <c:v>Total NON</c:v>
                </c:pt>
              </c:strCache>
            </c:strRef>
          </c:tx>
          <c:spPr>
            <a:solidFill>
              <a:schemeClr val="accent4"/>
            </a:solidFill>
            <a:ln>
              <a:noFill/>
            </a:ln>
            <a:effectLst/>
          </c:spPr>
          <c:invertIfNegative val="0"/>
          <c:cat>
            <c:strRef>
              <c:f>Synthèse!$D$7:$D$12</c:f>
              <c:strCache>
                <c:ptCount val="6"/>
                <c:pt idx="0">
                  <c:v>COSO</c:v>
                </c:pt>
                <c:pt idx="1">
                  <c:v>Fonction_Informatique</c:v>
                </c:pt>
                <c:pt idx="2">
                  <c:v>Projets Informatiques</c:v>
                </c:pt>
                <c:pt idx="3">
                  <c:v>Support Utilisateur</c:v>
                </c:pt>
                <c:pt idx="4">
                  <c:v>Sécurité Informatique</c:v>
                </c:pt>
                <c:pt idx="5">
                  <c:v>Application_service</c:v>
                </c:pt>
              </c:strCache>
            </c:strRef>
          </c:cat>
          <c:val>
            <c:numRef>
              <c:f>Synthèse!$F$7:$F$12</c:f>
              <c:numCache>
                <c:formatCode>General</c:formatCode>
                <c:ptCount val="6"/>
                <c:pt idx="0">
                  <c:v>146</c:v>
                </c:pt>
                <c:pt idx="1">
                  <c:v>93</c:v>
                </c:pt>
                <c:pt idx="2">
                  <c:v>181</c:v>
                </c:pt>
                <c:pt idx="3">
                  <c:v>51</c:v>
                </c:pt>
                <c:pt idx="4">
                  <c:v>49</c:v>
                </c:pt>
                <c:pt idx="5">
                  <c:v>90</c:v>
                </c:pt>
              </c:numCache>
            </c:numRef>
          </c:val>
          <c:extLst>
            <c:ext xmlns:c16="http://schemas.microsoft.com/office/drawing/2014/chart" uri="{C3380CC4-5D6E-409C-BE32-E72D297353CC}">
              <c16:uniqueId val="{00000001-3112-4DC2-A434-EE155DAC08CA}"/>
            </c:ext>
          </c:extLst>
        </c:ser>
        <c:ser>
          <c:idx val="2"/>
          <c:order val="2"/>
          <c:tx>
            <c:strRef>
              <c:f>Synthèse!$G$6</c:f>
              <c:strCache>
                <c:ptCount val="1"/>
                <c:pt idx="0">
                  <c:v>Total PAS</c:v>
                </c:pt>
              </c:strCache>
            </c:strRef>
          </c:tx>
          <c:spPr>
            <a:solidFill>
              <a:schemeClr val="accent6"/>
            </a:solidFill>
            <a:ln>
              <a:noFill/>
            </a:ln>
            <a:effectLst/>
          </c:spPr>
          <c:invertIfNegative val="0"/>
          <c:cat>
            <c:strRef>
              <c:f>Synthèse!$D$7:$D$12</c:f>
              <c:strCache>
                <c:ptCount val="6"/>
                <c:pt idx="0">
                  <c:v>COSO</c:v>
                </c:pt>
                <c:pt idx="1">
                  <c:v>Fonction_Informatique</c:v>
                </c:pt>
                <c:pt idx="2">
                  <c:v>Projets Informatiques</c:v>
                </c:pt>
                <c:pt idx="3">
                  <c:v>Support Utilisateur</c:v>
                </c:pt>
                <c:pt idx="4">
                  <c:v>Sécurité Informatique</c:v>
                </c:pt>
                <c:pt idx="5">
                  <c:v>Application_service</c:v>
                </c:pt>
              </c:strCache>
            </c:strRef>
          </c:cat>
          <c:val>
            <c:numRef>
              <c:f>Synthèse!$G$7:$G$12</c:f>
              <c:numCache>
                <c:formatCode>General</c:formatCode>
                <c:ptCount val="6"/>
                <c:pt idx="0">
                  <c:v>45</c:v>
                </c:pt>
                <c:pt idx="1">
                  <c:v>39</c:v>
                </c:pt>
                <c:pt idx="2">
                  <c:v>79</c:v>
                </c:pt>
                <c:pt idx="3">
                  <c:v>24</c:v>
                </c:pt>
                <c:pt idx="4">
                  <c:v>20</c:v>
                </c:pt>
                <c:pt idx="5">
                  <c:v>35</c:v>
                </c:pt>
              </c:numCache>
            </c:numRef>
          </c:val>
          <c:extLst>
            <c:ext xmlns:c16="http://schemas.microsoft.com/office/drawing/2014/chart" uri="{C3380CC4-5D6E-409C-BE32-E72D297353CC}">
              <c16:uniqueId val="{00000002-3112-4DC2-A434-EE155DAC08CA}"/>
            </c:ext>
          </c:extLst>
        </c:ser>
        <c:dLbls>
          <c:showLegendKey val="0"/>
          <c:showVal val="0"/>
          <c:showCatName val="0"/>
          <c:showSerName val="0"/>
          <c:showPercent val="0"/>
          <c:showBubbleSize val="0"/>
        </c:dLbls>
        <c:gapWidth val="182"/>
        <c:axId val="409740527"/>
        <c:axId val="409736207"/>
      </c:barChart>
      <c:catAx>
        <c:axId val="409740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09736207"/>
        <c:crosses val="autoZero"/>
        <c:auto val="1"/>
        <c:lblAlgn val="ctr"/>
        <c:lblOffset val="100"/>
        <c:noMultiLvlLbl val="0"/>
      </c:catAx>
      <c:valAx>
        <c:axId val="409736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09740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693421</xdr:colOff>
      <xdr:row>15</xdr:row>
      <xdr:rowOff>106680</xdr:rowOff>
    </xdr:from>
    <xdr:to>
      <xdr:col>8</xdr:col>
      <xdr:colOff>776151</xdr:colOff>
      <xdr:row>32</xdr:row>
      <xdr:rowOff>91440</xdr:rowOff>
    </xdr:to>
    <xdr:graphicFrame macro="">
      <xdr:nvGraphicFramePr>
        <xdr:cNvPr id="2" name="Graphique 1">
          <a:extLst>
            <a:ext uri="{FF2B5EF4-FFF2-40B4-BE49-F238E27FC236}">
              <a16:creationId xmlns:a16="http://schemas.microsoft.com/office/drawing/2014/main" id="{F2D60B9D-0D35-40D8-9247-0C1D8A1365F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320040</xdr:colOff>
      <xdr:row>15</xdr:row>
      <xdr:rowOff>179638</xdr:rowOff>
    </xdr:from>
    <xdr:to>
      <xdr:col>18</xdr:col>
      <xdr:colOff>106680</xdr:colOff>
      <xdr:row>34</xdr:row>
      <xdr:rowOff>144867</xdr:rowOff>
    </xdr:to>
    <xdr:graphicFrame macro="">
      <xdr:nvGraphicFramePr>
        <xdr:cNvPr id="3" name="Graphique 2">
          <a:extLst>
            <a:ext uri="{FF2B5EF4-FFF2-40B4-BE49-F238E27FC236}">
              <a16:creationId xmlns:a16="http://schemas.microsoft.com/office/drawing/2014/main" id="{C57D04B7-BB2A-4177-AA82-5A67BCDAAA8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INFO\Data%20science%20L3\Semestre%202\Audit%20des%20SI\Team\Mission_ATCHOUMENE_TEA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plications"/>
      <sheetName val="Synthèse"/>
      <sheetName val="Global"/>
      <sheetName val="Domaines"/>
      <sheetName val="Chronogramme"/>
      <sheetName val="Suivi de la Mission"/>
      <sheetName val="Ref_Appli_Serv"/>
      <sheetName val="Ref_COSO"/>
      <sheetName val="Ref_APPLICATION"/>
      <sheetName val="SWOT"/>
      <sheetName val="Q_Resp_Cloture"/>
      <sheetName val="Q_Resp_EtatFinanciers"/>
      <sheetName val="Q_Resp_Immobilisations"/>
      <sheetName val="Q_Resp_Tresorerie"/>
      <sheetName val="Q_Resp_Facturation"/>
      <sheetName val="Q_Resp_ClientFournisseurs"/>
      <sheetName val="Q_Rep_SaisieEcritureComp"/>
      <sheetName val="Q_Resp_Comptes"/>
      <sheetName val="Matrice des Risques"/>
    </sheetNames>
    <sheetDataSet>
      <sheetData sheetId="0"/>
      <sheetData sheetId="1">
        <row r="5">
          <cell r="D5" t="str">
            <v>Total OUI</v>
          </cell>
          <cell r="E5" t="str">
            <v>Total NON</v>
          </cell>
          <cell r="F5" t="str">
            <v>Total PAS</v>
          </cell>
        </row>
        <row r="6">
          <cell r="C6" t="str">
            <v>Gestion des Comptes</v>
          </cell>
          <cell r="D6">
            <v>31</v>
          </cell>
          <cell r="E6">
            <v>43</v>
          </cell>
          <cell r="F6">
            <v>0</v>
          </cell>
        </row>
        <row r="7">
          <cell r="C7" t="str">
            <v>Saisie des Écritures Comptables</v>
          </cell>
          <cell r="D7">
            <v>19</v>
          </cell>
          <cell r="E7">
            <v>44</v>
          </cell>
          <cell r="F7">
            <v>17</v>
          </cell>
        </row>
        <row r="8">
          <cell r="C8" t="str">
            <v>Gestion des Clients et Fournisseurs</v>
          </cell>
          <cell r="D8">
            <v>40</v>
          </cell>
          <cell r="E8">
            <v>53</v>
          </cell>
          <cell r="F8">
            <v>2</v>
          </cell>
        </row>
        <row r="9">
          <cell r="C9" t="str">
            <v>Facturation et Gestion des Recettes</v>
          </cell>
          <cell r="D9">
            <v>28</v>
          </cell>
          <cell r="E9">
            <v>39</v>
          </cell>
          <cell r="F9">
            <v>3</v>
          </cell>
        </row>
        <row r="10">
          <cell r="C10" t="str">
            <v>Suivi de la Trésorerie</v>
          </cell>
          <cell r="D10">
            <v>29</v>
          </cell>
          <cell r="E10">
            <v>21</v>
          </cell>
          <cell r="F10">
            <v>0</v>
          </cell>
        </row>
        <row r="11">
          <cell r="C11" t="str">
            <v>Gestion des Immobilisations</v>
          </cell>
          <cell r="D11">
            <v>29</v>
          </cell>
          <cell r="E11">
            <v>48</v>
          </cell>
          <cell r="F11">
            <v>18</v>
          </cell>
        </row>
        <row r="12">
          <cell r="C12" t="str">
            <v>États Financiers et Rapports Comptables</v>
          </cell>
          <cell r="D12">
            <v>20</v>
          </cell>
          <cell r="E12">
            <v>15</v>
          </cell>
          <cell r="F12">
            <v>15</v>
          </cell>
        </row>
        <row r="13">
          <cell r="C13" t="str">
            <v>Conformité et Clôture de Fin d’Année</v>
          </cell>
          <cell r="D13">
            <v>29</v>
          </cell>
          <cell r="E13">
            <v>29</v>
          </cell>
          <cell r="F13">
            <v>7</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89865-07EA-4900-B53B-8AA83F14EF15}">
  <dimension ref="C4:R15"/>
  <sheetViews>
    <sheetView tabSelected="1" workbookViewId="0">
      <selection activeCell="O13" sqref="O13"/>
    </sheetView>
  </sheetViews>
  <sheetFormatPr baseColWidth="10" defaultRowHeight="14.4"/>
  <sheetData>
    <row r="4" spans="3:18" ht="21">
      <c r="C4" s="239" t="s">
        <v>9090</v>
      </c>
      <c r="D4" s="239"/>
      <c r="E4" s="239"/>
      <c r="F4" s="239"/>
      <c r="G4" s="239"/>
      <c r="H4" s="239"/>
      <c r="I4" s="239"/>
    </row>
    <row r="5" spans="3:18" ht="15" thickBot="1">
      <c r="C5" s="175"/>
      <c r="D5" s="175"/>
      <c r="E5" s="175"/>
      <c r="F5" s="175"/>
      <c r="G5" s="175"/>
      <c r="H5" s="175"/>
      <c r="I5" s="175"/>
    </row>
    <row r="6" spans="3:18">
      <c r="C6" s="176" t="s">
        <v>9091</v>
      </c>
      <c r="D6" s="177" t="s">
        <v>0</v>
      </c>
      <c r="E6" s="177" t="s">
        <v>9092</v>
      </c>
      <c r="F6" s="177" t="s">
        <v>9093</v>
      </c>
      <c r="G6" s="177" t="s">
        <v>9094</v>
      </c>
      <c r="H6" s="177" t="s">
        <v>9095</v>
      </c>
      <c r="I6" s="178" t="s">
        <v>9096</v>
      </c>
    </row>
    <row r="7" spans="3:18">
      <c r="C7" s="179">
        <v>1</v>
      </c>
      <c r="D7" s="180" t="s">
        <v>9097</v>
      </c>
      <c r="E7" s="180">
        <f>COUNTIF(Ref_COSO!F3:F322,"OUI")</f>
        <v>129</v>
      </c>
      <c r="F7" s="180">
        <f>COUNTIF(Ref_COSO!F3:F322,"NON")</f>
        <v>146</v>
      </c>
      <c r="G7" s="180">
        <f>COUNTIF(Ref_COSO!F3:F322,"PAS")</f>
        <v>45</v>
      </c>
      <c r="H7" s="180">
        <f>SUM(E7:G7)</f>
        <v>320</v>
      </c>
      <c r="I7" s="181">
        <f>E7/H7</f>
        <v>0.40312500000000001</v>
      </c>
    </row>
    <row r="8" spans="3:18">
      <c r="C8" s="179">
        <v>2</v>
      </c>
      <c r="D8" s="180" t="s">
        <v>9098</v>
      </c>
      <c r="E8" s="180">
        <f>COUNTIF(Ref_fontion_informatique!$F$2:$F$197,"OUI")</f>
        <v>64</v>
      </c>
      <c r="F8" s="180">
        <f>COUNTIF(Ref_fontion_informatique!$F$2:$F$197,"NON")</f>
        <v>93</v>
      </c>
      <c r="G8" s="180">
        <f>COUNTIF(Ref_fontion_informatique!$F$2:$F$197,"PAS")</f>
        <v>39</v>
      </c>
      <c r="H8" s="180">
        <f t="shared" ref="H8:H13" si="0">SUM(E8:G8)</f>
        <v>196</v>
      </c>
      <c r="I8" s="181">
        <f t="shared" ref="I8:I13" si="1">E8/H8</f>
        <v>0.32653061224489793</v>
      </c>
    </row>
    <row r="9" spans="3:18">
      <c r="C9" s="179">
        <v>3</v>
      </c>
      <c r="D9" s="180" t="s">
        <v>9099</v>
      </c>
      <c r="E9" s="180">
        <f>COUNTIF(Ref_control_projet_informatique!$E$2:$E$586,"OUI")</f>
        <v>325</v>
      </c>
      <c r="F9" s="180">
        <f>COUNTIF(Ref_control_projet_informatique!$E$2:$E$586,"NON")</f>
        <v>181</v>
      </c>
      <c r="G9" s="180">
        <f>COUNTIF(Ref_control_projet_informatique!$E$2:$E$586,"PAS")</f>
        <v>79</v>
      </c>
      <c r="H9" s="180">
        <f t="shared" si="0"/>
        <v>585</v>
      </c>
      <c r="I9" s="181">
        <f t="shared" si="1"/>
        <v>0.55555555555555558</v>
      </c>
    </row>
    <row r="10" spans="3:18">
      <c r="C10" s="179">
        <v>4</v>
      </c>
      <c r="D10" s="180" t="s">
        <v>9100</v>
      </c>
      <c r="E10" s="180">
        <f>COUNTIF(Ref_Support_utili_gestion_parc!$F$2:$F$156,"OUI")</f>
        <v>80</v>
      </c>
      <c r="F10" s="180">
        <f>COUNTIF(Ref_Support_utili_gestion_parc!$F$2:$F$156,"NON")</f>
        <v>51</v>
      </c>
      <c r="G10" s="180">
        <f>COUNTIF(Ref_Support_utili_gestion_parc!$F$2:$F$156,"PAS")</f>
        <v>24</v>
      </c>
      <c r="H10" s="180">
        <f t="shared" si="0"/>
        <v>155</v>
      </c>
      <c r="I10" s="181">
        <f t="shared" si="1"/>
        <v>0.5161290322580645</v>
      </c>
    </row>
    <row r="11" spans="3:18">
      <c r="C11" s="179">
        <v>5</v>
      </c>
      <c r="D11" s="180" t="s">
        <v>9101</v>
      </c>
      <c r="E11" s="180">
        <f>COUNTIF('Ref_sécurité-informatique'!$E$2:$E$126,"OUI")</f>
        <v>56</v>
      </c>
      <c r="F11" s="180">
        <f>COUNTIF('Ref_sécurité-informatique'!$E$2:$E$126,"NON")</f>
        <v>49</v>
      </c>
      <c r="G11" s="180">
        <f>COUNTIF('Ref_sécurité-informatique'!$E$2:$E$126,"PAS")</f>
        <v>20</v>
      </c>
      <c r="H11" s="180">
        <f t="shared" si="0"/>
        <v>125</v>
      </c>
      <c r="I11" s="181">
        <f t="shared" si="1"/>
        <v>0.44800000000000001</v>
      </c>
    </row>
    <row r="12" spans="3:18">
      <c r="C12" s="179">
        <v>6</v>
      </c>
      <c r="D12" s="180" t="s">
        <v>9102</v>
      </c>
      <c r="E12" s="180">
        <f>COUNTIF(Ref_Appli_Serv!$F$3:$F$257,"OUI")</f>
        <v>130</v>
      </c>
      <c r="F12" s="180">
        <f>COUNTIF(Ref_Appli_Serv!$F$3:$F$257,"NON")</f>
        <v>90</v>
      </c>
      <c r="G12" s="180">
        <f>COUNTIF(Ref_Appli_Serv!$F$3:$F$257,"PAS")</f>
        <v>35</v>
      </c>
      <c r="H12" s="180">
        <f t="shared" si="0"/>
        <v>255</v>
      </c>
      <c r="I12" s="181">
        <f t="shared" si="1"/>
        <v>0.50980392156862742</v>
      </c>
    </row>
    <row r="13" spans="3:18" ht="15" thickBot="1">
      <c r="C13" s="236" t="s">
        <v>9095</v>
      </c>
      <c r="D13" s="237"/>
      <c r="E13" s="182">
        <f>SUM(E7:E12)</f>
        <v>784</v>
      </c>
      <c r="F13" s="182">
        <f>SUM(F7:F12)</f>
        <v>610</v>
      </c>
      <c r="G13" s="182">
        <f>SUM(G7:G12)</f>
        <v>242</v>
      </c>
      <c r="H13" s="182">
        <f t="shared" si="0"/>
        <v>1636</v>
      </c>
      <c r="I13" s="183">
        <f t="shared" si="1"/>
        <v>0.47921760391198043</v>
      </c>
    </row>
    <row r="14" spans="3:18">
      <c r="I14" s="238" t="s">
        <v>9103</v>
      </c>
      <c r="J14" s="238"/>
      <c r="K14" s="238"/>
      <c r="L14" s="238"/>
      <c r="M14" s="238"/>
      <c r="N14" s="238"/>
      <c r="O14" s="238"/>
      <c r="P14" s="164"/>
      <c r="Q14" s="164"/>
      <c r="R14" s="164"/>
    </row>
    <row r="15" spans="3:18">
      <c r="I15" s="238"/>
      <c r="J15" s="238"/>
      <c r="K15" s="238"/>
      <c r="L15" s="238"/>
      <c r="M15" s="238"/>
      <c r="N15" s="238"/>
      <c r="O15" s="238"/>
      <c r="P15" s="164"/>
      <c r="Q15" s="164"/>
      <c r="R15" s="164"/>
    </row>
  </sheetData>
  <mergeCells count="3">
    <mergeCell ref="C4:I4"/>
    <mergeCell ref="C13:D13"/>
    <mergeCell ref="I14:O15"/>
  </mergeCells>
  <conditionalFormatting sqref="I7:I13">
    <cfRule type="iconSet" priority="1">
      <iconSet>
        <cfvo type="percent" val="0"/>
        <cfvo type="percent" val="33"/>
        <cfvo type="percent" val="67"/>
      </iconSet>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57"/>
  <sheetViews>
    <sheetView topLeftCell="E214" zoomScale="40" zoomScaleNormal="40" workbookViewId="0">
      <selection activeCell="F3" sqref="F3:F257"/>
    </sheetView>
  </sheetViews>
  <sheetFormatPr baseColWidth="10" defaultColWidth="11.77734375" defaultRowHeight="23.4"/>
  <cols>
    <col min="1" max="2" width="46.5546875" customWidth="1"/>
    <col min="3" max="3" width="109.33203125" customWidth="1"/>
    <col min="4" max="5" width="161" customWidth="1"/>
    <col min="6" max="6" width="51" customWidth="1"/>
    <col min="7" max="7" width="130.21875" customWidth="1"/>
    <col min="8" max="8" width="139.21875" customWidth="1"/>
    <col min="9" max="9" width="62.33203125" customWidth="1"/>
    <col min="10" max="10" width="98.6640625" style="6" customWidth="1"/>
    <col min="11" max="11" width="150.33203125" style="6" customWidth="1"/>
    <col min="12" max="12" width="131.21875" customWidth="1"/>
    <col min="13" max="13" width="107.21875" customWidth="1"/>
    <col min="14" max="14" width="152" customWidth="1"/>
    <col min="15" max="15" width="206.109375" customWidth="1"/>
    <col min="16" max="16" width="41.77734375" customWidth="1"/>
    <col min="17" max="18" width="134.88671875" customWidth="1"/>
    <col min="19" max="21" width="96" customWidth="1"/>
  </cols>
  <sheetData>
    <row r="1" spans="1:21" s="1" customFormat="1" ht="26.4" thickBot="1">
      <c r="K1"/>
      <c r="L1"/>
      <c r="M1"/>
      <c r="N1"/>
      <c r="O1"/>
      <c r="P1"/>
      <c r="Q1" s="6"/>
      <c r="R1" s="6"/>
      <c r="S1" s="6"/>
      <c r="T1" s="6"/>
      <c r="U1" s="7"/>
    </row>
    <row r="2" spans="1:21" ht="31.2" thickBot="1">
      <c r="A2" s="8" t="s">
        <v>0</v>
      </c>
      <c r="B2" s="9" t="s">
        <v>195</v>
      </c>
      <c r="C2" s="10" t="s">
        <v>196</v>
      </c>
      <c r="D2" s="11" t="s">
        <v>197</v>
      </c>
      <c r="E2" s="12" t="s">
        <v>198</v>
      </c>
      <c r="F2" s="11" t="s">
        <v>5</v>
      </c>
      <c r="G2" s="13" t="s">
        <v>199</v>
      </c>
      <c r="H2" s="14" t="s">
        <v>7</v>
      </c>
      <c r="I2" s="15" t="s">
        <v>8</v>
      </c>
      <c r="J2" s="11" t="s">
        <v>200</v>
      </c>
      <c r="K2" s="16" t="s">
        <v>10</v>
      </c>
    </row>
    <row r="3" spans="1:21" ht="24.6" customHeight="1">
      <c r="A3" s="17" t="s">
        <v>201</v>
      </c>
      <c r="B3" s="18" t="s">
        <v>11</v>
      </c>
      <c r="C3" s="19" t="s">
        <v>12</v>
      </c>
      <c r="D3" s="20" t="s">
        <v>202</v>
      </c>
      <c r="E3" s="21" t="s">
        <v>203</v>
      </c>
      <c r="F3" s="22" t="s">
        <v>204</v>
      </c>
      <c r="G3" s="23" t="s">
        <v>205</v>
      </c>
      <c r="H3" s="23" t="s">
        <v>206</v>
      </c>
      <c r="I3" s="24" t="s">
        <v>13</v>
      </c>
      <c r="J3" s="23" t="s">
        <v>1474</v>
      </c>
      <c r="K3" s="25" t="s">
        <v>1475</v>
      </c>
    </row>
    <row r="4" spans="1:21" ht="24.6" customHeight="1">
      <c r="A4" s="26"/>
      <c r="B4" s="27"/>
      <c r="C4" s="28"/>
      <c r="D4" s="29" t="s">
        <v>207</v>
      </c>
      <c r="E4" s="30" t="s">
        <v>208</v>
      </c>
      <c r="F4" s="31" t="s">
        <v>209</v>
      </c>
      <c r="G4" s="32" t="s">
        <v>210</v>
      </c>
      <c r="H4" s="32" t="s">
        <v>211</v>
      </c>
      <c r="I4" s="33" t="s">
        <v>14</v>
      </c>
      <c r="J4" s="32" t="s">
        <v>1476</v>
      </c>
      <c r="K4" s="34" t="s">
        <v>1477</v>
      </c>
    </row>
    <row r="5" spans="1:21" ht="24.6" customHeight="1">
      <c r="A5" s="26"/>
      <c r="B5" s="27"/>
      <c r="C5" s="28"/>
      <c r="D5" s="35" t="s">
        <v>212</v>
      </c>
      <c r="E5" s="30" t="s">
        <v>213</v>
      </c>
      <c r="F5" s="31" t="s">
        <v>209</v>
      </c>
      <c r="G5" s="32" t="s">
        <v>214</v>
      </c>
      <c r="H5" s="32" t="s">
        <v>215</v>
      </c>
      <c r="I5" s="33" t="s">
        <v>13</v>
      </c>
      <c r="J5" s="32" t="s">
        <v>1478</v>
      </c>
      <c r="K5" s="34" t="s">
        <v>1479</v>
      </c>
    </row>
    <row r="6" spans="1:21" ht="24.6" customHeight="1">
      <c r="A6" s="26"/>
      <c r="B6" s="27"/>
      <c r="C6" s="28"/>
      <c r="D6" s="35" t="s">
        <v>216</v>
      </c>
      <c r="E6" s="30" t="s">
        <v>217</v>
      </c>
      <c r="F6" s="31" t="s">
        <v>204</v>
      </c>
      <c r="G6" s="32" t="s">
        <v>218</v>
      </c>
      <c r="H6" s="32" t="s">
        <v>219</v>
      </c>
      <c r="I6" s="33" t="s">
        <v>14</v>
      </c>
      <c r="J6" s="32" t="s">
        <v>1480</v>
      </c>
      <c r="K6" s="34" t="s">
        <v>1481</v>
      </c>
    </row>
    <row r="7" spans="1:21" ht="25.2" customHeight="1" thickBot="1">
      <c r="A7" s="26"/>
      <c r="B7" s="27"/>
      <c r="C7" s="36"/>
      <c r="D7" s="37" t="s">
        <v>220</v>
      </c>
      <c r="E7" s="38" t="s">
        <v>221</v>
      </c>
      <c r="F7" s="137" t="s">
        <v>204</v>
      </c>
      <c r="G7" s="39" t="s">
        <v>222</v>
      </c>
      <c r="H7" s="39" t="s">
        <v>223</v>
      </c>
      <c r="I7" s="40" t="s">
        <v>13</v>
      </c>
      <c r="J7" s="39" t="s">
        <v>1482</v>
      </c>
      <c r="K7" s="41" t="s">
        <v>1483</v>
      </c>
    </row>
    <row r="8" spans="1:21" ht="24.6" customHeight="1">
      <c r="A8" s="26"/>
      <c r="B8" s="27"/>
      <c r="C8" s="19" t="s">
        <v>15</v>
      </c>
      <c r="D8" s="20" t="s">
        <v>224</v>
      </c>
      <c r="E8" s="42" t="s">
        <v>225</v>
      </c>
      <c r="F8" s="43" t="s">
        <v>204</v>
      </c>
      <c r="G8" s="44" t="s">
        <v>226</v>
      </c>
      <c r="H8" s="44" t="s">
        <v>227</v>
      </c>
      <c r="I8" s="45" t="s">
        <v>14</v>
      </c>
      <c r="J8" s="44" t="s">
        <v>1484</v>
      </c>
      <c r="K8" s="46" t="s">
        <v>1485</v>
      </c>
    </row>
    <row r="9" spans="1:21" ht="24.6" customHeight="1">
      <c r="A9" s="26"/>
      <c r="B9" s="27"/>
      <c r="C9" s="28"/>
      <c r="D9" s="47" t="s">
        <v>228</v>
      </c>
      <c r="E9" s="30" t="s">
        <v>229</v>
      </c>
      <c r="F9" s="43" t="s">
        <v>204</v>
      </c>
      <c r="G9" s="44" t="s">
        <v>230</v>
      </c>
      <c r="H9" s="44" t="s">
        <v>231</v>
      </c>
      <c r="I9" s="45" t="s">
        <v>14</v>
      </c>
      <c r="J9" s="44" t="s">
        <v>1486</v>
      </c>
      <c r="K9" s="46" t="s">
        <v>1487</v>
      </c>
    </row>
    <row r="10" spans="1:21" ht="24.6" customHeight="1">
      <c r="A10" s="26"/>
      <c r="B10" s="27"/>
      <c r="C10" s="28"/>
      <c r="D10" s="47" t="s">
        <v>232</v>
      </c>
      <c r="E10" s="30" t="s">
        <v>233</v>
      </c>
      <c r="F10" s="43" t="s">
        <v>204</v>
      </c>
      <c r="G10" s="44" t="s">
        <v>234</v>
      </c>
      <c r="H10" s="44" t="s">
        <v>235</v>
      </c>
      <c r="I10" s="45" t="s">
        <v>13</v>
      </c>
      <c r="J10" s="44" t="s">
        <v>1488</v>
      </c>
      <c r="K10" s="46" t="s">
        <v>1489</v>
      </c>
    </row>
    <row r="11" spans="1:21" ht="24.6" customHeight="1">
      <c r="A11" s="26"/>
      <c r="B11" s="27"/>
      <c r="C11" s="28"/>
      <c r="D11" s="47" t="s">
        <v>236</v>
      </c>
      <c r="E11" s="30" t="s">
        <v>237</v>
      </c>
      <c r="F11" s="43" t="s">
        <v>209</v>
      </c>
      <c r="G11" s="44" t="s">
        <v>238</v>
      </c>
      <c r="H11" s="44" t="s">
        <v>239</v>
      </c>
      <c r="I11" s="45" t="s">
        <v>13</v>
      </c>
      <c r="J11" s="44" t="s">
        <v>1490</v>
      </c>
      <c r="K11" s="46" t="s">
        <v>1491</v>
      </c>
    </row>
    <row r="12" spans="1:21" ht="25.2" customHeight="1" thickBot="1">
      <c r="A12" s="26"/>
      <c r="B12" s="27"/>
      <c r="C12" s="36"/>
      <c r="D12" s="48" t="s">
        <v>240</v>
      </c>
      <c r="E12" s="38" t="s">
        <v>241</v>
      </c>
      <c r="F12" s="49" t="s">
        <v>242</v>
      </c>
      <c r="G12" s="50" t="s">
        <v>243</v>
      </c>
      <c r="H12" s="50" t="s">
        <v>244</v>
      </c>
      <c r="I12" s="51" t="s">
        <v>13</v>
      </c>
      <c r="J12" s="50" t="s">
        <v>1492</v>
      </c>
      <c r="K12" s="52" t="s">
        <v>1493</v>
      </c>
    </row>
    <row r="13" spans="1:21" ht="24.6" customHeight="1">
      <c r="A13" s="26"/>
      <c r="B13" s="27"/>
      <c r="C13" s="19" t="s">
        <v>16</v>
      </c>
      <c r="D13" s="20" t="s">
        <v>245</v>
      </c>
      <c r="E13" s="42" t="s">
        <v>246</v>
      </c>
      <c r="F13" s="22" t="s">
        <v>204</v>
      </c>
      <c r="G13" s="23" t="s">
        <v>247</v>
      </c>
      <c r="H13" s="23" t="s">
        <v>248</v>
      </c>
      <c r="I13" s="24" t="s">
        <v>13</v>
      </c>
      <c r="J13" s="23" t="s">
        <v>1494</v>
      </c>
      <c r="K13" s="25" t="s">
        <v>1495</v>
      </c>
    </row>
    <row r="14" spans="1:21" ht="24.6" customHeight="1">
      <c r="A14" s="26"/>
      <c r="B14" s="27"/>
      <c r="C14" s="28"/>
      <c r="D14" s="47" t="s">
        <v>249</v>
      </c>
      <c r="E14" s="30" t="s">
        <v>250</v>
      </c>
      <c r="F14" s="43" t="s">
        <v>204</v>
      </c>
      <c r="G14" s="44" t="s">
        <v>251</v>
      </c>
      <c r="H14" s="44" t="s">
        <v>252</v>
      </c>
      <c r="I14" s="45" t="s">
        <v>14</v>
      </c>
      <c r="J14" s="44" t="s">
        <v>1496</v>
      </c>
      <c r="K14" s="46" t="s">
        <v>1497</v>
      </c>
    </row>
    <row r="15" spans="1:21" ht="24.6" customHeight="1">
      <c r="A15" s="26"/>
      <c r="B15" s="27"/>
      <c r="C15" s="28"/>
      <c r="D15" s="47" t="s">
        <v>253</v>
      </c>
      <c r="E15" s="30" t="s">
        <v>254</v>
      </c>
      <c r="F15" s="43" t="s">
        <v>209</v>
      </c>
      <c r="G15" s="44" t="s">
        <v>255</v>
      </c>
      <c r="H15" s="44" t="s">
        <v>256</v>
      </c>
      <c r="I15" s="45" t="s">
        <v>13</v>
      </c>
      <c r="J15" s="44" t="s">
        <v>1498</v>
      </c>
      <c r="K15" s="46" t="s">
        <v>1499</v>
      </c>
    </row>
    <row r="16" spans="1:21" ht="24.6" customHeight="1">
      <c r="A16" s="26"/>
      <c r="B16" s="27"/>
      <c r="C16" s="28"/>
      <c r="D16" s="47" t="s">
        <v>257</v>
      </c>
      <c r="E16" s="30" t="s">
        <v>258</v>
      </c>
      <c r="F16" s="43" t="s">
        <v>204</v>
      </c>
      <c r="G16" s="44" t="s">
        <v>259</v>
      </c>
      <c r="H16" s="44" t="s">
        <v>260</v>
      </c>
      <c r="I16" s="45" t="s">
        <v>13</v>
      </c>
      <c r="J16" s="44" t="s">
        <v>1500</v>
      </c>
      <c r="K16" s="46" t="s">
        <v>1501</v>
      </c>
    </row>
    <row r="17" spans="1:11" ht="25.2" customHeight="1" thickBot="1">
      <c r="A17" s="26"/>
      <c r="B17" s="27"/>
      <c r="C17" s="36"/>
      <c r="D17" s="48" t="s">
        <v>261</v>
      </c>
      <c r="E17" s="38" t="s">
        <v>262</v>
      </c>
      <c r="F17" s="53" t="s">
        <v>242</v>
      </c>
      <c r="G17" s="54" t="s">
        <v>263</v>
      </c>
      <c r="H17" s="54" t="s">
        <v>264</v>
      </c>
      <c r="I17" s="55" t="s">
        <v>14</v>
      </c>
      <c r="J17" s="54" t="s">
        <v>1502</v>
      </c>
      <c r="K17" s="56" t="s">
        <v>1503</v>
      </c>
    </row>
    <row r="18" spans="1:11" ht="24.6" customHeight="1">
      <c r="A18" s="26"/>
      <c r="B18" s="27"/>
      <c r="C18" s="19" t="s">
        <v>17</v>
      </c>
      <c r="D18" s="47" t="s">
        <v>265</v>
      </c>
      <c r="E18" s="57" t="s">
        <v>266</v>
      </c>
      <c r="F18" s="43" t="s">
        <v>204</v>
      </c>
      <c r="G18" s="44" t="s">
        <v>267</v>
      </c>
      <c r="H18" s="44" t="s">
        <v>268</v>
      </c>
      <c r="I18" s="45" t="s">
        <v>13</v>
      </c>
      <c r="J18" s="44" t="s">
        <v>1504</v>
      </c>
      <c r="K18" s="46" t="s">
        <v>1505</v>
      </c>
    </row>
    <row r="19" spans="1:11" ht="24.6" customHeight="1">
      <c r="A19" s="26"/>
      <c r="B19" s="27"/>
      <c r="C19" s="28"/>
      <c r="D19" s="47" t="s">
        <v>269</v>
      </c>
      <c r="E19" s="58" t="s">
        <v>270</v>
      </c>
      <c r="F19" s="43" t="s">
        <v>242</v>
      </c>
      <c r="G19" s="44" t="s">
        <v>271</v>
      </c>
      <c r="H19" s="44" t="s">
        <v>272</v>
      </c>
      <c r="I19" s="45" t="s">
        <v>13</v>
      </c>
      <c r="J19" s="44" t="s">
        <v>1506</v>
      </c>
      <c r="K19" s="46" t="s">
        <v>1507</v>
      </c>
    </row>
    <row r="20" spans="1:11" ht="24.6" customHeight="1">
      <c r="A20" s="26"/>
      <c r="B20" s="27"/>
      <c r="C20" s="28"/>
      <c r="D20" s="47" t="s">
        <v>273</v>
      </c>
      <c r="E20" s="58" t="s">
        <v>274</v>
      </c>
      <c r="F20" s="43" t="s">
        <v>242</v>
      </c>
      <c r="G20" s="44" t="s">
        <v>275</v>
      </c>
      <c r="H20" s="44" t="s">
        <v>276</v>
      </c>
      <c r="I20" s="45" t="s">
        <v>13</v>
      </c>
      <c r="J20" s="44" t="s">
        <v>1508</v>
      </c>
      <c r="K20" s="46" t="s">
        <v>1509</v>
      </c>
    </row>
    <row r="21" spans="1:11" ht="24.6" customHeight="1">
      <c r="A21" s="26"/>
      <c r="B21" s="27"/>
      <c r="C21" s="28"/>
      <c r="D21" s="47" t="s">
        <v>277</v>
      </c>
      <c r="E21" s="58" t="s">
        <v>278</v>
      </c>
      <c r="F21" s="43" t="s">
        <v>242</v>
      </c>
      <c r="G21" s="44" t="s">
        <v>279</v>
      </c>
      <c r="H21" s="44" t="s">
        <v>280</v>
      </c>
      <c r="I21" s="45" t="s">
        <v>14</v>
      </c>
      <c r="J21" s="44" t="s">
        <v>1510</v>
      </c>
      <c r="K21" s="46" t="s">
        <v>1511</v>
      </c>
    </row>
    <row r="22" spans="1:11" ht="25.2" customHeight="1" thickBot="1">
      <c r="A22" s="26"/>
      <c r="B22" s="27"/>
      <c r="C22" s="36"/>
      <c r="D22" s="59" t="s">
        <v>281</v>
      </c>
      <c r="E22" s="60" t="s">
        <v>282</v>
      </c>
      <c r="F22" s="49" t="s">
        <v>242</v>
      </c>
      <c r="G22" s="50" t="s">
        <v>283</v>
      </c>
      <c r="H22" s="50" t="s">
        <v>284</v>
      </c>
      <c r="I22" s="51" t="s">
        <v>13</v>
      </c>
      <c r="J22" s="50" t="s">
        <v>1512</v>
      </c>
      <c r="K22" s="52" t="s">
        <v>1513</v>
      </c>
    </row>
    <row r="23" spans="1:11" ht="24.6" customHeight="1">
      <c r="A23" s="26"/>
      <c r="B23" s="27"/>
      <c r="C23" s="19" t="s">
        <v>18</v>
      </c>
      <c r="D23" s="20" t="s">
        <v>285</v>
      </c>
      <c r="E23" s="61" t="s">
        <v>286</v>
      </c>
      <c r="F23" s="22" t="s">
        <v>209</v>
      </c>
      <c r="G23" s="23" t="s">
        <v>287</v>
      </c>
      <c r="H23" s="23" t="s">
        <v>288</v>
      </c>
      <c r="I23" s="24" t="s">
        <v>13</v>
      </c>
      <c r="J23" s="23" t="s">
        <v>1514</v>
      </c>
      <c r="K23" s="25" t="s">
        <v>1515</v>
      </c>
    </row>
    <row r="24" spans="1:11" ht="24.6" customHeight="1">
      <c r="A24" s="26"/>
      <c r="B24" s="27"/>
      <c r="C24" s="28"/>
      <c r="D24" s="47" t="s">
        <v>289</v>
      </c>
      <c r="E24" s="58" t="s">
        <v>290</v>
      </c>
      <c r="F24" s="43" t="s">
        <v>209</v>
      </c>
      <c r="G24" s="44" t="s">
        <v>291</v>
      </c>
      <c r="H24" s="44" t="s">
        <v>292</v>
      </c>
      <c r="I24" s="45" t="s">
        <v>14</v>
      </c>
      <c r="J24" s="44" t="s">
        <v>1516</v>
      </c>
      <c r="K24" s="46" t="s">
        <v>1517</v>
      </c>
    </row>
    <row r="25" spans="1:11" ht="24.6" customHeight="1">
      <c r="A25" s="26"/>
      <c r="B25" s="27"/>
      <c r="C25" s="28"/>
      <c r="D25" s="47" t="s">
        <v>293</v>
      </c>
      <c r="E25" s="58" t="s">
        <v>294</v>
      </c>
      <c r="F25" s="43" t="s">
        <v>209</v>
      </c>
      <c r="G25" s="44" t="s">
        <v>295</v>
      </c>
      <c r="H25" s="44" t="s">
        <v>296</v>
      </c>
      <c r="I25" s="45" t="s">
        <v>13</v>
      </c>
      <c r="J25" s="44" t="s">
        <v>1518</v>
      </c>
      <c r="K25" s="46" t="s">
        <v>1519</v>
      </c>
    </row>
    <row r="26" spans="1:11" ht="24.6" customHeight="1">
      <c r="A26" s="26"/>
      <c r="B26" s="27"/>
      <c r="C26" s="28"/>
      <c r="D26" s="47" t="s">
        <v>297</v>
      </c>
      <c r="E26" s="58" t="s">
        <v>298</v>
      </c>
      <c r="F26" s="43" t="s">
        <v>209</v>
      </c>
      <c r="G26" s="44" t="s">
        <v>299</v>
      </c>
      <c r="H26" s="44" t="s">
        <v>300</v>
      </c>
      <c r="I26" s="45" t="s">
        <v>14</v>
      </c>
      <c r="J26" s="44" t="s">
        <v>1520</v>
      </c>
      <c r="K26" s="46" t="s">
        <v>1521</v>
      </c>
    </row>
    <row r="27" spans="1:11" ht="25.2" customHeight="1" thickBot="1">
      <c r="A27" s="26"/>
      <c r="B27" s="27"/>
      <c r="C27" s="36"/>
      <c r="D27" s="48" t="s">
        <v>301</v>
      </c>
      <c r="E27" s="62" t="s">
        <v>302</v>
      </c>
      <c r="F27" s="53" t="s">
        <v>209</v>
      </c>
      <c r="G27" s="54" t="s">
        <v>303</v>
      </c>
      <c r="H27" s="54" t="s">
        <v>304</v>
      </c>
      <c r="I27" s="55" t="s">
        <v>13</v>
      </c>
      <c r="J27" s="54" t="s">
        <v>1522</v>
      </c>
      <c r="K27" s="56" t="s">
        <v>1523</v>
      </c>
    </row>
    <row r="28" spans="1:11" ht="24.6" customHeight="1">
      <c r="A28" s="26"/>
      <c r="B28" s="27"/>
      <c r="C28" s="19" t="s">
        <v>20</v>
      </c>
      <c r="D28" s="47" t="s">
        <v>305</v>
      </c>
      <c r="E28" s="57" t="s">
        <v>306</v>
      </c>
      <c r="F28" s="43" t="s">
        <v>204</v>
      </c>
      <c r="G28" s="44" t="s">
        <v>307</v>
      </c>
      <c r="H28" s="44" t="s">
        <v>308</v>
      </c>
      <c r="I28" s="45" t="s">
        <v>13</v>
      </c>
      <c r="J28" s="44" t="s">
        <v>1524</v>
      </c>
      <c r="K28" s="46" t="s">
        <v>1525</v>
      </c>
    </row>
    <row r="29" spans="1:11" ht="24.6" customHeight="1">
      <c r="A29" s="26"/>
      <c r="B29" s="27"/>
      <c r="C29" s="28"/>
      <c r="D29" s="47" t="s">
        <v>309</v>
      </c>
      <c r="E29" s="58" t="s">
        <v>310</v>
      </c>
      <c r="F29" s="43" t="s">
        <v>204</v>
      </c>
      <c r="G29" s="44" t="s">
        <v>311</v>
      </c>
      <c r="H29" s="44" t="s">
        <v>312</v>
      </c>
      <c r="I29" s="45" t="s">
        <v>13</v>
      </c>
      <c r="J29" s="44" t="s">
        <v>1526</v>
      </c>
      <c r="K29" s="46" t="s">
        <v>1527</v>
      </c>
    </row>
    <row r="30" spans="1:11" ht="24.6" customHeight="1">
      <c r="A30" s="26"/>
      <c r="B30" s="27"/>
      <c r="C30" s="28"/>
      <c r="D30" s="47" t="s">
        <v>313</v>
      </c>
      <c r="E30" s="58" t="s">
        <v>314</v>
      </c>
      <c r="F30" s="43" t="s">
        <v>242</v>
      </c>
      <c r="G30" s="44" t="s">
        <v>315</v>
      </c>
      <c r="H30" s="44" t="s">
        <v>316</v>
      </c>
      <c r="I30" s="45" t="s">
        <v>13</v>
      </c>
      <c r="J30" s="44" t="s">
        <v>1528</v>
      </c>
      <c r="K30" s="46" t="s">
        <v>1529</v>
      </c>
    </row>
    <row r="31" spans="1:11" ht="24.6" customHeight="1">
      <c r="A31" s="26"/>
      <c r="B31" s="27"/>
      <c r="C31" s="28"/>
      <c r="D31" s="47" t="s">
        <v>317</v>
      </c>
      <c r="E31" s="58" t="s">
        <v>318</v>
      </c>
      <c r="F31" s="43" t="s">
        <v>204</v>
      </c>
      <c r="G31" s="44" t="s">
        <v>319</v>
      </c>
      <c r="H31" s="44" t="s">
        <v>320</v>
      </c>
      <c r="I31" s="45" t="s">
        <v>13</v>
      </c>
      <c r="J31" s="44" t="s">
        <v>1530</v>
      </c>
      <c r="K31" s="46" t="s">
        <v>1531</v>
      </c>
    </row>
    <row r="32" spans="1:11" ht="25.2" customHeight="1" thickBot="1">
      <c r="A32" s="26"/>
      <c r="B32" s="27"/>
      <c r="C32" s="28"/>
      <c r="D32" s="59" t="s">
        <v>321</v>
      </c>
      <c r="E32" s="60" t="s">
        <v>322</v>
      </c>
      <c r="F32" s="49" t="s">
        <v>204</v>
      </c>
      <c r="G32" s="50" t="s">
        <v>323</v>
      </c>
      <c r="H32" s="50" t="s">
        <v>324</v>
      </c>
      <c r="I32" s="51" t="s">
        <v>14</v>
      </c>
      <c r="J32" s="50" t="s">
        <v>1532</v>
      </c>
      <c r="K32" s="52" t="s">
        <v>1533</v>
      </c>
    </row>
    <row r="33" spans="1:11" ht="24.6" customHeight="1">
      <c r="A33" s="26"/>
      <c r="B33" s="27"/>
      <c r="C33" s="19" t="s">
        <v>21</v>
      </c>
      <c r="D33" s="20" t="s">
        <v>325</v>
      </c>
      <c r="E33" s="61" t="s">
        <v>326</v>
      </c>
      <c r="F33" s="22" t="s">
        <v>204</v>
      </c>
      <c r="G33" s="23" t="s">
        <v>327</v>
      </c>
      <c r="H33" s="23" t="s">
        <v>328</v>
      </c>
      <c r="I33" s="24" t="s">
        <v>14</v>
      </c>
      <c r="J33" s="23" t="s">
        <v>1534</v>
      </c>
      <c r="K33" s="25" t="s">
        <v>1535</v>
      </c>
    </row>
    <row r="34" spans="1:11" ht="24.6" customHeight="1">
      <c r="A34" s="26"/>
      <c r="B34" s="27"/>
      <c r="C34" s="28"/>
      <c r="D34" s="47" t="s">
        <v>329</v>
      </c>
      <c r="E34" s="58" t="s">
        <v>330</v>
      </c>
      <c r="F34" s="43" t="s">
        <v>204</v>
      </c>
      <c r="G34" s="44" t="s">
        <v>331</v>
      </c>
      <c r="H34" s="44" t="s">
        <v>332</v>
      </c>
      <c r="I34" s="45" t="s">
        <v>13</v>
      </c>
      <c r="J34" s="44" t="s">
        <v>1536</v>
      </c>
      <c r="K34" s="46" t="s">
        <v>1537</v>
      </c>
    </row>
    <row r="35" spans="1:11" ht="24.6" customHeight="1">
      <c r="A35" s="26"/>
      <c r="B35" s="27"/>
      <c r="C35" s="28"/>
      <c r="D35" s="47" t="s">
        <v>333</v>
      </c>
      <c r="E35" s="58" t="s">
        <v>334</v>
      </c>
      <c r="F35" s="43" t="s">
        <v>204</v>
      </c>
      <c r="G35" s="44" t="s">
        <v>335</v>
      </c>
      <c r="H35" s="44" t="s">
        <v>336</v>
      </c>
      <c r="I35" s="45" t="s">
        <v>14</v>
      </c>
      <c r="J35" s="44" t="s">
        <v>1538</v>
      </c>
      <c r="K35" s="46" t="s">
        <v>1539</v>
      </c>
    </row>
    <row r="36" spans="1:11" ht="24.6" customHeight="1">
      <c r="A36" s="26"/>
      <c r="B36" s="27"/>
      <c r="C36" s="28"/>
      <c r="D36" s="47" t="s">
        <v>337</v>
      </c>
      <c r="E36" s="58" t="s">
        <v>338</v>
      </c>
      <c r="F36" s="43" t="s">
        <v>204</v>
      </c>
      <c r="G36" s="44" t="s">
        <v>339</v>
      </c>
      <c r="H36" s="44" t="s">
        <v>340</v>
      </c>
      <c r="I36" s="45" t="s">
        <v>14</v>
      </c>
      <c r="J36" s="44" t="s">
        <v>479</v>
      </c>
      <c r="K36" s="46" t="s">
        <v>1540</v>
      </c>
    </row>
    <row r="37" spans="1:11" ht="25.2" customHeight="1" thickBot="1">
      <c r="A37" s="26"/>
      <c r="B37" s="27"/>
      <c r="C37" s="36"/>
      <c r="D37" s="48" t="s">
        <v>341</v>
      </c>
      <c r="E37" s="62" t="s">
        <v>342</v>
      </c>
      <c r="F37" s="53" t="s">
        <v>204</v>
      </c>
      <c r="G37" s="54" t="s">
        <v>343</v>
      </c>
      <c r="H37" s="54" t="s">
        <v>344</v>
      </c>
      <c r="I37" s="55" t="s">
        <v>14</v>
      </c>
      <c r="J37" s="54" t="s">
        <v>1541</v>
      </c>
      <c r="K37" s="56" t="s">
        <v>1542</v>
      </c>
    </row>
    <row r="38" spans="1:11" ht="24.6" customHeight="1">
      <c r="A38" s="26"/>
      <c r="B38" s="27"/>
      <c r="C38" s="19" t="s">
        <v>22</v>
      </c>
      <c r="D38" s="20" t="s">
        <v>345</v>
      </c>
      <c r="E38" s="42" t="s">
        <v>346</v>
      </c>
      <c r="F38" s="43" t="s">
        <v>209</v>
      </c>
      <c r="G38" s="44" t="s">
        <v>347</v>
      </c>
      <c r="H38" s="44" t="s">
        <v>348</v>
      </c>
      <c r="I38" s="45" t="s">
        <v>13</v>
      </c>
      <c r="J38" s="44" t="s">
        <v>1543</v>
      </c>
      <c r="K38" s="46" t="s">
        <v>1544</v>
      </c>
    </row>
    <row r="39" spans="1:11" ht="24.6" customHeight="1">
      <c r="A39" s="26"/>
      <c r="B39" s="27"/>
      <c r="C39" s="28"/>
      <c r="D39" s="47" t="s">
        <v>349</v>
      </c>
      <c r="E39" s="30" t="s">
        <v>350</v>
      </c>
      <c r="F39" s="43" t="s">
        <v>209</v>
      </c>
      <c r="G39" s="44" t="s">
        <v>351</v>
      </c>
      <c r="H39" s="44" t="s">
        <v>352</v>
      </c>
      <c r="I39" s="45" t="s">
        <v>14</v>
      </c>
      <c r="J39" s="44" t="s">
        <v>1545</v>
      </c>
      <c r="K39" s="46" t="s">
        <v>1546</v>
      </c>
    </row>
    <row r="40" spans="1:11" ht="24.6" customHeight="1">
      <c r="A40" s="26"/>
      <c r="B40" s="27"/>
      <c r="C40" s="28"/>
      <c r="D40" s="47" t="s">
        <v>353</v>
      </c>
      <c r="E40" s="30" t="s">
        <v>354</v>
      </c>
      <c r="F40" s="43" t="s">
        <v>209</v>
      </c>
      <c r="G40" s="44" t="s">
        <v>355</v>
      </c>
      <c r="H40" s="44" t="s">
        <v>356</v>
      </c>
      <c r="I40" s="45" t="s">
        <v>14</v>
      </c>
      <c r="J40" s="44" t="s">
        <v>1547</v>
      </c>
      <c r="K40" s="46" t="s">
        <v>1548</v>
      </c>
    </row>
    <row r="41" spans="1:11" ht="24.6" customHeight="1">
      <c r="A41" s="26"/>
      <c r="B41" s="27"/>
      <c r="C41" s="28"/>
      <c r="D41" s="47" t="s">
        <v>357</v>
      </c>
      <c r="E41" s="30" t="s">
        <v>358</v>
      </c>
      <c r="F41" s="43" t="s">
        <v>209</v>
      </c>
      <c r="G41" s="44" t="s">
        <v>359</v>
      </c>
      <c r="H41" s="44" t="s">
        <v>360</v>
      </c>
      <c r="I41" s="45" t="s">
        <v>13</v>
      </c>
      <c r="J41" s="44" t="s">
        <v>1549</v>
      </c>
      <c r="K41" s="46" t="s">
        <v>1550</v>
      </c>
    </row>
    <row r="42" spans="1:11" ht="25.2" customHeight="1" thickBot="1">
      <c r="A42" s="26"/>
      <c r="B42" s="27"/>
      <c r="C42" s="28"/>
      <c r="D42" s="59" t="s">
        <v>361</v>
      </c>
      <c r="E42" s="63" t="s">
        <v>362</v>
      </c>
      <c r="F42" s="43" t="s">
        <v>209</v>
      </c>
      <c r="G42" s="44" t="s">
        <v>363</v>
      </c>
      <c r="H42" s="44" t="s">
        <v>364</v>
      </c>
      <c r="I42" s="45" t="s">
        <v>14</v>
      </c>
      <c r="J42" s="44" t="s">
        <v>1551</v>
      </c>
      <c r="K42" s="46" t="s">
        <v>1552</v>
      </c>
    </row>
    <row r="43" spans="1:11" ht="24.6" customHeight="1">
      <c r="A43" s="26"/>
      <c r="B43" s="27"/>
      <c r="C43" s="64" t="s">
        <v>23</v>
      </c>
      <c r="D43" s="23" t="s">
        <v>365</v>
      </c>
      <c r="E43" s="42" t="s">
        <v>366</v>
      </c>
      <c r="F43" s="22" t="s">
        <v>209</v>
      </c>
      <c r="G43" s="23" t="s">
        <v>367</v>
      </c>
      <c r="H43" s="23" t="s">
        <v>368</v>
      </c>
      <c r="I43" s="24" t="s">
        <v>14</v>
      </c>
      <c r="J43" s="23" t="s">
        <v>1553</v>
      </c>
      <c r="K43" s="25" t="s">
        <v>1554</v>
      </c>
    </row>
    <row r="44" spans="1:11" ht="24.6" customHeight="1">
      <c r="A44" s="26"/>
      <c r="B44" s="27"/>
      <c r="C44" s="65"/>
      <c r="D44" s="66" t="s">
        <v>369</v>
      </c>
      <c r="E44" s="30" t="s">
        <v>370</v>
      </c>
      <c r="F44" s="31" t="s">
        <v>242</v>
      </c>
      <c r="G44" s="32" t="s">
        <v>371</v>
      </c>
      <c r="H44" s="32" t="s">
        <v>372</v>
      </c>
      <c r="I44" s="33" t="s">
        <v>14</v>
      </c>
      <c r="J44" s="32" t="s">
        <v>1555</v>
      </c>
      <c r="K44" s="34" t="s">
        <v>1556</v>
      </c>
    </row>
    <row r="45" spans="1:11" ht="24.6" customHeight="1">
      <c r="A45" s="26"/>
      <c r="B45" s="27"/>
      <c r="C45" s="65"/>
      <c r="D45" s="67" t="s">
        <v>373</v>
      </c>
      <c r="E45" s="30" t="s">
        <v>374</v>
      </c>
      <c r="F45" s="31" t="s">
        <v>242</v>
      </c>
      <c r="G45" s="32" t="s">
        <v>323</v>
      </c>
      <c r="H45" s="32" t="s">
        <v>375</v>
      </c>
      <c r="I45" s="33" t="s">
        <v>14</v>
      </c>
      <c r="J45" s="32" t="s">
        <v>1557</v>
      </c>
      <c r="K45" s="34" t="s">
        <v>1558</v>
      </c>
    </row>
    <row r="46" spans="1:11" ht="24.6" customHeight="1">
      <c r="A46" s="26"/>
      <c r="B46" s="27"/>
      <c r="C46" s="65"/>
      <c r="D46" s="67" t="s">
        <v>376</v>
      </c>
      <c r="E46" s="30" t="s">
        <v>377</v>
      </c>
      <c r="F46" s="31" t="s">
        <v>242</v>
      </c>
      <c r="G46" s="32" t="s">
        <v>378</v>
      </c>
      <c r="H46" s="32" t="s">
        <v>379</v>
      </c>
      <c r="I46" s="33" t="s">
        <v>14</v>
      </c>
      <c r="J46" s="32" t="s">
        <v>1559</v>
      </c>
      <c r="K46" s="34" t="s">
        <v>1560</v>
      </c>
    </row>
    <row r="47" spans="1:11" ht="25.2" customHeight="1" thickBot="1">
      <c r="A47" s="26"/>
      <c r="B47" s="27"/>
      <c r="C47" s="68"/>
      <c r="D47" s="69" t="s">
        <v>380</v>
      </c>
      <c r="E47" s="38" t="s">
        <v>381</v>
      </c>
      <c r="F47" s="31" t="s">
        <v>242</v>
      </c>
      <c r="G47" s="32" t="s">
        <v>331</v>
      </c>
      <c r="H47" s="32" t="s">
        <v>382</v>
      </c>
      <c r="I47" s="33" t="s">
        <v>19</v>
      </c>
      <c r="J47" s="32" t="s">
        <v>1561</v>
      </c>
      <c r="K47" s="34" t="s">
        <v>1562</v>
      </c>
    </row>
    <row r="48" spans="1:11" ht="24.6" customHeight="1">
      <c r="A48" s="26"/>
      <c r="B48" s="70" t="s">
        <v>24</v>
      </c>
      <c r="C48" s="71" t="s">
        <v>25</v>
      </c>
      <c r="D48" s="72" t="s">
        <v>383</v>
      </c>
      <c r="E48" s="73" t="s">
        <v>384</v>
      </c>
      <c r="F48" s="74" t="s">
        <v>204</v>
      </c>
      <c r="G48" s="72" t="s">
        <v>385</v>
      </c>
      <c r="H48" s="72" t="s">
        <v>386</v>
      </c>
      <c r="I48" s="75" t="s">
        <v>387</v>
      </c>
      <c r="J48" s="76" t="s">
        <v>1588</v>
      </c>
      <c r="K48" s="77" t="s">
        <v>1662</v>
      </c>
    </row>
    <row r="49" spans="1:11" ht="24.6" customHeight="1">
      <c r="A49" s="26"/>
      <c r="B49" s="70"/>
      <c r="C49" s="78"/>
      <c r="D49" s="79" t="s">
        <v>388</v>
      </c>
      <c r="E49" s="80" t="s">
        <v>389</v>
      </c>
      <c r="F49" s="81" t="s">
        <v>204</v>
      </c>
      <c r="G49" s="82" t="s">
        <v>390</v>
      </c>
      <c r="H49" s="82" t="s">
        <v>391</v>
      </c>
      <c r="I49" s="83" t="s">
        <v>387</v>
      </c>
      <c r="J49" s="84" t="s">
        <v>1589</v>
      </c>
      <c r="K49" s="77" t="s">
        <v>1663</v>
      </c>
    </row>
    <row r="50" spans="1:11" ht="24.6" customHeight="1">
      <c r="A50" s="26"/>
      <c r="B50" s="70"/>
      <c r="C50" s="78"/>
      <c r="D50" s="85" t="s">
        <v>392</v>
      </c>
      <c r="E50" s="80" t="s">
        <v>393</v>
      </c>
      <c r="F50" s="81" t="s">
        <v>209</v>
      </c>
      <c r="G50" s="82" t="s">
        <v>394</v>
      </c>
      <c r="H50" s="82" t="s">
        <v>395</v>
      </c>
      <c r="I50" s="83" t="s">
        <v>387</v>
      </c>
      <c r="J50" s="84" t="s">
        <v>1590</v>
      </c>
      <c r="K50" s="77" t="s">
        <v>1664</v>
      </c>
    </row>
    <row r="51" spans="1:11" ht="24.6" customHeight="1">
      <c r="A51" s="26"/>
      <c r="B51" s="70"/>
      <c r="C51" s="78"/>
      <c r="D51" s="82" t="s">
        <v>396</v>
      </c>
      <c r="E51" s="80" t="s">
        <v>397</v>
      </c>
      <c r="F51" s="81" t="s">
        <v>209</v>
      </c>
      <c r="G51" s="82" t="s">
        <v>398</v>
      </c>
      <c r="H51" s="82" t="s">
        <v>399</v>
      </c>
      <c r="I51" s="83" t="s">
        <v>14</v>
      </c>
      <c r="J51" s="84" t="s">
        <v>1591</v>
      </c>
      <c r="K51" s="77" t="s">
        <v>1665</v>
      </c>
    </row>
    <row r="52" spans="1:11" ht="25.2" customHeight="1" thickBot="1">
      <c r="A52" s="26"/>
      <c r="B52" s="70"/>
      <c r="C52" s="86"/>
      <c r="D52" s="87" t="s">
        <v>400</v>
      </c>
      <c r="E52" s="88" t="s">
        <v>401</v>
      </c>
      <c r="F52" s="89" t="s">
        <v>209</v>
      </c>
      <c r="G52" s="90" t="s">
        <v>402</v>
      </c>
      <c r="H52" s="90" t="s">
        <v>403</v>
      </c>
      <c r="I52" s="83" t="s">
        <v>387</v>
      </c>
      <c r="J52" s="91" t="s">
        <v>1592</v>
      </c>
      <c r="K52" s="77" t="s">
        <v>1666</v>
      </c>
    </row>
    <row r="53" spans="1:11" ht="24.6" customHeight="1">
      <c r="A53" s="26"/>
      <c r="B53" s="70"/>
      <c r="C53" s="71" t="s">
        <v>26</v>
      </c>
      <c r="D53" s="72" t="s">
        <v>404</v>
      </c>
      <c r="E53" s="73" t="s">
        <v>405</v>
      </c>
      <c r="F53" s="74" t="s">
        <v>204</v>
      </c>
      <c r="G53" s="72" t="s">
        <v>406</v>
      </c>
      <c r="H53" s="72" t="s">
        <v>407</v>
      </c>
      <c r="I53" s="75" t="s">
        <v>14</v>
      </c>
      <c r="J53" s="76" t="s">
        <v>1593</v>
      </c>
      <c r="K53" s="77" t="s">
        <v>1667</v>
      </c>
    </row>
    <row r="54" spans="1:11" ht="24.6" customHeight="1">
      <c r="A54" s="26"/>
      <c r="B54" s="70"/>
      <c r="C54" s="78"/>
      <c r="D54" s="79" t="s">
        <v>408</v>
      </c>
      <c r="E54" s="80" t="s">
        <v>409</v>
      </c>
      <c r="F54" s="81" t="s">
        <v>204</v>
      </c>
      <c r="G54" s="82" t="s">
        <v>410</v>
      </c>
      <c r="H54" s="82" t="s">
        <v>411</v>
      </c>
      <c r="I54" s="83" t="s">
        <v>14</v>
      </c>
      <c r="J54" s="84" t="s">
        <v>1594</v>
      </c>
      <c r="K54" s="77" t="s">
        <v>1668</v>
      </c>
    </row>
    <row r="55" spans="1:11" ht="24.6" customHeight="1">
      <c r="A55" s="26"/>
      <c r="B55" s="70"/>
      <c r="C55" s="78"/>
      <c r="D55" s="85" t="s">
        <v>412</v>
      </c>
      <c r="E55" s="80" t="s">
        <v>413</v>
      </c>
      <c r="F55" s="81" t="s">
        <v>204</v>
      </c>
      <c r="G55" s="82" t="s">
        <v>414</v>
      </c>
      <c r="H55" s="82" t="s">
        <v>415</v>
      </c>
      <c r="I55" s="83" t="s">
        <v>14</v>
      </c>
      <c r="J55" s="84" t="s">
        <v>1595</v>
      </c>
      <c r="K55" s="77" t="s">
        <v>1669</v>
      </c>
    </row>
    <row r="56" spans="1:11" ht="24.6" customHeight="1">
      <c r="A56" s="26"/>
      <c r="B56" s="70"/>
      <c r="C56" s="78"/>
      <c r="D56" s="82" t="s">
        <v>416</v>
      </c>
      <c r="E56" s="80" t="s">
        <v>417</v>
      </c>
      <c r="F56" s="81" t="s">
        <v>209</v>
      </c>
      <c r="G56" s="82" t="s">
        <v>418</v>
      </c>
      <c r="H56" s="82" t="s">
        <v>419</v>
      </c>
      <c r="I56" s="83" t="s">
        <v>387</v>
      </c>
      <c r="J56" s="84" t="s">
        <v>1596</v>
      </c>
      <c r="K56" s="77" t="s">
        <v>1670</v>
      </c>
    </row>
    <row r="57" spans="1:11" ht="25.2" customHeight="1" thickBot="1">
      <c r="A57" s="26"/>
      <c r="B57" s="70"/>
      <c r="C57" s="86"/>
      <c r="D57" s="87" t="s">
        <v>420</v>
      </c>
      <c r="E57" s="88" t="s">
        <v>421</v>
      </c>
      <c r="F57" s="89" t="s">
        <v>209</v>
      </c>
      <c r="G57" s="90" t="s">
        <v>422</v>
      </c>
      <c r="H57" s="90" t="s">
        <v>423</v>
      </c>
      <c r="I57" s="92" t="s">
        <v>14</v>
      </c>
      <c r="J57" s="91" t="s">
        <v>1597</v>
      </c>
      <c r="K57" s="77" t="s">
        <v>1671</v>
      </c>
    </row>
    <row r="58" spans="1:11" ht="24.6" customHeight="1">
      <c r="A58" s="26"/>
      <c r="B58" s="70"/>
      <c r="C58" s="71" t="s">
        <v>27</v>
      </c>
      <c r="D58" s="72" t="s">
        <v>424</v>
      </c>
      <c r="E58" s="73" t="s">
        <v>425</v>
      </c>
      <c r="F58" s="74" t="s">
        <v>204</v>
      </c>
      <c r="G58" s="72" t="s">
        <v>426</v>
      </c>
      <c r="H58" s="72" t="s">
        <v>427</v>
      </c>
      <c r="I58" s="83" t="s">
        <v>387</v>
      </c>
      <c r="J58" s="76" t="s">
        <v>1598</v>
      </c>
      <c r="K58" s="77" t="s">
        <v>1672</v>
      </c>
    </row>
    <row r="59" spans="1:11" ht="24.6" customHeight="1">
      <c r="A59" s="26"/>
      <c r="B59" s="70"/>
      <c r="C59" s="78"/>
      <c r="D59" s="79" t="s">
        <v>428</v>
      </c>
      <c r="E59" s="80" t="s">
        <v>429</v>
      </c>
      <c r="F59" s="81" t="s">
        <v>204</v>
      </c>
      <c r="G59" s="82" t="s">
        <v>430</v>
      </c>
      <c r="H59" s="82" t="s">
        <v>431</v>
      </c>
      <c r="I59" s="83" t="s">
        <v>387</v>
      </c>
      <c r="J59" s="84" t="s">
        <v>1599</v>
      </c>
      <c r="K59" s="77" t="s">
        <v>1673</v>
      </c>
    </row>
    <row r="60" spans="1:11" ht="24.6" customHeight="1">
      <c r="A60" s="26"/>
      <c r="B60" s="70"/>
      <c r="C60" s="78"/>
      <c r="D60" s="85" t="s">
        <v>432</v>
      </c>
      <c r="E60" s="80" t="s">
        <v>433</v>
      </c>
      <c r="F60" s="81" t="s">
        <v>204</v>
      </c>
      <c r="G60" s="82" t="s">
        <v>434</v>
      </c>
      <c r="H60" s="82" t="s">
        <v>435</v>
      </c>
      <c r="I60" s="83" t="s">
        <v>14</v>
      </c>
      <c r="J60" s="84" t="s">
        <v>1600</v>
      </c>
      <c r="K60" s="77" t="s">
        <v>1674</v>
      </c>
    </row>
    <row r="61" spans="1:11" ht="24.6" customHeight="1">
      <c r="A61" s="26"/>
      <c r="B61" s="70"/>
      <c r="C61" s="78"/>
      <c r="D61" s="82" t="s">
        <v>436</v>
      </c>
      <c r="E61" s="80" t="s">
        <v>437</v>
      </c>
      <c r="F61" s="81" t="s">
        <v>209</v>
      </c>
      <c r="G61" s="82" t="s">
        <v>438</v>
      </c>
      <c r="H61" s="82" t="s">
        <v>439</v>
      </c>
      <c r="I61" s="83" t="s">
        <v>387</v>
      </c>
      <c r="J61" s="84" t="s">
        <v>1601</v>
      </c>
      <c r="K61" s="77" t="s">
        <v>1675</v>
      </c>
    </row>
    <row r="62" spans="1:11" ht="25.2" customHeight="1" thickBot="1">
      <c r="A62" s="26"/>
      <c r="B62" s="70"/>
      <c r="C62" s="86"/>
      <c r="D62" s="87" t="s">
        <v>440</v>
      </c>
      <c r="E62" s="88" t="s">
        <v>441</v>
      </c>
      <c r="F62" s="89" t="s">
        <v>209</v>
      </c>
      <c r="G62" s="90" t="s">
        <v>442</v>
      </c>
      <c r="H62" s="90" t="s">
        <v>443</v>
      </c>
      <c r="I62" s="83" t="s">
        <v>387</v>
      </c>
      <c r="J62" s="91" t="s">
        <v>1602</v>
      </c>
      <c r="K62" s="77" t="s">
        <v>1676</v>
      </c>
    </row>
    <row r="63" spans="1:11" ht="24.6" customHeight="1">
      <c r="A63" s="26"/>
      <c r="B63" s="70"/>
      <c r="C63" s="71" t="s">
        <v>28</v>
      </c>
      <c r="D63" s="72" t="s">
        <v>444</v>
      </c>
      <c r="E63" s="73" t="s">
        <v>445</v>
      </c>
      <c r="F63" s="74" t="s">
        <v>204</v>
      </c>
      <c r="G63" s="72" t="s">
        <v>446</v>
      </c>
      <c r="H63" s="72" t="s">
        <v>447</v>
      </c>
      <c r="I63" s="83" t="s">
        <v>387</v>
      </c>
      <c r="J63" s="76" t="s">
        <v>1603</v>
      </c>
      <c r="K63" s="77" t="s">
        <v>1677</v>
      </c>
    </row>
    <row r="64" spans="1:11" ht="24.6" customHeight="1">
      <c r="A64" s="26"/>
      <c r="B64" s="70"/>
      <c r="C64" s="78"/>
      <c r="D64" s="79" t="s">
        <v>448</v>
      </c>
      <c r="E64" s="80" t="s">
        <v>449</v>
      </c>
      <c r="F64" s="81" t="s">
        <v>204</v>
      </c>
      <c r="G64" s="82" t="s">
        <v>450</v>
      </c>
      <c r="H64" s="82" t="s">
        <v>451</v>
      </c>
      <c r="I64" s="83" t="s">
        <v>14</v>
      </c>
      <c r="J64" s="84" t="s">
        <v>1604</v>
      </c>
      <c r="K64" s="77" t="s">
        <v>1678</v>
      </c>
    </row>
    <row r="65" spans="1:11" ht="24.6" customHeight="1">
      <c r="A65" s="26"/>
      <c r="B65" s="70"/>
      <c r="C65" s="78"/>
      <c r="D65" s="85" t="s">
        <v>452</v>
      </c>
      <c r="E65" s="80" t="s">
        <v>453</v>
      </c>
      <c r="F65" s="81" t="s">
        <v>209</v>
      </c>
      <c r="G65" s="82" t="s">
        <v>454</v>
      </c>
      <c r="H65" s="82" t="s">
        <v>455</v>
      </c>
      <c r="I65" s="83" t="s">
        <v>387</v>
      </c>
      <c r="J65" s="84" t="s">
        <v>1605</v>
      </c>
      <c r="K65" s="77" t="s">
        <v>1679</v>
      </c>
    </row>
    <row r="66" spans="1:11" ht="24.6" customHeight="1">
      <c r="A66" s="26"/>
      <c r="B66" s="70"/>
      <c r="C66" s="78"/>
      <c r="D66" s="82" t="s">
        <v>456</v>
      </c>
      <c r="E66" s="80" t="s">
        <v>457</v>
      </c>
      <c r="F66" s="81" t="s">
        <v>209</v>
      </c>
      <c r="G66" s="82" t="s">
        <v>458</v>
      </c>
      <c r="H66" s="82" t="s">
        <v>459</v>
      </c>
      <c r="I66" s="83" t="s">
        <v>387</v>
      </c>
      <c r="J66" s="84" t="s">
        <v>1606</v>
      </c>
      <c r="K66" s="77" t="s">
        <v>1680</v>
      </c>
    </row>
    <row r="67" spans="1:11" ht="25.2" customHeight="1" thickBot="1">
      <c r="A67" s="26"/>
      <c r="B67" s="70"/>
      <c r="C67" s="86"/>
      <c r="D67" s="87" t="s">
        <v>460</v>
      </c>
      <c r="E67" s="88" t="s">
        <v>461</v>
      </c>
      <c r="F67" s="89" t="s">
        <v>209</v>
      </c>
      <c r="G67" s="90" t="s">
        <v>462</v>
      </c>
      <c r="H67" s="90" t="s">
        <v>463</v>
      </c>
      <c r="I67" s="92" t="s">
        <v>19</v>
      </c>
      <c r="J67" s="91" t="s">
        <v>1607</v>
      </c>
      <c r="K67" s="77" t="s">
        <v>1681</v>
      </c>
    </row>
    <row r="68" spans="1:11" ht="24.6" customHeight="1">
      <c r="A68" s="26"/>
      <c r="B68" s="70"/>
      <c r="C68" s="71" t="s">
        <v>29</v>
      </c>
      <c r="D68" s="72" t="s">
        <v>464</v>
      </c>
      <c r="E68" s="73" t="s">
        <v>465</v>
      </c>
      <c r="F68" s="74" t="s">
        <v>209</v>
      </c>
      <c r="G68" s="72" t="s">
        <v>466</v>
      </c>
      <c r="H68" s="72" t="s">
        <v>467</v>
      </c>
      <c r="I68" s="75" t="s">
        <v>14</v>
      </c>
      <c r="J68" s="76" t="s">
        <v>1608</v>
      </c>
      <c r="K68" s="77" t="s">
        <v>1682</v>
      </c>
    </row>
    <row r="69" spans="1:11" ht="24.6" customHeight="1">
      <c r="A69" s="26"/>
      <c r="B69" s="70"/>
      <c r="C69" s="78"/>
      <c r="D69" s="79" t="s">
        <v>468</v>
      </c>
      <c r="E69" s="80" t="s">
        <v>469</v>
      </c>
      <c r="F69" s="81" t="s">
        <v>209</v>
      </c>
      <c r="G69" s="82" t="s">
        <v>470</v>
      </c>
      <c r="H69" s="82" t="s">
        <v>471</v>
      </c>
      <c r="I69" s="83" t="s">
        <v>14</v>
      </c>
      <c r="J69" s="84" t="s">
        <v>1609</v>
      </c>
      <c r="K69" s="77" t="s">
        <v>1683</v>
      </c>
    </row>
    <row r="70" spans="1:11" ht="24.6" customHeight="1">
      <c r="A70" s="26"/>
      <c r="B70" s="70"/>
      <c r="C70" s="78"/>
      <c r="D70" s="85" t="s">
        <v>472</v>
      </c>
      <c r="E70" s="80" t="s">
        <v>473</v>
      </c>
      <c r="F70" s="81" t="s">
        <v>209</v>
      </c>
      <c r="G70" s="82" t="s">
        <v>474</v>
      </c>
      <c r="H70" s="82" t="s">
        <v>475</v>
      </c>
      <c r="I70" s="83" t="s">
        <v>387</v>
      </c>
      <c r="J70" s="84" t="s">
        <v>1610</v>
      </c>
      <c r="K70" s="77" t="s">
        <v>1684</v>
      </c>
    </row>
    <row r="71" spans="1:11" ht="24.6" customHeight="1">
      <c r="A71" s="26"/>
      <c r="B71" s="70"/>
      <c r="C71" s="78"/>
      <c r="D71" s="82" t="s">
        <v>476</v>
      </c>
      <c r="E71" s="80" t="s">
        <v>477</v>
      </c>
      <c r="F71" s="81" t="s">
        <v>209</v>
      </c>
      <c r="G71" s="82" t="s">
        <v>478</v>
      </c>
      <c r="H71" s="82" t="s">
        <v>479</v>
      </c>
      <c r="I71" s="83" t="s">
        <v>19</v>
      </c>
      <c r="J71" s="84" t="s">
        <v>1611</v>
      </c>
      <c r="K71" s="77" t="s">
        <v>1685</v>
      </c>
    </row>
    <row r="72" spans="1:11" ht="25.2" customHeight="1" thickBot="1">
      <c r="A72" s="26"/>
      <c r="B72" s="70"/>
      <c r="C72" s="86"/>
      <c r="D72" s="87" t="s">
        <v>480</v>
      </c>
      <c r="E72" s="88" t="s">
        <v>481</v>
      </c>
      <c r="F72" s="89" t="s">
        <v>209</v>
      </c>
      <c r="G72" s="90" t="s">
        <v>482</v>
      </c>
      <c r="H72" s="90" t="s">
        <v>483</v>
      </c>
      <c r="I72" s="92" t="s">
        <v>14</v>
      </c>
      <c r="J72" s="91" t="s">
        <v>1612</v>
      </c>
      <c r="K72" s="77" t="s">
        <v>1686</v>
      </c>
    </row>
    <row r="73" spans="1:11" ht="24.6" customHeight="1">
      <c r="A73" s="26"/>
      <c r="B73" s="70"/>
      <c r="C73" s="71" t="s">
        <v>31</v>
      </c>
      <c r="D73" s="72" t="s">
        <v>484</v>
      </c>
      <c r="E73" s="73" t="s">
        <v>485</v>
      </c>
      <c r="F73" s="74" t="s">
        <v>204</v>
      </c>
      <c r="G73" s="72" t="s">
        <v>486</v>
      </c>
      <c r="H73" s="72" t="s">
        <v>487</v>
      </c>
      <c r="I73" s="75" t="s">
        <v>387</v>
      </c>
      <c r="J73" s="76" t="s">
        <v>1613</v>
      </c>
      <c r="K73" s="77" t="s">
        <v>1687</v>
      </c>
    </row>
    <row r="74" spans="1:11" ht="24.6" customHeight="1">
      <c r="A74" s="26"/>
      <c r="B74" s="70"/>
      <c r="C74" s="78"/>
      <c r="D74" s="79" t="s">
        <v>488</v>
      </c>
      <c r="E74" s="80" t="s">
        <v>489</v>
      </c>
      <c r="F74" s="81" t="s">
        <v>204</v>
      </c>
      <c r="G74" s="82" t="s">
        <v>490</v>
      </c>
      <c r="H74" s="82" t="s">
        <v>491</v>
      </c>
      <c r="I74" s="83" t="s">
        <v>14</v>
      </c>
      <c r="J74" s="84" t="s">
        <v>1614</v>
      </c>
      <c r="K74" s="77" t="s">
        <v>1688</v>
      </c>
    </row>
    <row r="75" spans="1:11" ht="24.6" customHeight="1">
      <c r="A75" s="26"/>
      <c r="B75" s="70"/>
      <c r="C75" s="78"/>
      <c r="D75" s="85" t="s">
        <v>492</v>
      </c>
      <c r="E75" s="80" t="s">
        <v>493</v>
      </c>
      <c r="F75" s="81" t="s">
        <v>204</v>
      </c>
      <c r="G75" s="82" t="s">
        <v>494</v>
      </c>
      <c r="H75" s="82" t="s">
        <v>495</v>
      </c>
      <c r="I75" s="83" t="s">
        <v>387</v>
      </c>
      <c r="J75" s="84" t="s">
        <v>1615</v>
      </c>
      <c r="K75" s="77" t="s">
        <v>1689</v>
      </c>
    </row>
    <row r="76" spans="1:11" ht="24.6" customHeight="1">
      <c r="A76" s="26"/>
      <c r="B76" s="70"/>
      <c r="C76" s="78"/>
      <c r="D76" s="82" t="s">
        <v>496</v>
      </c>
      <c r="E76" s="80" t="s">
        <v>497</v>
      </c>
      <c r="F76" s="81" t="s">
        <v>209</v>
      </c>
      <c r="G76" s="82" t="s">
        <v>498</v>
      </c>
      <c r="H76" s="82" t="s">
        <v>499</v>
      </c>
      <c r="I76" s="83" t="s">
        <v>387</v>
      </c>
      <c r="J76" s="84" t="s">
        <v>1616</v>
      </c>
      <c r="K76" s="77" t="s">
        <v>1690</v>
      </c>
    </row>
    <row r="77" spans="1:11" ht="25.2" customHeight="1" thickBot="1">
      <c r="A77" s="26"/>
      <c r="B77" s="70"/>
      <c r="C77" s="86"/>
      <c r="D77" s="87" t="s">
        <v>500</v>
      </c>
      <c r="E77" s="88" t="s">
        <v>501</v>
      </c>
      <c r="F77" s="89" t="s">
        <v>209</v>
      </c>
      <c r="G77" s="90" t="s">
        <v>502</v>
      </c>
      <c r="H77" s="90" t="s">
        <v>503</v>
      </c>
      <c r="I77" s="92" t="s">
        <v>19</v>
      </c>
      <c r="J77" s="91" t="s">
        <v>1617</v>
      </c>
      <c r="K77" s="77" t="s">
        <v>1691</v>
      </c>
    </row>
    <row r="78" spans="1:11" ht="24.6" customHeight="1">
      <c r="A78" s="26"/>
      <c r="B78" s="70"/>
      <c r="C78" s="71" t="s">
        <v>32</v>
      </c>
      <c r="D78" s="72" t="s">
        <v>504</v>
      </c>
      <c r="E78" s="73" t="s">
        <v>505</v>
      </c>
      <c r="F78" s="74" t="s">
        <v>209</v>
      </c>
      <c r="G78" s="72" t="s">
        <v>506</v>
      </c>
      <c r="H78" s="72" t="s">
        <v>507</v>
      </c>
      <c r="I78" s="75" t="s">
        <v>14</v>
      </c>
      <c r="J78" s="76" t="s">
        <v>1618</v>
      </c>
      <c r="K78" s="77" t="s">
        <v>1692</v>
      </c>
    </row>
    <row r="79" spans="1:11" ht="24.6" customHeight="1">
      <c r="A79" s="26"/>
      <c r="B79" s="70"/>
      <c r="C79" s="78"/>
      <c r="D79" s="79" t="s">
        <v>508</v>
      </c>
      <c r="E79" s="80" t="s">
        <v>509</v>
      </c>
      <c r="F79" s="81" t="s">
        <v>209</v>
      </c>
      <c r="G79" s="82" t="s">
        <v>510</v>
      </c>
      <c r="H79" s="82" t="s">
        <v>511</v>
      </c>
      <c r="I79" s="83" t="s">
        <v>14</v>
      </c>
      <c r="J79" s="84" t="s">
        <v>1619</v>
      </c>
      <c r="K79" s="77" t="s">
        <v>1693</v>
      </c>
    </row>
    <row r="80" spans="1:11" ht="24.6" customHeight="1">
      <c r="A80" s="26"/>
      <c r="B80" s="70"/>
      <c r="C80" s="78"/>
      <c r="D80" s="85" t="s">
        <v>512</v>
      </c>
      <c r="E80" s="80" t="s">
        <v>513</v>
      </c>
      <c r="F80" s="81" t="s">
        <v>209</v>
      </c>
      <c r="G80" s="82" t="s">
        <v>514</v>
      </c>
      <c r="H80" s="82" t="s">
        <v>515</v>
      </c>
      <c r="I80" s="83" t="s">
        <v>387</v>
      </c>
      <c r="J80" s="84" t="s">
        <v>1620</v>
      </c>
      <c r="K80" s="77" t="s">
        <v>1694</v>
      </c>
    </row>
    <row r="81" spans="1:11" ht="24.6" customHeight="1">
      <c r="A81" s="26"/>
      <c r="B81" s="70"/>
      <c r="C81" s="78"/>
      <c r="D81" s="82" t="s">
        <v>516</v>
      </c>
      <c r="E81" s="80" t="s">
        <v>517</v>
      </c>
      <c r="F81" s="81" t="s">
        <v>209</v>
      </c>
      <c r="G81" s="82" t="s">
        <v>518</v>
      </c>
      <c r="H81" s="82" t="s">
        <v>519</v>
      </c>
      <c r="I81" s="83" t="s">
        <v>19</v>
      </c>
      <c r="J81" s="84" t="s">
        <v>1621</v>
      </c>
      <c r="K81" s="77" t="s">
        <v>1695</v>
      </c>
    </row>
    <row r="82" spans="1:11" ht="25.2" customHeight="1" thickBot="1">
      <c r="A82" s="26"/>
      <c r="B82" s="70"/>
      <c r="C82" s="86"/>
      <c r="D82" s="87" t="s">
        <v>520</v>
      </c>
      <c r="E82" s="88" t="s">
        <v>521</v>
      </c>
      <c r="F82" s="89" t="s">
        <v>242</v>
      </c>
      <c r="G82" s="90" t="s">
        <v>522</v>
      </c>
      <c r="H82" s="90" t="s">
        <v>523</v>
      </c>
      <c r="I82" s="92" t="s">
        <v>14</v>
      </c>
      <c r="J82" s="91" t="s">
        <v>1622</v>
      </c>
      <c r="K82" s="77" t="s">
        <v>1696</v>
      </c>
    </row>
    <row r="83" spans="1:11" ht="24.6" customHeight="1">
      <c r="A83" s="26"/>
      <c r="B83" s="70"/>
      <c r="C83" s="71" t="s">
        <v>33</v>
      </c>
      <c r="D83" s="72" t="s">
        <v>524</v>
      </c>
      <c r="E83" s="73" t="s">
        <v>525</v>
      </c>
      <c r="F83" s="74" t="s">
        <v>204</v>
      </c>
      <c r="G83" s="72" t="s">
        <v>526</v>
      </c>
      <c r="H83" s="72" t="s">
        <v>527</v>
      </c>
      <c r="I83" s="75" t="s">
        <v>387</v>
      </c>
      <c r="J83" s="76" t="s">
        <v>1623</v>
      </c>
      <c r="K83" s="77" t="s">
        <v>1697</v>
      </c>
    </row>
    <row r="84" spans="1:11" ht="24.6" customHeight="1">
      <c r="A84" s="26"/>
      <c r="B84" s="70"/>
      <c r="C84" s="78"/>
      <c r="D84" s="79" t="s">
        <v>528</v>
      </c>
      <c r="E84" s="80" t="s">
        <v>529</v>
      </c>
      <c r="F84" s="81" t="s">
        <v>209</v>
      </c>
      <c r="G84" s="82" t="s">
        <v>530</v>
      </c>
      <c r="H84" s="82" t="s">
        <v>531</v>
      </c>
      <c r="I84" s="83" t="s">
        <v>14</v>
      </c>
      <c r="J84" s="84" t="s">
        <v>1624</v>
      </c>
      <c r="K84" s="77" t="s">
        <v>1698</v>
      </c>
    </row>
    <row r="85" spans="1:11" ht="24.6" customHeight="1">
      <c r="A85" s="26"/>
      <c r="B85" s="70"/>
      <c r="C85" s="78"/>
      <c r="D85" s="85" t="s">
        <v>532</v>
      </c>
      <c r="E85" s="80" t="s">
        <v>533</v>
      </c>
      <c r="F85" s="81" t="s">
        <v>209</v>
      </c>
      <c r="G85" s="82" t="s">
        <v>534</v>
      </c>
      <c r="H85" s="82" t="s">
        <v>535</v>
      </c>
      <c r="I85" s="83" t="s">
        <v>387</v>
      </c>
      <c r="J85" s="84" t="s">
        <v>1625</v>
      </c>
      <c r="K85" s="77" t="s">
        <v>1699</v>
      </c>
    </row>
    <row r="86" spans="1:11" ht="24.6" customHeight="1">
      <c r="A86" s="26"/>
      <c r="B86" s="70"/>
      <c r="C86" s="78"/>
      <c r="D86" s="82" t="s">
        <v>536</v>
      </c>
      <c r="E86" s="80" t="s">
        <v>537</v>
      </c>
      <c r="F86" s="81" t="s">
        <v>209</v>
      </c>
      <c r="G86" s="82" t="s">
        <v>538</v>
      </c>
      <c r="H86" s="82" t="s">
        <v>539</v>
      </c>
      <c r="I86" s="83" t="s">
        <v>387</v>
      </c>
      <c r="J86" s="84" t="s">
        <v>1626</v>
      </c>
      <c r="K86" s="77" t="s">
        <v>1700</v>
      </c>
    </row>
    <row r="87" spans="1:11" ht="25.2" customHeight="1" thickBot="1">
      <c r="A87" s="26"/>
      <c r="B87" s="70"/>
      <c r="C87" s="86"/>
      <c r="D87" s="87" t="s">
        <v>540</v>
      </c>
      <c r="E87" s="88" t="s">
        <v>541</v>
      </c>
      <c r="F87" s="89" t="s">
        <v>204</v>
      </c>
      <c r="G87" s="90" t="s">
        <v>542</v>
      </c>
      <c r="H87" s="90" t="s">
        <v>543</v>
      </c>
      <c r="I87" s="92" t="s">
        <v>19</v>
      </c>
      <c r="J87" s="91" t="s">
        <v>1627</v>
      </c>
      <c r="K87" s="77" t="s">
        <v>1701</v>
      </c>
    </row>
    <row r="88" spans="1:11" ht="24.6" customHeight="1">
      <c r="A88" s="26"/>
      <c r="B88" s="70"/>
      <c r="C88" s="71" t="s">
        <v>34</v>
      </c>
      <c r="D88" s="72" t="s">
        <v>544</v>
      </c>
      <c r="E88" s="73" t="s">
        <v>545</v>
      </c>
      <c r="F88" s="74" t="s">
        <v>204</v>
      </c>
      <c r="G88" s="72" t="s">
        <v>546</v>
      </c>
      <c r="H88" s="72" t="s">
        <v>547</v>
      </c>
      <c r="I88" s="75" t="s">
        <v>14</v>
      </c>
      <c r="J88" s="76" t="s">
        <v>1628</v>
      </c>
      <c r="K88" s="77" t="s">
        <v>1702</v>
      </c>
    </row>
    <row r="89" spans="1:11" ht="24.6" customHeight="1">
      <c r="A89" s="26"/>
      <c r="B89" s="70"/>
      <c r="C89" s="78"/>
      <c r="D89" s="79" t="s">
        <v>548</v>
      </c>
      <c r="E89" s="80" t="s">
        <v>549</v>
      </c>
      <c r="F89" s="81" t="s">
        <v>209</v>
      </c>
      <c r="G89" s="82" t="s">
        <v>550</v>
      </c>
      <c r="H89" s="82" t="s">
        <v>551</v>
      </c>
      <c r="I89" s="83" t="s">
        <v>14</v>
      </c>
      <c r="J89" s="84" t="s">
        <v>1629</v>
      </c>
      <c r="K89" s="77" t="s">
        <v>1703</v>
      </c>
    </row>
    <row r="90" spans="1:11" ht="24.6" customHeight="1">
      <c r="A90" s="26"/>
      <c r="B90" s="70"/>
      <c r="C90" s="78"/>
      <c r="D90" s="85" t="s">
        <v>552</v>
      </c>
      <c r="E90" s="80" t="s">
        <v>553</v>
      </c>
      <c r="F90" s="81" t="s">
        <v>209</v>
      </c>
      <c r="G90" s="82" t="s">
        <v>554</v>
      </c>
      <c r="H90" s="82" t="s">
        <v>555</v>
      </c>
      <c r="I90" s="83" t="s">
        <v>387</v>
      </c>
      <c r="J90" s="84" t="s">
        <v>1630</v>
      </c>
      <c r="K90" s="77" t="s">
        <v>1704</v>
      </c>
    </row>
    <row r="91" spans="1:11" ht="24.6" customHeight="1">
      <c r="A91" s="26"/>
      <c r="B91" s="70"/>
      <c r="C91" s="78"/>
      <c r="D91" s="82" t="s">
        <v>556</v>
      </c>
      <c r="E91" s="80" t="s">
        <v>557</v>
      </c>
      <c r="F91" s="81" t="s">
        <v>204</v>
      </c>
      <c r="G91" s="82" t="s">
        <v>558</v>
      </c>
      <c r="H91" s="82" t="s">
        <v>559</v>
      </c>
      <c r="I91" s="83" t="s">
        <v>19</v>
      </c>
      <c r="J91" s="84" t="s">
        <v>1631</v>
      </c>
      <c r="K91" s="77" t="s">
        <v>1705</v>
      </c>
    </row>
    <row r="92" spans="1:11" ht="25.2" customHeight="1" thickBot="1">
      <c r="A92" s="26"/>
      <c r="B92" s="93"/>
      <c r="C92" s="78"/>
      <c r="D92" s="90" t="s">
        <v>560</v>
      </c>
      <c r="E92" s="94" t="s">
        <v>561</v>
      </c>
      <c r="F92" s="89" t="s">
        <v>209</v>
      </c>
      <c r="G92" s="90" t="s">
        <v>562</v>
      </c>
      <c r="H92" s="90" t="s">
        <v>563</v>
      </c>
      <c r="I92" s="92" t="s">
        <v>14</v>
      </c>
      <c r="J92" s="91" t="s">
        <v>1632</v>
      </c>
      <c r="K92" s="95" t="s">
        <v>1706</v>
      </c>
    </row>
    <row r="93" spans="1:11" ht="24.6" customHeight="1">
      <c r="A93" s="26"/>
      <c r="B93" s="18" t="s">
        <v>35</v>
      </c>
      <c r="C93" s="64" t="s">
        <v>36</v>
      </c>
      <c r="D93" s="23" t="s">
        <v>564</v>
      </c>
      <c r="E93" s="42" t="s">
        <v>565</v>
      </c>
      <c r="F93" s="22" t="s">
        <v>204</v>
      </c>
      <c r="G93" s="23" t="s">
        <v>566</v>
      </c>
      <c r="H93" s="23" t="s">
        <v>567</v>
      </c>
      <c r="I93" s="24" t="s">
        <v>14</v>
      </c>
      <c r="J93" s="96" t="s">
        <v>1633</v>
      </c>
      <c r="K93" s="97" t="s">
        <v>1707</v>
      </c>
    </row>
    <row r="94" spans="1:11" ht="24.6" customHeight="1">
      <c r="A94" s="26"/>
      <c r="B94" s="27"/>
      <c r="C94" s="65"/>
      <c r="D94" s="66" t="s">
        <v>568</v>
      </c>
      <c r="E94" s="30" t="s">
        <v>569</v>
      </c>
      <c r="F94" s="31" t="s">
        <v>204</v>
      </c>
      <c r="G94" s="32" t="s">
        <v>570</v>
      </c>
      <c r="H94" s="32" t="s">
        <v>571</v>
      </c>
      <c r="I94" s="33" t="s">
        <v>387</v>
      </c>
      <c r="J94" s="98" t="s">
        <v>1634</v>
      </c>
      <c r="K94" s="99" t="s">
        <v>1708</v>
      </c>
    </row>
    <row r="95" spans="1:11" ht="24.6" customHeight="1">
      <c r="A95" s="26"/>
      <c r="B95" s="27"/>
      <c r="C95" s="65"/>
      <c r="D95" s="67" t="s">
        <v>572</v>
      </c>
      <c r="E95" s="30" t="s">
        <v>573</v>
      </c>
      <c r="F95" s="31" t="s">
        <v>204</v>
      </c>
      <c r="G95" s="32" t="s">
        <v>574</v>
      </c>
      <c r="H95" s="32" t="s">
        <v>575</v>
      </c>
      <c r="I95" s="33" t="s">
        <v>19</v>
      </c>
      <c r="J95" s="98" t="s">
        <v>1635</v>
      </c>
      <c r="K95" s="99" t="s">
        <v>1709</v>
      </c>
    </row>
    <row r="96" spans="1:11" ht="24.6" customHeight="1">
      <c r="A96" s="26"/>
      <c r="B96" s="27"/>
      <c r="C96" s="65"/>
      <c r="D96" s="32" t="s">
        <v>576</v>
      </c>
      <c r="E96" s="30" t="s">
        <v>577</v>
      </c>
      <c r="F96" s="31" t="s">
        <v>209</v>
      </c>
      <c r="G96" s="32" t="s">
        <v>89</v>
      </c>
      <c r="H96" s="32" t="s">
        <v>578</v>
      </c>
      <c r="I96" s="33" t="s">
        <v>14</v>
      </c>
      <c r="J96" s="98" t="s">
        <v>1636</v>
      </c>
      <c r="K96" s="99" t="s">
        <v>1710</v>
      </c>
    </row>
    <row r="97" spans="1:11" ht="25.2" customHeight="1" thickBot="1">
      <c r="A97" s="26"/>
      <c r="B97" s="27"/>
      <c r="C97" s="68"/>
      <c r="D97" s="69" t="s">
        <v>579</v>
      </c>
      <c r="E97" s="38" t="s">
        <v>580</v>
      </c>
      <c r="F97" s="100" t="s">
        <v>209</v>
      </c>
      <c r="G97" s="69" t="s">
        <v>581</v>
      </c>
      <c r="H97" s="69" t="s">
        <v>582</v>
      </c>
      <c r="I97" s="101" t="s">
        <v>387</v>
      </c>
      <c r="J97" s="102" t="s">
        <v>1637</v>
      </c>
      <c r="K97" s="103" t="s">
        <v>1711</v>
      </c>
    </row>
    <row r="98" spans="1:11" ht="24.6" customHeight="1">
      <c r="A98" s="26"/>
      <c r="B98" s="27"/>
      <c r="C98" s="65" t="s">
        <v>37</v>
      </c>
      <c r="D98" s="44" t="s">
        <v>583</v>
      </c>
      <c r="E98" s="104" t="s">
        <v>584</v>
      </c>
      <c r="F98" s="43" t="s">
        <v>204</v>
      </c>
      <c r="G98" s="44" t="s">
        <v>585</v>
      </c>
      <c r="H98" s="44" t="s">
        <v>586</v>
      </c>
      <c r="I98" s="45" t="s">
        <v>13</v>
      </c>
      <c r="J98" s="105" t="s">
        <v>1638</v>
      </c>
      <c r="K98" s="47" t="s">
        <v>1712</v>
      </c>
    </row>
    <row r="99" spans="1:11" ht="24.6" customHeight="1">
      <c r="A99" s="26"/>
      <c r="B99" s="27"/>
      <c r="C99" s="65"/>
      <c r="D99" s="67" t="s">
        <v>587</v>
      </c>
      <c r="E99" s="30" t="s">
        <v>588</v>
      </c>
      <c r="F99" s="31" t="s">
        <v>204</v>
      </c>
      <c r="G99" s="32" t="s">
        <v>589</v>
      </c>
      <c r="H99" s="32" t="s">
        <v>590</v>
      </c>
      <c r="I99" s="33" t="s">
        <v>13</v>
      </c>
      <c r="J99" s="98" t="s">
        <v>1639</v>
      </c>
      <c r="K99" s="106" t="s">
        <v>1713</v>
      </c>
    </row>
    <row r="100" spans="1:11" ht="24.6" customHeight="1">
      <c r="A100" s="26"/>
      <c r="B100" s="27"/>
      <c r="C100" s="65"/>
      <c r="D100" s="67" t="s">
        <v>591</v>
      </c>
      <c r="E100" s="30" t="s">
        <v>592</v>
      </c>
      <c r="F100" s="31" t="s">
        <v>204</v>
      </c>
      <c r="G100" s="32" t="s">
        <v>593</v>
      </c>
      <c r="H100" s="32" t="s">
        <v>594</v>
      </c>
      <c r="I100" s="33" t="s">
        <v>13</v>
      </c>
      <c r="J100" s="98" t="s">
        <v>1640</v>
      </c>
      <c r="K100" s="106" t="s">
        <v>1714</v>
      </c>
    </row>
    <row r="101" spans="1:11" ht="24.6" customHeight="1">
      <c r="A101" s="26"/>
      <c r="B101" s="27"/>
      <c r="C101" s="65"/>
      <c r="D101" s="32" t="s">
        <v>595</v>
      </c>
      <c r="E101" s="30" t="s">
        <v>596</v>
      </c>
      <c r="F101" s="31" t="s">
        <v>204</v>
      </c>
      <c r="G101" s="32" t="s">
        <v>597</v>
      </c>
      <c r="H101" s="32" t="s">
        <v>598</v>
      </c>
      <c r="I101" s="33" t="s">
        <v>13</v>
      </c>
      <c r="J101" s="98" t="s">
        <v>1641</v>
      </c>
      <c r="K101" s="106" t="s">
        <v>1715</v>
      </c>
    </row>
    <row r="102" spans="1:11" ht="25.2" customHeight="1" thickBot="1">
      <c r="A102" s="26"/>
      <c r="B102" s="27"/>
      <c r="C102" s="68"/>
      <c r="D102" s="69" t="s">
        <v>599</v>
      </c>
      <c r="E102" s="38" t="s">
        <v>600</v>
      </c>
      <c r="F102" s="100" t="s">
        <v>209</v>
      </c>
      <c r="G102" s="69" t="s">
        <v>601</v>
      </c>
      <c r="H102" s="69" t="s">
        <v>602</v>
      </c>
      <c r="I102" s="101" t="s">
        <v>13</v>
      </c>
      <c r="J102" s="102" t="s">
        <v>1642</v>
      </c>
      <c r="K102" s="106" t="s">
        <v>1716</v>
      </c>
    </row>
    <row r="103" spans="1:11" ht="24.6" customHeight="1">
      <c r="A103" s="26"/>
      <c r="B103" s="27"/>
      <c r="C103" s="64" t="s">
        <v>38</v>
      </c>
      <c r="D103" s="23" t="s">
        <v>603</v>
      </c>
      <c r="E103" s="42" t="s">
        <v>604</v>
      </c>
      <c r="F103" s="43" t="s">
        <v>209</v>
      </c>
      <c r="G103" s="44" t="s">
        <v>605</v>
      </c>
      <c r="H103" s="44" t="s">
        <v>606</v>
      </c>
      <c r="I103" s="45" t="s">
        <v>14</v>
      </c>
      <c r="J103" s="105" t="s">
        <v>1643</v>
      </c>
      <c r="K103" s="106" t="s">
        <v>1717</v>
      </c>
    </row>
    <row r="104" spans="1:11" ht="24.6" customHeight="1">
      <c r="A104" s="26"/>
      <c r="B104" s="27"/>
      <c r="C104" s="65"/>
      <c r="D104" s="67" t="s">
        <v>607</v>
      </c>
      <c r="E104" s="30" t="s">
        <v>608</v>
      </c>
      <c r="F104" s="31" t="s">
        <v>204</v>
      </c>
      <c r="G104" s="32" t="s">
        <v>609</v>
      </c>
      <c r="H104" s="32" t="s">
        <v>610</v>
      </c>
      <c r="I104" s="33" t="s">
        <v>13</v>
      </c>
      <c r="J104" s="98" t="s">
        <v>1644</v>
      </c>
      <c r="K104" s="106" t="s">
        <v>1718</v>
      </c>
    </row>
    <row r="105" spans="1:11" ht="24.6" customHeight="1">
      <c r="A105" s="26"/>
      <c r="B105" s="27"/>
      <c r="C105" s="65"/>
      <c r="D105" s="67" t="s">
        <v>611</v>
      </c>
      <c r="E105" s="30" t="s">
        <v>612</v>
      </c>
      <c r="F105" s="31" t="s">
        <v>209</v>
      </c>
      <c r="G105" s="32" t="s">
        <v>613</v>
      </c>
      <c r="H105" s="32" t="s">
        <v>614</v>
      </c>
      <c r="I105" s="33" t="s">
        <v>13</v>
      </c>
      <c r="J105" s="98" t="s">
        <v>1645</v>
      </c>
      <c r="K105" s="106" t="s">
        <v>1719</v>
      </c>
    </row>
    <row r="106" spans="1:11" ht="24.6" customHeight="1">
      <c r="A106" s="26"/>
      <c r="B106" s="27"/>
      <c r="C106" s="65"/>
      <c r="D106" s="32" t="s">
        <v>615</v>
      </c>
      <c r="E106" s="30" t="s">
        <v>616</v>
      </c>
      <c r="F106" s="31" t="s">
        <v>242</v>
      </c>
      <c r="G106" s="32" t="s">
        <v>617</v>
      </c>
      <c r="H106" s="32" t="s">
        <v>618</v>
      </c>
      <c r="I106" s="33" t="s">
        <v>14</v>
      </c>
      <c r="J106" s="98" t="s">
        <v>1646</v>
      </c>
      <c r="K106" s="106" t="s">
        <v>1720</v>
      </c>
    </row>
    <row r="107" spans="1:11" ht="25.2" customHeight="1" thickBot="1">
      <c r="A107" s="26"/>
      <c r="B107" s="27"/>
      <c r="C107" s="68"/>
      <c r="D107" s="69" t="s">
        <v>619</v>
      </c>
      <c r="E107" s="38" t="s">
        <v>620</v>
      </c>
      <c r="F107" s="100" t="s">
        <v>242</v>
      </c>
      <c r="G107" s="69" t="s">
        <v>621</v>
      </c>
      <c r="H107" s="69" t="s">
        <v>622</v>
      </c>
      <c r="I107" s="101" t="s">
        <v>14</v>
      </c>
      <c r="J107" s="102" t="s">
        <v>1647</v>
      </c>
      <c r="K107" s="106" t="s">
        <v>1721</v>
      </c>
    </row>
    <row r="108" spans="1:11" ht="24.6" customHeight="1">
      <c r="A108" s="26"/>
      <c r="B108" s="27"/>
      <c r="C108" s="64" t="s">
        <v>39</v>
      </c>
      <c r="D108" s="20" t="s">
        <v>623</v>
      </c>
      <c r="E108" s="42" t="s">
        <v>624</v>
      </c>
      <c r="F108" s="22" t="s">
        <v>204</v>
      </c>
      <c r="G108" s="23" t="s">
        <v>625</v>
      </c>
      <c r="H108" s="23" t="s">
        <v>626</v>
      </c>
      <c r="I108" s="24" t="s">
        <v>14</v>
      </c>
      <c r="J108" s="96" t="s">
        <v>1648</v>
      </c>
      <c r="K108" s="106" t="s">
        <v>1722</v>
      </c>
    </row>
    <row r="109" spans="1:11" ht="24.6" customHeight="1">
      <c r="A109" s="26"/>
      <c r="B109" s="27"/>
      <c r="C109" s="65"/>
      <c r="D109" s="67" t="s">
        <v>627</v>
      </c>
      <c r="E109" s="30" t="s">
        <v>628</v>
      </c>
      <c r="F109" s="31" t="s">
        <v>204</v>
      </c>
      <c r="G109" s="32" t="s">
        <v>629</v>
      </c>
      <c r="H109" s="32" t="s">
        <v>618</v>
      </c>
      <c r="I109" s="33" t="s">
        <v>14</v>
      </c>
      <c r="J109" s="98" t="s">
        <v>1649</v>
      </c>
      <c r="K109" s="106" t="s">
        <v>1723</v>
      </c>
    </row>
    <row r="110" spans="1:11" ht="24.6" customHeight="1">
      <c r="A110" s="26"/>
      <c r="B110" s="27"/>
      <c r="C110" s="65"/>
      <c r="D110" s="67" t="s">
        <v>630</v>
      </c>
      <c r="E110" s="30" t="s">
        <v>631</v>
      </c>
      <c r="F110" s="31" t="s">
        <v>204</v>
      </c>
      <c r="G110" s="32" t="s">
        <v>632</v>
      </c>
      <c r="H110" s="32" t="s">
        <v>633</v>
      </c>
      <c r="I110" s="33" t="s">
        <v>14</v>
      </c>
      <c r="J110" s="98" t="s">
        <v>1650</v>
      </c>
      <c r="K110" s="106" t="s">
        <v>1724</v>
      </c>
    </row>
    <row r="111" spans="1:11" ht="24.6" customHeight="1">
      <c r="A111" s="26"/>
      <c r="B111" s="27"/>
      <c r="C111" s="65"/>
      <c r="D111" s="32" t="s">
        <v>634</v>
      </c>
      <c r="E111" s="30" t="s">
        <v>635</v>
      </c>
      <c r="F111" s="31" t="s">
        <v>209</v>
      </c>
      <c r="G111" s="32" t="s">
        <v>636</v>
      </c>
      <c r="H111" s="32" t="s">
        <v>637</v>
      </c>
      <c r="I111" s="33" t="s">
        <v>13</v>
      </c>
      <c r="J111" s="98" t="s">
        <v>1651</v>
      </c>
      <c r="K111" s="106" t="s">
        <v>1725</v>
      </c>
    </row>
    <row r="112" spans="1:11" ht="25.2" customHeight="1" thickBot="1">
      <c r="A112" s="26"/>
      <c r="B112" s="27"/>
      <c r="C112" s="68"/>
      <c r="D112" s="69" t="s">
        <v>638</v>
      </c>
      <c r="E112" s="38" t="s">
        <v>639</v>
      </c>
      <c r="F112" s="100" t="s">
        <v>209</v>
      </c>
      <c r="G112" s="69" t="s">
        <v>640</v>
      </c>
      <c r="H112" s="69" t="s">
        <v>641</v>
      </c>
      <c r="I112" s="101" t="s">
        <v>14</v>
      </c>
      <c r="J112" s="102" t="s">
        <v>1652</v>
      </c>
      <c r="K112" s="106" t="s">
        <v>1726</v>
      </c>
    </row>
    <row r="113" spans="1:11" ht="24.6" customHeight="1">
      <c r="A113" s="26"/>
      <c r="B113" s="27"/>
      <c r="C113" s="64" t="s">
        <v>40</v>
      </c>
      <c r="D113" s="20" t="s">
        <v>642</v>
      </c>
      <c r="E113" s="42" t="s">
        <v>643</v>
      </c>
      <c r="F113" s="22" t="s">
        <v>209</v>
      </c>
      <c r="G113" s="23" t="s">
        <v>644</v>
      </c>
      <c r="H113" s="23" t="s">
        <v>645</v>
      </c>
      <c r="I113" s="24" t="s">
        <v>13</v>
      </c>
      <c r="J113" s="96" t="s">
        <v>1653</v>
      </c>
      <c r="K113" s="106" t="s">
        <v>1727</v>
      </c>
    </row>
    <row r="114" spans="1:11" ht="24.6" customHeight="1">
      <c r="A114" s="26"/>
      <c r="B114" s="27"/>
      <c r="C114" s="65"/>
      <c r="D114" s="67" t="s">
        <v>646</v>
      </c>
      <c r="E114" s="30" t="s">
        <v>647</v>
      </c>
      <c r="F114" s="31" t="s">
        <v>209</v>
      </c>
      <c r="G114" s="32" t="s">
        <v>648</v>
      </c>
      <c r="H114" s="32" t="s">
        <v>649</v>
      </c>
      <c r="I114" s="33" t="s">
        <v>14</v>
      </c>
      <c r="J114" s="98" t="s">
        <v>1654</v>
      </c>
      <c r="K114" s="106" t="s">
        <v>1728</v>
      </c>
    </row>
    <row r="115" spans="1:11" ht="24.6" customHeight="1">
      <c r="A115" s="26"/>
      <c r="B115" s="27"/>
      <c r="C115" s="65"/>
      <c r="D115" s="67" t="s">
        <v>650</v>
      </c>
      <c r="E115" s="30" t="s">
        <v>651</v>
      </c>
      <c r="F115" s="31" t="s">
        <v>209</v>
      </c>
      <c r="G115" s="32" t="s">
        <v>652</v>
      </c>
      <c r="H115" s="32" t="s">
        <v>653</v>
      </c>
      <c r="I115" s="33" t="s">
        <v>14</v>
      </c>
      <c r="J115" s="98" t="s">
        <v>1655</v>
      </c>
      <c r="K115" s="106" t="s">
        <v>1729</v>
      </c>
    </row>
    <row r="116" spans="1:11" ht="24.6" customHeight="1">
      <c r="A116" s="26"/>
      <c r="B116" s="27"/>
      <c r="C116" s="65"/>
      <c r="D116" s="32" t="s">
        <v>654</v>
      </c>
      <c r="E116" s="30" t="s">
        <v>655</v>
      </c>
      <c r="F116" s="31" t="s">
        <v>209</v>
      </c>
      <c r="G116" s="32" t="s">
        <v>656</v>
      </c>
      <c r="H116" s="32" t="s">
        <v>657</v>
      </c>
      <c r="I116" s="33" t="s">
        <v>13</v>
      </c>
      <c r="J116" s="98" t="s">
        <v>1656</v>
      </c>
      <c r="K116" s="106" t="s">
        <v>1730</v>
      </c>
    </row>
    <row r="117" spans="1:11" ht="25.2" customHeight="1" thickBot="1">
      <c r="A117" s="26"/>
      <c r="B117" s="27"/>
      <c r="C117" s="68"/>
      <c r="D117" s="69" t="s">
        <v>658</v>
      </c>
      <c r="E117" s="38" t="s">
        <v>659</v>
      </c>
      <c r="F117" s="100" t="s">
        <v>209</v>
      </c>
      <c r="G117" s="69" t="s">
        <v>660</v>
      </c>
      <c r="H117" s="69" t="s">
        <v>661</v>
      </c>
      <c r="I117" s="101" t="s">
        <v>14</v>
      </c>
      <c r="J117" s="102" t="s">
        <v>1657</v>
      </c>
      <c r="K117" s="106" t="s">
        <v>1731</v>
      </c>
    </row>
    <row r="118" spans="1:11" ht="24.6" customHeight="1">
      <c r="A118" s="26"/>
      <c r="B118" s="27"/>
      <c r="C118" s="64" t="s">
        <v>41</v>
      </c>
      <c r="D118" s="20" t="s">
        <v>662</v>
      </c>
      <c r="E118" s="42" t="s">
        <v>663</v>
      </c>
      <c r="F118" s="22" t="s">
        <v>209</v>
      </c>
      <c r="G118" s="23" t="s">
        <v>664</v>
      </c>
      <c r="H118" s="23" t="s">
        <v>665</v>
      </c>
      <c r="I118" s="24" t="s">
        <v>14</v>
      </c>
      <c r="J118" s="96" t="s">
        <v>1658</v>
      </c>
      <c r="K118" s="106" t="s">
        <v>1732</v>
      </c>
    </row>
    <row r="119" spans="1:11" ht="24.6" customHeight="1">
      <c r="A119" s="26"/>
      <c r="B119" s="27"/>
      <c r="C119" s="65"/>
      <c r="D119" s="67" t="s">
        <v>666</v>
      </c>
      <c r="E119" s="30" t="s">
        <v>667</v>
      </c>
      <c r="F119" s="31" t="s">
        <v>209</v>
      </c>
      <c r="G119" s="32" t="s">
        <v>668</v>
      </c>
      <c r="H119" s="32" t="s">
        <v>669</v>
      </c>
      <c r="I119" s="33" t="s">
        <v>13</v>
      </c>
      <c r="J119" s="98" t="s">
        <v>1659</v>
      </c>
      <c r="K119" s="106" t="s">
        <v>1733</v>
      </c>
    </row>
    <row r="120" spans="1:11" ht="24.6" customHeight="1">
      <c r="A120" s="26"/>
      <c r="B120" s="27"/>
      <c r="C120" s="65"/>
      <c r="D120" s="67" t="s">
        <v>670</v>
      </c>
      <c r="E120" s="30" t="s">
        <v>671</v>
      </c>
      <c r="F120" s="31" t="s">
        <v>209</v>
      </c>
      <c r="G120" s="32" t="s">
        <v>672</v>
      </c>
      <c r="H120" s="32" t="s">
        <v>673</v>
      </c>
      <c r="I120" s="33" t="s">
        <v>14</v>
      </c>
      <c r="J120" s="98" t="s">
        <v>1660</v>
      </c>
      <c r="K120" s="106" t="s">
        <v>1734</v>
      </c>
    </row>
    <row r="121" spans="1:11" ht="24.6" customHeight="1">
      <c r="A121" s="26"/>
      <c r="B121" s="27"/>
      <c r="C121" s="65"/>
      <c r="D121" s="32" t="s">
        <v>674</v>
      </c>
      <c r="E121" s="30" t="s">
        <v>675</v>
      </c>
      <c r="F121" s="31" t="s">
        <v>209</v>
      </c>
      <c r="G121" s="32" t="s">
        <v>676</v>
      </c>
      <c r="H121" s="32" t="s">
        <v>677</v>
      </c>
      <c r="I121" s="33" t="s">
        <v>14</v>
      </c>
      <c r="J121" s="98" t="s">
        <v>1661</v>
      </c>
      <c r="K121" s="106" t="s">
        <v>1735</v>
      </c>
    </row>
    <row r="122" spans="1:11" ht="25.2" customHeight="1" thickBot="1">
      <c r="A122" s="26"/>
      <c r="B122" s="27"/>
      <c r="C122" s="68"/>
      <c r="D122" s="69" t="s">
        <v>678</v>
      </c>
      <c r="E122" s="38" t="s">
        <v>679</v>
      </c>
      <c r="F122" s="100" t="s">
        <v>209</v>
      </c>
      <c r="G122" s="69" t="s">
        <v>680</v>
      </c>
      <c r="H122" s="69" t="s">
        <v>681</v>
      </c>
      <c r="I122" s="101" t="s">
        <v>14</v>
      </c>
      <c r="J122" s="102" t="s">
        <v>1472</v>
      </c>
      <c r="K122" s="106" t="s">
        <v>1473</v>
      </c>
    </row>
    <row r="123" spans="1:11" ht="24.6" customHeight="1">
      <c r="A123" s="26"/>
      <c r="B123" s="27"/>
      <c r="C123" s="64" t="s">
        <v>43</v>
      </c>
      <c r="D123" s="20" t="s">
        <v>682</v>
      </c>
      <c r="E123" s="42" t="s">
        <v>683</v>
      </c>
      <c r="F123" s="22" t="s">
        <v>209</v>
      </c>
      <c r="G123" s="23" t="s">
        <v>684</v>
      </c>
      <c r="H123" s="23" t="s">
        <v>685</v>
      </c>
      <c r="I123" s="24" t="s">
        <v>14</v>
      </c>
      <c r="J123" s="96" t="s">
        <v>681</v>
      </c>
      <c r="K123" s="106" t="s">
        <v>1737</v>
      </c>
    </row>
    <row r="124" spans="1:11" ht="24.6" customHeight="1">
      <c r="A124" s="26"/>
      <c r="B124" s="27"/>
      <c r="C124" s="65"/>
      <c r="D124" s="67" t="s">
        <v>686</v>
      </c>
      <c r="E124" s="30" t="s">
        <v>42</v>
      </c>
      <c r="F124" s="31" t="s">
        <v>209</v>
      </c>
      <c r="G124" s="32" t="s">
        <v>687</v>
      </c>
      <c r="H124" s="32" t="s">
        <v>688</v>
      </c>
      <c r="I124" s="33" t="s">
        <v>14</v>
      </c>
      <c r="J124" s="98" t="s">
        <v>685</v>
      </c>
      <c r="K124" s="106" t="s">
        <v>1738</v>
      </c>
    </row>
    <row r="125" spans="1:11" ht="24.6" customHeight="1">
      <c r="A125" s="26"/>
      <c r="B125" s="27"/>
      <c r="C125" s="65"/>
      <c r="D125" s="67" t="s">
        <v>689</v>
      </c>
      <c r="E125" s="30" t="s">
        <v>690</v>
      </c>
      <c r="F125" s="31" t="s">
        <v>209</v>
      </c>
      <c r="G125" s="32" t="s">
        <v>691</v>
      </c>
      <c r="H125" s="32" t="s">
        <v>661</v>
      </c>
      <c r="I125" s="33" t="s">
        <v>14</v>
      </c>
      <c r="J125" s="98" t="s">
        <v>688</v>
      </c>
      <c r="K125" s="106" t="s">
        <v>1739</v>
      </c>
    </row>
    <row r="126" spans="1:11" ht="24.6" customHeight="1">
      <c r="A126" s="26"/>
      <c r="B126" s="27"/>
      <c r="C126" s="65"/>
      <c r="D126" s="32" t="s">
        <v>692</v>
      </c>
      <c r="E126" s="30" t="s">
        <v>693</v>
      </c>
      <c r="F126" s="31" t="s">
        <v>209</v>
      </c>
      <c r="G126" s="32" t="s">
        <v>694</v>
      </c>
      <c r="H126" s="32" t="s">
        <v>695</v>
      </c>
      <c r="I126" s="33" t="s">
        <v>13</v>
      </c>
      <c r="J126" s="98" t="s">
        <v>661</v>
      </c>
      <c r="K126" s="106" t="s">
        <v>1740</v>
      </c>
    </row>
    <row r="127" spans="1:11" ht="25.2" customHeight="1" thickBot="1">
      <c r="A127" s="26"/>
      <c r="B127" s="27"/>
      <c r="C127" s="68"/>
      <c r="D127" s="69" t="s">
        <v>696</v>
      </c>
      <c r="E127" s="38" t="s">
        <v>697</v>
      </c>
      <c r="F127" s="100" t="s">
        <v>209</v>
      </c>
      <c r="G127" s="69" t="s">
        <v>698</v>
      </c>
      <c r="H127" s="69" t="s">
        <v>699</v>
      </c>
      <c r="I127" s="101" t="s">
        <v>13</v>
      </c>
      <c r="J127" s="102" t="s">
        <v>695</v>
      </c>
      <c r="K127" s="106" t="s">
        <v>1741</v>
      </c>
    </row>
    <row r="128" spans="1:11" ht="24.6" customHeight="1">
      <c r="A128" s="26"/>
      <c r="B128" s="27"/>
      <c r="C128" s="64" t="s">
        <v>44</v>
      </c>
      <c r="D128" s="20" t="s">
        <v>700</v>
      </c>
      <c r="E128" s="42" t="s">
        <v>701</v>
      </c>
      <c r="F128" s="22" t="s">
        <v>209</v>
      </c>
      <c r="G128" s="23" t="s">
        <v>702</v>
      </c>
      <c r="H128" s="23" t="s">
        <v>703</v>
      </c>
      <c r="I128" s="24" t="s">
        <v>13</v>
      </c>
      <c r="J128" s="96" t="s">
        <v>699</v>
      </c>
      <c r="K128" s="106" t="s">
        <v>1742</v>
      </c>
    </row>
    <row r="129" spans="1:11" ht="24.6" customHeight="1">
      <c r="A129" s="26"/>
      <c r="B129" s="27"/>
      <c r="C129" s="65"/>
      <c r="D129" s="67" t="s">
        <v>704</v>
      </c>
      <c r="E129" s="30" t="s">
        <v>705</v>
      </c>
      <c r="F129" s="31" t="s">
        <v>209</v>
      </c>
      <c r="G129" s="32" t="s">
        <v>706</v>
      </c>
      <c r="H129" s="32" t="s">
        <v>707</v>
      </c>
      <c r="I129" s="33" t="s">
        <v>13</v>
      </c>
      <c r="J129" s="98" t="s">
        <v>1743</v>
      </c>
      <c r="K129" s="106" t="s">
        <v>1736</v>
      </c>
    </row>
    <row r="130" spans="1:11" ht="24.6" customHeight="1">
      <c r="A130" s="26"/>
      <c r="B130" s="27"/>
      <c r="C130" s="65"/>
      <c r="D130" s="67" t="s">
        <v>708</v>
      </c>
      <c r="E130" s="30" t="s">
        <v>701</v>
      </c>
      <c r="F130" s="31" t="s">
        <v>209</v>
      </c>
      <c r="G130" s="32" t="s">
        <v>702</v>
      </c>
      <c r="H130" s="32" t="s">
        <v>703</v>
      </c>
      <c r="I130" s="33" t="s">
        <v>13</v>
      </c>
      <c r="J130" s="98" t="s">
        <v>1744</v>
      </c>
      <c r="K130" s="106" t="s">
        <v>1745</v>
      </c>
    </row>
    <row r="131" spans="1:11" ht="24.6" customHeight="1">
      <c r="A131" s="26"/>
      <c r="B131" s="27"/>
      <c r="C131" s="65"/>
      <c r="D131" s="32" t="s">
        <v>709</v>
      </c>
      <c r="E131" s="30" t="s">
        <v>710</v>
      </c>
      <c r="F131" s="31" t="s">
        <v>209</v>
      </c>
      <c r="G131" s="32" t="s">
        <v>711</v>
      </c>
      <c r="H131" s="32" t="s">
        <v>707</v>
      </c>
      <c r="I131" s="33" t="s">
        <v>13</v>
      </c>
      <c r="J131" s="98" t="s">
        <v>715</v>
      </c>
      <c r="K131" s="106" t="s">
        <v>1746</v>
      </c>
    </row>
    <row r="132" spans="1:11" ht="25.2" customHeight="1" thickBot="1">
      <c r="A132" s="26"/>
      <c r="B132" s="27"/>
      <c r="C132" s="68"/>
      <c r="D132" s="69" t="s">
        <v>712</v>
      </c>
      <c r="E132" s="38" t="s">
        <v>713</v>
      </c>
      <c r="F132" s="100" t="s">
        <v>209</v>
      </c>
      <c r="G132" s="69" t="s">
        <v>714</v>
      </c>
      <c r="H132" s="69" t="s">
        <v>715</v>
      </c>
      <c r="I132" s="101" t="s">
        <v>14</v>
      </c>
      <c r="J132" s="102" t="s">
        <v>1747</v>
      </c>
      <c r="K132" s="106" t="s">
        <v>1748</v>
      </c>
    </row>
    <row r="133" spans="1:11" ht="25.2" customHeight="1" thickBot="1">
      <c r="A133" s="26"/>
      <c r="B133" s="27"/>
      <c r="C133" s="64" t="s">
        <v>45</v>
      </c>
      <c r="D133" s="20" t="s">
        <v>716</v>
      </c>
      <c r="E133" s="42" t="s">
        <v>717</v>
      </c>
      <c r="F133" s="22" t="s">
        <v>204</v>
      </c>
      <c r="G133" s="23" t="s">
        <v>718</v>
      </c>
      <c r="H133" s="23" t="s">
        <v>719</v>
      </c>
      <c r="I133" s="24" t="s">
        <v>14</v>
      </c>
      <c r="J133" s="96" t="s">
        <v>1749</v>
      </c>
      <c r="K133" s="106" t="s">
        <v>1750</v>
      </c>
    </row>
    <row r="134" spans="1:11" ht="25.2" customHeight="1" thickBot="1">
      <c r="A134" s="26"/>
      <c r="B134" s="27"/>
      <c r="C134" s="65"/>
      <c r="D134" s="67" t="s">
        <v>720</v>
      </c>
      <c r="E134" s="30" t="s">
        <v>721</v>
      </c>
      <c r="F134" s="31" t="s">
        <v>204</v>
      </c>
      <c r="G134" s="32" t="s">
        <v>722</v>
      </c>
      <c r="H134" s="32" t="s">
        <v>723</v>
      </c>
      <c r="I134" s="24" t="s">
        <v>13</v>
      </c>
      <c r="J134" s="98" t="s">
        <v>1751</v>
      </c>
      <c r="K134" s="106" t="s">
        <v>1752</v>
      </c>
    </row>
    <row r="135" spans="1:11" ht="25.2" customHeight="1" thickBot="1">
      <c r="A135" s="26"/>
      <c r="B135" s="27"/>
      <c r="C135" s="65"/>
      <c r="D135" s="67" t="s">
        <v>724</v>
      </c>
      <c r="E135" s="30" t="s">
        <v>725</v>
      </c>
      <c r="F135" s="31" t="s">
        <v>204</v>
      </c>
      <c r="G135" s="32" t="s">
        <v>726</v>
      </c>
      <c r="H135" s="32" t="s">
        <v>727</v>
      </c>
      <c r="I135" s="24" t="s">
        <v>13</v>
      </c>
      <c r="J135" s="98" t="s">
        <v>1753</v>
      </c>
      <c r="K135" s="106" t="s">
        <v>1754</v>
      </c>
    </row>
    <row r="136" spans="1:11" ht="25.2" customHeight="1" thickBot="1">
      <c r="A136" s="26"/>
      <c r="B136" s="27"/>
      <c r="C136" s="65"/>
      <c r="D136" s="32" t="s">
        <v>728</v>
      </c>
      <c r="E136" s="30" t="s">
        <v>729</v>
      </c>
      <c r="F136" s="31" t="s">
        <v>204</v>
      </c>
      <c r="G136" s="32" t="s">
        <v>730</v>
      </c>
      <c r="H136" s="32" t="s">
        <v>731</v>
      </c>
      <c r="I136" s="24" t="s">
        <v>14</v>
      </c>
      <c r="J136" s="98" t="s">
        <v>1755</v>
      </c>
      <c r="K136" s="106" t="s">
        <v>1756</v>
      </c>
    </row>
    <row r="137" spans="1:11" ht="25.2" customHeight="1" thickBot="1">
      <c r="A137" s="26"/>
      <c r="B137" s="27"/>
      <c r="C137" s="68"/>
      <c r="D137" s="69" t="s">
        <v>732</v>
      </c>
      <c r="E137" s="38" t="s">
        <v>733</v>
      </c>
      <c r="F137" s="100" t="s">
        <v>242</v>
      </c>
      <c r="G137" s="69" t="s">
        <v>734</v>
      </c>
      <c r="H137" s="69" t="s">
        <v>735</v>
      </c>
      <c r="I137" s="24" t="s">
        <v>14</v>
      </c>
      <c r="J137" s="102" t="s">
        <v>1757</v>
      </c>
      <c r="K137" s="106" t="s">
        <v>1758</v>
      </c>
    </row>
    <row r="138" spans="1:11" ht="25.2" customHeight="1" thickBot="1">
      <c r="A138" s="26"/>
      <c r="B138" s="107" t="s">
        <v>46</v>
      </c>
      <c r="C138" s="71" t="s">
        <v>47</v>
      </c>
      <c r="D138" s="72" t="s">
        <v>736</v>
      </c>
      <c r="E138" s="73" t="s">
        <v>737</v>
      </c>
      <c r="F138" s="81" t="s">
        <v>204</v>
      </c>
      <c r="G138" s="72" t="s">
        <v>738</v>
      </c>
      <c r="H138" s="72" t="s">
        <v>739</v>
      </c>
      <c r="I138" s="75" t="s">
        <v>387</v>
      </c>
      <c r="J138" s="76" t="s">
        <v>1759</v>
      </c>
      <c r="K138" s="108" t="s">
        <v>1760</v>
      </c>
    </row>
    <row r="139" spans="1:11" ht="25.2" customHeight="1" thickBot="1">
      <c r="A139" s="26"/>
      <c r="B139" s="70"/>
      <c r="C139" s="78"/>
      <c r="D139" s="79" t="s">
        <v>740</v>
      </c>
      <c r="E139" s="109" t="s">
        <v>741</v>
      </c>
      <c r="F139" s="110" t="s">
        <v>209</v>
      </c>
      <c r="G139" s="82" t="s">
        <v>738</v>
      </c>
      <c r="H139" s="82" t="s">
        <v>742</v>
      </c>
      <c r="I139" s="75" t="s">
        <v>387</v>
      </c>
      <c r="J139" s="84" t="s">
        <v>1761</v>
      </c>
      <c r="K139" s="108" t="s">
        <v>1762</v>
      </c>
    </row>
    <row r="140" spans="1:11" ht="25.2" customHeight="1" thickBot="1">
      <c r="A140" s="26"/>
      <c r="B140" s="70"/>
      <c r="C140" s="78"/>
      <c r="D140" s="85" t="s">
        <v>743</v>
      </c>
      <c r="E140" s="109" t="s">
        <v>744</v>
      </c>
      <c r="F140" s="81" t="s">
        <v>204</v>
      </c>
      <c r="G140" s="82" t="s">
        <v>738</v>
      </c>
      <c r="H140" s="82" t="s">
        <v>745</v>
      </c>
      <c r="I140" s="75" t="s">
        <v>387</v>
      </c>
      <c r="J140" s="84" t="s">
        <v>1763</v>
      </c>
      <c r="K140" s="108" t="s">
        <v>1764</v>
      </c>
    </row>
    <row r="141" spans="1:11" ht="25.2" customHeight="1" thickBot="1">
      <c r="A141" s="26"/>
      <c r="B141" s="70"/>
      <c r="C141" s="78"/>
      <c r="D141" s="85" t="s">
        <v>746</v>
      </c>
      <c r="E141" s="109" t="s">
        <v>747</v>
      </c>
      <c r="F141" s="81" t="s">
        <v>204</v>
      </c>
      <c r="G141" s="82" t="s">
        <v>738</v>
      </c>
      <c r="H141" s="82" t="s">
        <v>748</v>
      </c>
      <c r="I141" s="75" t="s">
        <v>387</v>
      </c>
      <c r="J141" s="84" t="s">
        <v>1765</v>
      </c>
      <c r="K141" s="108" t="s">
        <v>1766</v>
      </c>
    </row>
    <row r="142" spans="1:11" ht="25.2" customHeight="1" thickBot="1">
      <c r="A142" s="26"/>
      <c r="B142" s="70"/>
      <c r="C142" s="78"/>
      <c r="D142" s="82" t="s">
        <v>749</v>
      </c>
      <c r="E142" s="109" t="s">
        <v>750</v>
      </c>
      <c r="F142" s="111" t="s">
        <v>242</v>
      </c>
      <c r="G142" s="82" t="s">
        <v>751</v>
      </c>
      <c r="H142" s="82" t="s">
        <v>752</v>
      </c>
      <c r="I142" s="75" t="s">
        <v>387</v>
      </c>
      <c r="J142" s="84" t="s">
        <v>1767</v>
      </c>
      <c r="K142" s="108" t="s">
        <v>1768</v>
      </c>
    </row>
    <row r="143" spans="1:11" ht="24.6" customHeight="1">
      <c r="A143" s="26"/>
      <c r="B143" s="70"/>
      <c r="C143" s="71" t="s">
        <v>48</v>
      </c>
      <c r="D143" s="72" t="s">
        <v>753</v>
      </c>
      <c r="E143" s="73" t="s">
        <v>754</v>
      </c>
      <c r="F143" s="81" t="s">
        <v>204</v>
      </c>
      <c r="G143" s="72" t="s">
        <v>738</v>
      </c>
      <c r="H143" s="72" t="s">
        <v>755</v>
      </c>
      <c r="I143" s="75" t="s">
        <v>14</v>
      </c>
      <c r="J143" s="76" t="s">
        <v>1769</v>
      </c>
      <c r="K143" s="108" t="s">
        <v>1770</v>
      </c>
    </row>
    <row r="144" spans="1:11" ht="24.6" customHeight="1">
      <c r="A144" s="26"/>
      <c r="B144" s="70"/>
      <c r="C144" s="78"/>
      <c r="D144" s="79" t="s">
        <v>756</v>
      </c>
      <c r="E144" s="109" t="s">
        <v>757</v>
      </c>
      <c r="F144" s="81" t="s">
        <v>204</v>
      </c>
      <c r="G144" s="82" t="s">
        <v>738</v>
      </c>
      <c r="H144" s="82" t="s">
        <v>758</v>
      </c>
      <c r="I144" s="83" t="s">
        <v>14</v>
      </c>
      <c r="J144" s="84" t="s">
        <v>1771</v>
      </c>
      <c r="K144" s="108" t="s">
        <v>1772</v>
      </c>
    </row>
    <row r="145" spans="1:11" ht="25.2" customHeight="1" thickBot="1">
      <c r="A145" s="26"/>
      <c r="B145" s="70"/>
      <c r="C145" s="78"/>
      <c r="D145" s="85" t="s">
        <v>759</v>
      </c>
      <c r="E145" s="109" t="s">
        <v>760</v>
      </c>
      <c r="F145" s="111" t="s">
        <v>242</v>
      </c>
      <c r="G145" s="82" t="s">
        <v>761</v>
      </c>
      <c r="H145" s="82" t="s">
        <v>762</v>
      </c>
      <c r="I145" s="83" t="s">
        <v>14</v>
      </c>
      <c r="J145" s="84" t="s">
        <v>1773</v>
      </c>
      <c r="K145" s="108" t="s">
        <v>1774</v>
      </c>
    </row>
    <row r="146" spans="1:11" ht="24.6" customHeight="1">
      <c r="A146" s="26"/>
      <c r="B146" s="70"/>
      <c r="C146" s="78"/>
      <c r="D146" s="82" t="s">
        <v>763</v>
      </c>
      <c r="E146" s="109" t="s">
        <v>764</v>
      </c>
      <c r="F146" s="81" t="s">
        <v>204</v>
      </c>
      <c r="G146" s="82" t="s">
        <v>761</v>
      </c>
      <c r="H146" s="82" t="s">
        <v>765</v>
      </c>
      <c r="I146" s="83" t="s">
        <v>14</v>
      </c>
      <c r="J146" s="84" t="s">
        <v>1775</v>
      </c>
      <c r="K146" s="108" t="s">
        <v>1776</v>
      </c>
    </row>
    <row r="147" spans="1:11" ht="25.2" customHeight="1" thickBot="1">
      <c r="A147" s="26"/>
      <c r="B147" s="70"/>
      <c r="C147" s="86"/>
      <c r="D147" s="87" t="s">
        <v>766</v>
      </c>
      <c r="E147" s="112" t="s">
        <v>767</v>
      </c>
      <c r="F147" s="81" t="s">
        <v>204</v>
      </c>
      <c r="G147" s="87" t="s">
        <v>761</v>
      </c>
      <c r="H147" s="87" t="s">
        <v>768</v>
      </c>
      <c r="I147" s="113" t="s">
        <v>14</v>
      </c>
      <c r="J147" s="114" t="s">
        <v>1777</v>
      </c>
      <c r="K147" s="108" t="s">
        <v>1778</v>
      </c>
    </row>
    <row r="148" spans="1:11" ht="25.2" customHeight="1" thickBot="1">
      <c r="A148" s="26"/>
      <c r="B148" s="70"/>
      <c r="C148" s="71" t="s">
        <v>49</v>
      </c>
      <c r="D148" s="72" t="s">
        <v>769</v>
      </c>
      <c r="E148" s="73" t="s">
        <v>770</v>
      </c>
      <c r="F148" s="81" t="s">
        <v>204</v>
      </c>
      <c r="G148" s="72" t="s">
        <v>771</v>
      </c>
      <c r="H148" s="72" t="s">
        <v>772</v>
      </c>
      <c r="I148" s="75" t="s">
        <v>387</v>
      </c>
      <c r="J148" s="76" t="s">
        <v>1779</v>
      </c>
      <c r="K148" s="108" t="s">
        <v>1780</v>
      </c>
    </row>
    <row r="149" spans="1:11" ht="25.2" customHeight="1" thickBot="1">
      <c r="A149" s="26"/>
      <c r="B149" s="70"/>
      <c r="C149" s="78"/>
      <c r="D149" s="79" t="s">
        <v>773</v>
      </c>
      <c r="E149" s="109" t="s">
        <v>774</v>
      </c>
      <c r="F149" s="81" t="s">
        <v>204</v>
      </c>
      <c r="G149" s="82" t="s">
        <v>771</v>
      </c>
      <c r="H149" s="82" t="s">
        <v>775</v>
      </c>
      <c r="I149" s="75" t="s">
        <v>387</v>
      </c>
      <c r="J149" s="84" t="s">
        <v>1781</v>
      </c>
      <c r="K149" s="108" t="s">
        <v>1782</v>
      </c>
    </row>
    <row r="150" spans="1:11" ht="25.2" customHeight="1" thickBot="1">
      <c r="A150" s="26"/>
      <c r="B150" s="70"/>
      <c r="C150" s="78"/>
      <c r="D150" s="85" t="s">
        <v>776</v>
      </c>
      <c r="E150" s="109" t="s">
        <v>777</v>
      </c>
      <c r="F150" s="110" t="s">
        <v>209</v>
      </c>
      <c r="G150" s="82" t="s">
        <v>761</v>
      </c>
      <c r="H150" s="82" t="s">
        <v>778</v>
      </c>
      <c r="I150" s="75" t="s">
        <v>387</v>
      </c>
      <c r="J150" s="84" t="s">
        <v>1783</v>
      </c>
      <c r="K150" s="108" t="s">
        <v>1784</v>
      </c>
    </row>
    <row r="151" spans="1:11" ht="25.2" customHeight="1" thickBot="1">
      <c r="A151" s="26"/>
      <c r="B151" s="70"/>
      <c r="C151" s="78"/>
      <c r="D151" s="82" t="s">
        <v>779</v>
      </c>
      <c r="E151" s="109" t="s">
        <v>780</v>
      </c>
      <c r="F151" s="81" t="s">
        <v>204</v>
      </c>
      <c r="G151" s="82" t="s">
        <v>781</v>
      </c>
      <c r="H151" s="82" t="s">
        <v>782</v>
      </c>
      <c r="I151" s="75" t="s">
        <v>387</v>
      </c>
      <c r="J151" s="84" t="s">
        <v>1785</v>
      </c>
      <c r="K151" s="108" t="s">
        <v>1786</v>
      </c>
    </row>
    <row r="152" spans="1:11" ht="25.2" customHeight="1" thickBot="1">
      <c r="A152" s="26"/>
      <c r="B152" s="70"/>
      <c r="C152" s="86"/>
      <c r="D152" s="87" t="s">
        <v>783</v>
      </c>
      <c r="E152" s="112" t="s">
        <v>784</v>
      </c>
      <c r="F152" s="81" t="s">
        <v>204</v>
      </c>
      <c r="G152" s="87" t="s">
        <v>761</v>
      </c>
      <c r="H152" s="87" t="s">
        <v>785</v>
      </c>
      <c r="I152" s="75" t="s">
        <v>387</v>
      </c>
      <c r="J152" s="114" t="s">
        <v>1787</v>
      </c>
      <c r="K152" s="108" t="s">
        <v>1788</v>
      </c>
    </row>
    <row r="153" spans="1:11" ht="25.2" customHeight="1" thickBot="1">
      <c r="A153" s="26"/>
      <c r="B153" s="70"/>
      <c r="C153" s="115" t="s">
        <v>50</v>
      </c>
      <c r="D153" s="116" t="s">
        <v>786</v>
      </c>
      <c r="E153" s="117" t="s">
        <v>787</v>
      </c>
      <c r="F153" s="111" t="s">
        <v>242</v>
      </c>
      <c r="G153" s="72" t="s">
        <v>788</v>
      </c>
      <c r="H153" s="72" t="s">
        <v>789</v>
      </c>
      <c r="I153" s="75" t="s">
        <v>14</v>
      </c>
      <c r="J153" s="76" t="s">
        <v>1789</v>
      </c>
      <c r="K153" s="108" t="s">
        <v>1790</v>
      </c>
    </row>
    <row r="154" spans="1:11" ht="24.6" customHeight="1">
      <c r="A154" s="26"/>
      <c r="B154" s="70"/>
      <c r="C154" s="118"/>
      <c r="D154" s="119" t="s">
        <v>790</v>
      </c>
      <c r="E154" s="109" t="s">
        <v>791</v>
      </c>
      <c r="F154" s="81" t="s">
        <v>204</v>
      </c>
      <c r="G154" s="82" t="s">
        <v>788</v>
      </c>
      <c r="H154" s="82" t="s">
        <v>792</v>
      </c>
      <c r="I154" s="83" t="s">
        <v>14</v>
      </c>
      <c r="J154" s="84" t="s">
        <v>1791</v>
      </c>
      <c r="K154" s="108" t="s">
        <v>1792</v>
      </c>
    </row>
    <row r="155" spans="1:11" ht="24.6" customHeight="1">
      <c r="A155" s="26"/>
      <c r="B155" s="70"/>
      <c r="C155" s="118"/>
      <c r="D155" s="120" t="s">
        <v>793</v>
      </c>
      <c r="E155" s="109" t="s">
        <v>794</v>
      </c>
      <c r="F155" s="81" t="s">
        <v>204</v>
      </c>
      <c r="G155" s="82" t="s">
        <v>795</v>
      </c>
      <c r="H155" s="82" t="s">
        <v>796</v>
      </c>
      <c r="I155" s="83" t="s">
        <v>14</v>
      </c>
      <c r="J155" s="84" t="s">
        <v>1793</v>
      </c>
      <c r="K155" s="108" t="s">
        <v>1794</v>
      </c>
    </row>
    <row r="156" spans="1:11" ht="24.6" customHeight="1">
      <c r="A156" s="26"/>
      <c r="B156" s="70"/>
      <c r="C156" s="118"/>
      <c r="D156" s="77" t="s">
        <v>797</v>
      </c>
      <c r="E156" s="109" t="s">
        <v>798</v>
      </c>
      <c r="F156" s="81" t="s">
        <v>204</v>
      </c>
      <c r="G156" s="82" t="s">
        <v>795</v>
      </c>
      <c r="H156" s="82" t="s">
        <v>799</v>
      </c>
      <c r="I156" s="83" t="s">
        <v>14</v>
      </c>
      <c r="J156" s="84" t="s">
        <v>1795</v>
      </c>
      <c r="K156" s="108" t="s">
        <v>1796</v>
      </c>
    </row>
    <row r="157" spans="1:11" ht="25.2" customHeight="1" thickBot="1">
      <c r="A157" s="26"/>
      <c r="B157" s="70"/>
      <c r="C157" s="121"/>
      <c r="D157" s="122" t="s">
        <v>800</v>
      </c>
      <c r="E157" s="112" t="s">
        <v>801</v>
      </c>
      <c r="F157" s="81" t="s">
        <v>204</v>
      </c>
      <c r="G157" s="87" t="s">
        <v>802</v>
      </c>
      <c r="H157" s="87" t="s">
        <v>803</v>
      </c>
      <c r="I157" s="113" t="s">
        <v>387</v>
      </c>
      <c r="J157" s="114" t="s">
        <v>1797</v>
      </c>
      <c r="K157" s="108" t="s">
        <v>1798</v>
      </c>
    </row>
    <row r="158" spans="1:11" ht="25.2" customHeight="1" thickBot="1">
      <c r="A158" s="26"/>
      <c r="B158" s="70"/>
      <c r="C158" s="71" t="s">
        <v>51</v>
      </c>
      <c r="D158" s="72" t="s">
        <v>804</v>
      </c>
      <c r="E158" s="73" t="s">
        <v>805</v>
      </c>
      <c r="F158" s="110" t="s">
        <v>209</v>
      </c>
      <c r="G158" s="72" t="s">
        <v>806</v>
      </c>
      <c r="H158" s="72" t="s">
        <v>807</v>
      </c>
      <c r="I158" s="113" t="s">
        <v>387</v>
      </c>
      <c r="J158" s="76" t="s">
        <v>1799</v>
      </c>
      <c r="K158" s="108" t="s">
        <v>1800</v>
      </c>
    </row>
    <row r="159" spans="1:11" ht="25.2" customHeight="1" thickBot="1">
      <c r="A159" s="26"/>
      <c r="B159" s="70"/>
      <c r="C159" s="78"/>
      <c r="D159" s="79" t="s">
        <v>808</v>
      </c>
      <c r="E159" s="109" t="s">
        <v>809</v>
      </c>
      <c r="F159" s="81" t="s">
        <v>204</v>
      </c>
      <c r="G159" s="82" t="s">
        <v>806</v>
      </c>
      <c r="H159" s="82" t="s">
        <v>810</v>
      </c>
      <c r="I159" s="113" t="s">
        <v>387</v>
      </c>
      <c r="J159" s="84" t="s">
        <v>1801</v>
      </c>
      <c r="K159" s="108" t="s">
        <v>1802</v>
      </c>
    </row>
    <row r="160" spans="1:11" ht="25.2" customHeight="1" thickBot="1">
      <c r="A160" s="26"/>
      <c r="B160" s="70"/>
      <c r="C160" s="78"/>
      <c r="D160" s="85" t="s">
        <v>811</v>
      </c>
      <c r="E160" s="109" t="s">
        <v>812</v>
      </c>
      <c r="F160" s="81" t="s">
        <v>204</v>
      </c>
      <c r="G160" s="82" t="s">
        <v>806</v>
      </c>
      <c r="H160" s="82" t="s">
        <v>813</v>
      </c>
      <c r="I160" s="113" t="s">
        <v>387</v>
      </c>
      <c r="J160" s="84" t="s">
        <v>1803</v>
      </c>
      <c r="K160" s="108" t="s">
        <v>1804</v>
      </c>
    </row>
    <row r="161" spans="1:11" ht="25.2" customHeight="1" thickBot="1">
      <c r="A161" s="26"/>
      <c r="B161" s="70"/>
      <c r="C161" s="78"/>
      <c r="D161" s="82" t="s">
        <v>814</v>
      </c>
      <c r="E161" s="109" t="s">
        <v>815</v>
      </c>
      <c r="F161" s="111" t="s">
        <v>242</v>
      </c>
      <c r="G161" s="82" t="s">
        <v>806</v>
      </c>
      <c r="H161" s="82" t="s">
        <v>816</v>
      </c>
      <c r="I161" s="113" t="s">
        <v>387</v>
      </c>
      <c r="J161" s="84" t="s">
        <v>1805</v>
      </c>
      <c r="K161" s="108" t="s">
        <v>1806</v>
      </c>
    </row>
    <row r="162" spans="1:11" ht="25.2" customHeight="1" thickBot="1">
      <c r="A162" s="26"/>
      <c r="B162" s="70"/>
      <c r="C162" s="86"/>
      <c r="D162" s="87" t="s">
        <v>817</v>
      </c>
      <c r="E162" s="112" t="s">
        <v>818</v>
      </c>
      <c r="F162" s="81" t="s">
        <v>204</v>
      </c>
      <c r="G162" s="87" t="s">
        <v>819</v>
      </c>
      <c r="H162" s="87" t="s">
        <v>820</v>
      </c>
      <c r="I162" s="113" t="s">
        <v>387</v>
      </c>
      <c r="J162" s="114" t="s">
        <v>1807</v>
      </c>
      <c r="K162" s="108" t="s">
        <v>1808</v>
      </c>
    </row>
    <row r="163" spans="1:11" ht="24.6" customHeight="1">
      <c r="A163" s="26"/>
      <c r="B163" s="70"/>
      <c r="C163" s="71" t="s">
        <v>52</v>
      </c>
      <c r="D163" s="72" t="s">
        <v>821</v>
      </c>
      <c r="E163" s="73" t="s">
        <v>822</v>
      </c>
      <c r="F163" s="81" t="s">
        <v>204</v>
      </c>
      <c r="G163" s="72" t="s">
        <v>823</v>
      </c>
      <c r="H163" s="72" t="s">
        <v>824</v>
      </c>
      <c r="I163" s="75" t="s">
        <v>14</v>
      </c>
      <c r="J163" s="76" t="s">
        <v>1809</v>
      </c>
      <c r="K163" s="108" t="s">
        <v>1810</v>
      </c>
    </row>
    <row r="164" spans="1:11" ht="24.6" customHeight="1">
      <c r="A164" s="26"/>
      <c r="B164" s="70"/>
      <c r="C164" s="78"/>
      <c r="D164" s="79" t="s">
        <v>825</v>
      </c>
      <c r="E164" s="109" t="s">
        <v>826</v>
      </c>
      <c r="F164" s="110" t="s">
        <v>209</v>
      </c>
      <c r="G164" s="82" t="s">
        <v>823</v>
      </c>
      <c r="H164" s="82" t="s">
        <v>827</v>
      </c>
      <c r="I164" s="83" t="s">
        <v>14</v>
      </c>
      <c r="J164" s="84" t="s">
        <v>1811</v>
      </c>
      <c r="K164" s="108" t="s">
        <v>1812</v>
      </c>
    </row>
    <row r="165" spans="1:11" ht="24.6" customHeight="1">
      <c r="A165" s="26"/>
      <c r="B165" s="70"/>
      <c r="C165" s="78"/>
      <c r="D165" s="85" t="s">
        <v>828</v>
      </c>
      <c r="E165" s="109" t="s">
        <v>829</v>
      </c>
      <c r="F165" s="81" t="s">
        <v>204</v>
      </c>
      <c r="G165" s="82" t="s">
        <v>823</v>
      </c>
      <c r="H165" s="82" t="s">
        <v>830</v>
      </c>
      <c r="I165" s="83" t="s">
        <v>14</v>
      </c>
      <c r="J165" s="84" t="s">
        <v>1813</v>
      </c>
      <c r="K165" s="108" t="s">
        <v>1851</v>
      </c>
    </row>
    <row r="166" spans="1:11" ht="24.6" customHeight="1">
      <c r="A166" s="26"/>
      <c r="B166" s="70"/>
      <c r="C166" s="78"/>
      <c r="D166" s="82" t="s">
        <v>831</v>
      </c>
      <c r="E166" s="109" t="s">
        <v>832</v>
      </c>
      <c r="F166" s="81" t="s">
        <v>204</v>
      </c>
      <c r="G166" s="82" t="s">
        <v>823</v>
      </c>
      <c r="H166" s="82" t="s">
        <v>833</v>
      </c>
      <c r="I166" s="83" t="s">
        <v>14</v>
      </c>
      <c r="J166" s="84" t="s">
        <v>1814</v>
      </c>
      <c r="K166" s="108" t="s">
        <v>1852</v>
      </c>
    </row>
    <row r="167" spans="1:11" ht="25.2" customHeight="1" thickBot="1">
      <c r="A167" s="26"/>
      <c r="B167" s="93"/>
      <c r="C167" s="86"/>
      <c r="D167" s="87" t="s">
        <v>834</v>
      </c>
      <c r="E167" s="112" t="s">
        <v>835</v>
      </c>
      <c r="F167" s="111" t="s">
        <v>242</v>
      </c>
      <c r="G167" s="87" t="s">
        <v>823</v>
      </c>
      <c r="H167" s="87" t="s">
        <v>836</v>
      </c>
      <c r="I167" s="113" t="s">
        <v>14</v>
      </c>
      <c r="J167" s="114" t="s">
        <v>1815</v>
      </c>
      <c r="K167" s="108" t="s">
        <v>1853</v>
      </c>
    </row>
    <row r="168" spans="1:11" ht="23.4" customHeight="1">
      <c r="A168" s="26"/>
      <c r="B168" s="18" t="s">
        <v>53</v>
      </c>
      <c r="C168" s="64" t="s">
        <v>54</v>
      </c>
      <c r="D168" s="23" t="s">
        <v>837</v>
      </c>
      <c r="E168" s="123" t="s">
        <v>838</v>
      </c>
      <c r="F168" s="124" t="s">
        <v>204</v>
      </c>
      <c r="G168" s="23" t="s">
        <v>839</v>
      </c>
      <c r="H168" s="23" t="s">
        <v>840</v>
      </c>
      <c r="I168" s="24" t="s">
        <v>387</v>
      </c>
      <c r="J168" s="96" t="s">
        <v>1816</v>
      </c>
      <c r="K168" s="106" t="s">
        <v>1854</v>
      </c>
    </row>
    <row r="169" spans="1:11" ht="23.4" customHeight="1">
      <c r="A169" s="26"/>
      <c r="B169" s="27"/>
      <c r="C169" s="65"/>
      <c r="D169" s="66" t="s">
        <v>841</v>
      </c>
      <c r="E169" s="32" t="s">
        <v>842</v>
      </c>
      <c r="F169" s="125" t="s">
        <v>209</v>
      </c>
      <c r="G169" s="32" t="s">
        <v>843</v>
      </c>
      <c r="H169" s="32" t="s">
        <v>844</v>
      </c>
      <c r="I169" s="33" t="s">
        <v>387</v>
      </c>
      <c r="J169" s="98" t="s">
        <v>1817</v>
      </c>
      <c r="K169" s="106" t="s">
        <v>1855</v>
      </c>
    </row>
    <row r="170" spans="1:11" ht="23.4" customHeight="1">
      <c r="A170" s="26"/>
      <c r="B170" s="27"/>
      <c r="C170" s="65"/>
      <c r="D170" s="67" t="s">
        <v>845</v>
      </c>
      <c r="E170" s="32" t="s">
        <v>846</v>
      </c>
      <c r="F170" s="125" t="s">
        <v>204</v>
      </c>
      <c r="G170" s="32" t="s">
        <v>847</v>
      </c>
      <c r="H170" s="32" t="s">
        <v>848</v>
      </c>
      <c r="I170" s="33" t="s">
        <v>387</v>
      </c>
      <c r="J170" s="98" t="s">
        <v>1818</v>
      </c>
      <c r="K170" s="106" t="s">
        <v>1856</v>
      </c>
    </row>
    <row r="171" spans="1:11" ht="23.4" customHeight="1">
      <c r="A171" s="26"/>
      <c r="B171" s="27"/>
      <c r="C171" s="65"/>
      <c r="D171" s="32" t="s">
        <v>849</v>
      </c>
      <c r="E171" s="32" t="s">
        <v>850</v>
      </c>
      <c r="F171" s="125" t="s">
        <v>204</v>
      </c>
      <c r="G171" s="32" t="s">
        <v>851</v>
      </c>
      <c r="H171" s="32" t="s">
        <v>852</v>
      </c>
      <c r="I171" s="33" t="s">
        <v>14</v>
      </c>
      <c r="J171" s="98" t="s">
        <v>1819</v>
      </c>
      <c r="K171" s="106" t="s">
        <v>1857</v>
      </c>
    </row>
    <row r="172" spans="1:11" ht="24" customHeight="1" thickBot="1">
      <c r="A172" s="26"/>
      <c r="B172" s="27"/>
      <c r="C172" s="68"/>
      <c r="D172" s="69" t="s">
        <v>853</v>
      </c>
      <c r="E172" s="69" t="s">
        <v>854</v>
      </c>
      <c r="F172" s="126" t="s">
        <v>242</v>
      </c>
      <c r="G172" s="69" t="s">
        <v>855</v>
      </c>
      <c r="H172" s="69" t="s">
        <v>856</v>
      </c>
      <c r="I172" s="101" t="s">
        <v>387</v>
      </c>
      <c r="J172" s="102" t="s">
        <v>1820</v>
      </c>
      <c r="K172" s="106" t="s">
        <v>1858</v>
      </c>
    </row>
    <row r="173" spans="1:11" ht="23.4" customHeight="1">
      <c r="A173" s="26"/>
      <c r="B173" s="27"/>
      <c r="C173" s="64" t="s">
        <v>55</v>
      </c>
      <c r="D173" s="23" t="s">
        <v>857</v>
      </c>
      <c r="E173" s="123" t="s">
        <v>858</v>
      </c>
      <c r="F173" s="124" t="s">
        <v>204</v>
      </c>
      <c r="G173" s="23" t="s">
        <v>859</v>
      </c>
      <c r="H173" s="23" t="s">
        <v>860</v>
      </c>
      <c r="I173" s="24" t="s">
        <v>387</v>
      </c>
      <c r="J173" s="96" t="s">
        <v>1821</v>
      </c>
      <c r="K173" s="106" t="s">
        <v>1859</v>
      </c>
    </row>
    <row r="174" spans="1:11" ht="23.4" customHeight="1">
      <c r="A174" s="26"/>
      <c r="B174" s="27"/>
      <c r="C174" s="65"/>
      <c r="D174" s="66" t="s">
        <v>861</v>
      </c>
      <c r="E174" s="32" t="s">
        <v>862</v>
      </c>
      <c r="F174" s="125" t="s">
        <v>204</v>
      </c>
      <c r="G174" s="32" t="s">
        <v>863</v>
      </c>
      <c r="H174" s="32" t="s">
        <v>864</v>
      </c>
      <c r="I174" s="33" t="s">
        <v>14</v>
      </c>
      <c r="J174" s="98" t="s">
        <v>1822</v>
      </c>
      <c r="K174" s="106" t="s">
        <v>1860</v>
      </c>
    </row>
    <row r="175" spans="1:11" ht="23.4" customHeight="1">
      <c r="A175" s="26"/>
      <c r="B175" s="27"/>
      <c r="C175" s="65"/>
      <c r="D175" s="67" t="s">
        <v>865</v>
      </c>
      <c r="E175" s="32" t="s">
        <v>866</v>
      </c>
      <c r="F175" s="125" t="s">
        <v>242</v>
      </c>
      <c r="G175" s="32" t="s">
        <v>867</v>
      </c>
      <c r="H175" s="32" t="s">
        <v>868</v>
      </c>
      <c r="I175" s="33" t="s">
        <v>387</v>
      </c>
      <c r="J175" s="98" t="s">
        <v>1823</v>
      </c>
      <c r="K175" s="106" t="s">
        <v>1861</v>
      </c>
    </row>
    <row r="176" spans="1:11" ht="23.4" customHeight="1">
      <c r="A176" s="26"/>
      <c r="B176" s="27"/>
      <c r="C176" s="65"/>
      <c r="D176" s="32" t="s">
        <v>869</v>
      </c>
      <c r="E176" s="32" t="s">
        <v>870</v>
      </c>
      <c r="F176" s="125" t="s">
        <v>204</v>
      </c>
      <c r="G176" s="32" t="s">
        <v>871</v>
      </c>
      <c r="H176" s="32" t="s">
        <v>872</v>
      </c>
      <c r="I176" s="33" t="s">
        <v>14</v>
      </c>
      <c r="J176" s="98" t="s">
        <v>1824</v>
      </c>
      <c r="K176" s="106" t="s">
        <v>1862</v>
      </c>
    </row>
    <row r="177" spans="1:11" ht="24" customHeight="1" thickBot="1">
      <c r="A177" s="26"/>
      <c r="B177" s="27"/>
      <c r="C177" s="68"/>
      <c r="D177" s="69" t="s">
        <v>873</v>
      </c>
      <c r="E177" s="69" t="s">
        <v>874</v>
      </c>
      <c r="F177" s="126" t="s">
        <v>204</v>
      </c>
      <c r="G177" s="69" t="s">
        <v>875</v>
      </c>
      <c r="H177" s="69" t="s">
        <v>876</v>
      </c>
      <c r="I177" s="101" t="s">
        <v>387</v>
      </c>
      <c r="J177" s="102" t="s">
        <v>1825</v>
      </c>
      <c r="K177" s="106" t="s">
        <v>1863</v>
      </c>
    </row>
    <row r="178" spans="1:11" ht="23.4" customHeight="1">
      <c r="A178" s="26"/>
      <c r="B178" s="27"/>
      <c r="C178" s="64" t="s">
        <v>56</v>
      </c>
      <c r="D178" s="23" t="s">
        <v>877</v>
      </c>
      <c r="E178" s="123" t="s">
        <v>878</v>
      </c>
      <c r="F178" s="124" t="s">
        <v>204</v>
      </c>
      <c r="G178" s="23" t="s">
        <v>879</v>
      </c>
      <c r="H178" s="23" t="s">
        <v>880</v>
      </c>
      <c r="I178" s="24" t="s">
        <v>14</v>
      </c>
      <c r="J178" s="96" t="s">
        <v>1826</v>
      </c>
      <c r="K178" s="106" t="s">
        <v>1864</v>
      </c>
    </row>
    <row r="179" spans="1:11" ht="23.4" customHeight="1">
      <c r="A179" s="26"/>
      <c r="B179" s="27"/>
      <c r="C179" s="65"/>
      <c r="D179" s="67" t="s">
        <v>881</v>
      </c>
      <c r="E179" s="32" t="s">
        <v>882</v>
      </c>
      <c r="F179" s="125" t="s">
        <v>204</v>
      </c>
      <c r="G179" s="32" t="s">
        <v>883</v>
      </c>
      <c r="H179" s="32" t="s">
        <v>884</v>
      </c>
      <c r="I179" s="33" t="s">
        <v>14</v>
      </c>
      <c r="J179" s="98" t="s">
        <v>1827</v>
      </c>
      <c r="K179" s="106" t="s">
        <v>1865</v>
      </c>
    </row>
    <row r="180" spans="1:11" ht="23.4" customHeight="1">
      <c r="A180" s="26"/>
      <c r="B180" s="27"/>
      <c r="C180" s="65"/>
      <c r="D180" s="67" t="s">
        <v>885</v>
      </c>
      <c r="E180" s="32" t="s">
        <v>886</v>
      </c>
      <c r="F180" s="125" t="s">
        <v>209</v>
      </c>
      <c r="G180" s="32" t="s">
        <v>887</v>
      </c>
      <c r="H180" s="32" t="s">
        <v>888</v>
      </c>
      <c r="I180" s="33" t="s">
        <v>387</v>
      </c>
      <c r="J180" s="98" t="s">
        <v>1828</v>
      </c>
      <c r="K180" s="106" t="s">
        <v>1866</v>
      </c>
    </row>
    <row r="181" spans="1:11" ht="23.4" customHeight="1">
      <c r="A181" s="26"/>
      <c r="B181" s="27"/>
      <c r="C181" s="65"/>
      <c r="D181" s="32" t="s">
        <v>889</v>
      </c>
      <c r="E181" s="32" t="s">
        <v>890</v>
      </c>
      <c r="F181" s="125" t="s">
        <v>204</v>
      </c>
      <c r="G181" s="32" t="s">
        <v>891</v>
      </c>
      <c r="H181" s="32" t="s">
        <v>892</v>
      </c>
      <c r="I181" s="33" t="s">
        <v>14</v>
      </c>
      <c r="J181" s="98" t="s">
        <v>1829</v>
      </c>
      <c r="K181" s="106" t="s">
        <v>1867</v>
      </c>
    </row>
    <row r="182" spans="1:11" ht="24" customHeight="1" thickBot="1">
      <c r="A182" s="26"/>
      <c r="B182" s="27"/>
      <c r="C182" s="65"/>
      <c r="D182" s="39" t="s">
        <v>893</v>
      </c>
      <c r="E182" s="39" t="s">
        <v>894</v>
      </c>
      <c r="F182" s="127" t="s">
        <v>204</v>
      </c>
      <c r="G182" s="39" t="s">
        <v>895</v>
      </c>
      <c r="H182" s="39" t="s">
        <v>896</v>
      </c>
      <c r="I182" s="40" t="s">
        <v>14</v>
      </c>
      <c r="J182" s="128" t="s">
        <v>1830</v>
      </c>
      <c r="K182" s="129" t="s">
        <v>1868</v>
      </c>
    </row>
    <row r="183" spans="1:11" ht="23.4" customHeight="1">
      <c r="A183" s="26"/>
      <c r="B183" s="27"/>
      <c r="C183" s="64" t="s">
        <v>57</v>
      </c>
      <c r="D183" s="23" t="s">
        <v>897</v>
      </c>
      <c r="E183" s="123" t="s">
        <v>898</v>
      </c>
      <c r="F183" s="124" t="s">
        <v>242</v>
      </c>
      <c r="G183" s="23" t="s">
        <v>899</v>
      </c>
      <c r="H183" s="23" t="s">
        <v>900</v>
      </c>
      <c r="I183" s="24" t="s">
        <v>387</v>
      </c>
      <c r="J183" s="96" t="s">
        <v>1831</v>
      </c>
      <c r="K183" s="97" t="s">
        <v>1869</v>
      </c>
    </row>
    <row r="184" spans="1:11" ht="23.4" customHeight="1">
      <c r="A184" s="26"/>
      <c r="B184" s="27"/>
      <c r="C184" s="65"/>
      <c r="D184" s="66" t="s">
        <v>901</v>
      </c>
      <c r="E184" s="32" t="s">
        <v>902</v>
      </c>
      <c r="F184" s="125" t="s">
        <v>204</v>
      </c>
      <c r="G184" s="32" t="s">
        <v>903</v>
      </c>
      <c r="H184" s="32" t="s">
        <v>904</v>
      </c>
      <c r="I184" s="33" t="s">
        <v>14</v>
      </c>
      <c r="J184" s="98" t="s">
        <v>1832</v>
      </c>
      <c r="K184" s="99" t="s">
        <v>1870</v>
      </c>
    </row>
    <row r="185" spans="1:11" ht="23.4" customHeight="1">
      <c r="A185" s="26"/>
      <c r="B185" s="27"/>
      <c r="C185" s="65"/>
      <c r="D185" s="67" t="s">
        <v>905</v>
      </c>
      <c r="E185" s="32" t="s">
        <v>906</v>
      </c>
      <c r="F185" s="125" t="s">
        <v>204</v>
      </c>
      <c r="G185" s="32" t="s">
        <v>907</v>
      </c>
      <c r="H185" s="32" t="s">
        <v>908</v>
      </c>
      <c r="I185" s="33" t="s">
        <v>387</v>
      </c>
      <c r="J185" s="98" t="s">
        <v>1833</v>
      </c>
      <c r="K185" s="99" t="s">
        <v>1871</v>
      </c>
    </row>
    <row r="186" spans="1:11" ht="23.4" customHeight="1">
      <c r="A186" s="26"/>
      <c r="B186" s="27"/>
      <c r="C186" s="65"/>
      <c r="D186" s="32" t="s">
        <v>909</v>
      </c>
      <c r="E186" s="32" t="s">
        <v>910</v>
      </c>
      <c r="F186" s="125" t="s">
        <v>204</v>
      </c>
      <c r="G186" s="32" t="s">
        <v>911</v>
      </c>
      <c r="H186" s="32" t="s">
        <v>912</v>
      </c>
      <c r="I186" s="33" t="s">
        <v>14</v>
      </c>
      <c r="J186" s="98" t="s">
        <v>1834</v>
      </c>
      <c r="K186" s="99" t="s">
        <v>1872</v>
      </c>
    </row>
    <row r="187" spans="1:11" ht="24" customHeight="1" thickBot="1">
      <c r="A187" s="26"/>
      <c r="B187" s="27"/>
      <c r="C187" s="68"/>
      <c r="D187" s="69" t="s">
        <v>913</v>
      </c>
      <c r="E187" s="69" t="s">
        <v>914</v>
      </c>
      <c r="F187" s="126" t="s">
        <v>204</v>
      </c>
      <c r="G187" s="69" t="s">
        <v>915</v>
      </c>
      <c r="H187" s="69" t="s">
        <v>916</v>
      </c>
      <c r="I187" s="101" t="s">
        <v>387</v>
      </c>
      <c r="J187" s="102" t="s">
        <v>1835</v>
      </c>
      <c r="K187" s="103" t="s">
        <v>1873</v>
      </c>
    </row>
    <row r="188" spans="1:11" ht="23.4" customHeight="1">
      <c r="A188" s="26"/>
      <c r="B188" s="27"/>
      <c r="C188" s="65" t="s">
        <v>58</v>
      </c>
      <c r="D188" s="44" t="s">
        <v>917</v>
      </c>
      <c r="E188" s="44" t="s">
        <v>918</v>
      </c>
      <c r="F188" s="130" t="s">
        <v>209</v>
      </c>
      <c r="G188" s="44" t="s">
        <v>919</v>
      </c>
      <c r="H188" s="44" t="s">
        <v>920</v>
      </c>
      <c r="I188" s="45" t="s">
        <v>14</v>
      </c>
      <c r="J188" s="105" t="s">
        <v>1836</v>
      </c>
      <c r="K188" s="47" t="s">
        <v>1874</v>
      </c>
    </row>
    <row r="189" spans="1:11" ht="23.4" customHeight="1">
      <c r="A189" s="26"/>
      <c r="B189" s="27"/>
      <c r="C189" s="65"/>
      <c r="D189" s="32" t="s">
        <v>921</v>
      </c>
      <c r="E189" s="32" t="s">
        <v>922</v>
      </c>
      <c r="F189" s="125" t="s">
        <v>204</v>
      </c>
      <c r="G189" s="32" t="s">
        <v>923</v>
      </c>
      <c r="H189" s="32" t="s">
        <v>924</v>
      </c>
      <c r="I189" s="33" t="s">
        <v>387</v>
      </c>
      <c r="J189" s="98" t="s">
        <v>1837</v>
      </c>
      <c r="K189" s="106" t="s">
        <v>1875</v>
      </c>
    </row>
    <row r="190" spans="1:11" ht="23.4" customHeight="1">
      <c r="A190" s="26"/>
      <c r="B190" s="27"/>
      <c r="C190" s="65"/>
      <c r="D190" s="32" t="s">
        <v>925</v>
      </c>
      <c r="E190" s="32" t="s">
        <v>926</v>
      </c>
      <c r="F190" s="125" t="s">
        <v>204</v>
      </c>
      <c r="G190" s="32" t="s">
        <v>927</v>
      </c>
      <c r="H190" s="32" t="s">
        <v>928</v>
      </c>
      <c r="I190" s="33" t="s">
        <v>387</v>
      </c>
      <c r="J190" s="98" t="s">
        <v>1838</v>
      </c>
      <c r="K190" s="106" t="s">
        <v>1876</v>
      </c>
    </row>
    <row r="191" spans="1:11" ht="23.4" customHeight="1">
      <c r="A191" s="26"/>
      <c r="B191" s="27"/>
      <c r="C191" s="65"/>
      <c r="D191" s="32" t="s">
        <v>929</v>
      </c>
      <c r="E191" s="32" t="s">
        <v>930</v>
      </c>
      <c r="F191" s="125" t="s">
        <v>242</v>
      </c>
      <c r="G191" s="32" t="s">
        <v>931</v>
      </c>
      <c r="H191" s="32" t="s">
        <v>932</v>
      </c>
      <c r="I191" s="33" t="s">
        <v>14</v>
      </c>
      <c r="J191" s="98" t="s">
        <v>1839</v>
      </c>
      <c r="K191" s="106" t="s">
        <v>1877</v>
      </c>
    </row>
    <row r="192" spans="1:11" ht="24" customHeight="1" thickBot="1">
      <c r="A192" s="26"/>
      <c r="B192" s="27"/>
      <c r="C192" s="68"/>
      <c r="D192" s="69" t="s">
        <v>933</v>
      </c>
      <c r="E192" s="69" t="s">
        <v>934</v>
      </c>
      <c r="F192" s="126" t="s">
        <v>204</v>
      </c>
      <c r="G192" s="69" t="s">
        <v>935</v>
      </c>
      <c r="H192" s="69" t="s">
        <v>936</v>
      </c>
      <c r="I192" s="101" t="s">
        <v>14</v>
      </c>
      <c r="J192" s="102" t="s">
        <v>1840</v>
      </c>
      <c r="K192" s="106" t="s">
        <v>1878</v>
      </c>
    </row>
    <row r="193" spans="1:11" ht="23.4" customHeight="1">
      <c r="A193" s="26"/>
      <c r="B193" s="27"/>
      <c r="C193" s="64" t="s">
        <v>59</v>
      </c>
      <c r="D193" s="23" t="s">
        <v>937</v>
      </c>
      <c r="E193" s="123" t="s">
        <v>938</v>
      </c>
      <c r="F193" s="124" t="s">
        <v>204</v>
      </c>
      <c r="G193" s="23" t="s">
        <v>939</v>
      </c>
      <c r="H193" s="23" t="s">
        <v>940</v>
      </c>
      <c r="I193" s="24" t="s">
        <v>14</v>
      </c>
      <c r="J193" s="96" t="s">
        <v>1841</v>
      </c>
      <c r="K193" s="106" t="s">
        <v>1879</v>
      </c>
    </row>
    <row r="194" spans="1:11" ht="23.4" customHeight="1">
      <c r="A194" s="26"/>
      <c r="B194" s="27"/>
      <c r="C194" s="65"/>
      <c r="D194" s="66" t="s">
        <v>941</v>
      </c>
      <c r="E194" s="32" t="s">
        <v>942</v>
      </c>
      <c r="F194" s="125" t="s">
        <v>209</v>
      </c>
      <c r="G194" s="32" t="s">
        <v>943</v>
      </c>
      <c r="H194" s="32" t="s">
        <v>944</v>
      </c>
      <c r="I194" s="33" t="s">
        <v>387</v>
      </c>
      <c r="J194" s="98" t="s">
        <v>1842</v>
      </c>
      <c r="K194" s="106" t="s">
        <v>1880</v>
      </c>
    </row>
    <row r="195" spans="1:11" ht="23.4" customHeight="1">
      <c r="A195" s="26"/>
      <c r="B195" s="27"/>
      <c r="C195" s="65"/>
      <c r="D195" s="67" t="s">
        <v>945</v>
      </c>
      <c r="E195" s="32" t="s">
        <v>946</v>
      </c>
      <c r="F195" s="125" t="s">
        <v>204</v>
      </c>
      <c r="G195" s="32" t="s">
        <v>947</v>
      </c>
      <c r="H195" s="32" t="s">
        <v>948</v>
      </c>
      <c r="I195" s="33" t="s">
        <v>14</v>
      </c>
      <c r="J195" s="98" t="s">
        <v>1843</v>
      </c>
      <c r="K195" s="106" t="s">
        <v>1881</v>
      </c>
    </row>
    <row r="196" spans="1:11" ht="23.4" customHeight="1">
      <c r="A196" s="26"/>
      <c r="B196" s="27"/>
      <c r="C196" s="65"/>
      <c r="D196" s="32" t="s">
        <v>949</v>
      </c>
      <c r="E196" s="32" t="s">
        <v>950</v>
      </c>
      <c r="F196" s="125" t="s">
        <v>204</v>
      </c>
      <c r="G196" s="32" t="s">
        <v>951</v>
      </c>
      <c r="H196" s="32" t="s">
        <v>952</v>
      </c>
      <c r="I196" s="33" t="s">
        <v>387</v>
      </c>
      <c r="J196" s="98" t="s">
        <v>1844</v>
      </c>
      <c r="K196" s="106" t="s">
        <v>1882</v>
      </c>
    </row>
    <row r="197" spans="1:11" ht="24" customHeight="1" thickBot="1">
      <c r="A197" s="26"/>
      <c r="B197" s="27"/>
      <c r="C197" s="68"/>
      <c r="D197" s="69" t="s">
        <v>953</v>
      </c>
      <c r="E197" s="69" t="s">
        <v>954</v>
      </c>
      <c r="F197" s="126" t="s">
        <v>242</v>
      </c>
      <c r="G197" s="69" t="s">
        <v>955</v>
      </c>
      <c r="H197" s="69" t="s">
        <v>956</v>
      </c>
      <c r="I197" s="101" t="s">
        <v>14</v>
      </c>
      <c r="J197" s="102" t="s">
        <v>1845</v>
      </c>
      <c r="K197" s="106" t="s">
        <v>1883</v>
      </c>
    </row>
    <row r="198" spans="1:11" ht="23.4" customHeight="1">
      <c r="A198" s="26"/>
      <c r="B198" s="27"/>
      <c r="C198" s="64" t="s">
        <v>60</v>
      </c>
      <c r="D198" s="23" t="s">
        <v>957</v>
      </c>
      <c r="E198" s="123" t="s">
        <v>958</v>
      </c>
      <c r="F198" s="124" t="s">
        <v>204</v>
      </c>
      <c r="G198" s="23" t="s">
        <v>959</v>
      </c>
      <c r="H198" s="23" t="s">
        <v>960</v>
      </c>
      <c r="I198" s="24" t="s">
        <v>387</v>
      </c>
      <c r="J198" s="96" t="s">
        <v>1846</v>
      </c>
      <c r="K198" s="106" t="s">
        <v>1884</v>
      </c>
    </row>
    <row r="199" spans="1:11" ht="23.4" customHeight="1">
      <c r="A199" s="26"/>
      <c r="B199" s="27"/>
      <c r="C199" s="65"/>
      <c r="D199" s="67" t="s">
        <v>961</v>
      </c>
      <c r="E199" s="32" t="s">
        <v>962</v>
      </c>
      <c r="F199" s="125" t="s">
        <v>209</v>
      </c>
      <c r="G199" s="32" t="s">
        <v>963</v>
      </c>
      <c r="H199" s="32" t="s">
        <v>964</v>
      </c>
      <c r="I199" s="33" t="s">
        <v>14</v>
      </c>
      <c r="J199" s="98" t="s">
        <v>1847</v>
      </c>
      <c r="K199" s="106" t="s">
        <v>1885</v>
      </c>
    </row>
    <row r="200" spans="1:11" ht="23.4" customHeight="1">
      <c r="A200" s="26"/>
      <c r="B200" s="27"/>
      <c r="C200" s="65"/>
      <c r="D200" s="67" t="s">
        <v>965</v>
      </c>
      <c r="E200" s="32" t="s">
        <v>966</v>
      </c>
      <c r="F200" s="125" t="s">
        <v>209</v>
      </c>
      <c r="G200" s="32" t="s">
        <v>967</v>
      </c>
      <c r="H200" s="32" t="s">
        <v>968</v>
      </c>
      <c r="I200" s="33" t="s">
        <v>387</v>
      </c>
      <c r="J200" s="98" t="s">
        <v>1848</v>
      </c>
      <c r="K200" s="106" t="s">
        <v>1886</v>
      </c>
    </row>
    <row r="201" spans="1:11" ht="23.4" customHeight="1">
      <c r="A201" s="26"/>
      <c r="B201" s="27"/>
      <c r="C201" s="65"/>
      <c r="D201" s="32" t="s">
        <v>969</v>
      </c>
      <c r="E201" s="32" t="s">
        <v>970</v>
      </c>
      <c r="F201" s="125" t="s">
        <v>204</v>
      </c>
      <c r="G201" s="32" t="s">
        <v>971</v>
      </c>
      <c r="H201" s="32" t="s">
        <v>972</v>
      </c>
      <c r="I201" s="33" t="s">
        <v>387</v>
      </c>
      <c r="J201" s="98" t="s">
        <v>1849</v>
      </c>
      <c r="K201" s="106" t="s">
        <v>1887</v>
      </c>
    </row>
    <row r="202" spans="1:11" ht="24" customHeight="1" thickBot="1">
      <c r="A202" s="26"/>
      <c r="B202" s="27"/>
      <c r="C202" s="68"/>
      <c r="D202" s="69" t="s">
        <v>973</v>
      </c>
      <c r="E202" s="69" t="s">
        <v>974</v>
      </c>
      <c r="F202" s="126" t="s">
        <v>204</v>
      </c>
      <c r="G202" s="69" t="s">
        <v>975</v>
      </c>
      <c r="H202" s="69" t="s">
        <v>976</v>
      </c>
      <c r="I202" s="101" t="s">
        <v>14</v>
      </c>
      <c r="J202" s="102" t="s">
        <v>1850</v>
      </c>
      <c r="K202" s="106" t="s">
        <v>1888</v>
      </c>
    </row>
    <row r="203" spans="1:11" ht="23.4" customHeight="1">
      <c r="A203" s="26"/>
      <c r="B203" s="27"/>
      <c r="C203" s="64" t="s">
        <v>61</v>
      </c>
      <c r="D203" s="23" t="s">
        <v>977</v>
      </c>
      <c r="E203" s="123" t="s">
        <v>978</v>
      </c>
      <c r="F203" s="124" t="s">
        <v>204</v>
      </c>
      <c r="G203" s="23" t="s">
        <v>979</v>
      </c>
      <c r="H203" s="23" t="s">
        <v>980</v>
      </c>
      <c r="I203" s="24" t="s">
        <v>387</v>
      </c>
      <c r="J203" s="96" t="s">
        <v>1889</v>
      </c>
      <c r="K203" s="106" t="s">
        <v>1890</v>
      </c>
    </row>
    <row r="204" spans="1:11" ht="23.4" customHeight="1">
      <c r="A204" s="26"/>
      <c r="B204" s="27"/>
      <c r="C204" s="65"/>
      <c r="D204" s="67" t="s">
        <v>981</v>
      </c>
      <c r="E204" s="32" t="s">
        <v>982</v>
      </c>
      <c r="F204" s="125" t="s">
        <v>204</v>
      </c>
      <c r="G204" s="32" t="s">
        <v>983</v>
      </c>
      <c r="H204" s="32" t="s">
        <v>984</v>
      </c>
      <c r="I204" s="33" t="s">
        <v>387</v>
      </c>
      <c r="J204" s="98" t="s">
        <v>1891</v>
      </c>
      <c r="K204" s="106" t="s">
        <v>1892</v>
      </c>
    </row>
    <row r="205" spans="1:11" ht="23.4" customHeight="1">
      <c r="A205" s="26"/>
      <c r="B205" s="27"/>
      <c r="C205" s="65"/>
      <c r="D205" s="67" t="s">
        <v>985</v>
      </c>
      <c r="E205" s="32" t="s">
        <v>986</v>
      </c>
      <c r="F205" s="125" t="s">
        <v>204</v>
      </c>
      <c r="G205" s="32" t="s">
        <v>987</v>
      </c>
      <c r="H205" s="32" t="s">
        <v>988</v>
      </c>
      <c r="I205" s="33" t="s">
        <v>14</v>
      </c>
      <c r="J205" s="98" t="s">
        <v>1893</v>
      </c>
      <c r="K205" s="106" t="s">
        <v>1894</v>
      </c>
    </row>
    <row r="206" spans="1:11" ht="23.4" customHeight="1">
      <c r="A206" s="26"/>
      <c r="B206" s="27"/>
      <c r="C206" s="65"/>
      <c r="D206" s="32" t="s">
        <v>989</v>
      </c>
      <c r="E206" s="32" t="s">
        <v>990</v>
      </c>
      <c r="F206" s="125" t="s">
        <v>209</v>
      </c>
      <c r="G206" s="32" t="s">
        <v>991</v>
      </c>
      <c r="H206" s="32" t="s">
        <v>992</v>
      </c>
      <c r="I206" s="33" t="s">
        <v>14</v>
      </c>
      <c r="J206" s="98" t="s">
        <v>1895</v>
      </c>
      <c r="K206" s="106" t="s">
        <v>1896</v>
      </c>
    </row>
    <row r="207" spans="1:11" ht="24" customHeight="1" thickBot="1">
      <c r="A207" s="26"/>
      <c r="B207" s="27"/>
      <c r="C207" s="68"/>
      <c r="D207" s="69" t="s">
        <v>993</v>
      </c>
      <c r="E207" s="69" t="s">
        <v>994</v>
      </c>
      <c r="F207" s="126" t="s">
        <v>242</v>
      </c>
      <c r="G207" s="69" t="s">
        <v>995</v>
      </c>
      <c r="H207" s="69" t="s">
        <v>996</v>
      </c>
      <c r="I207" s="101" t="s">
        <v>14</v>
      </c>
      <c r="J207" s="102" t="s">
        <v>1897</v>
      </c>
      <c r="K207" s="106" t="s">
        <v>1898</v>
      </c>
    </row>
    <row r="208" spans="1:11" ht="23.4" customHeight="1">
      <c r="A208" s="26"/>
      <c r="B208" s="27"/>
      <c r="C208" s="64" t="s">
        <v>62</v>
      </c>
      <c r="D208" s="23" t="s">
        <v>997</v>
      </c>
      <c r="E208" s="123" t="s">
        <v>998</v>
      </c>
      <c r="F208" s="124" t="s">
        <v>204</v>
      </c>
      <c r="G208" s="23" t="s">
        <v>999</v>
      </c>
      <c r="H208" s="23" t="s">
        <v>1000</v>
      </c>
      <c r="I208" s="24" t="s">
        <v>387</v>
      </c>
      <c r="J208" s="96" t="s">
        <v>1899</v>
      </c>
      <c r="K208" s="106" t="s">
        <v>1900</v>
      </c>
    </row>
    <row r="209" spans="1:11" ht="23.4" customHeight="1">
      <c r="A209" s="26"/>
      <c r="B209" s="27"/>
      <c r="C209" s="65"/>
      <c r="D209" s="67" t="s">
        <v>1001</v>
      </c>
      <c r="E209" s="32" t="s">
        <v>1002</v>
      </c>
      <c r="F209" s="125" t="s">
        <v>204</v>
      </c>
      <c r="G209" s="32" t="s">
        <v>1003</v>
      </c>
      <c r="H209" s="32" t="s">
        <v>1004</v>
      </c>
      <c r="I209" s="33" t="s">
        <v>387</v>
      </c>
      <c r="J209" s="98" t="s">
        <v>1901</v>
      </c>
      <c r="K209" s="106" t="s">
        <v>1902</v>
      </c>
    </row>
    <row r="210" spans="1:11" ht="23.4" customHeight="1">
      <c r="A210" s="26"/>
      <c r="B210" s="27"/>
      <c r="C210" s="65"/>
      <c r="D210" s="67" t="s">
        <v>1005</v>
      </c>
      <c r="E210" s="32" t="s">
        <v>1006</v>
      </c>
      <c r="F210" s="125" t="s">
        <v>209</v>
      </c>
      <c r="G210" s="32" t="s">
        <v>1007</v>
      </c>
      <c r="H210" s="32" t="s">
        <v>1008</v>
      </c>
      <c r="I210" s="33" t="s">
        <v>14</v>
      </c>
      <c r="J210" s="98" t="s">
        <v>1903</v>
      </c>
      <c r="K210" s="106" t="s">
        <v>1904</v>
      </c>
    </row>
    <row r="211" spans="1:11" ht="23.4" customHeight="1">
      <c r="A211" s="26"/>
      <c r="B211" s="27"/>
      <c r="C211" s="65"/>
      <c r="D211" s="32" t="s">
        <v>1009</v>
      </c>
      <c r="E211" s="32" t="s">
        <v>1010</v>
      </c>
      <c r="F211" s="125" t="s">
        <v>204</v>
      </c>
      <c r="G211" s="32" t="s">
        <v>1011</v>
      </c>
      <c r="H211" s="32" t="s">
        <v>1012</v>
      </c>
      <c r="I211" s="33" t="s">
        <v>387</v>
      </c>
      <c r="J211" s="98" t="s">
        <v>1905</v>
      </c>
      <c r="K211" s="106" t="s">
        <v>1906</v>
      </c>
    </row>
    <row r="212" spans="1:11" ht="24" customHeight="1" thickBot="1">
      <c r="A212" s="26"/>
      <c r="B212" s="131"/>
      <c r="C212" s="68"/>
      <c r="D212" s="69" t="s">
        <v>1013</v>
      </c>
      <c r="E212" s="69" t="s">
        <v>1014</v>
      </c>
      <c r="F212" s="126" t="s">
        <v>242</v>
      </c>
      <c r="G212" s="69" t="s">
        <v>1015</v>
      </c>
      <c r="H212" s="69" t="s">
        <v>1016</v>
      </c>
      <c r="I212" s="101" t="s">
        <v>14</v>
      </c>
      <c r="J212" s="69" t="s">
        <v>1907</v>
      </c>
      <c r="K212" s="103" t="s">
        <v>1908</v>
      </c>
    </row>
    <row r="213" spans="1:11" ht="24.6" customHeight="1">
      <c r="A213" s="26"/>
      <c r="B213" s="107" t="s">
        <v>63</v>
      </c>
      <c r="C213" s="71" t="s">
        <v>64</v>
      </c>
      <c r="D213" s="72" t="s">
        <v>1017</v>
      </c>
      <c r="E213" s="73" t="s">
        <v>1018</v>
      </c>
      <c r="F213" s="74" t="s">
        <v>204</v>
      </c>
      <c r="G213" s="72" t="s">
        <v>1019</v>
      </c>
      <c r="H213" s="72" t="s">
        <v>1020</v>
      </c>
      <c r="I213" s="75" t="s">
        <v>13</v>
      </c>
      <c r="J213" s="72" t="s">
        <v>1909</v>
      </c>
      <c r="K213" s="132" t="s">
        <v>1910</v>
      </c>
    </row>
    <row r="214" spans="1:11" ht="24.6" customHeight="1">
      <c r="A214" s="26"/>
      <c r="B214" s="70"/>
      <c r="C214" s="78"/>
      <c r="D214" s="79" t="s">
        <v>1021</v>
      </c>
      <c r="E214" s="109" t="s">
        <v>1022</v>
      </c>
      <c r="F214" s="110" t="s">
        <v>242</v>
      </c>
      <c r="G214" s="82" t="s">
        <v>1023</v>
      </c>
      <c r="H214" s="82" t="s">
        <v>1024</v>
      </c>
      <c r="I214" s="83" t="s">
        <v>14</v>
      </c>
      <c r="J214" s="82" t="s">
        <v>1911</v>
      </c>
      <c r="K214" s="133" t="s">
        <v>1912</v>
      </c>
    </row>
    <row r="215" spans="1:11" ht="24.6" customHeight="1">
      <c r="A215" s="26"/>
      <c r="B215" s="70"/>
      <c r="C215" s="78"/>
      <c r="D215" s="85" t="s">
        <v>1025</v>
      </c>
      <c r="E215" s="109" t="s">
        <v>1026</v>
      </c>
      <c r="F215" s="110" t="s">
        <v>204</v>
      </c>
      <c r="G215" s="82" t="s">
        <v>1027</v>
      </c>
      <c r="H215" s="82" t="s">
        <v>1028</v>
      </c>
      <c r="I215" s="83" t="s">
        <v>13</v>
      </c>
      <c r="J215" s="82" t="s">
        <v>1913</v>
      </c>
      <c r="K215" s="133" t="s">
        <v>1914</v>
      </c>
    </row>
    <row r="216" spans="1:11" ht="24.6" customHeight="1">
      <c r="A216" s="26"/>
      <c r="B216" s="70"/>
      <c r="C216" s="78"/>
      <c r="D216" s="82" t="s">
        <v>1029</v>
      </c>
      <c r="E216" s="109" t="s">
        <v>1030</v>
      </c>
      <c r="F216" s="110" t="s">
        <v>209</v>
      </c>
      <c r="G216" s="82" t="s">
        <v>1031</v>
      </c>
      <c r="H216" s="82" t="s">
        <v>1032</v>
      </c>
      <c r="I216" s="83" t="s">
        <v>14</v>
      </c>
      <c r="J216" s="82" t="s">
        <v>1915</v>
      </c>
      <c r="K216" s="133" t="s">
        <v>1916</v>
      </c>
    </row>
    <row r="217" spans="1:11" ht="25.2" customHeight="1" thickBot="1">
      <c r="A217" s="26"/>
      <c r="B217" s="70"/>
      <c r="C217" s="86"/>
      <c r="D217" s="87" t="s">
        <v>1033</v>
      </c>
      <c r="E217" s="112" t="s">
        <v>1034</v>
      </c>
      <c r="F217" s="134" t="s">
        <v>209</v>
      </c>
      <c r="G217" s="87" t="s">
        <v>1035</v>
      </c>
      <c r="H217" s="87" t="s">
        <v>1036</v>
      </c>
      <c r="I217" s="113" t="s">
        <v>14</v>
      </c>
      <c r="J217" s="87" t="s">
        <v>1917</v>
      </c>
      <c r="K217" s="135" t="s">
        <v>1918</v>
      </c>
    </row>
    <row r="218" spans="1:11" ht="24.6" customHeight="1">
      <c r="A218" s="26"/>
      <c r="B218" s="70"/>
      <c r="C218" s="115" t="s">
        <v>65</v>
      </c>
      <c r="D218" s="116" t="s">
        <v>1037</v>
      </c>
      <c r="E218" s="117" t="s">
        <v>1038</v>
      </c>
      <c r="F218" s="74" t="s">
        <v>204</v>
      </c>
      <c r="G218" s="72" t="s">
        <v>1039</v>
      </c>
      <c r="H218" s="72" t="s">
        <v>1040</v>
      </c>
      <c r="I218" s="75" t="s">
        <v>13</v>
      </c>
      <c r="J218" s="72" t="s">
        <v>1919</v>
      </c>
      <c r="K218" s="132" t="s">
        <v>1920</v>
      </c>
    </row>
    <row r="219" spans="1:11" ht="24.6" customHeight="1">
      <c r="A219" s="26"/>
      <c r="B219" s="70"/>
      <c r="C219" s="118"/>
      <c r="D219" s="79" t="s">
        <v>1041</v>
      </c>
      <c r="E219" s="109" t="s">
        <v>1042</v>
      </c>
      <c r="F219" s="110" t="s">
        <v>204</v>
      </c>
      <c r="G219" s="82" t="s">
        <v>1043</v>
      </c>
      <c r="H219" s="82" t="s">
        <v>1044</v>
      </c>
      <c r="I219" s="83" t="s">
        <v>14</v>
      </c>
      <c r="J219" s="82" t="s">
        <v>1921</v>
      </c>
      <c r="K219" s="133" t="s">
        <v>1922</v>
      </c>
    </row>
    <row r="220" spans="1:11" ht="24.6" customHeight="1">
      <c r="A220" s="26"/>
      <c r="B220" s="70"/>
      <c r="C220" s="118"/>
      <c r="D220" s="85" t="s">
        <v>1045</v>
      </c>
      <c r="E220" s="109" t="s">
        <v>1046</v>
      </c>
      <c r="F220" s="110" t="s">
        <v>204</v>
      </c>
      <c r="G220" s="82" t="s">
        <v>1047</v>
      </c>
      <c r="H220" s="82" t="s">
        <v>1048</v>
      </c>
      <c r="I220" s="83" t="s">
        <v>13</v>
      </c>
      <c r="J220" s="82" t="s">
        <v>1923</v>
      </c>
      <c r="K220" s="133" t="s">
        <v>1924</v>
      </c>
    </row>
    <row r="221" spans="1:11" ht="24.6" customHeight="1">
      <c r="A221" s="26"/>
      <c r="B221" s="70"/>
      <c r="C221" s="118"/>
      <c r="D221" s="82" t="s">
        <v>1049</v>
      </c>
      <c r="E221" s="109" t="s">
        <v>1050</v>
      </c>
      <c r="F221" s="110" t="s">
        <v>204</v>
      </c>
      <c r="G221" s="82" t="s">
        <v>1051</v>
      </c>
      <c r="H221" s="82" t="s">
        <v>1052</v>
      </c>
      <c r="I221" s="83" t="s">
        <v>13</v>
      </c>
      <c r="J221" s="82" t="s">
        <v>1925</v>
      </c>
      <c r="K221" s="133" t="s">
        <v>1926</v>
      </c>
    </row>
    <row r="222" spans="1:11" ht="25.2" customHeight="1" thickBot="1">
      <c r="A222" s="26"/>
      <c r="B222" s="70"/>
      <c r="C222" s="121"/>
      <c r="D222" s="87" t="s">
        <v>1053</v>
      </c>
      <c r="E222" s="112" t="s">
        <v>1054</v>
      </c>
      <c r="F222" s="134" t="s">
        <v>204</v>
      </c>
      <c r="G222" s="87" t="s">
        <v>1055</v>
      </c>
      <c r="H222" s="87" t="s">
        <v>1056</v>
      </c>
      <c r="I222" s="113" t="s">
        <v>14</v>
      </c>
      <c r="J222" s="87" t="s">
        <v>1927</v>
      </c>
      <c r="K222" s="135" t="s">
        <v>1928</v>
      </c>
    </row>
    <row r="223" spans="1:11" ht="24.6" customHeight="1">
      <c r="A223" s="26"/>
      <c r="B223" s="70"/>
      <c r="C223" s="71" t="s">
        <v>66</v>
      </c>
      <c r="D223" s="72" t="s">
        <v>1057</v>
      </c>
      <c r="E223" s="73" t="s">
        <v>1058</v>
      </c>
      <c r="F223" s="74" t="s">
        <v>209</v>
      </c>
      <c r="G223" s="72" t="s">
        <v>1059</v>
      </c>
      <c r="H223" s="72" t="s">
        <v>1060</v>
      </c>
      <c r="I223" s="75" t="s">
        <v>13</v>
      </c>
      <c r="J223" s="72" t="s">
        <v>1929</v>
      </c>
      <c r="K223" s="132" t="s">
        <v>1930</v>
      </c>
    </row>
    <row r="224" spans="1:11" ht="24.6" customHeight="1">
      <c r="A224" s="26"/>
      <c r="B224" s="70"/>
      <c r="C224" s="78"/>
      <c r="D224" s="79" t="s">
        <v>1061</v>
      </c>
      <c r="E224" s="109" t="s">
        <v>1062</v>
      </c>
      <c r="F224" s="110" t="s">
        <v>242</v>
      </c>
      <c r="G224" s="82" t="s">
        <v>1063</v>
      </c>
      <c r="H224" s="82" t="s">
        <v>1064</v>
      </c>
      <c r="I224" s="83" t="s">
        <v>13</v>
      </c>
      <c r="J224" s="82" t="s">
        <v>1931</v>
      </c>
      <c r="K224" s="133" t="s">
        <v>1932</v>
      </c>
    </row>
    <row r="225" spans="1:11" ht="24.6" customHeight="1">
      <c r="A225" s="26"/>
      <c r="B225" s="70"/>
      <c r="C225" s="78"/>
      <c r="D225" s="85" t="s">
        <v>1065</v>
      </c>
      <c r="E225" s="109" t="s">
        <v>1066</v>
      </c>
      <c r="F225" s="110" t="s">
        <v>204</v>
      </c>
      <c r="G225" s="82" t="s">
        <v>1067</v>
      </c>
      <c r="H225" s="82" t="s">
        <v>1068</v>
      </c>
      <c r="I225" s="83" t="s">
        <v>14</v>
      </c>
      <c r="J225" s="82" t="s">
        <v>1933</v>
      </c>
      <c r="K225" s="133" t="s">
        <v>1934</v>
      </c>
    </row>
    <row r="226" spans="1:11" ht="24.6" customHeight="1">
      <c r="A226" s="26"/>
      <c r="B226" s="70"/>
      <c r="C226" s="78"/>
      <c r="D226" s="82" t="s">
        <v>1069</v>
      </c>
      <c r="E226" s="109" t="s">
        <v>1070</v>
      </c>
      <c r="F226" s="110" t="s">
        <v>204</v>
      </c>
      <c r="G226" s="82" t="s">
        <v>1071</v>
      </c>
      <c r="H226" s="82" t="s">
        <v>1072</v>
      </c>
      <c r="I226" s="83" t="s">
        <v>14</v>
      </c>
      <c r="J226" s="82" t="s">
        <v>1935</v>
      </c>
      <c r="K226" s="133" t="s">
        <v>1936</v>
      </c>
    </row>
    <row r="227" spans="1:11" ht="25.2" customHeight="1" thickBot="1">
      <c r="A227" s="26"/>
      <c r="B227" s="70"/>
      <c r="C227" s="86"/>
      <c r="D227" s="87" t="s">
        <v>1073</v>
      </c>
      <c r="E227" s="112" t="s">
        <v>1074</v>
      </c>
      <c r="F227" s="134" t="s">
        <v>209</v>
      </c>
      <c r="G227" s="87" t="s">
        <v>1075</v>
      </c>
      <c r="H227" s="87" t="s">
        <v>1076</v>
      </c>
      <c r="I227" s="113" t="s">
        <v>14</v>
      </c>
      <c r="J227" s="87" t="s">
        <v>1937</v>
      </c>
      <c r="K227" s="135" t="s">
        <v>1938</v>
      </c>
    </row>
    <row r="228" spans="1:11" ht="24.6" customHeight="1">
      <c r="A228" s="26"/>
      <c r="B228" s="70"/>
      <c r="C228" s="71" t="s">
        <v>67</v>
      </c>
      <c r="D228" s="72" t="s">
        <v>1077</v>
      </c>
      <c r="E228" s="73" t="s">
        <v>1078</v>
      </c>
      <c r="F228" s="74" t="s">
        <v>204</v>
      </c>
      <c r="G228" s="72" t="s">
        <v>1079</v>
      </c>
      <c r="H228" s="72" t="s">
        <v>1080</v>
      </c>
      <c r="I228" s="75" t="s">
        <v>13</v>
      </c>
      <c r="J228" s="72" t="s">
        <v>1939</v>
      </c>
      <c r="K228" s="132" t="s">
        <v>1940</v>
      </c>
    </row>
    <row r="229" spans="1:11" ht="24.6" customHeight="1">
      <c r="A229" s="26"/>
      <c r="B229" s="70"/>
      <c r="C229" s="78"/>
      <c r="D229" s="79" t="s">
        <v>1081</v>
      </c>
      <c r="E229" s="109" t="s">
        <v>1082</v>
      </c>
      <c r="F229" s="110" t="s">
        <v>242</v>
      </c>
      <c r="G229" s="82" t="s">
        <v>1083</v>
      </c>
      <c r="H229" s="82" t="s">
        <v>1084</v>
      </c>
      <c r="I229" s="83" t="s">
        <v>14</v>
      </c>
      <c r="J229" s="82" t="s">
        <v>1941</v>
      </c>
      <c r="K229" s="133" t="s">
        <v>1942</v>
      </c>
    </row>
    <row r="230" spans="1:11" ht="24.6" customHeight="1">
      <c r="A230" s="26"/>
      <c r="B230" s="70"/>
      <c r="C230" s="78"/>
      <c r="D230" s="85" t="s">
        <v>1085</v>
      </c>
      <c r="E230" s="109" t="s">
        <v>1086</v>
      </c>
      <c r="F230" s="110" t="s">
        <v>204</v>
      </c>
      <c r="G230" s="82" t="s">
        <v>1087</v>
      </c>
      <c r="H230" s="82" t="s">
        <v>1088</v>
      </c>
      <c r="I230" s="83" t="s">
        <v>14</v>
      </c>
      <c r="J230" s="82" t="s">
        <v>1943</v>
      </c>
      <c r="K230" s="133" t="s">
        <v>1944</v>
      </c>
    </row>
    <row r="231" spans="1:11" ht="24.6" customHeight="1">
      <c r="A231" s="26"/>
      <c r="B231" s="70"/>
      <c r="C231" s="78"/>
      <c r="D231" s="82" t="s">
        <v>1089</v>
      </c>
      <c r="E231" s="109" t="s">
        <v>1090</v>
      </c>
      <c r="F231" s="110" t="s">
        <v>242</v>
      </c>
      <c r="G231" s="82" t="s">
        <v>1091</v>
      </c>
      <c r="H231" s="82" t="s">
        <v>1092</v>
      </c>
      <c r="I231" s="83" t="s">
        <v>13</v>
      </c>
      <c r="J231" s="82" t="s">
        <v>1945</v>
      </c>
      <c r="K231" s="133" t="s">
        <v>1946</v>
      </c>
    </row>
    <row r="232" spans="1:11" ht="25.2" customHeight="1" thickBot="1">
      <c r="A232" s="26"/>
      <c r="B232" s="70"/>
      <c r="C232" s="86"/>
      <c r="D232" s="87" t="s">
        <v>1093</v>
      </c>
      <c r="E232" s="112" t="s">
        <v>1094</v>
      </c>
      <c r="F232" s="134" t="s">
        <v>242</v>
      </c>
      <c r="G232" s="87" t="s">
        <v>1095</v>
      </c>
      <c r="H232" s="87" t="s">
        <v>1096</v>
      </c>
      <c r="I232" s="113" t="s">
        <v>13</v>
      </c>
      <c r="J232" s="87" t="s">
        <v>1947</v>
      </c>
      <c r="K232" s="135" t="s">
        <v>1948</v>
      </c>
    </row>
    <row r="233" spans="1:11" ht="24.6" customHeight="1">
      <c r="A233" s="26"/>
      <c r="B233" s="70"/>
      <c r="C233" s="115" t="s">
        <v>68</v>
      </c>
      <c r="D233" s="116" t="s">
        <v>1097</v>
      </c>
      <c r="E233" s="117" t="s">
        <v>1098</v>
      </c>
      <c r="F233" s="74" t="s">
        <v>204</v>
      </c>
      <c r="G233" s="72" t="s">
        <v>1055</v>
      </c>
      <c r="H233" s="72" t="s">
        <v>1099</v>
      </c>
      <c r="I233" s="75" t="s">
        <v>14</v>
      </c>
      <c r="J233" s="72" t="s">
        <v>1949</v>
      </c>
      <c r="K233" s="132" t="s">
        <v>1950</v>
      </c>
    </row>
    <row r="234" spans="1:11" ht="24.6" customHeight="1">
      <c r="A234" s="26"/>
      <c r="B234" s="70"/>
      <c r="C234" s="118"/>
      <c r="D234" s="85" t="s">
        <v>1100</v>
      </c>
      <c r="E234" s="109" t="s">
        <v>1101</v>
      </c>
      <c r="F234" s="110" t="s">
        <v>204</v>
      </c>
      <c r="G234" s="82" t="s">
        <v>1102</v>
      </c>
      <c r="H234" s="82" t="s">
        <v>1103</v>
      </c>
      <c r="I234" s="83" t="s">
        <v>14</v>
      </c>
      <c r="J234" s="82" t="s">
        <v>1951</v>
      </c>
      <c r="K234" s="133" t="s">
        <v>1952</v>
      </c>
    </row>
    <row r="235" spans="1:11" ht="24.6" customHeight="1">
      <c r="A235" s="26"/>
      <c r="B235" s="70"/>
      <c r="C235" s="118"/>
      <c r="D235" s="85" t="s">
        <v>1104</v>
      </c>
      <c r="E235" s="109" t="s">
        <v>1105</v>
      </c>
      <c r="F235" s="110" t="s">
        <v>204</v>
      </c>
      <c r="G235" s="82" t="s">
        <v>1106</v>
      </c>
      <c r="H235" s="82" t="s">
        <v>1107</v>
      </c>
      <c r="I235" s="83" t="s">
        <v>13</v>
      </c>
      <c r="J235" s="82" t="s">
        <v>1953</v>
      </c>
      <c r="K235" s="133" t="s">
        <v>1954</v>
      </c>
    </row>
    <row r="236" spans="1:11" ht="24.6" customHeight="1">
      <c r="A236" s="26"/>
      <c r="B236" s="70"/>
      <c r="C236" s="118"/>
      <c r="D236" s="82" t="s">
        <v>1108</v>
      </c>
      <c r="E236" s="109" t="s">
        <v>1109</v>
      </c>
      <c r="F236" s="110" t="s">
        <v>204</v>
      </c>
      <c r="G236" s="82" t="s">
        <v>1110</v>
      </c>
      <c r="H236" s="82" t="s">
        <v>1111</v>
      </c>
      <c r="I236" s="83" t="s">
        <v>14</v>
      </c>
      <c r="J236" s="82" t="s">
        <v>1955</v>
      </c>
      <c r="K236" s="133" t="s">
        <v>1956</v>
      </c>
    </row>
    <row r="237" spans="1:11" ht="25.2" customHeight="1" thickBot="1">
      <c r="A237" s="26"/>
      <c r="B237" s="70"/>
      <c r="C237" s="121"/>
      <c r="D237" s="87" t="s">
        <v>1112</v>
      </c>
      <c r="E237" s="112" t="s">
        <v>1113</v>
      </c>
      <c r="F237" s="134" t="s">
        <v>209</v>
      </c>
      <c r="G237" s="87" t="s">
        <v>1114</v>
      </c>
      <c r="H237" s="87" t="s">
        <v>1115</v>
      </c>
      <c r="I237" s="113" t="s">
        <v>14</v>
      </c>
      <c r="J237" s="87" t="s">
        <v>1957</v>
      </c>
      <c r="K237" s="135" t="s">
        <v>1958</v>
      </c>
    </row>
    <row r="238" spans="1:11" ht="24.6" customHeight="1">
      <c r="A238" s="26"/>
      <c r="B238" s="70"/>
      <c r="C238" s="71" t="s">
        <v>69</v>
      </c>
      <c r="D238" s="72" t="s">
        <v>1116</v>
      </c>
      <c r="E238" s="73" t="s">
        <v>1117</v>
      </c>
      <c r="F238" s="74" t="s">
        <v>204</v>
      </c>
      <c r="G238" s="72" t="s">
        <v>1118</v>
      </c>
      <c r="H238" s="72" t="s">
        <v>1119</v>
      </c>
      <c r="I238" s="75" t="s">
        <v>13</v>
      </c>
      <c r="J238" s="72" t="s">
        <v>1959</v>
      </c>
      <c r="K238" s="132" t="s">
        <v>1960</v>
      </c>
    </row>
    <row r="239" spans="1:11" ht="24.6" customHeight="1">
      <c r="A239" s="26"/>
      <c r="B239" s="70"/>
      <c r="C239" s="78"/>
      <c r="D239" s="85" t="s">
        <v>1120</v>
      </c>
      <c r="E239" s="109" t="s">
        <v>1121</v>
      </c>
      <c r="F239" s="110" t="s">
        <v>204</v>
      </c>
      <c r="G239" s="82" t="s">
        <v>1055</v>
      </c>
      <c r="H239" s="82" t="s">
        <v>1122</v>
      </c>
      <c r="I239" s="83" t="s">
        <v>14</v>
      </c>
      <c r="J239" s="82" t="s">
        <v>2129</v>
      </c>
      <c r="K239" s="133" t="s">
        <v>2130</v>
      </c>
    </row>
    <row r="240" spans="1:11" ht="24.6" customHeight="1">
      <c r="A240" s="26"/>
      <c r="B240" s="70"/>
      <c r="C240" s="78"/>
      <c r="D240" s="85" t="s">
        <v>1123</v>
      </c>
      <c r="E240" s="109" t="s">
        <v>1124</v>
      </c>
      <c r="F240" s="110" t="s">
        <v>242</v>
      </c>
      <c r="G240" s="82" t="s">
        <v>1125</v>
      </c>
      <c r="H240" s="82" t="s">
        <v>1126</v>
      </c>
      <c r="I240" s="83" t="s">
        <v>14</v>
      </c>
      <c r="J240" s="82" t="s">
        <v>2131</v>
      </c>
      <c r="K240" s="133" t="s">
        <v>2132</v>
      </c>
    </row>
    <row r="241" spans="1:11" ht="24.6" customHeight="1">
      <c r="A241" s="26"/>
      <c r="B241" s="70"/>
      <c r="C241" s="78"/>
      <c r="D241" s="82" t="s">
        <v>1127</v>
      </c>
      <c r="E241" s="109" t="s">
        <v>1128</v>
      </c>
      <c r="F241" s="110" t="s">
        <v>204</v>
      </c>
      <c r="G241" s="82" t="s">
        <v>1129</v>
      </c>
      <c r="H241" s="82" t="s">
        <v>1130</v>
      </c>
      <c r="I241" s="83" t="s">
        <v>13</v>
      </c>
      <c r="J241" s="82" t="s">
        <v>2133</v>
      </c>
      <c r="K241" s="133" t="s">
        <v>2134</v>
      </c>
    </row>
    <row r="242" spans="1:11" ht="25.2" customHeight="1" thickBot="1">
      <c r="A242" s="26"/>
      <c r="B242" s="70"/>
      <c r="C242" s="86"/>
      <c r="D242" s="87" t="s">
        <v>1131</v>
      </c>
      <c r="E242" s="112" t="s">
        <v>1132</v>
      </c>
      <c r="F242" s="134" t="s">
        <v>204</v>
      </c>
      <c r="G242" s="87" t="s">
        <v>1133</v>
      </c>
      <c r="H242" s="87" t="s">
        <v>1134</v>
      </c>
      <c r="I242" s="113" t="s">
        <v>14</v>
      </c>
      <c r="J242" s="87" t="s">
        <v>2135</v>
      </c>
      <c r="K242" s="135" t="s">
        <v>2136</v>
      </c>
    </row>
    <row r="243" spans="1:11" ht="24.6" customHeight="1">
      <c r="A243" s="26"/>
      <c r="B243" s="70"/>
      <c r="C243" s="71" t="s">
        <v>70</v>
      </c>
      <c r="D243" s="72" t="s">
        <v>1135</v>
      </c>
      <c r="E243" s="73" t="s">
        <v>1136</v>
      </c>
      <c r="F243" s="74" t="s">
        <v>209</v>
      </c>
      <c r="G243" s="72" t="s">
        <v>1137</v>
      </c>
      <c r="H243" s="72" t="s">
        <v>1048</v>
      </c>
      <c r="I243" s="75" t="s">
        <v>13</v>
      </c>
      <c r="J243" s="72" t="s">
        <v>2137</v>
      </c>
      <c r="K243" s="132" t="s">
        <v>2138</v>
      </c>
    </row>
    <row r="244" spans="1:11" ht="24.6" customHeight="1">
      <c r="A244" s="26"/>
      <c r="B244" s="70"/>
      <c r="C244" s="78"/>
      <c r="D244" s="79" t="s">
        <v>1138</v>
      </c>
      <c r="E244" s="109" t="s">
        <v>1139</v>
      </c>
      <c r="F244" s="110" t="s">
        <v>204</v>
      </c>
      <c r="G244" s="82" t="s">
        <v>1140</v>
      </c>
      <c r="H244" s="82" t="s">
        <v>1141</v>
      </c>
      <c r="I244" s="83" t="s">
        <v>14</v>
      </c>
      <c r="J244" s="82" t="s">
        <v>2139</v>
      </c>
      <c r="K244" s="133" t="s">
        <v>2140</v>
      </c>
    </row>
    <row r="245" spans="1:11" ht="24.6" customHeight="1">
      <c r="A245" s="26"/>
      <c r="B245" s="70"/>
      <c r="C245" s="78"/>
      <c r="D245" s="85" t="s">
        <v>1142</v>
      </c>
      <c r="E245" s="109" t="s">
        <v>1143</v>
      </c>
      <c r="F245" s="110" t="s">
        <v>204</v>
      </c>
      <c r="G245" s="82" t="s">
        <v>1144</v>
      </c>
      <c r="H245" s="82" t="s">
        <v>1145</v>
      </c>
      <c r="I245" s="83" t="s">
        <v>14</v>
      </c>
      <c r="J245" s="82" t="s">
        <v>2141</v>
      </c>
      <c r="K245" s="133" t="s">
        <v>2142</v>
      </c>
    </row>
    <row r="246" spans="1:11" ht="24.6" customHeight="1">
      <c r="A246" s="26"/>
      <c r="B246" s="70"/>
      <c r="C246" s="78"/>
      <c r="D246" s="82" t="s">
        <v>1146</v>
      </c>
      <c r="E246" s="109" t="s">
        <v>1147</v>
      </c>
      <c r="F246" s="110" t="s">
        <v>242</v>
      </c>
      <c r="G246" s="82" t="s">
        <v>1148</v>
      </c>
      <c r="H246" s="82" t="s">
        <v>1149</v>
      </c>
      <c r="I246" s="83" t="s">
        <v>13</v>
      </c>
      <c r="J246" s="82" t="s">
        <v>2143</v>
      </c>
      <c r="K246" s="133" t="s">
        <v>2144</v>
      </c>
    </row>
    <row r="247" spans="1:11" ht="25.2" customHeight="1" thickBot="1">
      <c r="A247" s="26"/>
      <c r="B247" s="70"/>
      <c r="C247" s="86"/>
      <c r="D247" s="87" t="s">
        <v>1150</v>
      </c>
      <c r="E247" s="112" t="s">
        <v>1151</v>
      </c>
      <c r="F247" s="134" t="s">
        <v>204</v>
      </c>
      <c r="G247" s="87" t="s">
        <v>1152</v>
      </c>
      <c r="H247" s="87" t="s">
        <v>1153</v>
      </c>
      <c r="I247" s="113" t="s">
        <v>13</v>
      </c>
      <c r="J247" s="87" t="s">
        <v>2145</v>
      </c>
      <c r="K247" s="135" t="s">
        <v>2146</v>
      </c>
    </row>
    <row r="248" spans="1:11" ht="24.6" customHeight="1">
      <c r="A248" s="26"/>
      <c r="B248" s="70"/>
      <c r="C248" s="71" t="s">
        <v>71</v>
      </c>
      <c r="D248" s="72" t="s">
        <v>1154</v>
      </c>
      <c r="E248" s="73" t="s">
        <v>1155</v>
      </c>
      <c r="F248" s="74" t="s">
        <v>209</v>
      </c>
      <c r="G248" s="72" t="s">
        <v>1156</v>
      </c>
      <c r="H248" s="72" t="s">
        <v>1157</v>
      </c>
      <c r="I248" s="75" t="s">
        <v>14</v>
      </c>
      <c r="J248" s="72" t="s">
        <v>2147</v>
      </c>
      <c r="K248" s="132" t="s">
        <v>2148</v>
      </c>
    </row>
    <row r="249" spans="1:11" ht="24.6" customHeight="1">
      <c r="A249" s="26"/>
      <c r="B249" s="70"/>
      <c r="C249" s="78"/>
      <c r="D249" s="79" t="s">
        <v>1158</v>
      </c>
      <c r="E249" s="109" t="s">
        <v>1159</v>
      </c>
      <c r="F249" s="110" t="s">
        <v>209</v>
      </c>
      <c r="G249" s="82" t="s">
        <v>1160</v>
      </c>
      <c r="H249" s="82" t="s">
        <v>1161</v>
      </c>
      <c r="I249" s="83" t="s">
        <v>13</v>
      </c>
      <c r="J249" s="82" t="s">
        <v>2149</v>
      </c>
      <c r="K249" s="133" t="s">
        <v>2150</v>
      </c>
    </row>
    <row r="250" spans="1:11" ht="24.6" customHeight="1">
      <c r="A250" s="26"/>
      <c r="B250" s="70"/>
      <c r="C250" s="78"/>
      <c r="D250" s="85" t="s">
        <v>1162</v>
      </c>
      <c r="E250" s="109" t="s">
        <v>1163</v>
      </c>
      <c r="F250" s="110" t="s">
        <v>204</v>
      </c>
      <c r="G250" s="82" t="s">
        <v>1164</v>
      </c>
      <c r="H250" s="82" t="s">
        <v>1165</v>
      </c>
      <c r="I250" s="83" t="s">
        <v>14</v>
      </c>
      <c r="J250" s="82" t="s">
        <v>2151</v>
      </c>
      <c r="K250" s="133" t="s">
        <v>2152</v>
      </c>
    </row>
    <row r="251" spans="1:11" ht="24.6" customHeight="1">
      <c r="A251" s="26"/>
      <c r="B251" s="70"/>
      <c r="C251" s="78"/>
      <c r="D251" s="82" t="s">
        <v>1166</v>
      </c>
      <c r="E251" s="109" t="s">
        <v>1167</v>
      </c>
      <c r="F251" s="110" t="s">
        <v>204</v>
      </c>
      <c r="G251" s="82" t="s">
        <v>1168</v>
      </c>
      <c r="H251" s="82" t="s">
        <v>1169</v>
      </c>
      <c r="I251" s="83" t="s">
        <v>13</v>
      </c>
      <c r="J251" s="82" t="s">
        <v>2153</v>
      </c>
      <c r="K251" s="133" t="s">
        <v>2154</v>
      </c>
    </row>
    <row r="252" spans="1:11" ht="25.2" customHeight="1" thickBot="1">
      <c r="A252" s="26"/>
      <c r="B252" s="70"/>
      <c r="C252" s="86"/>
      <c r="D252" s="87" t="s">
        <v>1170</v>
      </c>
      <c r="E252" s="112" t="s">
        <v>1171</v>
      </c>
      <c r="F252" s="134" t="s">
        <v>204</v>
      </c>
      <c r="G252" s="87" t="s">
        <v>1172</v>
      </c>
      <c r="H252" s="87" t="s">
        <v>1173</v>
      </c>
      <c r="I252" s="113" t="s">
        <v>14</v>
      </c>
      <c r="J252" s="87" t="s">
        <v>2155</v>
      </c>
      <c r="K252" s="135" t="s">
        <v>2156</v>
      </c>
    </row>
    <row r="253" spans="1:11" ht="24.6" customHeight="1">
      <c r="A253" s="26"/>
      <c r="B253" s="70"/>
      <c r="C253" s="71" t="s">
        <v>72</v>
      </c>
      <c r="D253" s="72" t="s">
        <v>1174</v>
      </c>
      <c r="E253" s="73" t="s">
        <v>1175</v>
      </c>
      <c r="F253" s="74" t="s">
        <v>204</v>
      </c>
      <c r="G253" s="72" t="s">
        <v>1176</v>
      </c>
      <c r="H253" s="72" t="s">
        <v>1177</v>
      </c>
      <c r="I253" s="75" t="s">
        <v>13</v>
      </c>
      <c r="J253" s="72" t="s">
        <v>2157</v>
      </c>
      <c r="K253" s="132" t="s">
        <v>2158</v>
      </c>
    </row>
    <row r="254" spans="1:11" ht="24.6" customHeight="1">
      <c r="A254" s="26"/>
      <c r="B254" s="70"/>
      <c r="C254" s="78"/>
      <c r="D254" s="79" t="s">
        <v>1178</v>
      </c>
      <c r="E254" s="109" t="s">
        <v>1179</v>
      </c>
      <c r="F254" s="110" t="s">
        <v>204</v>
      </c>
      <c r="G254" s="82" t="s">
        <v>1180</v>
      </c>
      <c r="H254" s="82" t="s">
        <v>1181</v>
      </c>
      <c r="I254" s="83" t="s">
        <v>14</v>
      </c>
      <c r="J254" s="82" t="s">
        <v>2159</v>
      </c>
      <c r="K254" s="133" t="s">
        <v>2160</v>
      </c>
    </row>
    <row r="255" spans="1:11" ht="24.6" customHeight="1">
      <c r="A255" s="26"/>
      <c r="B255" s="70"/>
      <c r="C255" s="78"/>
      <c r="D255" s="85" t="s">
        <v>1182</v>
      </c>
      <c r="E255" s="109" t="s">
        <v>1183</v>
      </c>
      <c r="F255" s="110" t="s">
        <v>209</v>
      </c>
      <c r="G255" s="82" t="s">
        <v>1184</v>
      </c>
      <c r="H255" s="82" t="s">
        <v>1185</v>
      </c>
      <c r="I255" s="83" t="s">
        <v>13</v>
      </c>
      <c r="J255" s="82" t="s">
        <v>2161</v>
      </c>
      <c r="K255" s="133" t="s">
        <v>2162</v>
      </c>
    </row>
    <row r="256" spans="1:11" ht="24.6" customHeight="1">
      <c r="A256" s="26"/>
      <c r="B256" s="70"/>
      <c r="C256" s="78"/>
      <c r="D256" s="82" t="s">
        <v>1186</v>
      </c>
      <c r="E256" s="109" t="s">
        <v>1187</v>
      </c>
      <c r="F256" s="110" t="s">
        <v>242</v>
      </c>
      <c r="G256" s="82" t="s">
        <v>1188</v>
      </c>
      <c r="H256" s="82" t="s">
        <v>1189</v>
      </c>
      <c r="I256" s="83" t="s">
        <v>14</v>
      </c>
      <c r="J256" s="82" t="s">
        <v>2163</v>
      </c>
      <c r="K256" s="133" t="s">
        <v>2164</v>
      </c>
    </row>
    <row r="257" spans="1:11" ht="25.2" customHeight="1" thickBot="1">
      <c r="A257" s="136"/>
      <c r="B257" s="93"/>
      <c r="C257" s="86"/>
      <c r="D257" s="87" t="s">
        <v>1190</v>
      </c>
      <c r="E257" s="112" t="s">
        <v>1191</v>
      </c>
      <c r="F257" s="134" t="s">
        <v>204</v>
      </c>
      <c r="G257" s="87" t="s">
        <v>1192</v>
      </c>
      <c r="H257" s="87" t="s">
        <v>1193</v>
      </c>
      <c r="I257" s="113" t="s">
        <v>14</v>
      </c>
      <c r="J257" s="87" t="s">
        <v>2165</v>
      </c>
      <c r="K257" s="135" t="s">
        <v>2166</v>
      </c>
    </row>
  </sheetData>
  <mergeCells count="58">
    <mergeCell ref="B213:B257"/>
    <mergeCell ref="C213:C217"/>
    <mergeCell ref="C218:C222"/>
    <mergeCell ref="C223:C227"/>
    <mergeCell ref="C228:C232"/>
    <mergeCell ref="C233:C237"/>
    <mergeCell ref="C238:C242"/>
    <mergeCell ref="C243:C247"/>
    <mergeCell ref="C248:C252"/>
    <mergeCell ref="C253:C257"/>
    <mergeCell ref="B168:B212"/>
    <mergeCell ref="C168:C172"/>
    <mergeCell ref="C173:C177"/>
    <mergeCell ref="C178:C182"/>
    <mergeCell ref="C183:C187"/>
    <mergeCell ref="C188:C192"/>
    <mergeCell ref="C193:C197"/>
    <mergeCell ref="C198:C202"/>
    <mergeCell ref="C203:C207"/>
    <mergeCell ref="C208:C212"/>
    <mergeCell ref="C103:C107"/>
    <mergeCell ref="C108:C112"/>
    <mergeCell ref="C113:C117"/>
    <mergeCell ref="C118:C122"/>
    <mergeCell ref="C123:C127"/>
    <mergeCell ref="C128:C132"/>
    <mergeCell ref="C133:C137"/>
    <mergeCell ref="B138:B167"/>
    <mergeCell ref="C138:C142"/>
    <mergeCell ref="C143:C147"/>
    <mergeCell ref="C148:C152"/>
    <mergeCell ref="C153:C157"/>
    <mergeCell ref="C158:C162"/>
    <mergeCell ref="C163:C167"/>
    <mergeCell ref="B3:B47"/>
    <mergeCell ref="C3:C7"/>
    <mergeCell ref="C8:C12"/>
    <mergeCell ref="C13:C17"/>
    <mergeCell ref="C18:C22"/>
    <mergeCell ref="C23:C27"/>
    <mergeCell ref="C28:C32"/>
    <mergeCell ref="C33:C37"/>
    <mergeCell ref="C38:C42"/>
    <mergeCell ref="C43:C47"/>
    <mergeCell ref="B48:B92"/>
    <mergeCell ref="C48:C52"/>
    <mergeCell ref="C53:C57"/>
    <mergeCell ref="C58:C62"/>
    <mergeCell ref="C63:C67"/>
    <mergeCell ref="C68:C72"/>
    <mergeCell ref="C73:C77"/>
    <mergeCell ref="C78:C82"/>
    <mergeCell ref="C83:C87"/>
    <mergeCell ref="C88:C92"/>
    <mergeCell ref="B93:B137"/>
    <mergeCell ref="C93:C97"/>
    <mergeCell ref="C98:C102"/>
    <mergeCell ref="A3:A257"/>
  </mergeCells>
  <conditionalFormatting sqref="I3:I42">
    <cfRule type="containsText" dxfId="743" priority="210" operator="containsText" text="Faible">
      <formula>NOT(ISERROR(SEARCH("Faible",I3)))</formula>
    </cfRule>
    <cfRule type="containsText" dxfId="742" priority="211" operator="containsText" text="Elevée">
      <formula>NOT(ISERROR(SEARCH("Elevée",I3)))</formula>
    </cfRule>
    <cfRule type="containsText" dxfId="741" priority="212" operator="containsText" text="Moyenne">
      <formula>NOT(ISERROR(SEARCH("Moyenne",I3)))</formula>
    </cfRule>
  </conditionalFormatting>
  <conditionalFormatting sqref="F3">
    <cfRule type="cellIs" dxfId="740" priority="209" operator="equal">
      <formula>"OUI"</formula>
    </cfRule>
  </conditionalFormatting>
  <conditionalFormatting sqref="I143:I146 I193:I196 I183:I186 I178:I181 I173:I176 I168:I171 I163:I166 I148:I156">
    <cfRule type="containsText" dxfId="739" priority="206" operator="containsText" text="Faible">
      <formula>NOT(ISERROR(SEARCH("Faible",I143)))</formula>
    </cfRule>
    <cfRule type="containsText" dxfId="738" priority="207" operator="containsText" text="Elevée">
      <formula>NOT(ISERROR(SEARCH("Elevée",I143)))</formula>
    </cfRule>
    <cfRule type="containsText" dxfId="737" priority="208" operator="containsText" text="Moyenne">
      <formula>NOT(ISERROR(SEARCH("Moyenne",I143)))</formula>
    </cfRule>
  </conditionalFormatting>
  <conditionalFormatting sqref="I147">
    <cfRule type="containsText" dxfId="736" priority="203" operator="containsText" text="Faible">
      <formula>NOT(ISERROR(SEARCH("Faible",I147)))</formula>
    </cfRule>
    <cfRule type="containsText" dxfId="735" priority="204" operator="containsText" text="Elevée">
      <formula>NOT(ISERROR(SEARCH("Elevée",I147)))</formula>
    </cfRule>
    <cfRule type="containsText" dxfId="734" priority="205" operator="containsText" text="Moyenne">
      <formula>NOT(ISERROR(SEARCH("Moyenne",I147)))</formula>
    </cfRule>
  </conditionalFormatting>
  <conditionalFormatting sqref="I157:I162">
    <cfRule type="containsText" dxfId="733" priority="200" operator="containsText" text="Faible">
      <formula>NOT(ISERROR(SEARCH("Faible",I157)))</formula>
    </cfRule>
    <cfRule type="containsText" dxfId="732" priority="201" operator="containsText" text="Elevée">
      <formula>NOT(ISERROR(SEARCH("Elevée",I157)))</formula>
    </cfRule>
    <cfRule type="containsText" dxfId="731" priority="202" operator="containsText" text="Moyenne">
      <formula>NOT(ISERROR(SEARCH("Moyenne",I157)))</formula>
    </cfRule>
  </conditionalFormatting>
  <conditionalFormatting sqref="I177">
    <cfRule type="containsText" dxfId="730" priority="191" operator="containsText" text="Faible">
      <formula>NOT(ISERROR(SEARCH("Faible",I177)))</formula>
    </cfRule>
    <cfRule type="containsText" dxfId="729" priority="192" operator="containsText" text="Elevée">
      <formula>NOT(ISERROR(SEARCH("Elevée",I177)))</formula>
    </cfRule>
    <cfRule type="containsText" dxfId="728" priority="193" operator="containsText" text="Moyenne">
      <formula>NOT(ISERROR(SEARCH("Moyenne",I177)))</formula>
    </cfRule>
  </conditionalFormatting>
  <conditionalFormatting sqref="I167">
    <cfRule type="containsText" dxfId="727" priority="197" operator="containsText" text="Faible">
      <formula>NOT(ISERROR(SEARCH("Faible",I167)))</formula>
    </cfRule>
    <cfRule type="containsText" dxfId="726" priority="198" operator="containsText" text="Elevée">
      <formula>NOT(ISERROR(SEARCH("Elevée",I167)))</formula>
    </cfRule>
    <cfRule type="containsText" dxfId="725" priority="199" operator="containsText" text="Moyenne">
      <formula>NOT(ISERROR(SEARCH("Moyenne",I167)))</formula>
    </cfRule>
  </conditionalFormatting>
  <conditionalFormatting sqref="I172">
    <cfRule type="containsText" dxfId="724" priority="194" operator="containsText" text="Faible">
      <formula>NOT(ISERROR(SEARCH("Faible",I172)))</formula>
    </cfRule>
    <cfRule type="containsText" dxfId="723" priority="195" operator="containsText" text="Elevée">
      <formula>NOT(ISERROR(SEARCH("Elevée",I172)))</formula>
    </cfRule>
    <cfRule type="containsText" dxfId="722" priority="196" operator="containsText" text="Moyenne">
      <formula>NOT(ISERROR(SEARCH("Moyenne",I172)))</formula>
    </cfRule>
  </conditionalFormatting>
  <conditionalFormatting sqref="I197">
    <cfRule type="containsText" dxfId="721" priority="182" operator="containsText" text="Faible">
      <formula>NOT(ISERROR(SEARCH("Faible",I197)))</formula>
    </cfRule>
    <cfRule type="containsText" dxfId="720" priority="183" operator="containsText" text="Elevée">
      <formula>NOT(ISERROR(SEARCH("Elevée",I197)))</formula>
    </cfRule>
    <cfRule type="containsText" dxfId="719" priority="184" operator="containsText" text="Moyenne">
      <formula>NOT(ISERROR(SEARCH("Moyenne",I197)))</formula>
    </cfRule>
  </conditionalFormatting>
  <conditionalFormatting sqref="I182">
    <cfRule type="containsText" dxfId="718" priority="188" operator="containsText" text="Faible">
      <formula>NOT(ISERROR(SEARCH("Faible",I182)))</formula>
    </cfRule>
    <cfRule type="containsText" dxfId="717" priority="189" operator="containsText" text="Elevée">
      <formula>NOT(ISERROR(SEARCH("Elevée",I182)))</formula>
    </cfRule>
    <cfRule type="containsText" dxfId="716" priority="190" operator="containsText" text="Moyenne">
      <formula>NOT(ISERROR(SEARCH("Moyenne",I182)))</formula>
    </cfRule>
  </conditionalFormatting>
  <conditionalFormatting sqref="I187">
    <cfRule type="containsText" dxfId="715" priority="185" operator="containsText" text="Faible">
      <formula>NOT(ISERROR(SEARCH("Faible",I187)))</formula>
    </cfRule>
    <cfRule type="containsText" dxfId="714" priority="186" operator="containsText" text="Elevée">
      <formula>NOT(ISERROR(SEARCH("Elevée",I187)))</formula>
    </cfRule>
    <cfRule type="containsText" dxfId="713" priority="187" operator="containsText" text="Moyenne">
      <formula>NOT(ISERROR(SEARCH("Moyenne",I187)))</formula>
    </cfRule>
  </conditionalFormatting>
  <conditionalFormatting sqref="I223:I226 I218:I221 I213:I216 I243:I246 I238:I241 I233:I236 I228:I231">
    <cfRule type="containsText" dxfId="712" priority="179" operator="containsText" text="Faible">
      <formula>NOT(ISERROR(SEARCH("Faible",I213)))</formula>
    </cfRule>
    <cfRule type="containsText" dxfId="711" priority="180" operator="containsText" text="Elevée">
      <formula>NOT(ISERROR(SEARCH("Elevée",I213)))</formula>
    </cfRule>
    <cfRule type="containsText" dxfId="710" priority="181" operator="containsText" text="Moyenne">
      <formula>NOT(ISERROR(SEARCH("Moyenne",I213)))</formula>
    </cfRule>
  </conditionalFormatting>
  <conditionalFormatting sqref="I217">
    <cfRule type="containsText" dxfId="709" priority="176" operator="containsText" text="Faible">
      <formula>NOT(ISERROR(SEARCH("Faible",I217)))</formula>
    </cfRule>
    <cfRule type="containsText" dxfId="708" priority="177" operator="containsText" text="Elevée">
      <formula>NOT(ISERROR(SEARCH("Elevée",I217)))</formula>
    </cfRule>
    <cfRule type="containsText" dxfId="707" priority="178" operator="containsText" text="Moyenne">
      <formula>NOT(ISERROR(SEARCH("Moyenne",I217)))</formula>
    </cfRule>
  </conditionalFormatting>
  <conditionalFormatting sqref="I43:I47">
    <cfRule type="containsText" dxfId="706" priority="122" operator="containsText" text="Faible">
      <formula>NOT(ISERROR(SEARCH("Faible",I43)))</formula>
    </cfRule>
    <cfRule type="containsText" dxfId="705" priority="123" operator="containsText" text="Elevée">
      <formula>NOT(ISERROR(SEARCH("Elevée",I43)))</formula>
    </cfRule>
    <cfRule type="containsText" dxfId="704" priority="124" operator="containsText" text="Moyenne">
      <formula>NOT(ISERROR(SEARCH("Moyenne",I43)))</formula>
    </cfRule>
  </conditionalFormatting>
  <conditionalFormatting sqref="I222">
    <cfRule type="containsText" dxfId="703" priority="173" operator="containsText" text="Faible">
      <formula>NOT(ISERROR(SEARCH("Faible",I222)))</formula>
    </cfRule>
    <cfRule type="containsText" dxfId="702" priority="174" operator="containsText" text="Elevée">
      <formula>NOT(ISERROR(SEARCH("Elevée",I222)))</formula>
    </cfRule>
    <cfRule type="containsText" dxfId="701" priority="175" operator="containsText" text="Moyenne">
      <formula>NOT(ISERROR(SEARCH("Moyenne",I222)))</formula>
    </cfRule>
  </conditionalFormatting>
  <conditionalFormatting sqref="I227">
    <cfRule type="containsText" dxfId="700" priority="170" operator="containsText" text="Faible">
      <formula>NOT(ISERROR(SEARCH("Faible",I227)))</formula>
    </cfRule>
    <cfRule type="containsText" dxfId="699" priority="171" operator="containsText" text="Elevée">
      <formula>NOT(ISERROR(SEARCH("Elevée",I227)))</formula>
    </cfRule>
    <cfRule type="containsText" dxfId="698" priority="172" operator="containsText" text="Moyenne">
      <formula>NOT(ISERROR(SEARCH("Moyenne",I227)))</formula>
    </cfRule>
  </conditionalFormatting>
  <conditionalFormatting sqref="I232">
    <cfRule type="containsText" dxfId="697" priority="167" operator="containsText" text="Faible">
      <formula>NOT(ISERROR(SEARCH("Faible",I232)))</formula>
    </cfRule>
    <cfRule type="containsText" dxfId="696" priority="168" operator="containsText" text="Elevée">
      <formula>NOT(ISERROR(SEARCH("Elevée",I232)))</formula>
    </cfRule>
    <cfRule type="containsText" dxfId="695" priority="169" operator="containsText" text="Moyenne">
      <formula>NOT(ISERROR(SEARCH("Moyenne",I232)))</formula>
    </cfRule>
  </conditionalFormatting>
  <conditionalFormatting sqref="I237">
    <cfRule type="containsText" dxfId="694" priority="164" operator="containsText" text="Faible">
      <formula>NOT(ISERROR(SEARCH("Faible",I237)))</formula>
    </cfRule>
    <cfRule type="containsText" dxfId="693" priority="165" operator="containsText" text="Elevée">
      <formula>NOT(ISERROR(SEARCH("Elevée",I237)))</formula>
    </cfRule>
    <cfRule type="containsText" dxfId="692" priority="166" operator="containsText" text="Moyenne">
      <formula>NOT(ISERROR(SEARCH("Moyenne",I237)))</formula>
    </cfRule>
  </conditionalFormatting>
  <conditionalFormatting sqref="I242">
    <cfRule type="containsText" dxfId="691" priority="161" operator="containsText" text="Faible">
      <formula>NOT(ISERROR(SEARCH("Faible",I242)))</formula>
    </cfRule>
    <cfRule type="containsText" dxfId="690" priority="162" operator="containsText" text="Elevée">
      <formula>NOT(ISERROR(SEARCH("Elevée",I242)))</formula>
    </cfRule>
    <cfRule type="containsText" dxfId="689" priority="163" operator="containsText" text="Moyenne">
      <formula>NOT(ISERROR(SEARCH("Moyenne",I242)))</formula>
    </cfRule>
  </conditionalFormatting>
  <conditionalFormatting sqref="I247">
    <cfRule type="containsText" dxfId="688" priority="158" operator="containsText" text="Faible">
      <formula>NOT(ISERROR(SEARCH("Faible",I247)))</formula>
    </cfRule>
    <cfRule type="containsText" dxfId="687" priority="159" operator="containsText" text="Elevée">
      <formula>NOT(ISERROR(SEARCH("Elevée",I247)))</formula>
    </cfRule>
    <cfRule type="containsText" dxfId="686" priority="160" operator="containsText" text="Moyenne">
      <formula>NOT(ISERROR(SEARCH("Moyenne",I247)))</formula>
    </cfRule>
  </conditionalFormatting>
  <conditionalFormatting sqref="I198:I201">
    <cfRule type="containsText" dxfId="685" priority="155" operator="containsText" text="Faible">
      <formula>NOT(ISERROR(SEARCH("Faible",I198)))</formula>
    </cfRule>
    <cfRule type="containsText" dxfId="684" priority="156" operator="containsText" text="Elevée">
      <formula>NOT(ISERROR(SEARCH("Elevée",I198)))</formula>
    </cfRule>
    <cfRule type="containsText" dxfId="683" priority="157" operator="containsText" text="Moyenne">
      <formula>NOT(ISERROR(SEARCH("Moyenne",I198)))</formula>
    </cfRule>
  </conditionalFormatting>
  <conditionalFormatting sqref="I202">
    <cfRule type="containsText" dxfId="682" priority="152" operator="containsText" text="Faible">
      <formula>NOT(ISERROR(SEARCH("Faible",I202)))</formula>
    </cfRule>
    <cfRule type="containsText" dxfId="681" priority="153" operator="containsText" text="Elevée">
      <formula>NOT(ISERROR(SEARCH("Elevée",I202)))</formula>
    </cfRule>
    <cfRule type="containsText" dxfId="680" priority="154" operator="containsText" text="Moyenne">
      <formula>NOT(ISERROR(SEARCH("Moyenne",I202)))</formula>
    </cfRule>
  </conditionalFormatting>
  <conditionalFormatting sqref="I212">
    <cfRule type="containsText" dxfId="679" priority="137" operator="containsText" text="Faible">
      <formula>NOT(ISERROR(SEARCH("Faible",I212)))</formula>
    </cfRule>
    <cfRule type="containsText" dxfId="678" priority="138" operator="containsText" text="Elevée">
      <formula>NOT(ISERROR(SEARCH("Elevée",I212)))</formula>
    </cfRule>
    <cfRule type="containsText" dxfId="677" priority="139" operator="containsText" text="Moyenne">
      <formula>NOT(ISERROR(SEARCH("Moyenne",I212)))</formula>
    </cfRule>
  </conditionalFormatting>
  <conditionalFormatting sqref="I188:I192">
    <cfRule type="containsText" dxfId="676" priority="149" operator="containsText" text="Faible">
      <formula>NOT(ISERROR(SEARCH("Faible",I188)))</formula>
    </cfRule>
    <cfRule type="containsText" dxfId="675" priority="150" operator="containsText" text="Elevée">
      <formula>NOT(ISERROR(SEARCH("Elevée",I188)))</formula>
    </cfRule>
    <cfRule type="containsText" dxfId="674" priority="151" operator="containsText" text="Moyenne">
      <formula>NOT(ISERROR(SEARCH("Moyenne",I188)))</formula>
    </cfRule>
  </conditionalFormatting>
  <conditionalFormatting sqref="I203:I206">
    <cfRule type="containsText" dxfId="673" priority="146" operator="containsText" text="Faible">
      <formula>NOT(ISERROR(SEARCH("Faible",I203)))</formula>
    </cfRule>
    <cfRule type="containsText" dxfId="672" priority="147" operator="containsText" text="Elevée">
      <formula>NOT(ISERROR(SEARCH("Elevée",I203)))</formula>
    </cfRule>
    <cfRule type="containsText" dxfId="671" priority="148" operator="containsText" text="Moyenne">
      <formula>NOT(ISERROR(SEARCH("Moyenne",I203)))</formula>
    </cfRule>
  </conditionalFormatting>
  <conditionalFormatting sqref="I207">
    <cfRule type="containsText" dxfId="670" priority="143" operator="containsText" text="Faible">
      <formula>NOT(ISERROR(SEARCH("Faible",I207)))</formula>
    </cfRule>
    <cfRule type="containsText" dxfId="669" priority="144" operator="containsText" text="Elevée">
      <formula>NOT(ISERROR(SEARCH("Elevée",I207)))</formula>
    </cfRule>
    <cfRule type="containsText" dxfId="668" priority="145" operator="containsText" text="Moyenne">
      <formula>NOT(ISERROR(SEARCH("Moyenne",I207)))</formula>
    </cfRule>
  </conditionalFormatting>
  <conditionalFormatting sqref="I253:I256">
    <cfRule type="containsText" dxfId="667" priority="128" operator="containsText" text="Faible">
      <formula>NOT(ISERROR(SEARCH("Faible",I253)))</formula>
    </cfRule>
    <cfRule type="containsText" dxfId="666" priority="129" operator="containsText" text="Elevée">
      <formula>NOT(ISERROR(SEARCH("Elevée",I253)))</formula>
    </cfRule>
    <cfRule type="containsText" dxfId="665" priority="130" operator="containsText" text="Moyenne">
      <formula>NOT(ISERROR(SEARCH("Moyenne",I253)))</formula>
    </cfRule>
  </conditionalFormatting>
  <conditionalFormatting sqref="I208:I211">
    <cfRule type="containsText" dxfId="664" priority="140" operator="containsText" text="Faible">
      <formula>NOT(ISERROR(SEARCH("Faible",I208)))</formula>
    </cfRule>
    <cfRule type="containsText" dxfId="663" priority="141" operator="containsText" text="Elevée">
      <formula>NOT(ISERROR(SEARCH("Elevée",I208)))</formula>
    </cfRule>
    <cfRule type="containsText" dxfId="662" priority="142" operator="containsText" text="Moyenne">
      <formula>NOT(ISERROR(SEARCH("Moyenne",I208)))</formula>
    </cfRule>
  </conditionalFormatting>
  <conditionalFormatting sqref="I248:I251">
    <cfRule type="containsText" dxfId="661" priority="134" operator="containsText" text="Faible">
      <formula>NOT(ISERROR(SEARCH("Faible",I248)))</formula>
    </cfRule>
    <cfRule type="containsText" dxfId="660" priority="135" operator="containsText" text="Elevée">
      <formula>NOT(ISERROR(SEARCH("Elevée",I248)))</formula>
    </cfRule>
    <cfRule type="containsText" dxfId="659" priority="136" operator="containsText" text="Moyenne">
      <formula>NOT(ISERROR(SEARCH("Moyenne",I248)))</formula>
    </cfRule>
  </conditionalFormatting>
  <conditionalFormatting sqref="I252">
    <cfRule type="containsText" dxfId="658" priority="131" operator="containsText" text="Faible">
      <formula>NOT(ISERROR(SEARCH("Faible",I252)))</formula>
    </cfRule>
    <cfRule type="containsText" dxfId="657" priority="132" operator="containsText" text="Elevée">
      <formula>NOT(ISERROR(SEARCH("Elevée",I252)))</formula>
    </cfRule>
    <cfRule type="containsText" dxfId="656" priority="133" operator="containsText" text="Moyenne">
      <formula>NOT(ISERROR(SEARCH("Moyenne",I252)))</formula>
    </cfRule>
  </conditionalFormatting>
  <conditionalFormatting sqref="I257">
    <cfRule type="containsText" dxfId="655" priority="125" operator="containsText" text="Faible">
      <formula>NOT(ISERROR(SEARCH("Faible",I257)))</formula>
    </cfRule>
    <cfRule type="containsText" dxfId="654" priority="126" operator="containsText" text="Elevée">
      <formula>NOT(ISERROR(SEARCH("Elevée",I257)))</formula>
    </cfRule>
    <cfRule type="containsText" dxfId="653" priority="127" operator="containsText" text="Moyenne">
      <formula>NOT(ISERROR(SEARCH("Moyenne",I257)))</formula>
    </cfRule>
  </conditionalFormatting>
  <conditionalFormatting sqref="I93:I96 I103:I107">
    <cfRule type="containsText" dxfId="652" priority="119" operator="containsText" text="Faible">
      <formula>NOT(ISERROR(SEARCH("Faible",I93)))</formula>
    </cfRule>
    <cfRule type="containsText" dxfId="651" priority="120" operator="containsText" text="Elevée">
      <formula>NOT(ISERROR(SEARCH("Elevée",I93)))</formula>
    </cfRule>
    <cfRule type="containsText" dxfId="650" priority="121" operator="containsText" text="Moyenne">
      <formula>NOT(ISERROR(SEARCH("Moyenne",I93)))</formula>
    </cfRule>
  </conditionalFormatting>
  <conditionalFormatting sqref="I97">
    <cfRule type="containsText" dxfId="649" priority="116" operator="containsText" text="Faible">
      <formula>NOT(ISERROR(SEARCH("Faible",I97)))</formula>
    </cfRule>
    <cfRule type="containsText" dxfId="648" priority="117" operator="containsText" text="Elevée">
      <formula>NOT(ISERROR(SEARCH("Elevée",I97)))</formula>
    </cfRule>
    <cfRule type="containsText" dxfId="647" priority="118" operator="containsText" text="Moyenne">
      <formula>NOT(ISERROR(SEARCH("Moyenne",I97)))</formula>
    </cfRule>
  </conditionalFormatting>
  <conditionalFormatting sqref="I113:I117">
    <cfRule type="containsText" dxfId="646" priority="107" operator="containsText" text="Faible">
      <formula>NOT(ISERROR(SEARCH("Faible",I113)))</formula>
    </cfRule>
    <cfRule type="containsText" dxfId="645" priority="108" operator="containsText" text="Elevée">
      <formula>NOT(ISERROR(SEARCH("Elevée",I113)))</formula>
    </cfRule>
    <cfRule type="containsText" dxfId="644" priority="109" operator="containsText" text="Moyenne">
      <formula>NOT(ISERROR(SEARCH("Moyenne",I113)))</formula>
    </cfRule>
  </conditionalFormatting>
  <conditionalFormatting sqref="I98:I101">
    <cfRule type="containsText" dxfId="643" priority="113" operator="containsText" text="Faible">
      <formula>NOT(ISERROR(SEARCH("Faible",I98)))</formula>
    </cfRule>
    <cfRule type="containsText" dxfId="642" priority="114" operator="containsText" text="Elevée">
      <formula>NOT(ISERROR(SEARCH("Elevée",I98)))</formula>
    </cfRule>
    <cfRule type="containsText" dxfId="641" priority="115" operator="containsText" text="Moyenne">
      <formula>NOT(ISERROR(SEARCH("Moyenne",I98)))</formula>
    </cfRule>
  </conditionalFormatting>
  <conditionalFormatting sqref="I102">
    <cfRule type="containsText" dxfId="640" priority="110" operator="containsText" text="Faible">
      <formula>NOT(ISERROR(SEARCH("Faible",I102)))</formula>
    </cfRule>
    <cfRule type="containsText" dxfId="639" priority="111" operator="containsText" text="Elevée">
      <formula>NOT(ISERROR(SEARCH("Elevée",I102)))</formula>
    </cfRule>
    <cfRule type="containsText" dxfId="638" priority="112" operator="containsText" text="Moyenne">
      <formula>NOT(ISERROR(SEARCH("Moyenne",I102)))</formula>
    </cfRule>
  </conditionalFormatting>
  <conditionalFormatting sqref="I133:I142">
    <cfRule type="containsText" dxfId="637" priority="101" operator="containsText" text="Faible">
      <formula>NOT(ISERROR(SEARCH("Faible",I133)))</formula>
    </cfRule>
    <cfRule type="containsText" dxfId="636" priority="102" operator="containsText" text="Elevée">
      <formula>NOT(ISERROR(SEARCH("Elevée",I133)))</formula>
    </cfRule>
    <cfRule type="containsText" dxfId="635" priority="103" operator="containsText" text="Moyenne">
      <formula>NOT(ISERROR(SEARCH("Moyenne",I133)))</formula>
    </cfRule>
  </conditionalFormatting>
  <conditionalFormatting sqref="I128:I132">
    <cfRule type="containsText" dxfId="634" priority="98" operator="containsText" text="Faible">
      <formula>NOT(ISERROR(SEARCH("Faible",I128)))</formula>
    </cfRule>
    <cfRule type="containsText" dxfId="633" priority="99" operator="containsText" text="Elevée">
      <formula>NOT(ISERROR(SEARCH("Elevée",I128)))</formula>
    </cfRule>
    <cfRule type="containsText" dxfId="632" priority="100" operator="containsText" text="Moyenne">
      <formula>NOT(ISERROR(SEARCH("Moyenne",I128)))</formula>
    </cfRule>
  </conditionalFormatting>
  <conditionalFormatting sqref="I108:I112">
    <cfRule type="containsText" dxfId="631" priority="104" operator="containsText" text="Faible">
      <formula>NOT(ISERROR(SEARCH("Faible",I108)))</formula>
    </cfRule>
    <cfRule type="containsText" dxfId="630" priority="105" operator="containsText" text="Elevée">
      <formula>NOT(ISERROR(SEARCH("Elevée",I108)))</formula>
    </cfRule>
    <cfRule type="containsText" dxfId="629" priority="106" operator="containsText" text="Moyenne">
      <formula>NOT(ISERROR(SEARCH("Moyenne",I108)))</formula>
    </cfRule>
  </conditionalFormatting>
  <conditionalFormatting sqref="I118:I122">
    <cfRule type="containsText" dxfId="628" priority="92" operator="containsText" text="Faible">
      <formula>NOT(ISERROR(SEARCH("Faible",I118)))</formula>
    </cfRule>
    <cfRule type="containsText" dxfId="627" priority="93" operator="containsText" text="Elevée">
      <formula>NOT(ISERROR(SEARCH("Elevée",I118)))</formula>
    </cfRule>
    <cfRule type="containsText" dxfId="626" priority="94" operator="containsText" text="Moyenne">
      <formula>NOT(ISERROR(SEARCH("Moyenne",I118)))</formula>
    </cfRule>
  </conditionalFormatting>
  <conditionalFormatting sqref="I123:I127">
    <cfRule type="containsText" dxfId="625" priority="95" operator="containsText" text="Faible">
      <formula>NOT(ISERROR(SEARCH("Faible",I123)))</formula>
    </cfRule>
    <cfRule type="containsText" dxfId="624" priority="96" operator="containsText" text="Elevée">
      <formula>NOT(ISERROR(SEARCH("Elevée",I123)))</formula>
    </cfRule>
    <cfRule type="containsText" dxfId="623" priority="97" operator="containsText" text="Moyenne">
      <formula>NOT(ISERROR(SEARCH("Moyenne",I123)))</formula>
    </cfRule>
  </conditionalFormatting>
  <conditionalFormatting sqref="I88:I91">
    <cfRule type="containsText" dxfId="622" priority="89" operator="containsText" text="Faible">
      <formula>NOT(ISERROR(SEARCH("Faible",I88)))</formula>
    </cfRule>
    <cfRule type="containsText" dxfId="621" priority="90" operator="containsText" text="Elevée">
      <formula>NOT(ISERROR(SEARCH("Elevée",I88)))</formula>
    </cfRule>
    <cfRule type="containsText" dxfId="620" priority="91" operator="containsText" text="Moyenne">
      <formula>NOT(ISERROR(SEARCH("Moyenne",I88)))</formula>
    </cfRule>
  </conditionalFormatting>
  <conditionalFormatting sqref="I92">
    <cfRule type="containsText" dxfId="619" priority="86" operator="containsText" text="Faible">
      <formula>NOT(ISERROR(SEARCH("Faible",I92)))</formula>
    </cfRule>
    <cfRule type="containsText" dxfId="618" priority="87" operator="containsText" text="Elevée">
      <formula>NOT(ISERROR(SEARCH("Elevée",I92)))</formula>
    </cfRule>
    <cfRule type="containsText" dxfId="617" priority="88" operator="containsText" text="Moyenne">
      <formula>NOT(ISERROR(SEARCH("Moyenne",I92)))</formula>
    </cfRule>
  </conditionalFormatting>
  <conditionalFormatting sqref="I83:I86">
    <cfRule type="containsText" dxfId="616" priority="83" operator="containsText" text="Faible">
      <formula>NOT(ISERROR(SEARCH("Faible",I83)))</formula>
    </cfRule>
    <cfRule type="containsText" dxfId="615" priority="84" operator="containsText" text="Elevée">
      <formula>NOT(ISERROR(SEARCH("Elevée",I83)))</formula>
    </cfRule>
    <cfRule type="containsText" dxfId="614" priority="85" operator="containsText" text="Moyenne">
      <formula>NOT(ISERROR(SEARCH("Moyenne",I83)))</formula>
    </cfRule>
  </conditionalFormatting>
  <conditionalFormatting sqref="I87">
    <cfRule type="containsText" dxfId="613" priority="80" operator="containsText" text="Faible">
      <formula>NOT(ISERROR(SEARCH("Faible",I87)))</formula>
    </cfRule>
    <cfRule type="containsText" dxfId="612" priority="81" operator="containsText" text="Elevée">
      <formula>NOT(ISERROR(SEARCH("Elevée",I87)))</formula>
    </cfRule>
    <cfRule type="containsText" dxfId="611" priority="82" operator="containsText" text="Moyenne">
      <formula>NOT(ISERROR(SEARCH("Moyenne",I87)))</formula>
    </cfRule>
  </conditionalFormatting>
  <conditionalFormatting sqref="I48:I51">
    <cfRule type="containsText" dxfId="610" priority="77" operator="containsText" text="Faible">
      <formula>NOT(ISERROR(SEARCH("Faible",I48)))</formula>
    </cfRule>
    <cfRule type="containsText" dxfId="609" priority="78" operator="containsText" text="Elevée">
      <formula>NOT(ISERROR(SEARCH("Elevée",I48)))</formula>
    </cfRule>
    <cfRule type="containsText" dxfId="608" priority="79" operator="containsText" text="Moyenne">
      <formula>NOT(ISERROR(SEARCH("Moyenne",I48)))</formula>
    </cfRule>
  </conditionalFormatting>
  <conditionalFormatting sqref="I68:I69 I71">
    <cfRule type="containsText" dxfId="607" priority="74" operator="containsText" text="Faible">
      <formula>NOT(ISERROR(SEARCH("Faible",I68)))</formula>
    </cfRule>
    <cfRule type="containsText" dxfId="606" priority="75" operator="containsText" text="Elevée">
      <formula>NOT(ISERROR(SEARCH("Elevée",I68)))</formula>
    </cfRule>
    <cfRule type="containsText" dxfId="605" priority="76" operator="containsText" text="Moyenne">
      <formula>NOT(ISERROR(SEARCH("Moyenne",I68)))</formula>
    </cfRule>
  </conditionalFormatting>
  <conditionalFormatting sqref="I72">
    <cfRule type="containsText" dxfId="604" priority="71" operator="containsText" text="Faible">
      <formula>NOT(ISERROR(SEARCH("Faible",I72)))</formula>
    </cfRule>
    <cfRule type="containsText" dxfId="603" priority="72" operator="containsText" text="Elevée">
      <formula>NOT(ISERROR(SEARCH("Elevée",I72)))</formula>
    </cfRule>
    <cfRule type="containsText" dxfId="602" priority="73" operator="containsText" text="Moyenne">
      <formula>NOT(ISERROR(SEARCH("Moyenne",I72)))</formula>
    </cfRule>
  </conditionalFormatting>
  <conditionalFormatting sqref="I64">
    <cfRule type="containsText" dxfId="601" priority="68" operator="containsText" text="Faible">
      <formula>NOT(ISERROR(SEARCH("Faible",I64)))</formula>
    </cfRule>
    <cfRule type="containsText" dxfId="600" priority="69" operator="containsText" text="Elevée">
      <formula>NOT(ISERROR(SEARCH("Elevée",I64)))</formula>
    </cfRule>
    <cfRule type="containsText" dxfId="599" priority="70" operator="containsText" text="Moyenne">
      <formula>NOT(ISERROR(SEARCH("Moyenne",I64)))</formula>
    </cfRule>
  </conditionalFormatting>
  <conditionalFormatting sqref="I67">
    <cfRule type="containsText" dxfId="598" priority="65" operator="containsText" text="Faible">
      <formula>NOT(ISERROR(SEARCH("Faible",I67)))</formula>
    </cfRule>
    <cfRule type="containsText" dxfId="597" priority="66" operator="containsText" text="Elevée">
      <formula>NOT(ISERROR(SEARCH("Elevée",I67)))</formula>
    </cfRule>
    <cfRule type="containsText" dxfId="596" priority="67" operator="containsText" text="Moyenne">
      <formula>NOT(ISERROR(SEARCH("Moyenne",I67)))</formula>
    </cfRule>
  </conditionalFormatting>
  <conditionalFormatting sqref="I60">
    <cfRule type="containsText" dxfId="595" priority="62" operator="containsText" text="Faible">
      <formula>NOT(ISERROR(SEARCH("Faible",I60)))</formula>
    </cfRule>
    <cfRule type="containsText" dxfId="594" priority="63" operator="containsText" text="Elevée">
      <formula>NOT(ISERROR(SEARCH("Elevée",I60)))</formula>
    </cfRule>
    <cfRule type="containsText" dxfId="593" priority="64" operator="containsText" text="Moyenne">
      <formula>NOT(ISERROR(SEARCH("Moyenne",I60)))</formula>
    </cfRule>
  </conditionalFormatting>
  <conditionalFormatting sqref="I53:I55">
    <cfRule type="containsText" dxfId="592" priority="59" operator="containsText" text="Faible">
      <formula>NOT(ISERROR(SEARCH("Faible",I53)))</formula>
    </cfRule>
    <cfRule type="containsText" dxfId="591" priority="60" operator="containsText" text="Elevée">
      <formula>NOT(ISERROR(SEARCH("Elevée",I53)))</formula>
    </cfRule>
    <cfRule type="containsText" dxfId="590" priority="61" operator="containsText" text="Moyenne">
      <formula>NOT(ISERROR(SEARCH("Moyenne",I53)))</formula>
    </cfRule>
  </conditionalFormatting>
  <conditionalFormatting sqref="I57">
    <cfRule type="containsText" dxfId="589" priority="56" operator="containsText" text="Faible">
      <formula>NOT(ISERROR(SEARCH("Faible",I57)))</formula>
    </cfRule>
    <cfRule type="containsText" dxfId="588" priority="57" operator="containsText" text="Elevée">
      <formula>NOT(ISERROR(SEARCH("Elevée",I57)))</formula>
    </cfRule>
    <cfRule type="containsText" dxfId="587" priority="58" operator="containsText" text="Moyenne">
      <formula>NOT(ISERROR(SEARCH("Moyenne",I57)))</formula>
    </cfRule>
  </conditionalFormatting>
  <conditionalFormatting sqref="I78:I81">
    <cfRule type="containsText" dxfId="586" priority="53" operator="containsText" text="Faible">
      <formula>NOT(ISERROR(SEARCH("Faible",I78)))</formula>
    </cfRule>
    <cfRule type="containsText" dxfId="585" priority="54" operator="containsText" text="Elevée">
      <formula>NOT(ISERROR(SEARCH("Elevée",I78)))</formula>
    </cfRule>
    <cfRule type="containsText" dxfId="584" priority="55" operator="containsText" text="Moyenne">
      <formula>NOT(ISERROR(SEARCH("Moyenne",I78)))</formula>
    </cfRule>
  </conditionalFormatting>
  <conditionalFormatting sqref="I82">
    <cfRule type="containsText" dxfId="583" priority="50" operator="containsText" text="Faible">
      <formula>NOT(ISERROR(SEARCH("Faible",I82)))</formula>
    </cfRule>
    <cfRule type="containsText" dxfId="582" priority="51" operator="containsText" text="Elevée">
      <formula>NOT(ISERROR(SEARCH("Elevée",I82)))</formula>
    </cfRule>
    <cfRule type="containsText" dxfId="581" priority="52" operator="containsText" text="Moyenne">
      <formula>NOT(ISERROR(SEARCH("Moyenne",I82)))</formula>
    </cfRule>
  </conditionalFormatting>
  <conditionalFormatting sqref="I73:I76">
    <cfRule type="containsText" dxfId="580" priority="47" operator="containsText" text="Faible">
      <formula>NOT(ISERROR(SEARCH("Faible",I73)))</formula>
    </cfRule>
    <cfRule type="containsText" dxfId="579" priority="48" operator="containsText" text="Elevée">
      <formula>NOT(ISERROR(SEARCH("Elevée",I73)))</formula>
    </cfRule>
    <cfRule type="containsText" dxfId="578" priority="49" operator="containsText" text="Moyenne">
      <formula>NOT(ISERROR(SEARCH("Moyenne",I73)))</formula>
    </cfRule>
  </conditionalFormatting>
  <conditionalFormatting sqref="I77">
    <cfRule type="containsText" dxfId="577" priority="44" operator="containsText" text="Faible">
      <formula>NOT(ISERROR(SEARCH("Faible",I77)))</formula>
    </cfRule>
    <cfRule type="containsText" dxfId="576" priority="45" operator="containsText" text="Elevée">
      <formula>NOT(ISERROR(SEARCH("Elevée",I77)))</formula>
    </cfRule>
    <cfRule type="containsText" dxfId="575" priority="46" operator="containsText" text="Moyenne">
      <formula>NOT(ISERROR(SEARCH("Moyenne",I77)))</formula>
    </cfRule>
  </conditionalFormatting>
  <conditionalFormatting sqref="I52">
    <cfRule type="containsText" dxfId="574" priority="41" operator="containsText" text="Faible">
      <formula>NOT(ISERROR(SEARCH("Faible",I52)))</formula>
    </cfRule>
    <cfRule type="containsText" dxfId="573" priority="42" operator="containsText" text="Elevée">
      <formula>NOT(ISERROR(SEARCH("Elevée",I52)))</formula>
    </cfRule>
    <cfRule type="containsText" dxfId="572" priority="43" operator="containsText" text="Moyenne">
      <formula>NOT(ISERROR(SEARCH("Moyenne",I52)))</formula>
    </cfRule>
  </conditionalFormatting>
  <conditionalFormatting sqref="I56">
    <cfRule type="containsText" dxfId="571" priority="38" operator="containsText" text="Faible">
      <formula>NOT(ISERROR(SEARCH("Faible",I56)))</formula>
    </cfRule>
    <cfRule type="containsText" dxfId="570" priority="39" operator="containsText" text="Elevée">
      <formula>NOT(ISERROR(SEARCH("Elevée",I56)))</formula>
    </cfRule>
    <cfRule type="containsText" dxfId="569" priority="40" operator="containsText" text="Moyenne">
      <formula>NOT(ISERROR(SEARCH("Moyenne",I56)))</formula>
    </cfRule>
  </conditionalFormatting>
  <conditionalFormatting sqref="I58">
    <cfRule type="containsText" dxfId="568" priority="35" operator="containsText" text="Faible">
      <formula>NOT(ISERROR(SEARCH("Faible",I58)))</formula>
    </cfRule>
    <cfRule type="containsText" dxfId="567" priority="36" operator="containsText" text="Elevée">
      <formula>NOT(ISERROR(SEARCH("Elevée",I58)))</formula>
    </cfRule>
    <cfRule type="containsText" dxfId="566" priority="37" operator="containsText" text="Moyenne">
      <formula>NOT(ISERROR(SEARCH("Moyenne",I58)))</formula>
    </cfRule>
  </conditionalFormatting>
  <conditionalFormatting sqref="I59">
    <cfRule type="containsText" dxfId="565" priority="32" operator="containsText" text="Faible">
      <formula>NOT(ISERROR(SEARCH("Faible",I59)))</formula>
    </cfRule>
    <cfRule type="containsText" dxfId="564" priority="33" operator="containsText" text="Elevée">
      <formula>NOT(ISERROR(SEARCH("Elevée",I59)))</formula>
    </cfRule>
    <cfRule type="containsText" dxfId="563" priority="34" operator="containsText" text="Moyenne">
      <formula>NOT(ISERROR(SEARCH("Moyenne",I59)))</formula>
    </cfRule>
  </conditionalFormatting>
  <conditionalFormatting sqref="I61">
    <cfRule type="containsText" dxfId="562" priority="29" operator="containsText" text="Faible">
      <formula>NOT(ISERROR(SEARCH("Faible",I61)))</formula>
    </cfRule>
    <cfRule type="containsText" dxfId="561" priority="30" operator="containsText" text="Elevée">
      <formula>NOT(ISERROR(SEARCH("Elevée",I61)))</formula>
    </cfRule>
    <cfRule type="containsText" dxfId="560" priority="31" operator="containsText" text="Moyenne">
      <formula>NOT(ISERROR(SEARCH("Moyenne",I61)))</formula>
    </cfRule>
  </conditionalFormatting>
  <conditionalFormatting sqref="I62">
    <cfRule type="containsText" dxfId="559" priority="26" operator="containsText" text="Faible">
      <formula>NOT(ISERROR(SEARCH("Faible",I62)))</formula>
    </cfRule>
    <cfRule type="containsText" dxfId="558" priority="27" operator="containsText" text="Elevée">
      <formula>NOT(ISERROR(SEARCH("Elevée",I62)))</formula>
    </cfRule>
    <cfRule type="containsText" dxfId="557" priority="28" operator="containsText" text="Moyenne">
      <formula>NOT(ISERROR(SEARCH("Moyenne",I62)))</formula>
    </cfRule>
  </conditionalFormatting>
  <conditionalFormatting sqref="I63">
    <cfRule type="containsText" dxfId="556" priority="23" operator="containsText" text="Faible">
      <formula>NOT(ISERROR(SEARCH("Faible",I63)))</formula>
    </cfRule>
    <cfRule type="containsText" dxfId="555" priority="24" operator="containsText" text="Elevée">
      <formula>NOT(ISERROR(SEARCH("Elevée",I63)))</formula>
    </cfRule>
    <cfRule type="containsText" dxfId="554" priority="25" operator="containsText" text="Moyenne">
      <formula>NOT(ISERROR(SEARCH("Moyenne",I63)))</formula>
    </cfRule>
  </conditionalFormatting>
  <conditionalFormatting sqref="I65">
    <cfRule type="containsText" dxfId="553" priority="20" operator="containsText" text="Faible">
      <formula>NOT(ISERROR(SEARCH("Faible",I65)))</formula>
    </cfRule>
    <cfRule type="containsText" dxfId="552" priority="21" operator="containsText" text="Elevée">
      <formula>NOT(ISERROR(SEARCH("Elevée",I65)))</formula>
    </cfRule>
    <cfRule type="containsText" dxfId="551" priority="22" operator="containsText" text="Moyenne">
      <formula>NOT(ISERROR(SEARCH("Moyenne",I65)))</formula>
    </cfRule>
  </conditionalFormatting>
  <conditionalFormatting sqref="I66">
    <cfRule type="containsText" dxfId="550" priority="17" operator="containsText" text="Faible">
      <formula>NOT(ISERROR(SEARCH("Faible",I66)))</formula>
    </cfRule>
    <cfRule type="containsText" dxfId="549" priority="18" operator="containsText" text="Elevée">
      <formula>NOT(ISERROR(SEARCH("Elevée",I66)))</formula>
    </cfRule>
    <cfRule type="containsText" dxfId="548" priority="19" operator="containsText" text="Moyenne">
      <formula>NOT(ISERROR(SEARCH("Moyenne",I66)))</formula>
    </cfRule>
  </conditionalFormatting>
  <conditionalFormatting sqref="I70">
    <cfRule type="containsText" dxfId="547" priority="14" operator="containsText" text="Faible">
      <formula>NOT(ISERROR(SEARCH("Faible",I70)))</formula>
    </cfRule>
    <cfRule type="containsText" dxfId="546" priority="15" operator="containsText" text="Elevée">
      <formula>NOT(ISERROR(SEARCH("Elevée",I70)))</formula>
    </cfRule>
    <cfRule type="containsText" dxfId="545" priority="16" operator="containsText" text="Moyenne">
      <formula>NOT(ISERROR(SEARCH("Moyenne",I70)))</formula>
    </cfRule>
  </conditionalFormatting>
  <conditionalFormatting sqref="F3:F167">
    <cfRule type="containsText" dxfId="544" priority="10" operator="containsText" text="PAS">
      <formula>NOT(ISERROR(SEARCH("PAS",F3)))</formula>
    </cfRule>
    <cfRule type="containsText" dxfId="543" priority="11" operator="containsText" text="NON">
      <formula>NOT(ISERROR(SEARCH("NON",F3)))</formula>
    </cfRule>
    <cfRule type="containsText" dxfId="542" priority="12" operator="containsText" text="OUI">
      <formula>NOT(ISERROR(SEARCH("OUI",F3)))</formula>
    </cfRule>
    <cfRule type="containsText" dxfId="541" priority="13" operator="containsText" text="OUI">
      <formula>NOT(ISERROR(SEARCH("OUI",F3)))</formula>
    </cfRule>
  </conditionalFormatting>
  <conditionalFormatting sqref="I2:I257">
    <cfRule type="cellIs" dxfId="540" priority="5" operator="equal">
      <formula>$I$220</formula>
    </cfRule>
  </conditionalFormatting>
  <conditionalFormatting sqref="S1 I2:I257">
    <cfRule type="cellIs" dxfId="539" priority="213" operator="equal">
      <formula>#REF!</formula>
    </cfRule>
  </conditionalFormatting>
  <conditionalFormatting sqref="P1 F2:F257">
    <cfRule type="cellIs" dxfId="538" priority="215" operator="equal">
      <formula>#REF!</formula>
    </cfRule>
    <cfRule type="cellIs" dxfId="537" priority="216" operator="equal">
      <formula>#REF!</formula>
    </cfRule>
    <cfRule type="cellIs" dxfId="536" priority="217" operator="equal">
      <formula>#REF!</formula>
    </cfRule>
  </conditionalFormatting>
  <conditionalFormatting sqref="I3:I257">
    <cfRule type="cellIs" dxfId="535" priority="4" operator="equal">
      <formula>$I$224</formula>
    </cfRule>
  </conditionalFormatting>
  <conditionalFormatting sqref="F3:F257">
    <cfRule type="cellIs" dxfId="534" priority="1" operator="equal">
      <formula>$F$234</formula>
    </cfRule>
    <cfRule type="cellIs" dxfId="533" priority="2" operator="equal">
      <formula>$F$231</formula>
    </cfRule>
    <cfRule type="cellIs" dxfId="532" priority="3" operator="equal">
      <formula>$F$223</formula>
    </cfRule>
  </conditionalFormatting>
  <dataValidations count="2">
    <dataValidation type="list" allowBlank="1" showInputMessage="1" showErrorMessage="1" sqref="I3:I257" xr:uid="{FD30B55E-3427-4259-8195-7C0196190F68}">
      <formula1>"Elevée,Moyenne,Faible"</formula1>
    </dataValidation>
    <dataValidation type="list" allowBlank="1" showInputMessage="1" showErrorMessage="1" sqref="F3:F257" xr:uid="{03E8E62C-8669-4F8E-A3CA-EAAA6B936C81}">
      <formula1>"OUI,NON,PAS"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97"/>
  <sheetViews>
    <sheetView topLeftCell="D168" zoomScale="59" zoomScaleNormal="59" workbookViewId="0">
      <selection activeCell="I2" sqref="I2:I197"/>
    </sheetView>
  </sheetViews>
  <sheetFormatPr baseColWidth="10" defaultRowHeight="14.4"/>
  <cols>
    <col min="1" max="1" width="40.44140625" customWidth="1"/>
    <col min="2" max="2" width="69.6640625" customWidth="1"/>
    <col min="3" max="3" width="104" customWidth="1"/>
    <col min="4" max="4" width="115.109375" customWidth="1"/>
    <col min="5" max="5" width="123" customWidth="1"/>
    <col min="6" max="6" width="29.44140625" customWidth="1"/>
    <col min="7" max="8" width="66.44140625" customWidth="1"/>
    <col min="9" max="9" width="35.33203125" customWidth="1"/>
    <col min="10" max="10" width="63.44140625" customWidth="1"/>
    <col min="11" max="11" width="102.77734375" customWidth="1"/>
  </cols>
  <sheetData>
    <row r="1" spans="1:11" s="2" customFormat="1" ht="23.4">
      <c r="A1" s="141" t="s">
        <v>0</v>
      </c>
      <c r="B1" s="142" t="s">
        <v>1</v>
      </c>
      <c r="C1" s="142" t="s">
        <v>2</v>
      </c>
      <c r="D1" s="142" t="s">
        <v>3</v>
      </c>
      <c r="E1" s="142" t="s">
        <v>4</v>
      </c>
      <c r="F1" s="142" t="s">
        <v>5</v>
      </c>
      <c r="G1" s="142" t="s">
        <v>6</v>
      </c>
      <c r="H1" s="142" t="s">
        <v>7</v>
      </c>
      <c r="I1" s="143" t="s">
        <v>8</v>
      </c>
      <c r="J1" s="142" t="s">
        <v>9</v>
      </c>
      <c r="K1" s="144" t="s">
        <v>10</v>
      </c>
    </row>
    <row r="2" spans="1:11" ht="21.45" customHeight="1">
      <c r="A2" s="138" t="s">
        <v>1194</v>
      </c>
      <c r="B2" s="145" t="s">
        <v>73</v>
      </c>
      <c r="C2" s="145" t="s">
        <v>74</v>
      </c>
      <c r="D2" s="146" t="s">
        <v>1563</v>
      </c>
      <c r="E2" s="146" t="s">
        <v>2172</v>
      </c>
      <c r="F2" s="172" t="s">
        <v>204</v>
      </c>
      <c r="G2" s="146" t="s">
        <v>2173</v>
      </c>
      <c r="H2" s="146" t="s">
        <v>2174</v>
      </c>
      <c r="I2" s="172" t="s">
        <v>14</v>
      </c>
      <c r="J2" s="146" t="s">
        <v>2175</v>
      </c>
      <c r="K2" s="146" t="s">
        <v>2176</v>
      </c>
    </row>
    <row r="3" spans="1:11" ht="23.4">
      <c r="A3" s="139"/>
      <c r="B3" s="145"/>
      <c r="C3" s="145"/>
      <c r="D3" s="146" t="s">
        <v>1564</v>
      </c>
      <c r="E3" s="146" t="s">
        <v>2177</v>
      </c>
      <c r="F3" s="172" t="s">
        <v>209</v>
      </c>
      <c r="G3" s="146" t="s">
        <v>2178</v>
      </c>
      <c r="H3" s="146" t="s">
        <v>2179</v>
      </c>
      <c r="I3" s="172" t="s">
        <v>13</v>
      </c>
      <c r="J3" s="146" t="s">
        <v>2180</v>
      </c>
      <c r="K3" s="146" t="s">
        <v>2181</v>
      </c>
    </row>
    <row r="4" spans="1:11" ht="23.4">
      <c r="A4" s="139"/>
      <c r="B4" s="145"/>
      <c r="C4" s="145"/>
      <c r="D4" s="146" t="s">
        <v>1565</v>
      </c>
      <c r="E4" s="146" t="s">
        <v>2182</v>
      </c>
      <c r="F4" s="172" t="s">
        <v>204</v>
      </c>
      <c r="G4" s="146" t="s">
        <v>2183</v>
      </c>
      <c r="H4" s="146" t="s">
        <v>2184</v>
      </c>
      <c r="I4" s="172" t="s">
        <v>14</v>
      </c>
      <c r="J4" s="146" t="s">
        <v>2185</v>
      </c>
      <c r="K4" s="146" t="s">
        <v>2186</v>
      </c>
    </row>
    <row r="5" spans="1:11" ht="23.4">
      <c r="A5" s="139"/>
      <c r="B5" s="145"/>
      <c r="C5" s="145"/>
      <c r="D5" s="146" t="s">
        <v>1566</v>
      </c>
      <c r="E5" s="146" t="s">
        <v>2187</v>
      </c>
      <c r="F5" s="172" t="s">
        <v>242</v>
      </c>
      <c r="G5" s="146" t="s">
        <v>2188</v>
      </c>
      <c r="H5" s="146" t="s">
        <v>2189</v>
      </c>
      <c r="I5" s="172" t="s">
        <v>13</v>
      </c>
      <c r="J5" s="146" t="s">
        <v>2190</v>
      </c>
      <c r="K5" s="146" t="s">
        <v>2191</v>
      </c>
    </row>
    <row r="6" spans="1:11" ht="23.4">
      <c r="A6" s="139"/>
      <c r="B6" s="145"/>
      <c r="C6" s="145"/>
      <c r="D6" s="146" t="s">
        <v>1567</v>
      </c>
      <c r="E6" s="146" t="s">
        <v>2192</v>
      </c>
      <c r="F6" s="172" t="s">
        <v>209</v>
      </c>
      <c r="G6" s="146" t="s">
        <v>2193</v>
      </c>
      <c r="H6" s="146" t="s">
        <v>2194</v>
      </c>
      <c r="I6" s="172" t="s">
        <v>14</v>
      </c>
      <c r="J6" s="146" t="s">
        <v>2195</v>
      </c>
      <c r="K6" s="146" t="s">
        <v>2196</v>
      </c>
    </row>
    <row r="7" spans="1:11" ht="18.45" customHeight="1">
      <c r="A7" s="139"/>
      <c r="B7" s="145"/>
      <c r="C7" s="145" t="s">
        <v>75</v>
      </c>
      <c r="D7" s="146" t="s">
        <v>1568</v>
      </c>
      <c r="E7" s="146" t="s">
        <v>2197</v>
      </c>
      <c r="F7" s="172" t="s">
        <v>204</v>
      </c>
      <c r="G7" s="146" t="s">
        <v>2198</v>
      </c>
      <c r="H7" s="146" t="s">
        <v>2199</v>
      </c>
      <c r="I7" s="172" t="s">
        <v>14</v>
      </c>
      <c r="J7" s="146" t="s">
        <v>2200</v>
      </c>
      <c r="K7" s="146" t="s">
        <v>2201</v>
      </c>
    </row>
    <row r="8" spans="1:11" ht="23.4">
      <c r="A8" s="139"/>
      <c r="B8" s="145"/>
      <c r="C8" s="145"/>
      <c r="D8" s="146" t="s">
        <v>1569</v>
      </c>
      <c r="E8" s="146" t="s">
        <v>2202</v>
      </c>
      <c r="F8" s="172" t="s">
        <v>204</v>
      </c>
      <c r="G8" s="146" t="s">
        <v>2203</v>
      </c>
      <c r="H8" s="146" t="s">
        <v>2204</v>
      </c>
      <c r="I8" s="172" t="s">
        <v>14</v>
      </c>
      <c r="J8" s="146" t="s">
        <v>2205</v>
      </c>
      <c r="K8" s="146" t="s">
        <v>2206</v>
      </c>
    </row>
    <row r="9" spans="1:11" ht="23.4">
      <c r="A9" s="139"/>
      <c r="B9" s="145"/>
      <c r="C9" s="145"/>
      <c r="D9" s="146" t="s">
        <v>1570</v>
      </c>
      <c r="E9" s="146" t="s">
        <v>2207</v>
      </c>
      <c r="F9" s="172" t="s">
        <v>209</v>
      </c>
      <c r="G9" s="146" t="s">
        <v>2208</v>
      </c>
      <c r="H9" s="146" t="s">
        <v>2209</v>
      </c>
      <c r="I9" s="172" t="s">
        <v>13</v>
      </c>
      <c r="J9" s="146" t="s">
        <v>2210</v>
      </c>
      <c r="K9" s="146" t="s">
        <v>2211</v>
      </c>
    </row>
    <row r="10" spans="1:11" ht="23.4">
      <c r="A10" s="139"/>
      <c r="B10" s="145"/>
      <c r="C10" s="145"/>
      <c r="D10" s="146" t="s">
        <v>1571</v>
      </c>
      <c r="E10" s="146" t="s">
        <v>2212</v>
      </c>
      <c r="F10" s="172" t="s">
        <v>209</v>
      </c>
      <c r="G10" s="146" t="s">
        <v>2213</v>
      </c>
      <c r="H10" s="146" t="s">
        <v>2214</v>
      </c>
      <c r="I10" s="172" t="s">
        <v>14</v>
      </c>
      <c r="J10" s="146" t="s">
        <v>2215</v>
      </c>
      <c r="K10" s="146" t="s">
        <v>2216</v>
      </c>
    </row>
    <row r="11" spans="1:11" ht="23.4">
      <c r="A11" s="139"/>
      <c r="B11" s="145"/>
      <c r="C11" s="145"/>
      <c r="D11" s="146" t="s">
        <v>1572</v>
      </c>
      <c r="E11" s="146" t="s">
        <v>2217</v>
      </c>
      <c r="F11" s="172" t="s">
        <v>209</v>
      </c>
      <c r="G11" s="146" t="s">
        <v>2218</v>
      </c>
      <c r="H11" s="146" t="s">
        <v>2219</v>
      </c>
      <c r="I11" s="172" t="s">
        <v>13</v>
      </c>
      <c r="J11" s="146" t="s">
        <v>2220</v>
      </c>
      <c r="K11" s="146" t="s">
        <v>2221</v>
      </c>
    </row>
    <row r="12" spans="1:11" ht="23.4">
      <c r="A12" s="139"/>
      <c r="B12" s="145"/>
      <c r="C12" s="145" t="s">
        <v>76</v>
      </c>
      <c r="D12" s="146" t="s">
        <v>1573</v>
      </c>
      <c r="E12" s="146" t="s">
        <v>2222</v>
      </c>
      <c r="F12" s="172" t="s">
        <v>242</v>
      </c>
      <c r="G12" s="146" t="s">
        <v>2223</v>
      </c>
      <c r="H12" s="146" t="s">
        <v>2224</v>
      </c>
      <c r="I12" s="172" t="s">
        <v>14</v>
      </c>
      <c r="J12" s="146" t="s">
        <v>2225</v>
      </c>
      <c r="K12" s="146" t="s">
        <v>2226</v>
      </c>
    </row>
    <row r="13" spans="1:11" ht="23.4">
      <c r="A13" s="139"/>
      <c r="B13" s="145"/>
      <c r="C13" s="145"/>
      <c r="D13" s="146" t="s">
        <v>1574</v>
      </c>
      <c r="E13" s="146" t="s">
        <v>2227</v>
      </c>
      <c r="F13" s="172" t="s">
        <v>209</v>
      </c>
      <c r="G13" s="146" t="s">
        <v>2228</v>
      </c>
      <c r="H13" s="146" t="s">
        <v>2229</v>
      </c>
      <c r="I13" s="172" t="s">
        <v>13</v>
      </c>
      <c r="J13" s="146" t="s">
        <v>2230</v>
      </c>
      <c r="K13" s="146" t="s">
        <v>2231</v>
      </c>
    </row>
    <row r="14" spans="1:11" ht="23.4">
      <c r="A14" s="139"/>
      <c r="B14" s="145"/>
      <c r="C14" s="145"/>
      <c r="D14" s="146" t="s">
        <v>1575</v>
      </c>
      <c r="E14" s="146" t="s">
        <v>2232</v>
      </c>
      <c r="F14" s="172" t="s">
        <v>209</v>
      </c>
      <c r="G14" s="146" t="s">
        <v>2233</v>
      </c>
      <c r="H14" s="146" t="s">
        <v>2234</v>
      </c>
      <c r="I14" s="172" t="s">
        <v>13</v>
      </c>
      <c r="J14" s="146" t="s">
        <v>2235</v>
      </c>
      <c r="K14" s="146" t="s">
        <v>2236</v>
      </c>
    </row>
    <row r="15" spans="1:11" ht="23.4">
      <c r="A15" s="139"/>
      <c r="B15" s="145"/>
      <c r="C15" s="145"/>
      <c r="D15" s="146" t="s">
        <v>1576</v>
      </c>
      <c r="E15" s="146" t="s">
        <v>2237</v>
      </c>
      <c r="F15" s="172" t="s">
        <v>242</v>
      </c>
      <c r="G15" s="146" t="s">
        <v>2238</v>
      </c>
      <c r="H15" s="146" t="s">
        <v>2239</v>
      </c>
      <c r="I15" s="172" t="s">
        <v>14</v>
      </c>
      <c r="J15" s="146" t="s">
        <v>2240</v>
      </c>
      <c r="K15" s="146" t="s">
        <v>2241</v>
      </c>
    </row>
    <row r="16" spans="1:11" ht="23.4">
      <c r="A16" s="139"/>
      <c r="B16" s="145"/>
      <c r="C16" s="145"/>
      <c r="D16" s="146" t="s">
        <v>1577</v>
      </c>
      <c r="E16" s="146" t="s">
        <v>2242</v>
      </c>
      <c r="F16" s="172" t="s">
        <v>209</v>
      </c>
      <c r="G16" s="146" t="s">
        <v>2243</v>
      </c>
      <c r="H16" s="146" t="s">
        <v>2244</v>
      </c>
      <c r="I16" s="172" t="s">
        <v>14</v>
      </c>
      <c r="J16" s="146" t="s">
        <v>2245</v>
      </c>
      <c r="K16" s="146" t="s">
        <v>2246</v>
      </c>
    </row>
    <row r="17" spans="1:11" ht="23.4">
      <c r="A17" s="139"/>
      <c r="B17" s="145"/>
      <c r="C17" s="145" t="s">
        <v>77</v>
      </c>
      <c r="D17" s="146" t="s">
        <v>1578</v>
      </c>
      <c r="E17" s="146" t="s">
        <v>2247</v>
      </c>
      <c r="F17" s="172" t="s">
        <v>204</v>
      </c>
      <c r="G17" s="146" t="s">
        <v>2248</v>
      </c>
      <c r="H17" s="146" t="s">
        <v>2249</v>
      </c>
      <c r="I17" s="172" t="s">
        <v>14</v>
      </c>
      <c r="J17" s="146" t="s">
        <v>2250</v>
      </c>
      <c r="K17" s="146" t="s">
        <v>2251</v>
      </c>
    </row>
    <row r="18" spans="1:11" ht="23.4">
      <c r="A18" s="139"/>
      <c r="B18" s="145"/>
      <c r="C18" s="145"/>
      <c r="D18" s="146" t="s">
        <v>1579</v>
      </c>
      <c r="E18" s="146" t="s">
        <v>2252</v>
      </c>
      <c r="F18" s="172" t="s">
        <v>209</v>
      </c>
      <c r="G18" s="146" t="s">
        <v>2253</v>
      </c>
      <c r="H18" s="146" t="s">
        <v>2254</v>
      </c>
      <c r="I18" s="172" t="s">
        <v>14</v>
      </c>
      <c r="J18" s="146" t="s">
        <v>2255</v>
      </c>
      <c r="K18" s="146" t="s">
        <v>2256</v>
      </c>
    </row>
    <row r="19" spans="1:11" ht="23.4">
      <c r="A19" s="139"/>
      <c r="B19" s="145"/>
      <c r="C19" s="145"/>
      <c r="D19" s="146" t="s">
        <v>1580</v>
      </c>
      <c r="E19" s="146" t="s">
        <v>2257</v>
      </c>
      <c r="F19" s="172" t="s">
        <v>242</v>
      </c>
      <c r="G19" s="146" t="s">
        <v>2258</v>
      </c>
      <c r="H19" s="146" t="s">
        <v>2259</v>
      </c>
      <c r="I19" s="172" t="s">
        <v>14</v>
      </c>
      <c r="J19" s="146" t="s">
        <v>2260</v>
      </c>
      <c r="K19" s="146" t="s">
        <v>2261</v>
      </c>
    </row>
    <row r="20" spans="1:11" ht="23.4">
      <c r="A20" s="139"/>
      <c r="B20" s="145"/>
      <c r="C20" s="145"/>
      <c r="D20" s="146" t="s">
        <v>1581</v>
      </c>
      <c r="E20" s="146" t="s">
        <v>2262</v>
      </c>
      <c r="F20" s="172" t="s">
        <v>209</v>
      </c>
      <c r="G20" s="146" t="s">
        <v>2263</v>
      </c>
      <c r="H20" s="146" t="s">
        <v>2264</v>
      </c>
      <c r="I20" s="172" t="s">
        <v>19</v>
      </c>
      <c r="J20" s="146" t="s">
        <v>2265</v>
      </c>
      <c r="K20" s="146" t="s">
        <v>2266</v>
      </c>
    </row>
    <row r="21" spans="1:11" ht="23.4">
      <c r="A21" s="139"/>
      <c r="B21" s="145"/>
      <c r="C21" s="145"/>
      <c r="D21" s="146" t="s">
        <v>1582</v>
      </c>
      <c r="E21" s="146" t="s">
        <v>2267</v>
      </c>
      <c r="F21" s="172" t="s">
        <v>209</v>
      </c>
      <c r="G21" s="146" t="s">
        <v>2268</v>
      </c>
      <c r="H21" s="146" t="s">
        <v>2269</v>
      </c>
      <c r="I21" s="172" t="s">
        <v>14</v>
      </c>
      <c r="J21" s="146" t="s">
        <v>2270</v>
      </c>
      <c r="K21" s="146" t="s">
        <v>2271</v>
      </c>
    </row>
    <row r="22" spans="1:11" ht="23.4">
      <c r="A22" s="139"/>
      <c r="B22" s="145"/>
      <c r="C22" s="145" t="s">
        <v>78</v>
      </c>
      <c r="D22" s="146" t="s">
        <v>1583</v>
      </c>
      <c r="E22" s="146" t="s">
        <v>2272</v>
      </c>
      <c r="F22" s="172" t="s">
        <v>204</v>
      </c>
      <c r="G22" s="146" t="s">
        <v>2273</v>
      </c>
      <c r="H22" s="146" t="s">
        <v>2274</v>
      </c>
      <c r="I22" s="172" t="s">
        <v>14</v>
      </c>
      <c r="J22" s="146" t="s">
        <v>2275</v>
      </c>
      <c r="K22" s="146" t="s">
        <v>2276</v>
      </c>
    </row>
    <row r="23" spans="1:11" ht="23.4">
      <c r="A23" s="139"/>
      <c r="B23" s="145"/>
      <c r="C23" s="145"/>
      <c r="D23" s="146" t="s">
        <v>1584</v>
      </c>
      <c r="E23" s="146" t="s">
        <v>2277</v>
      </c>
      <c r="F23" s="172" t="s">
        <v>209</v>
      </c>
      <c r="G23" s="146" t="s">
        <v>2278</v>
      </c>
      <c r="H23" s="146" t="s">
        <v>2279</v>
      </c>
      <c r="I23" s="172" t="s">
        <v>13</v>
      </c>
      <c r="J23" s="146" t="s">
        <v>2280</v>
      </c>
      <c r="K23" s="146" t="s">
        <v>2281</v>
      </c>
    </row>
    <row r="24" spans="1:11" ht="23.4">
      <c r="A24" s="139"/>
      <c r="B24" s="145"/>
      <c r="C24" s="145"/>
      <c r="D24" s="146" t="s">
        <v>1585</v>
      </c>
      <c r="E24" s="146" t="s">
        <v>2282</v>
      </c>
      <c r="F24" s="172" t="s">
        <v>242</v>
      </c>
      <c r="G24" s="146" t="s">
        <v>2283</v>
      </c>
      <c r="H24" s="146" t="s">
        <v>2284</v>
      </c>
      <c r="I24" s="172" t="s">
        <v>14</v>
      </c>
      <c r="J24" s="146" t="s">
        <v>2285</v>
      </c>
      <c r="K24" s="146" t="s">
        <v>2286</v>
      </c>
    </row>
    <row r="25" spans="1:11" ht="23.4">
      <c r="A25" s="139"/>
      <c r="B25" s="145"/>
      <c r="C25" s="145"/>
      <c r="D25" s="146" t="s">
        <v>1586</v>
      </c>
      <c r="E25" s="146" t="s">
        <v>2287</v>
      </c>
      <c r="F25" s="172" t="s">
        <v>209</v>
      </c>
      <c r="G25" s="146" t="s">
        <v>2288</v>
      </c>
      <c r="H25" s="146" t="s">
        <v>2289</v>
      </c>
      <c r="I25" s="172" t="s">
        <v>13</v>
      </c>
      <c r="J25" s="146" t="s">
        <v>2290</v>
      </c>
      <c r="K25" s="146" t="s">
        <v>2291</v>
      </c>
    </row>
    <row r="26" spans="1:11" ht="23.4">
      <c r="A26" s="139"/>
      <c r="B26" s="145"/>
      <c r="C26" s="145"/>
      <c r="D26" s="146" t="s">
        <v>1587</v>
      </c>
      <c r="E26" s="146" t="s">
        <v>2292</v>
      </c>
      <c r="F26" s="172" t="s">
        <v>209</v>
      </c>
      <c r="G26" s="146" t="s">
        <v>2293</v>
      </c>
      <c r="H26" s="146" t="s">
        <v>2294</v>
      </c>
      <c r="I26" s="172" t="s">
        <v>13</v>
      </c>
      <c r="J26" s="146" t="s">
        <v>2295</v>
      </c>
      <c r="K26" s="146" t="s">
        <v>2296</v>
      </c>
    </row>
    <row r="27" spans="1:11" ht="23.4">
      <c r="A27" s="139"/>
      <c r="B27" s="153" t="s">
        <v>79</v>
      </c>
      <c r="C27" s="153" t="s">
        <v>80</v>
      </c>
      <c r="D27" s="154" t="s">
        <v>1961</v>
      </c>
      <c r="E27" s="154" t="s">
        <v>2297</v>
      </c>
      <c r="F27" s="173" t="s">
        <v>209</v>
      </c>
      <c r="G27" s="154" t="s">
        <v>2298</v>
      </c>
      <c r="H27" s="154" t="s">
        <v>2299</v>
      </c>
      <c r="I27" s="173" t="s">
        <v>13</v>
      </c>
      <c r="J27" s="154" t="s">
        <v>2300</v>
      </c>
      <c r="K27" s="154" t="s">
        <v>2301</v>
      </c>
    </row>
    <row r="28" spans="1:11" ht="23.4">
      <c r="A28" s="139"/>
      <c r="B28" s="153"/>
      <c r="C28" s="153"/>
      <c r="D28" s="154" t="s">
        <v>1962</v>
      </c>
      <c r="E28" s="154" t="s">
        <v>2302</v>
      </c>
      <c r="F28" s="173" t="s">
        <v>242</v>
      </c>
      <c r="G28" s="154" t="s">
        <v>2303</v>
      </c>
      <c r="H28" s="154" t="s">
        <v>2304</v>
      </c>
      <c r="I28" s="173" t="s">
        <v>14</v>
      </c>
      <c r="J28" s="154" t="s">
        <v>2305</v>
      </c>
      <c r="K28" s="154" t="s">
        <v>2306</v>
      </c>
    </row>
    <row r="29" spans="1:11" ht="23.4">
      <c r="A29" s="139"/>
      <c r="B29" s="153"/>
      <c r="C29" s="153"/>
      <c r="D29" s="154" t="s">
        <v>1963</v>
      </c>
      <c r="E29" s="154" t="s">
        <v>2307</v>
      </c>
      <c r="F29" s="173" t="s">
        <v>209</v>
      </c>
      <c r="G29" s="154" t="s">
        <v>2308</v>
      </c>
      <c r="H29" s="154" t="s">
        <v>2309</v>
      </c>
      <c r="I29" s="173" t="s">
        <v>13</v>
      </c>
      <c r="J29" s="154" t="s">
        <v>2310</v>
      </c>
      <c r="K29" s="154" t="s">
        <v>2311</v>
      </c>
    </row>
    <row r="30" spans="1:11" ht="23.4">
      <c r="A30" s="139"/>
      <c r="B30" s="153"/>
      <c r="C30" s="153"/>
      <c r="D30" s="154" t="s">
        <v>1964</v>
      </c>
      <c r="E30" s="154" t="s">
        <v>2312</v>
      </c>
      <c r="F30" s="173" t="s">
        <v>209</v>
      </c>
      <c r="G30" s="154" t="s">
        <v>2313</v>
      </c>
      <c r="H30" s="154" t="s">
        <v>2314</v>
      </c>
      <c r="I30" s="173" t="s">
        <v>14</v>
      </c>
      <c r="J30" s="154" t="s">
        <v>2315</v>
      </c>
      <c r="K30" s="154" t="s">
        <v>2316</v>
      </c>
    </row>
    <row r="31" spans="1:11" ht="23.4">
      <c r="A31" s="139"/>
      <c r="B31" s="153"/>
      <c r="C31" s="153"/>
      <c r="D31" s="154" t="s">
        <v>1965</v>
      </c>
      <c r="E31" s="154" t="s">
        <v>2317</v>
      </c>
      <c r="F31" s="173" t="s">
        <v>209</v>
      </c>
      <c r="G31" s="154" t="s">
        <v>2318</v>
      </c>
      <c r="H31" s="154" t="s">
        <v>2319</v>
      </c>
      <c r="I31" s="173" t="s">
        <v>14</v>
      </c>
      <c r="J31" s="154" t="s">
        <v>2320</v>
      </c>
      <c r="K31" s="154" t="s">
        <v>2321</v>
      </c>
    </row>
    <row r="32" spans="1:11" ht="23.4">
      <c r="A32" s="139"/>
      <c r="B32" s="153"/>
      <c r="C32" s="153" t="s">
        <v>81</v>
      </c>
      <c r="D32" s="154" t="s">
        <v>1966</v>
      </c>
      <c r="E32" s="154" t="s">
        <v>2326</v>
      </c>
      <c r="F32" s="173" t="s">
        <v>209</v>
      </c>
      <c r="G32" s="154" t="s">
        <v>2327</v>
      </c>
      <c r="H32" s="154" t="s">
        <v>2328</v>
      </c>
      <c r="I32" s="173" t="s">
        <v>13</v>
      </c>
      <c r="J32" s="154" t="s">
        <v>2329</v>
      </c>
      <c r="K32" s="154" t="s">
        <v>2330</v>
      </c>
    </row>
    <row r="33" spans="1:11" ht="23.4">
      <c r="A33" s="139"/>
      <c r="B33" s="153"/>
      <c r="C33" s="153"/>
      <c r="D33" s="154" t="s">
        <v>1967</v>
      </c>
      <c r="E33" s="154" t="s">
        <v>2322</v>
      </c>
      <c r="F33" s="173" t="s">
        <v>209</v>
      </c>
      <c r="G33" s="154" t="s">
        <v>2331</v>
      </c>
      <c r="H33" s="154" t="s">
        <v>2332</v>
      </c>
      <c r="I33" s="173" t="s">
        <v>14</v>
      </c>
      <c r="J33" s="154" t="s">
        <v>2333</v>
      </c>
      <c r="K33" s="154" t="s">
        <v>2334</v>
      </c>
    </row>
    <row r="34" spans="1:11" ht="23.4">
      <c r="A34" s="139"/>
      <c r="B34" s="153"/>
      <c r="C34" s="153"/>
      <c r="D34" s="154" t="s">
        <v>1968</v>
      </c>
      <c r="E34" s="154" t="s">
        <v>2335</v>
      </c>
      <c r="F34" s="173" t="s">
        <v>242</v>
      </c>
      <c r="G34" s="154" t="s">
        <v>2336</v>
      </c>
      <c r="H34" s="154" t="s">
        <v>2337</v>
      </c>
      <c r="I34" s="173" t="s">
        <v>14</v>
      </c>
      <c r="J34" s="154" t="s">
        <v>2338</v>
      </c>
      <c r="K34" s="154" t="s">
        <v>2339</v>
      </c>
    </row>
    <row r="35" spans="1:11" ht="23.4">
      <c r="A35" s="139"/>
      <c r="B35" s="153"/>
      <c r="C35" s="153"/>
      <c r="D35" s="154" t="s">
        <v>1969</v>
      </c>
      <c r="E35" s="154" t="s">
        <v>2340</v>
      </c>
      <c r="F35" s="173" t="s">
        <v>209</v>
      </c>
      <c r="G35" s="154" t="s">
        <v>2341</v>
      </c>
      <c r="H35" s="154" t="s">
        <v>2323</v>
      </c>
      <c r="I35" s="173" t="s">
        <v>13</v>
      </c>
      <c r="J35" s="154" t="s">
        <v>2342</v>
      </c>
      <c r="K35" s="154" t="s">
        <v>2343</v>
      </c>
    </row>
    <row r="36" spans="1:11" ht="23.4">
      <c r="A36" s="139"/>
      <c r="B36" s="153"/>
      <c r="C36" s="153"/>
      <c r="D36" s="154" t="s">
        <v>1970</v>
      </c>
      <c r="E36" s="154" t="s">
        <v>2344</v>
      </c>
      <c r="F36" s="173" t="s">
        <v>242</v>
      </c>
      <c r="G36" s="154" t="s">
        <v>2345</v>
      </c>
      <c r="H36" s="154" t="s">
        <v>2346</v>
      </c>
      <c r="I36" s="173" t="s">
        <v>13</v>
      </c>
      <c r="J36" s="154" t="s">
        <v>2347</v>
      </c>
      <c r="K36" s="154" t="s">
        <v>2348</v>
      </c>
    </row>
    <row r="37" spans="1:11" ht="23.4">
      <c r="A37" s="139"/>
      <c r="B37" s="153"/>
      <c r="C37" s="153" t="s">
        <v>82</v>
      </c>
      <c r="D37" s="154" t="s">
        <v>1971</v>
      </c>
      <c r="E37" s="154" t="s">
        <v>2324</v>
      </c>
      <c r="F37" s="173" t="s">
        <v>209</v>
      </c>
      <c r="G37" s="154" t="s">
        <v>2349</v>
      </c>
      <c r="H37" s="154" t="s">
        <v>2350</v>
      </c>
      <c r="I37" s="173" t="s">
        <v>13</v>
      </c>
      <c r="J37" s="154" t="s">
        <v>2351</v>
      </c>
      <c r="K37" s="154" t="s">
        <v>2352</v>
      </c>
    </row>
    <row r="38" spans="1:11" ht="23.4">
      <c r="A38" s="139"/>
      <c r="B38" s="153"/>
      <c r="C38" s="153"/>
      <c r="D38" s="154" t="s">
        <v>1972</v>
      </c>
      <c r="E38" s="154" t="s">
        <v>2353</v>
      </c>
      <c r="F38" s="173" t="s">
        <v>209</v>
      </c>
      <c r="G38" s="154" t="s">
        <v>2354</v>
      </c>
      <c r="H38" s="154" t="s">
        <v>2355</v>
      </c>
      <c r="I38" s="173" t="s">
        <v>14</v>
      </c>
      <c r="J38" s="154" t="s">
        <v>2356</v>
      </c>
      <c r="K38" s="154" t="s">
        <v>2357</v>
      </c>
    </row>
    <row r="39" spans="1:11" ht="23.4">
      <c r="A39" s="139"/>
      <c r="B39" s="153"/>
      <c r="C39" s="153"/>
      <c r="D39" s="154" t="s">
        <v>1973</v>
      </c>
      <c r="E39" s="154" t="s">
        <v>2358</v>
      </c>
      <c r="F39" s="173" t="s">
        <v>242</v>
      </c>
      <c r="G39" s="154" t="s">
        <v>2359</v>
      </c>
      <c r="H39" s="154" t="s">
        <v>2360</v>
      </c>
      <c r="I39" s="173" t="s">
        <v>14</v>
      </c>
      <c r="J39" s="154" t="s">
        <v>2361</v>
      </c>
      <c r="K39" s="154" t="s">
        <v>2362</v>
      </c>
    </row>
    <row r="40" spans="1:11" ht="23.4">
      <c r="A40" s="139"/>
      <c r="B40" s="153"/>
      <c r="C40" s="153"/>
      <c r="D40" s="154" t="s">
        <v>1974</v>
      </c>
      <c r="E40" s="154" t="s">
        <v>2363</v>
      </c>
      <c r="F40" s="173" t="s">
        <v>209</v>
      </c>
      <c r="G40" s="154" t="s">
        <v>2364</v>
      </c>
      <c r="H40" s="154" t="s">
        <v>2365</v>
      </c>
      <c r="I40" s="173" t="s">
        <v>19</v>
      </c>
      <c r="J40" s="154" t="s">
        <v>2366</v>
      </c>
      <c r="K40" s="154" t="s">
        <v>2367</v>
      </c>
    </row>
    <row r="41" spans="1:11" ht="23.4">
      <c r="A41" s="139"/>
      <c r="B41" s="153"/>
      <c r="C41" s="153"/>
      <c r="D41" s="154" t="s">
        <v>1975</v>
      </c>
      <c r="E41" s="154" t="s">
        <v>2368</v>
      </c>
      <c r="F41" s="173" t="s">
        <v>209</v>
      </c>
      <c r="G41" s="154" t="s">
        <v>2369</v>
      </c>
      <c r="H41" s="154" t="s">
        <v>2325</v>
      </c>
      <c r="I41" s="173" t="s">
        <v>13</v>
      </c>
      <c r="J41" s="154" t="s">
        <v>2370</v>
      </c>
      <c r="K41" s="154" t="s">
        <v>2371</v>
      </c>
    </row>
    <row r="42" spans="1:11" ht="23.4">
      <c r="A42" s="139"/>
      <c r="B42" s="153"/>
      <c r="C42" s="153" t="s">
        <v>83</v>
      </c>
      <c r="D42" s="154" t="s">
        <v>1976</v>
      </c>
      <c r="E42" s="154" t="s">
        <v>2372</v>
      </c>
      <c r="F42" s="173" t="s">
        <v>209</v>
      </c>
      <c r="G42" s="154" t="s">
        <v>2373</v>
      </c>
      <c r="H42" s="154" t="s">
        <v>2374</v>
      </c>
      <c r="I42" s="173" t="s">
        <v>14</v>
      </c>
      <c r="J42" s="154" t="s">
        <v>2375</v>
      </c>
      <c r="K42" s="154" t="s">
        <v>2376</v>
      </c>
    </row>
    <row r="43" spans="1:11" ht="23.4">
      <c r="A43" s="139"/>
      <c r="B43" s="153"/>
      <c r="C43" s="153"/>
      <c r="D43" s="154" t="s">
        <v>1977</v>
      </c>
      <c r="E43" s="154" t="s">
        <v>2377</v>
      </c>
      <c r="F43" s="173" t="s">
        <v>209</v>
      </c>
      <c r="G43" s="154" t="s">
        <v>2378</v>
      </c>
      <c r="H43" s="154" t="s">
        <v>2379</v>
      </c>
      <c r="I43" s="173" t="s">
        <v>14</v>
      </c>
      <c r="J43" s="154" t="s">
        <v>2380</v>
      </c>
      <c r="K43" s="154" t="s">
        <v>2381</v>
      </c>
    </row>
    <row r="44" spans="1:11" ht="23.4">
      <c r="A44" s="139"/>
      <c r="B44" s="153"/>
      <c r="C44" s="153"/>
      <c r="D44" s="154" t="s">
        <v>1978</v>
      </c>
      <c r="E44" s="154" t="s">
        <v>2382</v>
      </c>
      <c r="F44" s="173" t="s">
        <v>242</v>
      </c>
      <c r="G44" s="154" t="s">
        <v>2383</v>
      </c>
      <c r="H44" s="154" t="s">
        <v>479</v>
      </c>
      <c r="I44" s="173" t="s">
        <v>13</v>
      </c>
      <c r="J44" s="154" t="s">
        <v>2384</v>
      </c>
      <c r="K44" s="154" t="s">
        <v>2385</v>
      </c>
    </row>
    <row r="45" spans="1:11" ht="23.4">
      <c r="A45" s="139"/>
      <c r="B45" s="153"/>
      <c r="C45" s="153"/>
      <c r="D45" s="154" t="s">
        <v>1979</v>
      </c>
      <c r="E45" s="154" t="s">
        <v>2386</v>
      </c>
      <c r="F45" s="173" t="s">
        <v>209</v>
      </c>
      <c r="G45" s="154" t="s">
        <v>2387</v>
      </c>
      <c r="H45" s="154" t="s">
        <v>2388</v>
      </c>
      <c r="I45" s="173" t="s">
        <v>14</v>
      </c>
      <c r="J45" s="154" t="s">
        <v>2389</v>
      </c>
      <c r="K45" s="154" t="s">
        <v>2390</v>
      </c>
    </row>
    <row r="46" spans="1:11" ht="23.4">
      <c r="A46" s="139"/>
      <c r="B46" s="153"/>
      <c r="C46" s="153"/>
      <c r="D46" s="154" t="s">
        <v>1980</v>
      </c>
      <c r="E46" s="154" t="s">
        <v>2391</v>
      </c>
      <c r="F46" s="173" t="s">
        <v>209</v>
      </c>
      <c r="G46" s="154" t="s">
        <v>2392</v>
      </c>
      <c r="H46" s="154" t="s">
        <v>2393</v>
      </c>
      <c r="I46" s="173" t="s">
        <v>13</v>
      </c>
      <c r="J46" s="154" t="s">
        <v>2394</v>
      </c>
      <c r="K46" s="154" t="s">
        <v>2395</v>
      </c>
    </row>
    <row r="47" spans="1:11" ht="23.4">
      <c r="A47" s="139"/>
      <c r="B47" s="153"/>
      <c r="C47" s="153" t="s">
        <v>84</v>
      </c>
      <c r="D47" s="154" t="s">
        <v>1981</v>
      </c>
      <c r="E47" s="154" t="s">
        <v>2396</v>
      </c>
      <c r="F47" s="173" t="s">
        <v>209</v>
      </c>
      <c r="G47" s="154" t="s">
        <v>2397</v>
      </c>
      <c r="H47" s="154" t="s">
        <v>2398</v>
      </c>
      <c r="I47" s="173" t="s">
        <v>13</v>
      </c>
      <c r="J47" s="154" t="s">
        <v>2399</v>
      </c>
      <c r="K47" s="154" t="s">
        <v>2400</v>
      </c>
    </row>
    <row r="48" spans="1:11" ht="23.4">
      <c r="A48" s="139"/>
      <c r="B48" s="153"/>
      <c r="C48" s="153"/>
      <c r="D48" s="154" t="s">
        <v>1982</v>
      </c>
      <c r="E48" s="154" t="s">
        <v>2401</v>
      </c>
      <c r="F48" s="173" t="s">
        <v>242</v>
      </c>
      <c r="G48" s="154" t="s">
        <v>2402</v>
      </c>
      <c r="H48" s="154" t="s">
        <v>2403</v>
      </c>
      <c r="I48" s="173" t="s">
        <v>14</v>
      </c>
      <c r="J48" s="154" t="s">
        <v>2404</v>
      </c>
      <c r="K48" s="154" t="s">
        <v>2405</v>
      </c>
    </row>
    <row r="49" spans="1:11" ht="23.4">
      <c r="A49" s="139"/>
      <c r="B49" s="153"/>
      <c r="C49" s="153"/>
      <c r="D49" s="154" t="s">
        <v>1983</v>
      </c>
      <c r="E49" s="154" t="s">
        <v>2406</v>
      </c>
      <c r="F49" s="173" t="s">
        <v>209</v>
      </c>
      <c r="G49" s="154" t="s">
        <v>2407</v>
      </c>
      <c r="H49" s="154" t="s">
        <v>2408</v>
      </c>
      <c r="I49" s="173" t="s">
        <v>14</v>
      </c>
      <c r="J49" s="154" t="s">
        <v>2409</v>
      </c>
      <c r="K49" s="154" t="s">
        <v>2410</v>
      </c>
    </row>
    <row r="50" spans="1:11" ht="23.4">
      <c r="A50" s="139"/>
      <c r="B50" s="153"/>
      <c r="C50" s="153"/>
      <c r="D50" s="154" t="s">
        <v>1984</v>
      </c>
      <c r="E50" s="154" t="s">
        <v>2411</v>
      </c>
      <c r="F50" s="173" t="s">
        <v>209</v>
      </c>
      <c r="G50" s="154" t="s">
        <v>2412</v>
      </c>
      <c r="H50" s="154" t="s">
        <v>2413</v>
      </c>
      <c r="I50" s="173" t="s">
        <v>13</v>
      </c>
      <c r="J50" s="154" t="s">
        <v>2414</v>
      </c>
      <c r="K50" s="154" t="s">
        <v>2415</v>
      </c>
    </row>
    <row r="51" spans="1:11" ht="23.4">
      <c r="A51" s="139"/>
      <c r="B51" s="153"/>
      <c r="C51" s="153"/>
      <c r="D51" s="154" t="s">
        <v>1985</v>
      </c>
      <c r="E51" s="154" t="s">
        <v>2416</v>
      </c>
      <c r="F51" s="173" t="s">
        <v>204</v>
      </c>
      <c r="G51" s="154" t="s">
        <v>2417</v>
      </c>
      <c r="H51" s="154" t="s">
        <v>2418</v>
      </c>
      <c r="I51" s="173" t="s">
        <v>14</v>
      </c>
      <c r="J51" s="154" t="s">
        <v>2419</v>
      </c>
      <c r="K51" s="154" t="s">
        <v>2420</v>
      </c>
    </row>
    <row r="52" spans="1:11" ht="23.4">
      <c r="A52" s="139"/>
      <c r="B52" s="153"/>
      <c r="C52" s="153" t="s">
        <v>85</v>
      </c>
      <c r="D52" s="154" t="s">
        <v>1986</v>
      </c>
      <c r="E52" s="154" t="s">
        <v>2421</v>
      </c>
      <c r="F52" s="173" t="s">
        <v>204</v>
      </c>
      <c r="G52" s="154" t="s">
        <v>2422</v>
      </c>
      <c r="H52" s="154" t="s">
        <v>2423</v>
      </c>
      <c r="I52" s="173" t="s">
        <v>14</v>
      </c>
      <c r="J52" s="154" t="s">
        <v>2424</v>
      </c>
      <c r="K52" s="154" t="s">
        <v>2425</v>
      </c>
    </row>
    <row r="53" spans="1:11" ht="23.4">
      <c r="A53" s="139"/>
      <c r="B53" s="153"/>
      <c r="C53" s="153"/>
      <c r="D53" s="154" t="s">
        <v>1987</v>
      </c>
      <c r="E53" s="154" t="s">
        <v>2426</v>
      </c>
      <c r="F53" s="173" t="s">
        <v>204</v>
      </c>
      <c r="G53" s="154" t="s">
        <v>2427</v>
      </c>
      <c r="H53" s="154" t="s">
        <v>2428</v>
      </c>
      <c r="I53" s="173" t="s">
        <v>14</v>
      </c>
      <c r="J53" s="154" t="s">
        <v>2429</v>
      </c>
      <c r="K53" s="154" t="s">
        <v>2430</v>
      </c>
    </row>
    <row r="54" spans="1:11" ht="23.4">
      <c r="A54" s="139"/>
      <c r="B54" s="153"/>
      <c r="C54" s="153"/>
      <c r="D54" s="154" t="s">
        <v>1988</v>
      </c>
      <c r="E54" s="154" t="s">
        <v>2431</v>
      </c>
      <c r="F54" s="173" t="s">
        <v>204</v>
      </c>
      <c r="G54" s="154" t="s">
        <v>2432</v>
      </c>
      <c r="H54" s="154" t="s">
        <v>2433</v>
      </c>
      <c r="I54" s="173" t="s">
        <v>13</v>
      </c>
      <c r="J54" s="154" t="s">
        <v>2434</v>
      </c>
      <c r="K54" s="154" t="s">
        <v>2435</v>
      </c>
    </row>
    <row r="55" spans="1:11" ht="23.4">
      <c r="A55" s="139"/>
      <c r="B55" s="153"/>
      <c r="C55" s="153"/>
      <c r="D55" s="154" t="s">
        <v>1989</v>
      </c>
      <c r="E55" s="154" t="s">
        <v>2436</v>
      </c>
      <c r="F55" s="173" t="s">
        <v>204</v>
      </c>
      <c r="G55" s="154" t="s">
        <v>2437</v>
      </c>
      <c r="H55" s="154" t="s">
        <v>598</v>
      </c>
      <c r="I55" s="173" t="s">
        <v>13</v>
      </c>
      <c r="J55" s="154" t="s">
        <v>2438</v>
      </c>
      <c r="K55" s="154" t="s">
        <v>2439</v>
      </c>
    </row>
    <row r="56" spans="1:11" ht="23.4">
      <c r="A56" s="139"/>
      <c r="B56" s="153"/>
      <c r="C56" s="153"/>
      <c r="D56" s="154" t="s">
        <v>1990</v>
      </c>
      <c r="E56" s="154" t="s">
        <v>2440</v>
      </c>
      <c r="F56" s="173" t="s">
        <v>204</v>
      </c>
      <c r="G56" s="154" t="s">
        <v>2441</v>
      </c>
      <c r="H56" s="154" t="s">
        <v>2388</v>
      </c>
      <c r="I56" s="173" t="s">
        <v>14</v>
      </c>
      <c r="J56" s="154" t="s">
        <v>2442</v>
      </c>
      <c r="K56" s="154" t="s">
        <v>2443</v>
      </c>
    </row>
    <row r="57" spans="1:11" ht="23.4">
      <c r="A57" s="139"/>
      <c r="B57" s="155" t="s">
        <v>97</v>
      </c>
      <c r="C57" s="153" t="s">
        <v>98</v>
      </c>
      <c r="D57" s="154" t="s">
        <v>1991</v>
      </c>
      <c r="E57" s="154" t="s">
        <v>2445</v>
      </c>
      <c r="F57" s="173" t="s">
        <v>204</v>
      </c>
      <c r="G57" s="154" t="s">
        <v>2446</v>
      </c>
      <c r="H57" s="154" t="s">
        <v>2447</v>
      </c>
      <c r="I57" s="173" t="s">
        <v>13</v>
      </c>
      <c r="J57" s="154" t="s">
        <v>2448</v>
      </c>
      <c r="K57" s="154" t="s">
        <v>2449</v>
      </c>
    </row>
    <row r="58" spans="1:11" ht="23.4">
      <c r="A58" s="139"/>
      <c r="B58" s="156"/>
      <c r="C58" s="153"/>
      <c r="D58" s="154" t="s">
        <v>1992</v>
      </c>
      <c r="E58" s="154" t="s">
        <v>2450</v>
      </c>
      <c r="F58" s="173" t="s">
        <v>204</v>
      </c>
      <c r="G58" s="154" t="s">
        <v>2451</v>
      </c>
      <c r="H58" s="154" t="s">
        <v>2452</v>
      </c>
      <c r="I58" s="173" t="s">
        <v>14</v>
      </c>
      <c r="J58" s="154" t="s">
        <v>2453</v>
      </c>
      <c r="K58" s="154" t="s">
        <v>2454</v>
      </c>
    </row>
    <row r="59" spans="1:11" ht="23.4">
      <c r="A59" s="139"/>
      <c r="B59" s="156"/>
      <c r="C59" s="153"/>
      <c r="D59" s="154" t="s">
        <v>1993</v>
      </c>
      <c r="E59" s="154" t="s">
        <v>2455</v>
      </c>
      <c r="F59" s="173" t="s">
        <v>204</v>
      </c>
      <c r="G59" s="154" t="s">
        <v>2456</v>
      </c>
      <c r="H59" s="154" t="s">
        <v>2457</v>
      </c>
      <c r="I59" s="173" t="s">
        <v>14</v>
      </c>
      <c r="J59" s="154" t="s">
        <v>2458</v>
      </c>
      <c r="K59" s="154" t="s">
        <v>2459</v>
      </c>
    </row>
    <row r="60" spans="1:11" ht="23.4">
      <c r="A60" s="139"/>
      <c r="B60" s="156"/>
      <c r="C60" s="153"/>
      <c r="D60" s="154" t="s">
        <v>1994</v>
      </c>
      <c r="E60" s="154" t="s">
        <v>2460</v>
      </c>
      <c r="F60" s="173" t="s">
        <v>204</v>
      </c>
      <c r="G60" s="154" t="s">
        <v>2461</v>
      </c>
      <c r="H60" s="154" t="s">
        <v>2462</v>
      </c>
      <c r="I60" s="173" t="s">
        <v>14</v>
      </c>
      <c r="J60" s="154" t="s">
        <v>2463</v>
      </c>
      <c r="K60" s="154" t="s">
        <v>2464</v>
      </c>
    </row>
    <row r="61" spans="1:11" ht="23.4">
      <c r="A61" s="139"/>
      <c r="B61" s="156"/>
      <c r="C61" s="153"/>
      <c r="D61" s="154" t="s">
        <v>1995</v>
      </c>
      <c r="E61" s="154" t="s">
        <v>2465</v>
      </c>
      <c r="F61" s="173" t="s">
        <v>204</v>
      </c>
      <c r="G61" s="154" t="s">
        <v>2466</v>
      </c>
      <c r="H61" s="154" t="s">
        <v>2467</v>
      </c>
      <c r="I61" s="173" t="s">
        <v>14</v>
      </c>
      <c r="J61" s="154" t="s">
        <v>2468</v>
      </c>
      <c r="K61" s="154" t="s">
        <v>2469</v>
      </c>
    </row>
    <row r="62" spans="1:11" ht="23.4">
      <c r="A62" s="139"/>
      <c r="B62" s="156"/>
      <c r="C62" s="157" t="s">
        <v>99</v>
      </c>
      <c r="D62" s="154" t="s">
        <v>1996</v>
      </c>
      <c r="E62" s="154" t="s">
        <v>2470</v>
      </c>
      <c r="F62" s="173" t="s">
        <v>204</v>
      </c>
      <c r="G62" s="154" t="s">
        <v>2471</v>
      </c>
      <c r="H62" s="154" t="s">
        <v>2472</v>
      </c>
      <c r="I62" s="173" t="s">
        <v>14</v>
      </c>
      <c r="J62" s="154" t="s">
        <v>2473</v>
      </c>
      <c r="K62" s="154" t="s">
        <v>2474</v>
      </c>
    </row>
    <row r="63" spans="1:11" ht="23.4">
      <c r="A63" s="139"/>
      <c r="B63" s="156"/>
      <c r="C63" s="158"/>
      <c r="D63" s="154" t="s">
        <v>1997</v>
      </c>
      <c r="E63" s="154" t="s">
        <v>2475</v>
      </c>
      <c r="F63" s="173" t="s">
        <v>209</v>
      </c>
      <c r="G63" s="154" t="s">
        <v>2476</v>
      </c>
      <c r="H63" s="154" t="s">
        <v>2477</v>
      </c>
      <c r="I63" s="173" t="s">
        <v>14</v>
      </c>
      <c r="J63" s="154" t="s">
        <v>2478</v>
      </c>
      <c r="K63" s="154" t="s">
        <v>2479</v>
      </c>
    </row>
    <row r="64" spans="1:11" ht="23.4">
      <c r="A64" s="139"/>
      <c r="B64" s="156"/>
      <c r="C64" s="158"/>
      <c r="D64" s="154" t="s">
        <v>1998</v>
      </c>
      <c r="E64" s="154" t="s">
        <v>2480</v>
      </c>
      <c r="F64" s="173" t="s">
        <v>204</v>
      </c>
      <c r="G64" s="154" t="s">
        <v>2481</v>
      </c>
      <c r="H64" s="154" t="s">
        <v>2482</v>
      </c>
      <c r="I64" s="173" t="s">
        <v>19</v>
      </c>
      <c r="J64" s="154" t="s">
        <v>2483</v>
      </c>
      <c r="K64" s="154" t="s">
        <v>2484</v>
      </c>
    </row>
    <row r="65" spans="1:11" ht="23.4">
      <c r="A65" s="139"/>
      <c r="B65" s="156"/>
      <c r="C65" s="158"/>
      <c r="D65" s="154" t="s">
        <v>1999</v>
      </c>
      <c r="E65" s="154" t="s">
        <v>2485</v>
      </c>
      <c r="F65" s="173" t="s">
        <v>204</v>
      </c>
      <c r="G65" s="154" t="s">
        <v>2486</v>
      </c>
      <c r="H65" s="154" t="s">
        <v>2487</v>
      </c>
      <c r="I65" s="173" t="s">
        <v>14</v>
      </c>
      <c r="J65" s="154" t="s">
        <v>2488</v>
      </c>
      <c r="K65" s="154" t="s">
        <v>2489</v>
      </c>
    </row>
    <row r="66" spans="1:11" ht="23.4">
      <c r="A66" s="139"/>
      <c r="B66" s="156"/>
      <c r="C66" s="159"/>
      <c r="D66" s="154" t="s">
        <v>2000</v>
      </c>
      <c r="E66" s="154" t="s">
        <v>2490</v>
      </c>
      <c r="F66" s="173" t="s">
        <v>204</v>
      </c>
      <c r="G66" s="154" t="s">
        <v>2491</v>
      </c>
      <c r="H66" s="154" t="s">
        <v>2492</v>
      </c>
      <c r="I66" s="173" t="s">
        <v>14</v>
      </c>
      <c r="J66" s="154" t="s">
        <v>2493</v>
      </c>
      <c r="K66" s="154" t="s">
        <v>2494</v>
      </c>
    </row>
    <row r="67" spans="1:11" ht="23.4">
      <c r="A67" s="139"/>
      <c r="B67" s="156"/>
      <c r="C67" s="157" t="s">
        <v>100</v>
      </c>
      <c r="D67" s="154" t="s">
        <v>2001</v>
      </c>
      <c r="E67" s="154" t="s">
        <v>2495</v>
      </c>
      <c r="F67" s="173" t="s">
        <v>209</v>
      </c>
      <c r="G67" s="154" t="s">
        <v>2496</v>
      </c>
      <c r="H67" s="154" t="s">
        <v>2497</v>
      </c>
      <c r="I67" s="173" t="s">
        <v>14</v>
      </c>
      <c r="J67" s="154" t="s">
        <v>2498</v>
      </c>
      <c r="K67" s="154" t="s">
        <v>2499</v>
      </c>
    </row>
    <row r="68" spans="1:11" ht="23.4">
      <c r="A68" s="139"/>
      <c r="B68" s="156"/>
      <c r="C68" s="158"/>
      <c r="D68" s="154" t="s">
        <v>2002</v>
      </c>
      <c r="E68" s="154" t="s">
        <v>2500</v>
      </c>
      <c r="F68" s="173" t="s">
        <v>242</v>
      </c>
      <c r="G68" s="154" t="s">
        <v>2501</v>
      </c>
      <c r="H68" s="154" t="s">
        <v>2502</v>
      </c>
      <c r="I68" s="173" t="s">
        <v>14</v>
      </c>
      <c r="J68" s="154" t="s">
        <v>2503</v>
      </c>
      <c r="K68" s="154" t="s">
        <v>2504</v>
      </c>
    </row>
    <row r="69" spans="1:11" ht="23.4">
      <c r="A69" s="139"/>
      <c r="B69" s="156"/>
      <c r="C69" s="158"/>
      <c r="D69" s="154" t="s">
        <v>2003</v>
      </c>
      <c r="E69" s="154" t="s">
        <v>2505</v>
      </c>
      <c r="F69" s="173" t="s">
        <v>209</v>
      </c>
      <c r="G69" s="154" t="s">
        <v>2506</v>
      </c>
      <c r="H69" s="154" t="s">
        <v>2507</v>
      </c>
      <c r="I69" s="173" t="s">
        <v>14</v>
      </c>
      <c r="J69" s="154" t="s">
        <v>2508</v>
      </c>
      <c r="K69" s="154" t="s">
        <v>2509</v>
      </c>
    </row>
    <row r="70" spans="1:11" ht="23.4">
      <c r="A70" s="139"/>
      <c r="B70" s="156"/>
      <c r="C70" s="158"/>
      <c r="D70" s="154" t="s">
        <v>2004</v>
      </c>
      <c r="E70" s="154" t="s">
        <v>2510</v>
      </c>
      <c r="F70" s="173" t="s">
        <v>209</v>
      </c>
      <c r="G70" s="154" t="s">
        <v>2511</v>
      </c>
      <c r="H70" s="154" t="s">
        <v>2512</v>
      </c>
      <c r="I70" s="173" t="s">
        <v>13</v>
      </c>
      <c r="J70" s="154" t="s">
        <v>2513</v>
      </c>
      <c r="K70" s="154" t="s">
        <v>2514</v>
      </c>
    </row>
    <row r="71" spans="1:11" ht="23.4">
      <c r="A71" s="139"/>
      <c r="B71" s="156"/>
      <c r="C71" s="159"/>
      <c r="D71" s="154" t="s">
        <v>2005</v>
      </c>
      <c r="E71" s="154" t="s">
        <v>2515</v>
      </c>
      <c r="F71" s="173" t="s">
        <v>209</v>
      </c>
      <c r="G71" s="154" t="s">
        <v>2516</v>
      </c>
      <c r="H71" s="154" t="s">
        <v>2517</v>
      </c>
      <c r="I71" s="173" t="s">
        <v>14</v>
      </c>
      <c r="J71" s="154" t="s">
        <v>2518</v>
      </c>
      <c r="K71" s="154" t="s">
        <v>2519</v>
      </c>
    </row>
    <row r="72" spans="1:11" ht="23.4">
      <c r="A72" s="139"/>
      <c r="B72" s="156"/>
      <c r="C72" s="157" t="s">
        <v>101</v>
      </c>
      <c r="D72" s="154" t="s">
        <v>2006</v>
      </c>
      <c r="E72" s="154" t="s">
        <v>2520</v>
      </c>
      <c r="F72" s="173" t="s">
        <v>242</v>
      </c>
      <c r="G72" s="154" t="s">
        <v>2521</v>
      </c>
      <c r="H72" s="154" t="s">
        <v>2522</v>
      </c>
      <c r="I72" s="173" t="s">
        <v>14</v>
      </c>
      <c r="J72" s="154" t="s">
        <v>2180</v>
      </c>
      <c r="K72" s="154" t="s">
        <v>2523</v>
      </c>
    </row>
    <row r="73" spans="1:11" ht="23.4">
      <c r="A73" s="139"/>
      <c r="B73" s="156"/>
      <c r="C73" s="158"/>
      <c r="D73" s="154" t="s">
        <v>2007</v>
      </c>
      <c r="E73" s="154" t="s">
        <v>2524</v>
      </c>
      <c r="F73" s="173" t="s">
        <v>209</v>
      </c>
      <c r="G73" s="154" t="s">
        <v>2525</v>
      </c>
      <c r="H73" s="154" t="s">
        <v>2526</v>
      </c>
      <c r="I73" s="173" t="s">
        <v>13</v>
      </c>
      <c r="J73" s="154" t="s">
        <v>2527</v>
      </c>
      <c r="K73" s="154" t="s">
        <v>2528</v>
      </c>
    </row>
    <row r="74" spans="1:11" ht="23.4">
      <c r="A74" s="139"/>
      <c r="B74" s="156"/>
      <c r="C74" s="158"/>
      <c r="D74" s="154" t="s">
        <v>2008</v>
      </c>
      <c r="E74" s="154" t="s">
        <v>2529</v>
      </c>
      <c r="F74" s="173" t="s">
        <v>209</v>
      </c>
      <c r="G74" s="154" t="s">
        <v>2530</v>
      </c>
      <c r="H74" s="154" t="s">
        <v>2531</v>
      </c>
      <c r="I74" s="173" t="s">
        <v>14</v>
      </c>
      <c r="J74" s="154" t="s">
        <v>2532</v>
      </c>
      <c r="K74" s="154" t="s">
        <v>2533</v>
      </c>
    </row>
    <row r="75" spans="1:11" ht="23.4">
      <c r="A75" s="139"/>
      <c r="B75" s="156"/>
      <c r="C75" s="158"/>
      <c r="D75" s="154" t="s">
        <v>2009</v>
      </c>
      <c r="E75" s="154" t="s">
        <v>2534</v>
      </c>
      <c r="F75" s="173" t="s">
        <v>209</v>
      </c>
      <c r="G75" s="154" t="s">
        <v>2535</v>
      </c>
      <c r="H75" s="154" t="s">
        <v>2536</v>
      </c>
      <c r="I75" s="173" t="s">
        <v>14</v>
      </c>
      <c r="J75" s="154" t="s">
        <v>2537</v>
      </c>
      <c r="K75" s="154" t="s">
        <v>2538</v>
      </c>
    </row>
    <row r="76" spans="1:11" ht="23.4">
      <c r="A76" s="139"/>
      <c r="B76" s="156"/>
      <c r="C76" s="159"/>
      <c r="D76" s="154" t="s">
        <v>2010</v>
      </c>
      <c r="E76" s="154" t="s">
        <v>2539</v>
      </c>
      <c r="F76" s="173" t="s">
        <v>209</v>
      </c>
      <c r="G76" s="154" t="s">
        <v>2540</v>
      </c>
      <c r="H76" s="154" t="s">
        <v>2541</v>
      </c>
      <c r="I76" s="173" t="s">
        <v>14</v>
      </c>
      <c r="J76" s="154" t="s">
        <v>2542</v>
      </c>
      <c r="K76" s="154" t="s">
        <v>2543</v>
      </c>
    </row>
    <row r="77" spans="1:11" ht="23.4">
      <c r="A77" s="139"/>
      <c r="B77" s="156"/>
      <c r="C77" s="157" t="s">
        <v>102</v>
      </c>
      <c r="D77" s="154" t="s">
        <v>2011</v>
      </c>
      <c r="E77" s="154" t="s">
        <v>2544</v>
      </c>
      <c r="F77" s="173" t="s">
        <v>204</v>
      </c>
      <c r="G77" s="154" t="s">
        <v>2545</v>
      </c>
      <c r="H77" s="154" t="s">
        <v>2546</v>
      </c>
      <c r="I77" s="173" t="s">
        <v>14</v>
      </c>
      <c r="J77" s="154" t="s">
        <v>2547</v>
      </c>
      <c r="K77" s="154" t="s">
        <v>2548</v>
      </c>
    </row>
    <row r="78" spans="1:11" ht="23.4">
      <c r="A78" s="139"/>
      <c r="B78" s="156"/>
      <c r="C78" s="158"/>
      <c r="D78" s="154" t="s">
        <v>2012</v>
      </c>
      <c r="E78" s="154" t="s">
        <v>2549</v>
      </c>
      <c r="F78" s="173" t="s">
        <v>242</v>
      </c>
      <c r="G78" s="154" t="s">
        <v>2550</v>
      </c>
      <c r="H78" s="154" t="s">
        <v>2551</v>
      </c>
      <c r="I78" s="173" t="s">
        <v>14</v>
      </c>
      <c r="J78" s="154" t="s">
        <v>2552</v>
      </c>
      <c r="K78" s="154" t="s">
        <v>2553</v>
      </c>
    </row>
    <row r="79" spans="1:11" ht="23.4">
      <c r="A79" s="139"/>
      <c r="B79" s="156"/>
      <c r="C79" s="158"/>
      <c r="D79" s="154" t="s">
        <v>2013</v>
      </c>
      <c r="E79" s="154" t="s">
        <v>2554</v>
      </c>
      <c r="F79" s="173" t="s">
        <v>242</v>
      </c>
      <c r="G79" s="154" t="s">
        <v>2555</v>
      </c>
      <c r="H79" s="154" t="s">
        <v>2547</v>
      </c>
      <c r="I79" s="173" t="s">
        <v>13</v>
      </c>
      <c r="J79" s="154" t="s">
        <v>2556</v>
      </c>
      <c r="K79" s="154" t="s">
        <v>2557</v>
      </c>
    </row>
    <row r="80" spans="1:11" ht="23.4">
      <c r="A80" s="139"/>
      <c r="B80" s="156"/>
      <c r="C80" s="158"/>
      <c r="D80" s="154" t="s">
        <v>2014</v>
      </c>
      <c r="E80" s="154" t="s">
        <v>2558</v>
      </c>
      <c r="F80" s="173" t="s">
        <v>204</v>
      </c>
      <c r="G80" s="154" t="s">
        <v>2559</v>
      </c>
      <c r="H80" s="154" t="s">
        <v>2560</v>
      </c>
      <c r="I80" s="173" t="s">
        <v>14</v>
      </c>
      <c r="J80" s="154" t="s">
        <v>2561</v>
      </c>
      <c r="K80" s="154" t="s">
        <v>2562</v>
      </c>
    </row>
    <row r="81" spans="1:11" ht="23.4">
      <c r="A81" s="139"/>
      <c r="B81" s="160"/>
      <c r="C81" s="159"/>
      <c r="D81" s="154" t="s">
        <v>2015</v>
      </c>
      <c r="E81" s="154" t="s">
        <v>2563</v>
      </c>
      <c r="F81" s="173" t="s">
        <v>204</v>
      </c>
      <c r="G81" s="154" t="s">
        <v>2564</v>
      </c>
      <c r="H81" s="154" t="s">
        <v>2565</v>
      </c>
      <c r="I81" s="173" t="s">
        <v>14</v>
      </c>
      <c r="J81" s="154" t="s">
        <v>2566</v>
      </c>
      <c r="K81" s="154" t="s">
        <v>2567</v>
      </c>
    </row>
    <row r="82" spans="1:11" ht="23.4">
      <c r="A82" s="139"/>
      <c r="B82" s="147" t="s">
        <v>103</v>
      </c>
      <c r="C82" s="148" t="s">
        <v>104</v>
      </c>
      <c r="D82" s="146" t="s">
        <v>2016</v>
      </c>
      <c r="E82" s="146" t="s">
        <v>2568</v>
      </c>
      <c r="F82" s="173" t="s">
        <v>209</v>
      </c>
      <c r="G82" s="146" t="s">
        <v>2569</v>
      </c>
      <c r="H82" s="146" t="s">
        <v>2570</v>
      </c>
      <c r="I82" s="172" t="s">
        <v>13</v>
      </c>
      <c r="J82" s="146" t="s">
        <v>2571</v>
      </c>
      <c r="K82" s="146" t="s">
        <v>2572</v>
      </c>
    </row>
    <row r="83" spans="1:11" ht="23.4">
      <c r="A83" s="139"/>
      <c r="B83" s="149"/>
      <c r="C83" s="150"/>
      <c r="D83" s="146" t="s">
        <v>2017</v>
      </c>
      <c r="E83" s="146" t="s">
        <v>2573</v>
      </c>
      <c r="F83" s="173" t="s">
        <v>204</v>
      </c>
      <c r="G83" s="146" t="s">
        <v>2574</v>
      </c>
      <c r="H83" s="146" t="s">
        <v>2575</v>
      </c>
      <c r="I83" s="172" t="s">
        <v>14</v>
      </c>
      <c r="J83" s="146" t="s">
        <v>2576</v>
      </c>
      <c r="K83" s="146" t="s">
        <v>2577</v>
      </c>
    </row>
    <row r="84" spans="1:11" ht="23.4">
      <c r="A84" s="139"/>
      <c r="B84" s="149"/>
      <c r="C84" s="150"/>
      <c r="D84" s="146" t="s">
        <v>2018</v>
      </c>
      <c r="E84" s="146" t="s">
        <v>2578</v>
      </c>
      <c r="F84" s="172" t="s">
        <v>204</v>
      </c>
      <c r="G84" s="146" t="s">
        <v>2579</v>
      </c>
      <c r="H84" s="146" t="s">
        <v>2580</v>
      </c>
      <c r="I84" s="172" t="s">
        <v>14</v>
      </c>
      <c r="J84" s="146" t="s">
        <v>2581</v>
      </c>
      <c r="K84" s="146" t="s">
        <v>2582</v>
      </c>
    </row>
    <row r="85" spans="1:11" ht="23.4">
      <c r="A85" s="139"/>
      <c r="B85" s="149"/>
      <c r="C85" s="150"/>
      <c r="D85" s="146" t="s">
        <v>2019</v>
      </c>
      <c r="E85" s="146" t="s">
        <v>2583</v>
      </c>
      <c r="F85" s="172" t="s">
        <v>209</v>
      </c>
      <c r="G85" s="146" t="s">
        <v>2584</v>
      </c>
      <c r="H85" s="146" t="s">
        <v>2585</v>
      </c>
      <c r="I85" s="172" t="s">
        <v>13</v>
      </c>
      <c r="J85" s="146" t="s">
        <v>2586</v>
      </c>
      <c r="K85" s="146" t="s">
        <v>2587</v>
      </c>
    </row>
    <row r="86" spans="1:11" ht="23.4">
      <c r="A86" s="139"/>
      <c r="B86" s="149"/>
      <c r="C86" s="151"/>
      <c r="D86" s="146" t="s">
        <v>2020</v>
      </c>
      <c r="E86" s="146" t="s">
        <v>2588</v>
      </c>
      <c r="F86" s="172" t="s">
        <v>242</v>
      </c>
      <c r="G86" s="146" t="s">
        <v>2589</v>
      </c>
      <c r="H86" s="146" t="s">
        <v>2590</v>
      </c>
      <c r="I86" s="172" t="s">
        <v>14</v>
      </c>
      <c r="J86" s="146" t="s">
        <v>2591</v>
      </c>
      <c r="K86" s="146" t="s">
        <v>2592</v>
      </c>
    </row>
    <row r="87" spans="1:11" ht="23.4">
      <c r="A87" s="139"/>
      <c r="B87" s="149"/>
      <c r="C87" s="148" t="s">
        <v>105</v>
      </c>
      <c r="D87" s="146" t="s">
        <v>2021</v>
      </c>
      <c r="E87" s="146" t="s">
        <v>2593</v>
      </c>
      <c r="F87" s="172" t="s">
        <v>209</v>
      </c>
      <c r="G87" s="146" t="s">
        <v>2594</v>
      </c>
      <c r="H87" s="146" t="s">
        <v>2595</v>
      </c>
      <c r="I87" s="172" t="s">
        <v>14</v>
      </c>
      <c r="J87" s="146" t="s">
        <v>2596</v>
      </c>
      <c r="K87" s="146" t="s">
        <v>2597</v>
      </c>
    </row>
    <row r="88" spans="1:11" ht="23.4">
      <c r="A88" s="139"/>
      <c r="B88" s="149"/>
      <c r="C88" s="150"/>
      <c r="D88" s="146" t="s">
        <v>2022</v>
      </c>
      <c r="E88" s="146" t="s">
        <v>2598</v>
      </c>
      <c r="F88" s="172" t="s">
        <v>209</v>
      </c>
      <c r="G88" s="146" t="s">
        <v>2599</v>
      </c>
      <c r="H88" s="146" t="s">
        <v>2600</v>
      </c>
      <c r="I88" s="172" t="s">
        <v>13</v>
      </c>
      <c r="J88" s="146" t="s">
        <v>2601</v>
      </c>
      <c r="K88" s="146" t="s">
        <v>2602</v>
      </c>
    </row>
    <row r="89" spans="1:11" ht="23.4">
      <c r="A89" s="139"/>
      <c r="B89" s="149"/>
      <c r="C89" s="150"/>
      <c r="D89" s="146" t="s">
        <v>2023</v>
      </c>
      <c r="E89" s="146" t="s">
        <v>2603</v>
      </c>
      <c r="F89" s="172" t="s">
        <v>209</v>
      </c>
      <c r="G89" s="146" t="s">
        <v>2604</v>
      </c>
      <c r="H89" s="146" t="s">
        <v>2605</v>
      </c>
      <c r="I89" s="172" t="s">
        <v>14</v>
      </c>
      <c r="J89" s="146" t="s">
        <v>2606</v>
      </c>
      <c r="K89" s="146" t="s">
        <v>2607</v>
      </c>
    </row>
    <row r="90" spans="1:11" ht="23.4">
      <c r="A90" s="139"/>
      <c r="B90" s="149"/>
      <c r="C90" s="150"/>
      <c r="D90" s="146" t="s">
        <v>2024</v>
      </c>
      <c r="E90" s="146" t="s">
        <v>2608</v>
      </c>
      <c r="F90" s="172" t="s">
        <v>242</v>
      </c>
      <c r="G90" s="146" t="s">
        <v>2609</v>
      </c>
      <c r="H90" s="146" t="s">
        <v>2610</v>
      </c>
      <c r="I90" s="172" t="s">
        <v>13</v>
      </c>
      <c r="J90" s="146" t="s">
        <v>2611</v>
      </c>
      <c r="K90" s="146" t="s">
        <v>2612</v>
      </c>
    </row>
    <row r="91" spans="1:11" ht="23.4">
      <c r="A91" s="139"/>
      <c r="B91" s="149"/>
      <c r="C91" s="151"/>
      <c r="D91" s="146" t="s">
        <v>2025</v>
      </c>
      <c r="E91" s="146" t="s">
        <v>2613</v>
      </c>
      <c r="F91" s="172" t="s">
        <v>209</v>
      </c>
      <c r="G91" s="146" t="s">
        <v>2614</v>
      </c>
      <c r="H91" s="146" t="s">
        <v>2615</v>
      </c>
      <c r="I91" s="172" t="s">
        <v>14</v>
      </c>
      <c r="J91" s="146" t="s">
        <v>2616</v>
      </c>
      <c r="K91" s="146" t="s">
        <v>2617</v>
      </c>
    </row>
    <row r="92" spans="1:11" ht="23.4">
      <c r="A92" s="139"/>
      <c r="B92" s="149"/>
      <c r="C92" s="148" t="s">
        <v>106</v>
      </c>
      <c r="D92" s="146" t="s">
        <v>2026</v>
      </c>
      <c r="E92" s="146" t="s">
        <v>2618</v>
      </c>
      <c r="F92" s="172" t="s">
        <v>209</v>
      </c>
      <c r="G92" s="146" t="s">
        <v>2619</v>
      </c>
      <c r="H92" s="146" t="s">
        <v>2620</v>
      </c>
      <c r="I92" s="172" t="s">
        <v>14</v>
      </c>
      <c r="J92" s="146" t="s">
        <v>2621</v>
      </c>
      <c r="K92" s="146" t="s">
        <v>2622</v>
      </c>
    </row>
    <row r="93" spans="1:11" ht="23.4">
      <c r="A93" s="139"/>
      <c r="B93" s="149"/>
      <c r="C93" s="150"/>
      <c r="D93" s="146" t="s">
        <v>2027</v>
      </c>
      <c r="E93" s="146" t="s">
        <v>2623</v>
      </c>
      <c r="F93" s="172" t="s">
        <v>209</v>
      </c>
      <c r="G93" s="146" t="s">
        <v>2624</v>
      </c>
      <c r="H93" s="146" t="s">
        <v>2625</v>
      </c>
      <c r="I93" s="172" t="s">
        <v>13</v>
      </c>
      <c r="J93" s="146" t="s">
        <v>2626</v>
      </c>
      <c r="K93" s="146" t="s">
        <v>2627</v>
      </c>
    </row>
    <row r="94" spans="1:11" ht="23.4">
      <c r="A94" s="139"/>
      <c r="B94" s="149"/>
      <c r="C94" s="150"/>
      <c r="D94" s="146" t="s">
        <v>2028</v>
      </c>
      <c r="E94" s="146" t="s">
        <v>2628</v>
      </c>
      <c r="F94" s="172" t="s">
        <v>209</v>
      </c>
      <c r="G94" s="146" t="s">
        <v>2629</v>
      </c>
      <c r="H94" s="146" t="s">
        <v>2630</v>
      </c>
      <c r="I94" s="172" t="s">
        <v>13</v>
      </c>
      <c r="J94" s="146" t="s">
        <v>2631</v>
      </c>
      <c r="K94" s="146" t="s">
        <v>2632</v>
      </c>
    </row>
    <row r="95" spans="1:11" ht="23.4">
      <c r="A95" s="139"/>
      <c r="B95" s="149"/>
      <c r="C95" s="150"/>
      <c r="D95" s="146" t="s">
        <v>2029</v>
      </c>
      <c r="E95" s="146" t="s">
        <v>2633</v>
      </c>
      <c r="F95" s="172" t="s">
        <v>204</v>
      </c>
      <c r="G95" s="146" t="s">
        <v>2634</v>
      </c>
      <c r="H95" s="146" t="s">
        <v>2635</v>
      </c>
      <c r="I95" s="172" t="s">
        <v>13</v>
      </c>
      <c r="J95" s="146" t="s">
        <v>2636</v>
      </c>
      <c r="K95" s="146" t="s">
        <v>2637</v>
      </c>
    </row>
    <row r="96" spans="1:11" ht="23.4">
      <c r="A96" s="139"/>
      <c r="B96" s="149"/>
      <c r="C96" s="151"/>
      <c r="D96" s="146" t="s">
        <v>2030</v>
      </c>
      <c r="E96" s="146" t="s">
        <v>2638</v>
      </c>
      <c r="F96" s="172" t="s">
        <v>242</v>
      </c>
      <c r="G96" s="146" t="s">
        <v>2639</v>
      </c>
      <c r="H96" s="146" t="s">
        <v>2640</v>
      </c>
      <c r="I96" s="172" t="s">
        <v>14</v>
      </c>
      <c r="J96" s="146" t="s">
        <v>2641</v>
      </c>
      <c r="K96" s="146" t="s">
        <v>2642</v>
      </c>
    </row>
    <row r="97" spans="1:11" ht="23.4">
      <c r="A97" s="139"/>
      <c r="B97" s="149"/>
      <c r="C97" s="148" t="s">
        <v>107</v>
      </c>
      <c r="D97" s="146" t="s">
        <v>2031</v>
      </c>
      <c r="E97" s="146" t="s">
        <v>2643</v>
      </c>
      <c r="F97" s="172" t="s">
        <v>242</v>
      </c>
      <c r="G97" s="146" t="s">
        <v>2644</v>
      </c>
      <c r="H97" s="146" t="s">
        <v>2645</v>
      </c>
      <c r="I97" s="172" t="s">
        <v>14</v>
      </c>
      <c r="J97" s="146" t="s">
        <v>2646</v>
      </c>
      <c r="K97" s="146" t="s">
        <v>2647</v>
      </c>
    </row>
    <row r="98" spans="1:11" ht="23.4">
      <c r="A98" s="139"/>
      <c r="B98" s="149"/>
      <c r="C98" s="150"/>
      <c r="D98" s="146" t="s">
        <v>2032</v>
      </c>
      <c r="E98" s="146" t="s">
        <v>2648</v>
      </c>
      <c r="F98" s="172" t="s">
        <v>204</v>
      </c>
      <c r="G98" s="146" t="s">
        <v>2649</v>
      </c>
      <c r="H98" s="146" t="s">
        <v>2650</v>
      </c>
      <c r="I98" s="172" t="s">
        <v>14</v>
      </c>
      <c r="J98" s="146" t="s">
        <v>2651</v>
      </c>
      <c r="K98" s="146" t="s">
        <v>2652</v>
      </c>
    </row>
    <row r="99" spans="1:11" ht="23.4">
      <c r="A99" s="139"/>
      <c r="B99" s="149"/>
      <c r="C99" s="150"/>
      <c r="D99" s="146" t="s">
        <v>2033</v>
      </c>
      <c r="E99" s="146" t="s">
        <v>2653</v>
      </c>
      <c r="F99" s="172" t="s">
        <v>204</v>
      </c>
      <c r="G99" s="146" t="s">
        <v>2654</v>
      </c>
      <c r="H99" s="146" t="s">
        <v>2655</v>
      </c>
      <c r="I99" s="172" t="s">
        <v>13</v>
      </c>
      <c r="J99" s="146" t="s">
        <v>2656</v>
      </c>
      <c r="K99" s="146" t="s">
        <v>2657</v>
      </c>
    </row>
    <row r="100" spans="1:11" ht="23.4">
      <c r="A100" s="139"/>
      <c r="B100" s="149"/>
      <c r="C100" s="150"/>
      <c r="D100" s="146" t="s">
        <v>2034</v>
      </c>
      <c r="E100" s="146" t="s">
        <v>2658</v>
      </c>
      <c r="F100" s="172" t="s">
        <v>209</v>
      </c>
      <c r="G100" s="146" t="s">
        <v>2659</v>
      </c>
      <c r="H100" s="146" t="s">
        <v>2660</v>
      </c>
      <c r="I100" s="172" t="s">
        <v>14</v>
      </c>
      <c r="J100" s="146" t="s">
        <v>2661</v>
      </c>
      <c r="K100" s="146" t="s">
        <v>2662</v>
      </c>
    </row>
    <row r="101" spans="1:11" ht="23.4">
      <c r="A101" s="139"/>
      <c r="B101" s="149"/>
      <c r="C101" s="151"/>
      <c r="D101" s="146" t="s">
        <v>2035</v>
      </c>
      <c r="E101" s="146" t="s">
        <v>2663</v>
      </c>
      <c r="F101" s="172" t="s">
        <v>204</v>
      </c>
      <c r="G101" s="146" t="s">
        <v>2664</v>
      </c>
      <c r="H101" s="146" t="s">
        <v>2665</v>
      </c>
      <c r="I101" s="172" t="s">
        <v>14</v>
      </c>
      <c r="J101" s="146" t="s">
        <v>2666</v>
      </c>
      <c r="K101" s="146" t="s">
        <v>2667</v>
      </c>
    </row>
    <row r="102" spans="1:11" ht="23.4">
      <c r="A102" s="139"/>
      <c r="B102" s="149"/>
      <c r="C102" s="148" t="s">
        <v>108</v>
      </c>
      <c r="D102" s="146" t="s">
        <v>2036</v>
      </c>
      <c r="E102" s="146" t="s">
        <v>2668</v>
      </c>
      <c r="F102" s="172" t="s">
        <v>204</v>
      </c>
      <c r="G102" s="146" t="s">
        <v>2669</v>
      </c>
      <c r="H102" s="146" t="s">
        <v>2670</v>
      </c>
      <c r="I102" s="172" t="s">
        <v>14</v>
      </c>
      <c r="J102" s="146" t="s">
        <v>2671</v>
      </c>
      <c r="K102" s="146" t="s">
        <v>2672</v>
      </c>
    </row>
    <row r="103" spans="1:11" ht="23.4">
      <c r="A103" s="139"/>
      <c r="B103" s="149"/>
      <c r="C103" s="150"/>
      <c r="D103" s="146" t="s">
        <v>2037</v>
      </c>
      <c r="E103" s="146" t="s">
        <v>2673</v>
      </c>
      <c r="F103" s="172" t="s">
        <v>209</v>
      </c>
      <c r="G103" s="146" t="s">
        <v>2674</v>
      </c>
      <c r="H103" s="146" t="s">
        <v>2675</v>
      </c>
      <c r="I103" s="172" t="s">
        <v>13</v>
      </c>
      <c r="J103" s="146" t="s">
        <v>2676</v>
      </c>
      <c r="K103" s="146" t="s">
        <v>2677</v>
      </c>
    </row>
    <row r="104" spans="1:11" ht="23.4">
      <c r="A104" s="139"/>
      <c r="B104" s="149"/>
      <c r="C104" s="150"/>
      <c r="D104" s="146" t="s">
        <v>2038</v>
      </c>
      <c r="E104" s="146" t="s">
        <v>2678</v>
      </c>
      <c r="F104" s="172" t="s">
        <v>242</v>
      </c>
      <c r="G104" s="146" t="s">
        <v>2679</v>
      </c>
      <c r="H104" s="146" t="s">
        <v>2680</v>
      </c>
      <c r="I104" s="172" t="s">
        <v>14</v>
      </c>
      <c r="J104" s="146" t="s">
        <v>2681</v>
      </c>
      <c r="K104" s="146" t="s">
        <v>2682</v>
      </c>
    </row>
    <row r="105" spans="1:11" ht="23.4">
      <c r="A105" s="139"/>
      <c r="B105" s="149"/>
      <c r="C105" s="150"/>
      <c r="D105" s="146" t="s">
        <v>2039</v>
      </c>
      <c r="E105" s="146" t="s">
        <v>2683</v>
      </c>
      <c r="F105" s="172" t="s">
        <v>209</v>
      </c>
      <c r="G105" s="146" t="s">
        <v>2684</v>
      </c>
      <c r="H105" s="146" t="s">
        <v>2685</v>
      </c>
      <c r="I105" s="172" t="s">
        <v>14</v>
      </c>
      <c r="J105" s="146" t="s">
        <v>2686</v>
      </c>
      <c r="K105" s="146" t="s">
        <v>2687</v>
      </c>
    </row>
    <row r="106" spans="1:11" ht="23.4">
      <c r="A106" s="139"/>
      <c r="B106" s="149"/>
      <c r="C106" s="151"/>
      <c r="D106" s="146" t="s">
        <v>2040</v>
      </c>
      <c r="E106" s="146" t="s">
        <v>2688</v>
      </c>
      <c r="F106" s="172" t="s">
        <v>209</v>
      </c>
      <c r="G106" s="146" t="s">
        <v>2689</v>
      </c>
      <c r="H106" s="146" t="s">
        <v>479</v>
      </c>
      <c r="I106" s="172" t="s">
        <v>13</v>
      </c>
      <c r="J106" s="146" t="s">
        <v>2690</v>
      </c>
      <c r="K106" s="146" t="s">
        <v>2691</v>
      </c>
    </row>
    <row r="107" spans="1:11" ht="23.4">
      <c r="A107" s="139"/>
      <c r="B107" s="149"/>
      <c r="C107" s="148" t="s">
        <v>109</v>
      </c>
      <c r="D107" s="146" t="s">
        <v>2041</v>
      </c>
      <c r="E107" s="146" t="s">
        <v>2692</v>
      </c>
      <c r="F107" s="172" t="s">
        <v>209</v>
      </c>
      <c r="G107" s="146" t="s">
        <v>2693</v>
      </c>
      <c r="H107" s="146" t="s">
        <v>2694</v>
      </c>
      <c r="I107" s="172" t="s">
        <v>13</v>
      </c>
      <c r="J107" s="146" t="s">
        <v>2695</v>
      </c>
      <c r="K107" s="146" t="s">
        <v>2696</v>
      </c>
    </row>
    <row r="108" spans="1:11" ht="23.4">
      <c r="A108" s="139"/>
      <c r="B108" s="149"/>
      <c r="C108" s="150"/>
      <c r="D108" s="146" t="s">
        <v>2042</v>
      </c>
      <c r="E108" s="146" t="s">
        <v>2697</v>
      </c>
      <c r="F108" s="172" t="s">
        <v>209</v>
      </c>
      <c r="G108" s="146" t="s">
        <v>2698</v>
      </c>
      <c r="H108" s="146" t="s">
        <v>2274</v>
      </c>
      <c r="I108" s="172" t="s">
        <v>14</v>
      </c>
      <c r="J108" s="146" t="s">
        <v>2699</v>
      </c>
      <c r="K108" s="146" t="s">
        <v>2700</v>
      </c>
    </row>
    <row r="109" spans="1:11" ht="23.4">
      <c r="A109" s="139"/>
      <c r="B109" s="149"/>
      <c r="C109" s="150"/>
      <c r="D109" s="146" t="s">
        <v>2043</v>
      </c>
      <c r="E109" s="146" t="s">
        <v>2701</v>
      </c>
      <c r="F109" s="172" t="s">
        <v>204</v>
      </c>
      <c r="G109" s="146" t="s">
        <v>2702</v>
      </c>
      <c r="H109" s="146" t="s">
        <v>2703</v>
      </c>
      <c r="I109" s="172" t="s">
        <v>14</v>
      </c>
      <c r="J109" s="146" t="s">
        <v>2704</v>
      </c>
      <c r="K109" s="146" t="s">
        <v>2705</v>
      </c>
    </row>
    <row r="110" spans="1:11" ht="23.4">
      <c r="A110" s="139"/>
      <c r="B110" s="149"/>
      <c r="C110" s="150"/>
      <c r="D110" s="146" t="s">
        <v>2044</v>
      </c>
      <c r="E110" s="146" t="s">
        <v>2706</v>
      </c>
      <c r="F110" s="172" t="s">
        <v>242</v>
      </c>
      <c r="G110" s="146" t="s">
        <v>2707</v>
      </c>
      <c r="H110" s="146" t="s">
        <v>2708</v>
      </c>
      <c r="I110" s="172" t="s">
        <v>13</v>
      </c>
      <c r="J110" s="146" t="s">
        <v>2709</v>
      </c>
      <c r="K110" s="146" t="s">
        <v>2710</v>
      </c>
    </row>
    <row r="111" spans="1:11" ht="23.4">
      <c r="A111" s="139"/>
      <c r="B111" s="149"/>
      <c r="C111" s="151"/>
      <c r="D111" s="146" t="s">
        <v>2045</v>
      </c>
      <c r="E111" s="146" t="s">
        <v>2711</v>
      </c>
      <c r="F111" s="172" t="s">
        <v>242</v>
      </c>
      <c r="G111" s="146" t="s">
        <v>2712</v>
      </c>
      <c r="H111" s="146" t="s">
        <v>2713</v>
      </c>
      <c r="I111" s="172" t="s">
        <v>14</v>
      </c>
      <c r="J111" s="146" t="s">
        <v>2714</v>
      </c>
      <c r="K111" s="146" t="s">
        <v>2715</v>
      </c>
    </row>
    <row r="112" spans="1:11" ht="23.4">
      <c r="A112" s="139"/>
      <c r="B112" s="149"/>
      <c r="C112" s="148" t="s">
        <v>110</v>
      </c>
      <c r="D112" s="146" t="s">
        <v>2046</v>
      </c>
      <c r="E112" s="146" t="s">
        <v>2716</v>
      </c>
      <c r="F112" s="172" t="s">
        <v>204</v>
      </c>
      <c r="G112" s="146" t="s">
        <v>2717</v>
      </c>
      <c r="H112" s="146" t="s">
        <v>2718</v>
      </c>
      <c r="I112" s="172" t="s">
        <v>14</v>
      </c>
      <c r="J112" s="146" t="s">
        <v>2719</v>
      </c>
      <c r="K112" s="146" t="s">
        <v>2720</v>
      </c>
    </row>
    <row r="113" spans="1:11" ht="23.4">
      <c r="A113" s="139"/>
      <c r="B113" s="149"/>
      <c r="C113" s="150"/>
      <c r="D113" s="146" t="s">
        <v>2047</v>
      </c>
      <c r="E113" s="146" t="s">
        <v>2721</v>
      </c>
      <c r="F113" s="172" t="s">
        <v>204</v>
      </c>
      <c r="G113" s="146" t="s">
        <v>2722</v>
      </c>
      <c r="H113" s="146" t="s">
        <v>2723</v>
      </c>
      <c r="I113" s="172" t="s">
        <v>13</v>
      </c>
      <c r="J113" s="146" t="s">
        <v>2724</v>
      </c>
      <c r="K113" s="146" t="s">
        <v>2725</v>
      </c>
    </row>
    <row r="114" spans="1:11" ht="23.4">
      <c r="A114" s="139"/>
      <c r="B114" s="149"/>
      <c r="C114" s="150"/>
      <c r="D114" s="146" t="s">
        <v>2048</v>
      </c>
      <c r="E114" s="146" t="s">
        <v>2726</v>
      </c>
      <c r="F114" s="172" t="s">
        <v>209</v>
      </c>
      <c r="G114" s="146" t="s">
        <v>2727</v>
      </c>
      <c r="H114" s="146" t="s">
        <v>2728</v>
      </c>
      <c r="I114" s="172" t="s">
        <v>13</v>
      </c>
      <c r="J114" s="146" t="s">
        <v>1658</v>
      </c>
      <c r="K114" s="146" t="s">
        <v>2729</v>
      </c>
    </row>
    <row r="115" spans="1:11" ht="23.4">
      <c r="A115" s="139"/>
      <c r="B115" s="149"/>
      <c r="C115" s="150"/>
      <c r="D115" s="146" t="s">
        <v>2049</v>
      </c>
      <c r="E115" s="146" t="s">
        <v>2730</v>
      </c>
      <c r="F115" s="172" t="s">
        <v>204</v>
      </c>
      <c r="G115" s="146" t="s">
        <v>2731</v>
      </c>
      <c r="H115" s="146" t="s">
        <v>2732</v>
      </c>
      <c r="I115" s="172" t="s">
        <v>14</v>
      </c>
      <c r="J115" s="146" t="s">
        <v>2733</v>
      </c>
      <c r="K115" s="146" t="s">
        <v>2734</v>
      </c>
    </row>
    <row r="116" spans="1:11" ht="23.4">
      <c r="A116" s="139"/>
      <c r="B116" s="149"/>
      <c r="C116" s="151"/>
      <c r="D116" s="146" t="s">
        <v>2050</v>
      </c>
      <c r="E116" s="146" t="s">
        <v>2735</v>
      </c>
      <c r="F116" s="172" t="s">
        <v>204</v>
      </c>
      <c r="G116" s="146" t="s">
        <v>2736</v>
      </c>
      <c r="H116" s="146" t="s">
        <v>2737</v>
      </c>
      <c r="I116" s="172" t="s">
        <v>13</v>
      </c>
      <c r="J116" s="146" t="s">
        <v>2738</v>
      </c>
      <c r="K116" s="146" t="s">
        <v>2739</v>
      </c>
    </row>
    <row r="117" spans="1:11" ht="23.4">
      <c r="A117" s="139"/>
      <c r="B117" s="149"/>
      <c r="C117" s="148" t="s">
        <v>111</v>
      </c>
      <c r="D117" s="146" t="s">
        <v>2051</v>
      </c>
      <c r="E117" s="146" t="s">
        <v>2740</v>
      </c>
      <c r="F117" s="172" t="s">
        <v>209</v>
      </c>
      <c r="G117" s="146" t="s">
        <v>2741</v>
      </c>
      <c r="H117" s="146" t="s">
        <v>2742</v>
      </c>
      <c r="I117" s="172" t="s">
        <v>13</v>
      </c>
      <c r="J117" s="146" t="s">
        <v>2743</v>
      </c>
      <c r="K117" s="146" t="s">
        <v>2744</v>
      </c>
    </row>
    <row r="118" spans="1:11" ht="23.4">
      <c r="A118" s="139"/>
      <c r="B118" s="149"/>
      <c r="C118" s="150"/>
      <c r="D118" s="146" t="s">
        <v>2052</v>
      </c>
      <c r="E118" s="146" t="s">
        <v>2745</v>
      </c>
      <c r="F118" s="172" t="s">
        <v>242</v>
      </c>
      <c r="G118" s="146" t="s">
        <v>2746</v>
      </c>
      <c r="H118" s="146" t="s">
        <v>2747</v>
      </c>
      <c r="I118" s="172" t="s">
        <v>14</v>
      </c>
      <c r="J118" s="146" t="s">
        <v>2748</v>
      </c>
      <c r="K118" s="146" t="s">
        <v>2749</v>
      </c>
    </row>
    <row r="119" spans="1:11" ht="23.4">
      <c r="A119" s="139"/>
      <c r="B119" s="149"/>
      <c r="C119" s="150"/>
      <c r="D119" s="146" t="s">
        <v>2053</v>
      </c>
      <c r="E119" s="146" t="s">
        <v>2750</v>
      </c>
      <c r="F119" s="172" t="s">
        <v>209</v>
      </c>
      <c r="G119" s="146" t="s">
        <v>2751</v>
      </c>
      <c r="H119" s="146" t="s">
        <v>2752</v>
      </c>
      <c r="I119" s="172" t="s">
        <v>13</v>
      </c>
      <c r="J119" s="146" t="s">
        <v>2753</v>
      </c>
      <c r="K119" s="146" t="s">
        <v>2754</v>
      </c>
    </row>
    <row r="120" spans="1:11" ht="23.4">
      <c r="A120" s="139"/>
      <c r="B120" s="149"/>
      <c r="C120" s="150"/>
      <c r="D120" s="146" t="s">
        <v>2054</v>
      </c>
      <c r="E120" s="146" t="s">
        <v>2755</v>
      </c>
      <c r="F120" s="172" t="s">
        <v>209</v>
      </c>
      <c r="G120" s="146" t="s">
        <v>2756</v>
      </c>
      <c r="H120" s="146" t="s">
        <v>2757</v>
      </c>
      <c r="I120" s="172" t="s">
        <v>14</v>
      </c>
      <c r="J120" s="146" t="s">
        <v>2758</v>
      </c>
      <c r="K120" s="146" t="s">
        <v>2759</v>
      </c>
    </row>
    <row r="121" spans="1:11" ht="23.4">
      <c r="A121" s="139"/>
      <c r="B121" s="149"/>
      <c r="C121" s="151"/>
      <c r="D121" s="146" t="s">
        <v>2055</v>
      </c>
      <c r="E121" s="146" t="s">
        <v>2760</v>
      </c>
      <c r="F121" s="172" t="s">
        <v>209</v>
      </c>
      <c r="G121" s="146" t="s">
        <v>2761</v>
      </c>
      <c r="H121" s="146" t="s">
        <v>2762</v>
      </c>
      <c r="I121" s="172" t="s">
        <v>14</v>
      </c>
      <c r="J121" s="146" t="s">
        <v>2763</v>
      </c>
      <c r="K121" s="146" t="s">
        <v>2764</v>
      </c>
    </row>
    <row r="122" spans="1:11" ht="23.4">
      <c r="A122" s="139"/>
      <c r="B122" s="149"/>
      <c r="C122" s="148" t="s">
        <v>112</v>
      </c>
      <c r="D122" s="146" t="s">
        <v>2056</v>
      </c>
      <c r="E122" s="146" t="s">
        <v>2765</v>
      </c>
      <c r="F122" s="172" t="s">
        <v>242</v>
      </c>
      <c r="G122" s="146" t="s">
        <v>2766</v>
      </c>
      <c r="H122" s="146" t="s">
        <v>2767</v>
      </c>
      <c r="I122" s="172" t="s">
        <v>13</v>
      </c>
      <c r="J122" s="146" t="s">
        <v>2768</v>
      </c>
      <c r="K122" s="146" t="s">
        <v>2769</v>
      </c>
    </row>
    <row r="123" spans="1:11" ht="23.4">
      <c r="A123" s="139"/>
      <c r="B123" s="149"/>
      <c r="C123" s="150"/>
      <c r="D123" s="146" t="s">
        <v>2057</v>
      </c>
      <c r="E123" s="146" t="s">
        <v>2770</v>
      </c>
      <c r="F123" s="172" t="s">
        <v>204</v>
      </c>
      <c r="G123" s="146" t="s">
        <v>2771</v>
      </c>
      <c r="H123" s="146" t="s">
        <v>2772</v>
      </c>
      <c r="I123" s="172" t="s">
        <v>13</v>
      </c>
      <c r="J123" s="146" t="s">
        <v>2773</v>
      </c>
      <c r="K123" s="146" t="s">
        <v>2774</v>
      </c>
    </row>
    <row r="124" spans="1:11" ht="23.4">
      <c r="A124" s="139"/>
      <c r="B124" s="149"/>
      <c r="C124" s="150"/>
      <c r="D124" s="146" t="s">
        <v>2058</v>
      </c>
      <c r="E124" s="146" t="s">
        <v>2775</v>
      </c>
      <c r="F124" s="172" t="s">
        <v>204</v>
      </c>
      <c r="G124" s="146" t="s">
        <v>2776</v>
      </c>
      <c r="H124" s="146" t="s">
        <v>2777</v>
      </c>
      <c r="I124" s="172" t="s">
        <v>13</v>
      </c>
      <c r="J124" s="146" t="s">
        <v>2778</v>
      </c>
      <c r="K124" s="146" t="s">
        <v>2779</v>
      </c>
    </row>
    <row r="125" spans="1:11" ht="23.4">
      <c r="A125" s="139"/>
      <c r="B125" s="149"/>
      <c r="C125" s="150"/>
      <c r="D125" s="146" t="s">
        <v>2059</v>
      </c>
      <c r="E125" s="146" t="s">
        <v>2780</v>
      </c>
      <c r="F125" s="172" t="s">
        <v>209</v>
      </c>
      <c r="G125" s="146" t="s">
        <v>2781</v>
      </c>
      <c r="H125" s="146" t="s">
        <v>2782</v>
      </c>
      <c r="I125" s="172" t="s">
        <v>14</v>
      </c>
      <c r="J125" s="146" t="s">
        <v>2783</v>
      </c>
      <c r="K125" s="146" t="s">
        <v>2784</v>
      </c>
    </row>
    <row r="126" spans="1:11" ht="23.4">
      <c r="A126" s="139"/>
      <c r="B126" s="149"/>
      <c r="C126" s="151"/>
      <c r="D126" s="146" t="s">
        <v>2060</v>
      </c>
      <c r="E126" s="146" t="s">
        <v>2785</v>
      </c>
      <c r="F126" s="172" t="s">
        <v>204</v>
      </c>
      <c r="G126" s="146" t="s">
        <v>2786</v>
      </c>
      <c r="H126" s="146" t="s">
        <v>2787</v>
      </c>
      <c r="I126" s="172" t="s">
        <v>13</v>
      </c>
      <c r="J126" s="146" t="s">
        <v>2788</v>
      </c>
      <c r="K126" s="146" t="s">
        <v>2789</v>
      </c>
    </row>
    <row r="127" spans="1:11" ht="23.4">
      <c r="A127" s="139"/>
      <c r="B127" s="149"/>
      <c r="C127" s="148" t="s">
        <v>113</v>
      </c>
      <c r="D127" s="146" t="s">
        <v>2061</v>
      </c>
      <c r="E127" s="146" t="s">
        <v>2790</v>
      </c>
      <c r="F127" s="172" t="s">
        <v>204</v>
      </c>
      <c r="G127" s="146" t="s">
        <v>2791</v>
      </c>
      <c r="H127" s="146" t="s">
        <v>2792</v>
      </c>
      <c r="I127" s="172" t="s">
        <v>13</v>
      </c>
      <c r="J127" s="146" t="s">
        <v>2793</v>
      </c>
      <c r="K127" s="146" t="s">
        <v>2794</v>
      </c>
    </row>
    <row r="128" spans="1:11" ht="23.4">
      <c r="A128" s="139"/>
      <c r="B128" s="149"/>
      <c r="C128" s="150"/>
      <c r="D128" s="146" t="s">
        <v>2062</v>
      </c>
      <c r="E128" s="146" t="s">
        <v>2795</v>
      </c>
      <c r="F128" s="172" t="s">
        <v>209</v>
      </c>
      <c r="G128" s="146" t="s">
        <v>2796</v>
      </c>
      <c r="H128" s="146" t="s">
        <v>2797</v>
      </c>
      <c r="I128" s="172" t="s">
        <v>13</v>
      </c>
      <c r="J128" s="146" t="s">
        <v>2798</v>
      </c>
      <c r="K128" s="146" t="s">
        <v>2799</v>
      </c>
    </row>
    <row r="129" spans="1:11" ht="23.4">
      <c r="A129" s="139"/>
      <c r="B129" s="149"/>
      <c r="C129" s="150"/>
      <c r="D129" s="146" t="s">
        <v>2063</v>
      </c>
      <c r="E129" s="146" t="s">
        <v>2800</v>
      </c>
      <c r="F129" s="172" t="s">
        <v>242</v>
      </c>
      <c r="G129" s="146" t="s">
        <v>2801</v>
      </c>
      <c r="H129" s="146" t="s">
        <v>2802</v>
      </c>
      <c r="I129" s="172" t="s">
        <v>14</v>
      </c>
      <c r="J129" s="146" t="s">
        <v>2803</v>
      </c>
      <c r="K129" s="146" t="s">
        <v>2804</v>
      </c>
    </row>
    <row r="130" spans="1:11" ht="23.4">
      <c r="A130" s="139"/>
      <c r="B130" s="149"/>
      <c r="C130" s="150"/>
      <c r="D130" s="146" t="s">
        <v>2064</v>
      </c>
      <c r="E130" s="146" t="s">
        <v>2805</v>
      </c>
      <c r="F130" s="172" t="s">
        <v>209</v>
      </c>
      <c r="G130" s="146" t="s">
        <v>2806</v>
      </c>
      <c r="H130" s="146" t="s">
        <v>2807</v>
      </c>
      <c r="I130" s="172" t="s">
        <v>13</v>
      </c>
      <c r="J130" s="146" t="s">
        <v>2808</v>
      </c>
      <c r="K130" s="146" t="s">
        <v>2809</v>
      </c>
    </row>
    <row r="131" spans="1:11" ht="23.4">
      <c r="A131" s="139"/>
      <c r="B131" s="149"/>
      <c r="C131" s="151"/>
      <c r="D131" s="146" t="s">
        <v>2065</v>
      </c>
      <c r="E131" s="146" t="s">
        <v>2810</v>
      </c>
      <c r="F131" s="172" t="s">
        <v>209</v>
      </c>
      <c r="G131" s="146" t="s">
        <v>2811</v>
      </c>
      <c r="H131" s="146" t="s">
        <v>2812</v>
      </c>
      <c r="I131" s="172" t="s">
        <v>13</v>
      </c>
      <c r="J131" s="146" t="s">
        <v>2813</v>
      </c>
      <c r="K131" s="146" t="s">
        <v>2814</v>
      </c>
    </row>
    <row r="132" spans="1:11" ht="23.4">
      <c r="A132" s="139"/>
      <c r="B132" s="149"/>
      <c r="C132" s="148" t="s">
        <v>114</v>
      </c>
      <c r="D132" s="146" t="s">
        <v>2066</v>
      </c>
      <c r="E132" s="146" t="s">
        <v>2815</v>
      </c>
      <c r="F132" s="172" t="s">
        <v>209</v>
      </c>
      <c r="G132" s="146" t="s">
        <v>2816</v>
      </c>
      <c r="H132" s="146" t="s">
        <v>2817</v>
      </c>
      <c r="I132" s="172" t="s">
        <v>14</v>
      </c>
      <c r="J132" s="146" t="s">
        <v>2818</v>
      </c>
      <c r="K132" s="146" t="s">
        <v>2819</v>
      </c>
    </row>
    <row r="133" spans="1:11" ht="23.4">
      <c r="A133" s="139"/>
      <c r="B133" s="149"/>
      <c r="C133" s="150"/>
      <c r="D133" s="146" t="s">
        <v>2067</v>
      </c>
      <c r="E133" s="146" t="s">
        <v>2820</v>
      </c>
      <c r="F133" s="172" t="s">
        <v>242</v>
      </c>
      <c r="G133" s="146" t="s">
        <v>2821</v>
      </c>
      <c r="H133" s="146" t="s">
        <v>2822</v>
      </c>
      <c r="I133" s="172" t="s">
        <v>14</v>
      </c>
      <c r="J133" s="146" t="s">
        <v>2823</v>
      </c>
      <c r="K133" s="146" t="s">
        <v>2824</v>
      </c>
    </row>
    <row r="134" spans="1:11" ht="23.4">
      <c r="A134" s="139"/>
      <c r="B134" s="149"/>
      <c r="C134" s="150"/>
      <c r="D134" s="146" t="s">
        <v>2068</v>
      </c>
      <c r="E134" s="146" t="s">
        <v>2825</v>
      </c>
      <c r="F134" s="172" t="s">
        <v>209</v>
      </c>
      <c r="G134" s="146" t="s">
        <v>2826</v>
      </c>
      <c r="H134" s="146" t="s">
        <v>2827</v>
      </c>
      <c r="I134" s="172" t="s">
        <v>14</v>
      </c>
      <c r="J134" s="146" t="s">
        <v>2828</v>
      </c>
      <c r="K134" s="146" t="s">
        <v>2829</v>
      </c>
    </row>
    <row r="135" spans="1:11" ht="23.4">
      <c r="A135" s="139"/>
      <c r="B135" s="149"/>
      <c r="C135" s="150"/>
      <c r="D135" s="146" t="s">
        <v>2069</v>
      </c>
      <c r="E135" s="146" t="s">
        <v>2830</v>
      </c>
      <c r="F135" s="172" t="s">
        <v>209</v>
      </c>
      <c r="G135" s="146" t="s">
        <v>2831</v>
      </c>
      <c r="H135" s="146" t="s">
        <v>2832</v>
      </c>
      <c r="I135" s="172" t="s">
        <v>14</v>
      </c>
      <c r="J135" s="146" t="s">
        <v>2833</v>
      </c>
      <c r="K135" s="146" t="s">
        <v>2834</v>
      </c>
    </row>
    <row r="136" spans="1:11" ht="23.4">
      <c r="A136" s="139"/>
      <c r="B136" s="149"/>
      <c r="C136" s="151"/>
      <c r="D136" s="146" t="s">
        <v>2070</v>
      </c>
      <c r="E136" s="146" t="s">
        <v>2835</v>
      </c>
      <c r="F136" s="172" t="s">
        <v>209</v>
      </c>
      <c r="G136" s="146" t="s">
        <v>2836</v>
      </c>
      <c r="H136" s="146" t="s">
        <v>2837</v>
      </c>
      <c r="I136" s="172" t="s">
        <v>13</v>
      </c>
      <c r="J136" s="146" t="s">
        <v>2838</v>
      </c>
      <c r="K136" s="146" t="s">
        <v>2839</v>
      </c>
    </row>
    <row r="137" spans="1:11" ht="23.4">
      <c r="A137" s="139"/>
      <c r="B137" s="149"/>
      <c r="C137" s="148" t="s">
        <v>115</v>
      </c>
      <c r="D137" s="146" t="s">
        <v>2071</v>
      </c>
      <c r="E137" s="146" t="s">
        <v>2840</v>
      </c>
      <c r="F137" s="172" t="s">
        <v>209</v>
      </c>
      <c r="G137" s="146" t="s">
        <v>2841</v>
      </c>
      <c r="H137" s="146" t="s">
        <v>2842</v>
      </c>
      <c r="I137" s="172" t="s">
        <v>14</v>
      </c>
      <c r="J137" s="146" t="s">
        <v>2843</v>
      </c>
      <c r="K137" s="146" t="s">
        <v>2844</v>
      </c>
    </row>
    <row r="138" spans="1:11" ht="23.4">
      <c r="A138" s="139"/>
      <c r="B138" s="149"/>
      <c r="C138" s="150"/>
      <c r="D138" s="146" t="s">
        <v>2072</v>
      </c>
      <c r="E138" s="146" t="s">
        <v>2845</v>
      </c>
      <c r="F138" s="172" t="s">
        <v>204</v>
      </c>
      <c r="G138" s="146" t="s">
        <v>2846</v>
      </c>
      <c r="H138" s="146" t="s">
        <v>2847</v>
      </c>
      <c r="I138" s="172" t="s">
        <v>14</v>
      </c>
      <c r="J138" s="146" t="s">
        <v>2848</v>
      </c>
      <c r="K138" s="146" t="s">
        <v>2849</v>
      </c>
    </row>
    <row r="139" spans="1:11" ht="23.4">
      <c r="A139" s="139"/>
      <c r="B139" s="149"/>
      <c r="C139" s="150"/>
      <c r="D139" s="146" t="s">
        <v>2029</v>
      </c>
      <c r="E139" s="146" t="s">
        <v>2850</v>
      </c>
      <c r="F139" s="172" t="s">
        <v>242</v>
      </c>
      <c r="G139" s="146" t="s">
        <v>2851</v>
      </c>
      <c r="H139" s="146" t="s">
        <v>2852</v>
      </c>
      <c r="I139" s="172" t="s">
        <v>13</v>
      </c>
      <c r="J139" s="146" t="s">
        <v>2853</v>
      </c>
      <c r="K139" s="146" t="s">
        <v>2854</v>
      </c>
    </row>
    <row r="140" spans="1:11" ht="23.4">
      <c r="A140" s="139"/>
      <c r="B140" s="149"/>
      <c r="C140" s="150"/>
      <c r="D140" s="146" t="s">
        <v>2073</v>
      </c>
      <c r="E140" s="146" t="s">
        <v>2855</v>
      </c>
      <c r="F140" s="172" t="s">
        <v>242</v>
      </c>
      <c r="G140" s="146" t="s">
        <v>2856</v>
      </c>
      <c r="H140" s="146" t="s">
        <v>2857</v>
      </c>
      <c r="I140" s="172" t="s">
        <v>14</v>
      </c>
      <c r="J140" s="146" t="s">
        <v>2858</v>
      </c>
      <c r="K140" s="146" t="s">
        <v>2859</v>
      </c>
    </row>
    <row r="141" spans="1:11" ht="23.4">
      <c r="A141" s="139"/>
      <c r="B141" s="149"/>
      <c r="C141" s="150"/>
      <c r="D141" s="146" t="s">
        <v>2074</v>
      </c>
      <c r="E141" s="146" t="s">
        <v>2860</v>
      </c>
      <c r="F141" s="172" t="s">
        <v>204</v>
      </c>
      <c r="G141" s="146" t="s">
        <v>2861</v>
      </c>
      <c r="H141" s="146" t="s">
        <v>2862</v>
      </c>
      <c r="I141" s="172" t="s">
        <v>14</v>
      </c>
      <c r="J141" s="146" t="s">
        <v>2863</v>
      </c>
      <c r="K141" s="146" t="s">
        <v>2864</v>
      </c>
    </row>
    <row r="142" spans="1:11" ht="23.4">
      <c r="A142" s="139"/>
      <c r="B142" s="149"/>
      <c r="C142" s="151"/>
      <c r="D142" s="146" t="s">
        <v>2075</v>
      </c>
      <c r="E142" s="146" t="s">
        <v>2865</v>
      </c>
      <c r="F142" s="172" t="s">
        <v>204</v>
      </c>
      <c r="G142" s="146" t="s">
        <v>2866</v>
      </c>
      <c r="H142" s="146" t="s">
        <v>2867</v>
      </c>
      <c r="I142" s="172" t="s">
        <v>14</v>
      </c>
      <c r="J142" s="146" t="s">
        <v>2868</v>
      </c>
      <c r="K142" s="146" t="s">
        <v>2869</v>
      </c>
    </row>
    <row r="143" spans="1:11" ht="23.4">
      <c r="A143" s="139"/>
      <c r="B143" s="149"/>
      <c r="C143" s="148" t="s">
        <v>116</v>
      </c>
      <c r="D143" s="146" t="s">
        <v>2076</v>
      </c>
      <c r="E143" s="146" t="s">
        <v>2870</v>
      </c>
      <c r="F143" s="172" t="s">
        <v>209</v>
      </c>
      <c r="G143" s="146" t="s">
        <v>2871</v>
      </c>
      <c r="H143" s="146" t="s">
        <v>2863</v>
      </c>
      <c r="I143" s="172" t="s">
        <v>14</v>
      </c>
      <c r="J143" s="146" t="s">
        <v>2872</v>
      </c>
      <c r="K143" s="146" t="s">
        <v>2873</v>
      </c>
    </row>
    <row r="144" spans="1:11" ht="23.4">
      <c r="A144" s="139"/>
      <c r="B144" s="149"/>
      <c r="C144" s="150"/>
      <c r="D144" s="146" t="s">
        <v>2077</v>
      </c>
      <c r="E144" s="146" t="s">
        <v>2874</v>
      </c>
      <c r="F144" s="172" t="s">
        <v>204</v>
      </c>
      <c r="G144" s="146" t="s">
        <v>2875</v>
      </c>
      <c r="H144" s="146" t="s">
        <v>2818</v>
      </c>
      <c r="I144" s="172" t="s">
        <v>14</v>
      </c>
      <c r="J144" s="146" t="s">
        <v>2876</v>
      </c>
      <c r="K144" s="146" t="s">
        <v>2877</v>
      </c>
    </row>
    <row r="145" spans="1:11" ht="23.4">
      <c r="A145" s="139"/>
      <c r="B145" s="149"/>
      <c r="C145" s="150"/>
      <c r="D145" s="146" t="s">
        <v>2078</v>
      </c>
      <c r="E145" s="146" t="s">
        <v>2878</v>
      </c>
      <c r="F145" s="172" t="s">
        <v>204</v>
      </c>
      <c r="G145" s="146" t="s">
        <v>2879</v>
      </c>
      <c r="H145" s="146" t="s">
        <v>2880</v>
      </c>
      <c r="I145" s="172" t="s">
        <v>19</v>
      </c>
      <c r="J145" s="146" t="s">
        <v>2881</v>
      </c>
      <c r="K145" s="146" t="s">
        <v>2882</v>
      </c>
    </row>
    <row r="146" spans="1:11" ht="23.4">
      <c r="A146" s="139"/>
      <c r="B146" s="149"/>
      <c r="C146" s="150"/>
      <c r="D146" s="146" t="s">
        <v>2079</v>
      </c>
      <c r="E146" s="146" t="s">
        <v>2883</v>
      </c>
      <c r="F146" s="172" t="s">
        <v>209</v>
      </c>
      <c r="G146" s="146" t="s">
        <v>2884</v>
      </c>
      <c r="H146" s="146" t="s">
        <v>2885</v>
      </c>
      <c r="I146" s="172" t="s">
        <v>14</v>
      </c>
      <c r="J146" s="146" t="s">
        <v>2886</v>
      </c>
      <c r="K146" s="146" t="s">
        <v>2887</v>
      </c>
    </row>
    <row r="147" spans="1:11" ht="23.4">
      <c r="A147" s="139"/>
      <c r="B147" s="149"/>
      <c r="C147" s="151"/>
      <c r="D147" s="146" t="s">
        <v>2080</v>
      </c>
      <c r="E147" s="146" t="s">
        <v>2888</v>
      </c>
      <c r="F147" s="172" t="s">
        <v>242</v>
      </c>
      <c r="G147" s="146" t="s">
        <v>2889</v>
      </c>
      <c r="H147" s="146" t="s">
        <v>2890</v>
      </c>
      <c r="I147" s="172" t="s">
        <v>13</v>
      </c>
      <c r="J147" s="146" t="s">
        <v>2891</v>
      </c>
      <c r="K147" s="146" t="s">
        <v>2892</v>
      </c>
    </row>
    <row r="148" spans="1:11" ht="23.4">
      <c r="A148" s="139"/>
      <c r="B148" s="149"/>
      <c r="C148" s="148" t="s">
        <v>117</v>
      </c>
      <c r="D148" s="146" t="s">
        <v>2081</v>
      </c>
      <c r="E148" s="146" t="s">
        <v>2893</v>
      </c>
      <c r="F148" s="172" t="s">
        <v>209</v>
      </c>
      <c r="G148" s="146" t="s">
        <v>2894</v>
      </c>
      <c r="H148" s="146" t="s">
        <v>2895</v>
      </c>
      <c r="I148" s="172" t="s">
        <v>13</v>
      </c>
      <c r="J148" s="146" t="s">
        <v>2896</v>
      </c>
      <c r="K148" s="146" t="s">
        <v>2897</v>
      </c>
    </row>
    <row r="149" spans="1:11" ht="23.4">
      <c r="A149" s="139"/>
      <c r="B149" s="149"/>
      <c r="C149" s="150"/>
      <c r="D149" s="146" t="s">
        <v>2082</v>
      </c>
      <c r="E149" s="146" t="s">
        <v>2898</v>
      </c>
      <c r="F149" s="172" t="s">
        <v>209</v>
      </c>
      <c r="G149" s="146" t="s">
        <v>2899</v>
      </c>
      <c r="H149" s="146" t="s">
        <v>2900</v>
      </c>
      <c r="I149" s="172" t="s">
        <v>14</v>
      </c>
      <c r="J149" s="146" t="s">
        <v>2901</v>
      </c>
      <c r="K149" s="146" t="s">
        <v>2902</v>
      </c>
    </row>
    <row r="150" spans="1:11" ht="23.4">
      <c r="A150" s="139"/>
      <c r="B150" s="149"/>
      <c r="C150" s="150"/>
      <c r="D150" s="146" t="s">
        <v>2083</v>
      </c>
      <c r="E150" s="146" t="s">
        <v>2903</v>
      </c>
      <c r="F150" s="172" t="s">
        <v>209</v>
      </c>
      <c r="G150" s="146" t="s">
        <v>2904</v>
      </c>
      <c r="H150" s="146" t="s">
        <v>2905</v>
      </c>
      <c r="I150" s="172" t="s">
        <v>14</v>
      </c>
      <c r="J150" s="146" t="s">
        <v>2906</v>
      </c>
      <c r="K150" s="146" t="s">
        <v>2907</v>
      </c>
    </row>
    <row r="151" spans="1:11" ht="23.4">
      <c r="A151" s="139"/>
      <c r="B151" s="149"/>
      <c r="C151" s="150"/>
      <c r="D151" s="146" t="s">
        <v>2084</v>
      </c>
      <c r="E151" s="146" t="s">
        <v>2908</v>
      </c>
      <c r="F151" s="172" t="s">
        <v>242</v>
      </c>
      <c r="G151" s="146" t="s">
        <v>2909</v>
      </c>
      <c r="H151" s="146" t="s">
        <v>2910</v>
      </c>
      <c r="I151" s="172" t="s">
        <v>14</v>
      </c>
      <c r="J151" s="146" t="s">
        <v>2911</v>
      </c>
      <c r="K151" s="146" t="s">
        <v>2912</v>
      </c>
    </row>
    <row r="152" spans="1:11" ht="23.4">
      <c r="A152" s="139"/>
      <c r="B152" s="149"/>
      <c r="C152" s="151"/>
      <c r="D152" s="146" t="s">
        <v>2085</v>
      </c>
      <c r="E152" s="146" t="s">
        <v>2913</v>
      </c>
      <c r="F152" s="172" t="s">
        <v>204</v>
      </c>
      <c r="G152" s="146" t="s">
        <v>2914</v>
      </c>
      <c r="H152" s="146" t="s">
        <v>2915</v>
      </c>
      <c r="I152" s="172" t="s">
        <v>14</v>
      </c>
      <c r="J152" s="146" t="s">
        <v>2916</v>
      </c>
      <c r="K152" s="146" t="s">
        <v>2917</v>
      </c>
    </row>
    <row r="153" spans="1:11" ht="23.4">
      <c r="A153" s="139"/>
      <c r="B153" s="149"/>
      <c r="C153" s="148" t="s">
        <v>118</v>
      </c>
      <c r="D153" s="146" t="s">
        <v>2086</v>
      </c>
      <c r="E153" s="146" t="s">
        <v>2918</v>
      </c>
      <c r="F153" s="172" t="s">
        <v>204</v>
      </c>
      <c r="G153" s="146" t="s">
        <v>2919</v>
      </c>
      <c r="H153" s="146" t="s">
        <v>2920</v>
      </c>
      <c r="I153" s="172" t="s">
        <v>13</v>
      </c>
      <c r="J153" s="146" t="s">
        <v>2921</v>
      </c>
      <c r="K153" s="146" t="s">
        <v>2922</v>
      </c>
    </row>
    <row r="154" spans="1:11" ht="23.4">
      <c r="A154" s="139"/>
      <c r="B154" s="149"/>
      <c r="C154" s="150"/>
      <c r="D154" s="146" t="s">
        <v>2087</v>
      </c>
      <c r="E154" s="146" t="s">
        <v>2923</v>
      </c>
      <c r="F154" s="172" t="s">
        <v>209</v>
      </c>
      <c r="G154" s="146" t="s">
        <v>2924</v>
      </c>
      <c r="H154" s="146" t="s">
        <v>2925</v>
      </c>
      <c r="I154" s="172" t="s">
        <v>14</v>
      </c>
      <c r="J154" s="146" t="s">
        <v>2926</v>
      </c>
      <c r="K154" s="146" t="s">
        <v>2927</v>
      </c>
    </row>
    <row r="155" spans="1:11" ht="23.4">
      <c r="A155" s="139"/>
      <c r="B155" s="149"/>
      <c r="C155" s="150"/>
      <c r="D155" s="146" t="s">
        <v>2088</v>
      </c>
      <c r="E155" s="146" t="s">
        <v>2928</v>
      </c>
      <c r="F155" s="172" t="s">
        <v>204</v>
      </c>
      <c r="G155" s="146" t="s">
        <v>2929</v>
      </c>
      <c r="H155" s="146" t="s">
        <v>2930</v>
      </c>
      <c r="I155" s="172" t="s">
        <v>13</v>
      </c>
      <c r="J155" s="146" t="s">
        <v>2931</v>
      </c>
      <c r="K155" s="146" t="s">
        <v>2932</v>
      </c>
    </row>
    <row r="156" spans="1:11" ht="23.4">
      <c r="A156" s="139"/>
      <c r="B156" s="149"/>
      <c r="C156" s="150"/>
      <c r="D156" s="146" t="s">
        <v>2089</v>
      </c>
      <c r="E156" s="146" t="s">
        <v>2933</v>
      </c>
      <c r="F156" s="172" t="s">
        <v>204</v>
      </c>
      <c r="G156" s="146" t="s">
        <v>2934</v>
      </c>
      <c r="H156" s="146" t="s">
        <v>2935</v>
      </c>
      <c r="I156" s="172" t="s">
        <v>14</v>
      </c>
      <c r="J156" s="146" t="s">
        <v>2936</v>
      </c>
      <c r="K156" s="146" t="s">
        <v>2937</v>
      </c>
    </row>
    <row r="157" spans="1:11" ht="23.4">
      <c r="A157" s="139"/>
      <c r="B157" s="149"/>
      <c r="C157" s="151"/>
      <c r="D157" s="146" t="s">
        <v>2090</v>
      </c>
      <c r="E157" s="146" t="s">
        <v>2938</v>
      </c>
      <c r="F157" s="172" t="s">
        <v>209</v>
      </c>
      <c r="G157" s="146" t="s">
        <v>2939</v>
      </c>
      <c r="H157" s="146" t="s">
        <v>2940</v>
      </c>
      <c r="I157" s="172" t="s">
        <v>13</v>
      </c>
      <c r="J157" s="146" t="s">
        <v>2941</v>
      </c>
      <c r="K157" s="146" t="s">
        <v>2942</v>
      </c>
    </row>
    <row r="158" spans="1:11" ht="23.4">
      <c r="A158" s="139"/>
      <c r="B158" s="149"/>
      <c r="C158" s="148" t="s">
        <v>119</v>
      </c>
      <c r="D158" s="146" t="s">
        <v>2091</v>
      </c>
      <c r="E158" s="146" t="s">
        <v>2943</v>
      </c>
      <c r="F158" s="172" t="s">
        <v>242</v>
      </c>
      <c r="G158" s="146" t="s">
        <v>2944</v>
      </c>
      <c r="H158" s="146" t="s">
        <v>2945</v>
      </c>
      <c r="I158" s="172" t="s">
        <v>13</v>
      </c>
      <c r="J158" s="146" t="s">
        <v>2946</v>
      </c>
      <c r="K158" s="146" t="s">
        <v>2947</v>
      </c>
    </row>
    <row r="159" spans="1:11" ht="23.4">
      <c r="A159" s="139"/>
      <c r="B159" s="149"/>
      <c r="C159" s="150"/>
      <c r="D159" s="146" t="s">
        <v>2092</v>
      </c>
      <c r="E159" s="146" t="s">
        <v>2948</v>
      </c>
      <c r="F159" s="172" t="s">
        <v>209</v>
      </c>
      <c r="G159" s="146" t="s">
        <v>2949</v>
      </c>
      <c r="H159" s="146" t="s">
        <v>2950</v>
      </c>
      <c r="I159" s="172" t="s">
        <v>14</v>
      </c>
      <c r="J159" s="146" t="s">
        <v>2951</v>
      </c>
      <c r="K159" s="146" t="s">
        <v>2952</v>
      </c>
    </row>
    <row r="160" spans="1:11" ht="23.4">
      <c r="A160" s="139"/>
      <c r="B160" s="149"/>
      <c r="C160" s="150"/>
      <c r="D160" s="146" t="s">
        <v>2093</v>
      </c>
      <c r="E160" s="146" t="s">
        <v>2953</v>
      </c>
      <c r="F160" s="172" t="s">
        <v>209</v>
      </c>
      <c r="G160" s="146" t="s">
        <v>2954</v>
      </c>
      <c r="H160" s="146" t="s">
        <v>2955</v>
      </c>
      <c r="I160" s="172" t="s">
        <v>13</v>
      </c>
      <c r="J160" s="146" t="s">
        <v>2956</v>
      </c>
      <c r="K160" s="146" t="s">
        <v>2957</v>
      </c>
    </row>
    <row r="161" spans="1:11" ht="23.4">
      <c r="A161" s="139"/>
      <c r="B161" s="149"/>
      <c r="C161" s="150"/>
      <c r="D161" s="146" t="s">
        <v>2094</v>
      </c>
      <c r="E161" s="146" t="s">
        <v>2958</v>
      </c>
      <c r="F161" s="172" t="s">
        <v>209</v>
      </c>
      <c r="G161" s="146" t="s">
        <v>2959</v>
      </c>
      <c r="H161" s="146" t="s">
        <v>2960</v>
      </c>
      <c r="I161" s="172" t="s">
        <v>13</v>
      </c>
      <c r="J161" s="146" t="s">
        <v>2961</v>
      </c>
      <c r="K161" s="146" t="s">
        <v>2962</v>
      </c>
    </row>
    <row r="162" spans="1:11" ht="23.4">
      <c r="A162" s="139"/>
      <c r="B162" s="149"/>
      <c r="C162" s="151"/>
      <c r="D162" s="146" t="s">
        <v>2095</v>
      </c>
      <c r="E162" s="146" t="s">
        <v>2963</v>
      </c>
      <c r="F162" s="172" t="s">
        <v>242</v>
      </c>
      <c r="G162" s="146" t="s">
        <v>2964</v>
      </c>
      <c r="H162" s="146" t="s">
        <v>2965</v>
      </c>
      <c r="I162" s="172" t="s">
        <v>14</v>
      </c>
      <c r="J162" s="146" t="s">
        <v>2966</v>
      </c>
      <c r="K162" s="146" t="s">
        <v>2967</v>
      </c>
    </row>
    <row r="163" spans="1:11" ht="23.4">
      <c r="A163" s="139"/>
      <c r="B163" s="149"/>
      <c r="C163" s="145" t="s">
        <v>120</v>
      </c>
      <c r="D163" s="146" t="s">
        <v>2096</v>
      </c>
      <c r="E163" s="146" t="s">
        <v>2968</v>
      </c>
      <c r="F163" s="172" t="s">
        <v>204</v>
      </c>
      <c r="G163" s="146" t="s">
        <v>2969</v>
      </c>
      <c r="H163" s="146" t="s">
        <v>2680</v>
      </c>
      <c r="I163" s="172" t="s">
        <v>14</v>
      </c>
      <c r="J163" s="146" t="s">
        <v>2970</v>
      </c>
      <c r="K163" s="146" t="s">
        <v>2971</v>
      </c>
    </row>
    <row r="164" spans="1:11" ht="23.4">
      <c r="A164" s="139"/>
      <c r="B164" s="149"/>
      <c r="C164" s="145"/>
      <c r="D164" s="146" t="s">
        <v>2097</v>
      </c>
      <c r="E164" s="146" t="s">
        <v>2972</v>
      </c>
      <c r="F164" s="172" t="s">
        <v>204</v>
      </c>
      <c r="G164" s="146" t="s">
        <v>2973</v>
      </c>
      <c r="H164" s="146" t="s">
        <v>2974</v>
      </c>
      <c r="I164" s="172" t="s">
        <v>14</v>
      </c>
      <c r="J164" s="146" t="s">
        <v>2975</v>
      </c>
      <c r="K164" s="146" t="s">
        <v>2976</v>
      </c>
    </row>
    <row r="165" spans="1:11" ht="23.4">
      <c r="A165" s="139"/>
      <c r="B165" s="149"/>
      <c r="C165" s="145"/>
      <c r="D165" s="146" t="s">
        <v>2098</v>
      </c>
      <c r="E165" s="146" t="s">
        <v>2977</v>
      </c>
      <c r="F165" s="172" t="s">
        <v>209</v>
      </c>
      <c r="G165" s="146" t="s">
        <v>2978</v>
      </c>
      <c r="H165" s="146" t="s">
        <v>2979</v>
      </c>
      <c r="I165" s="172" t="s">
        <v>14</v>
      </c>
      <c r="J165" s="146" t="s">
        <v>2980</v>
      </c>
      <c r="K165" s="146" t="s">
        <v>2981</v>
      </c>
    </row>
    <row r="166" spans="1:11" ht="23.4">
      <c r="A166" s="139"/>
      <c r="B166" s="149"/>
      <c r="C166" s="145"/>
      <c r="D166" s="146" t="s">
        <v>2099</v>
      </c>
      <c r="E166" s="146" t="s">
        <v>2982</v>
      </c>
      <c r="F166" s="172" t="s">
        <v>204</v>
      </c>
      <c r="G166" s="146" t="s">
        <v>2983</v>
      </c>
      <c r="H166" s="146" t="s">
        <v>2984</v>
      </c>
      <c r="I166" s="172" t="s">
        <v>14</v>
      </c>
      <c r="J166" s="146" t="s">
        <v>2985</v>
      </c>
      <c r="K166" s="146" t="s">
        <v>2986</v>
      </c>
    </row>
    <row r="167" spans="1:11" ht="23.4">
      <c r="A167" s="139"/>
      <c r="B167" s="149"/>
      <c r="C167" s="145"/>
      <c r="D167" s="146" t="s">
        <v>2100</v>
      </c>
      <c r="E167" s="146" t="s">
        <v>2987</v>
      </c>
      <c r="F167" s="172" t="s">
        <v>204</v>
      </c>
      <c r="G167" s="146" t="s">
        <v>2988</v>
      </c>
      <c r="H167" s="146" t="s">
        <v>2989</v>
      </c>
      <c r="I167" s="172" t="s">
        <v>19</v>
      </c>
      <c r="J167" s="146" t="s">
        <v>2990</v>
      </c>
      <c r="K167" s="146" t="s">
        <v>2991</v>
      </c>
    </row>
    <row r="168" spans="1:11" ht="23.4">
      <c r="A168" s="139"/>
      <c r="B168" s="149"/>
      <c r="C168" s="148" t="s">
        <v>121</v>
      </c>
      <c r="D168" s="146" t="s">
        <v>2101</v>
      </c>
      <c r="E168" s="146" t="s">
        <v>2992</v>
      </c>
      <c r="F168" s="172" t="s">
        <v>209</v>
      </c>
      <c r="G168" s="146" t="s">
        <v>2993</v>
      </c>
      <c r="H168" s="146" t="s">
        <v>2994</v>
      </c>
      <c r="I168" s="172" t="s">
        <v>14</v>
      </c>
      <c r="J168" s="146" t="s">
        <v>2995</v>
      </c>
      <c r="K168" s="146" t="s">
        <v>2996</v>
      </c>
    </row>
    <row r="169" spans="1:11" ht="23.4">
      <c r="A169" s="139"/>
      <c r="B169" s="149"/>
      <c r="C169" s="150"/>
      <c r="D169" s="146" t="s">
        <v>2102</v>
      </c>
      <c r="E169" s="146" t="s">
        <v>2997</v>
      </c>
      <c r="F169" s="172" t="s">
        <v>242</v>
      </c>
      <c r="G169" s="146" t="s">
        <v>2998</v>
      </c>
      <c r="H169" s="146" t="s">
        <v>2999</v>
      </c>
      <c r="I169" s="172" t="s">
        <v>19</v>
      </c>
      <c r="J169" s="146" t="s">
        <v>3000</v>
      </c>
      <c r="K169" s="146" t="s">
        <v>3001</v>
      </c>
    </row>
    <row r="170" spans="1:11" ht="23.4">
      <c r="A170" s="139"/>
      <c r="B170" s="149"/>
      <c r="C170" s="150"/>
      <c r="D170" s="146" t="s">
        <v>2103</v>
      </c>
      <c r="E170" s="146" t="s">
        <v>3002</v>
      </c>
      <c r="F170" s="172" t="s">
        <v>209</v>
      </c>
      <c r="G170" s="146" t="s">
        <v>3003</v>
      </c>
      <c r="H170" s="146" t="s">
        <v>2388</v>
      </c>
      <c r="I170" s="172" t="s">
        <v>14</v>
      </c>
      <c r="J170" s="146" t="s">
        <v>2818</v>
      </c>
      <c r="K170" s="146" t="s">
        <v>3004</v>
      </c>
    </row>
    <row r="171" spans="1:11" ht="23.4">
      <c r="A171" s="139"/>
      <c r="B171" s="149"/>
      <c r="C171" s="150"/>
      <c r="D171" s="146" t="s">
        <v>2104</v>
      </c>
      <c r="E171" s="146" t="s">
        <v>3005</v>
      </c>
      <c r="F171" s="172" t="s">
        <v>209</v>
      </c>
      <c r="G171" s="146" t="s">
        <v>3006</v>
      </c>
      <c r="H171" s="146" t="s">
        <v>3007</v>
      </c>
      <c r="I171" s="172" t="s">
        <v>14</v>
      </c>
      <c r="J171" s="146" t="s">
        <v>3008</v>
      </c>
      <c r="K171" s="146" t="s">
        <v>3009</v>
      </c>
    </row>
    <row r="172" spans="1:11" ht="23.4">
      <c r="A172" s="139"/>
      <c r="B172" s="152"/>
      <c r="C172" s="151"/>
      <c r="D172" s="146" t="s">
        <v>2105</v>
      </c>
      <c r="E172" s="146" t="s">
        <v>3010</v>
      </c>
      <c r="F172" s="172" t="s">
        <v>209</v>
      </c>
      <c r="G172" s="146" t="s">
        <v>3011</v>
      </c>
      <c r="H172" s="146" t="s">
        <v>3012</v>
      </c>
      <c r="I172" s="172" t="s">
        <v>13</v>
      </c>
      <c r="J172" s="146" t="s">
        <v>3013</v>
      </c>
      <c r="K172" s="146" t="s">
        <v>3014</v>
      </c>
    </row>
    <row r="173" spans="1:11" ht="23.4">
      <c r="A173" s="139"/>
      <c r="B173" s="155" t="s">
        <v>122</v>
      </c>
      <c r="C173" s="161" t="s">
        <v>123</v>
      </c>
      <c r="D173" s="154" t="s">
        <v>2106</v>
      </c>
      <c r="E173" s="154" t="s">
        <v>3015</v>
      </c>
      <c r="F173" s="173" t="s">
        <v>242</v>
      </c>
      <c r="G173" s="154" t="s">
        <v>3016</v>
      </c>
      <c r="H173" s="154" t="s">
        <v>3017</v>
      </c>
      <c r="I173" s="173" t="s">
        <v>13</v>
      </c>
      <c r="J173" s="154" t="s">
        <v>3018</v>
      </c>
      <c r="K173" s="154" t="s">
        <v>3019</v>
      </c>
    </row>
    <row r="174" spans="1:11" ht="23.4">
      <c r="A174" s="139"/>
      <c r="B174" s="156"/>
      <c r="C174" s="162"/>
      <c r="D174" s="154" t="s">
        <v>2107</v>
      </c>
      <c r="E174" s="154" t="s">
        <v>3020</v>
      </c>
      <c r="F174" s="173" t="s">
        <v>209</v>
      </c>
      <c r="G174" s="154" t="s">
        <v>3021</v>
      </c>
      <c r="H174" s="154" t="s">
        <v>3022</v>
      </c>
      <c r="I174" s="173" t="s">
        <v>13</v>
      </c>
      <c r="J174" s="154" t="s">
        <v>3023</v>
      </c>
      <c r="K174" s="154" t="s">
        <v>3024</v>
      </c>
    </row>
    <row r="175" spans="1:11" ht="23.4">
      <c r="A175" s="139"/>
      <c r="B175" s="156"/>
      <c r="C175" s="162"/>
      <c r="D175" s="154" t="s">
        <v>2108</v>
      </c>
      <c r="E175" s="154" t="s">
        <v>3025</v>
      </c>
      <c r="F175" s="173" t="s">
        <v>209</v>
      </c>
      <c r="G175" s="154" t="s">
        <v>3026</v>
      </c>
      <c r="H175" s="154" t="s">
        <v>3027</v>
      </c>
      <c r="I175" s="173" t="s">
        <v>13</v>
      </c>
      <c r="J175" s="154" t="s">
        <v>3028</v>
      </c>
      <c r="K175" s="154" t="s">
        <v>3029</v>
      </c>
    </row>
    <row r="176" spans="1:11" ht="23.4">
      <c r="A176" s="139"/>
      <c r="B176" s="156"/>
      <c r="C176" s="162"/>
      <c r="D176" s="154" t="s">
        <v>2109</v>
      </c>
      <c r="E176" s="154" t="s">
        <v>3030</v>
      </c>
      <c r="F176" s="173" t="s">
        <v>209</v>
      </c>
      <c r="G176" s="154" t="s">
        <v>3031</v>
      </c>
      <c r="H176" s="154" t="s">
        <v>3032</v>
      </c>
      <c r="I176" s="173" t="s">
        <v>14</v>
      </c>
      <c r="J176" s="154" t="s">
        <v>2210</v>
      </c>
      <c r="K176" s="154" t="s">
        <v>3033</v>
      </c>
    </row>
    <row r="177" spans="1:11" ht="23.4">
      <c r="A177" s="139"/>
      <c r="B177" s="156"/>
      <c r="C177" s="163"/>
      <c r="D177" s="154" t="s">
        <v>2110</v>
      </c>
      <c r="E177" s="154" t="s">
        <v>3034</v>
      </c>
      <c r="F177" s="173" t="s">
        <v>209</v>
      </c>
      <c r="G177" s="154" t="s">
        <v>3035</v>
      </c>
      <c r="H177" s="154" t="s">
        <v>3036</v>
      </c>
      <c r="I177" s="173" t="s">
        <v>14</v>
      </c>
      <c r="J177" s="154" t="s">
        <v>3037</v>
      </c>
      <c r="K177" s="154" t="s">
        <v>3038</v>
      </c>
    </row>
    <row r="178" spans="1:11" ht="23.4">
      <c r="A178" s="139"/>
      <c r="B178" s="156"/>
      <c r="C178" s="157" t="s">
        <v>124</v>
      </c>
      <c r="D178" s="154" t="s">
        <v>2111</v>
      </c>
      <c r="E178" s="154" t="s">
        <v>3039</v>
      </c>
      <c r="F178" s="173" t="s">
        <v>204</v>
      </c>
      <c r="G178" s="154" t="s">
        <v>3040</v>
      </c>
      <c r="H178" s="154" t="s">
        <v>3041</v>
      </c>
      <c r="I178" s="173" t="s">
        <v>13</v>
      </c>
      <c r="J178" s="154" t="s">
        <v>3042</v>
      </c>
      <c r="K178" s="154" t="s">
        <v>3043</v>
      </c>
    </row>
    <row r="179" spans="1:11" ht="23.4">
      <c r="A179" s="139"/>
      <c r="B179" s="156"/>
      <c r="C179" s="158"/>
      <c r="D179" s="154" t="s">
        <v>2112</v>
      </c>
      <c r="E179" s="154" t="s">
        <v>3044</v>
      </c>
      <c r="F179" s="173" t="s">
        <v>242</v>
      </c>
      <c r="G179" s="154" t="s">
        <v>3045</v>
      </c>
      <c r="H179" s="154" t="s">
        <v>3046</v>
      </c>
      <c r="I179" s="173" t="s">
        <v>14</v>
      </c>
      <c r="J179" s="154" t="s">
        <v>2885</v>
      </c>
      <c r="K179" s="154" t="s">
        <v>3047</v>
      </c>
    </row>
    <row r="180" spans="1:11" ht="23.4">
      <c r="A180" s="139"/>
      <c r="B180" s="156"/>
      <c r="C180" s="158"/>
      <c r="D180" s="154" t="s">
        <v>2113</v>
      </c>
      <c r="E180" s="154" t="s">
        <v>3048</v>
      </c>
      <c r="F180" s="173" t="s">
        <v>242</v>
      </c>
      <c r="G180" s="154" t="s">
        <v>3049</v>
      </c>
      <c r="H180" s="154" t="s">
        <v>3050</v>
      </c>
      <c r="I180" s="173" t="s">
        <v>13</v>
      </c>
      <c r="J180" s="154" t="s">
        <v>3051</v>
      </c>
      <c r="K180" s="154" t="s">
        <v>3052</v>
      </c>
    </row>
    <row r="181" spans="1:11" ht="23.4">
      <c r="A181" s="139"/>
      <c r="B181" s="156"/>
      <c r="C181" s="158"/>
      <c r="D181" s="154" t="s">
        <v>2114</v>
      </c>
      <c r="E181" s="154" t="s">
        <v>3053</v>
      </c>
      <c r="F181" s="173" t="s">
        <v>204</v>
      </c>
      <c r="G181" s="154" t="s">
        <v>3054</v>
      </c>
      <c r="H181" s="154" t="s">
        <v>3055</v>
      </c>
      <c r="I181" s="173" t="s">
        <v>14</v>
      </c>
      <c r="J181" s="154" t="s">
        <v>3056</v>
      </c>
      <c r="K181" s="154" t="s">
        <v>3057</v>
      </c>
    </row>
    <row r="182" spans="1:11" ht="23.4">
      <c r="A182" s="139"/>
      <c r="B182" s="156"/>
      <c r="C182" s="159"/>
      <c r="D182" s="154" t="s">
        <v>2115</v>
      </c>
      <c r="E182" s="154" t="s">
        <v>3058</v>
      </c>
      <c r="F182" s="173" t="s">
        <v>204</v>
      </c>
      <c r="G182" s="154" t="s">
        <v>3059</v>
      </c>
      <c r="H182" s="154" t="s">
        <v>3060</v>
      </c>
      <c r="I182" s="173" t="s">
        <v>13</v>
      </c>
      <c r="J182" s="154" t="s">
        <v>3061</v>
      </c>
      <c r="K182" s="154" t="s">
        <v>3062</v>
      </c>
    </row>
    <row r="183" spans="1:11" ht="23.4">
      <c r="A183" s="139"/>
      <c r="B183" s="156"/>
      <c r="C183" s="157" t="s">
        <v>125</v>
      </c>
      <c r="D183" s="154" t="s">
        <v>2116</v>
      </c>
      <c r="E183" s="154" t="s">
        <v>3063</v>
      </c>
      <c r="F183" s="173" t="s">
        <v>209</v>
      </c>
      <c r="G183" s="154" t="s">
        <v>3064</v>
      </c>
      <c r="H183" s="154" t="s">
        <v>3065</v>
      </c>
      <c r="I183" s="173" t="s">
        <v>14</v>
      </c>
      <c r="J183" s="154" t="s">
        <v>3066</v>
      </c>
      <c r="K183" s="154" t="s">
        <v>3067</v>
      </c>
    </row>
    <row r="184" spans="1:11" ht="23.4">
      <c r="A184" s="139"/>
      <c r="B184" s="156"/>
      <c r="C184" s="158"/>
      <c r="D184" s="154" t="s">
        <v>2117</v>
      </c>
      <c r="E184" s="154" t="s">
        <v>3068</v>
      </c>
      <c r="F184" s="173" t="s">
        <v>204</v>
      </c>
      <c r="G184" s="154" t="s">
        <v>3069</v>
      </c>
      <c r="H184" s="154" t="s">
        <v>3070</v>
      </c>
      <c r="I184" s="173" t="s">
        <v>13</v>
      </c>
      <c r="J184" s="154" t="s">
        <v>3071</v>
      </c>
      <c r="K184" s="154" t="s">
        <v>3072</v>
      </c>
    </row>
    <row r="185" spans="1:11" ht="23.4">
      <c r="A185" s="139"/>
      <c r="B185" s="156"/>
      <c r="C185" s="158"/>
      <c r="D185" s="154" t="s">
        <v>2118</v>
      </c>
      <c r="E185" s="154" t="s">
        <v>3073</v>
      </c>
      <c r="F185" s="173" t="s">
        <v>204</v>
      </c>
      <c r="G185" s="154" t="s">
        <v>3074</v>
      </c>
      <c r="H185" s="154" t="s">
        <v>3075</v>
      </c>
      <c r="I185" s="173" t="s">
        <v>13</v>
      </c>
      <c r="J185" s="154" t="s">
        <v>3076</v>
      </c>
      <c r="K185" s="154" t="s">
        <v>3077</v>
      </c>
    </row>
    <row r="186" spans="1:11" ht="23.4">
      <c r="A186" s="139"/>
      <c r="B186" s="156"/>
      <c r="C186" s="158"/>
      <c r="D186" s="154" t="s">
        <v>2119</v>
      </c>
      <c r="E186" s="154" t="s">
        <v>3078</v>
      </c>
      <c r="F186" s="173" t="s">
        <v>209</v>
      </c>
      <c r="G186" s="154" t="s">
        <v>3079</v>
      </c>
      <c r="H186" s="154" t="s">
        <v>3080</v>
      </c>
      <c r="I186" s="173" t="s">
        <v>14</v>
      </c>
      <c r="J186" s="154" t="s">
        <v>3081</v>
      </c>
      <c r="K186" s="154" t="s">
        <v>3082</v>
      </c>
    </row>
    <row r="187" spans="1:11" ht="23.4">
      <c r="A187" s="139"/>
      <c r="B187" s="156"/>
      <c r="C187" s="159"/>
      <c r="D187" s="154" t="s">
        <v>2120</v>
      </c>
      <c r="E187" s="154" t="s">
        <v>3083</v>
      </c>
      <c r="F187" s="173" t="s">
        <v>242</v>
      </c>
      <c r="G187" s="154" t="s">
        <v>3084</v>
      </c>
      <c r="H187" s="154" t="s">
        <v>3085</v>
      </c>
      <c r="I187" s="173" t="s">
        <v>14</v>
      </c>
      <c r="J187" s="154" t="s">
        <v>3086</v>
      </c>
      <c r="K187" s="154" t="s">
        <v>3087</v>
      </c>
    </row>
    <row r="188" spans="1:11" ht="23.4">
      <c r="A188" s="139"/>
      <c r="B188" s="156"/>
      <c r="C188" s="153" t="s">
        <v>126</v>
      </c>
      <c r="D188" s="154" t="s">
        <v>2121</v>
      </c>
      <c r="E188" s="154" t="s">
        <v>3088</v>
      </c>
      <c r="F188" s="173" t="s">
        <v>209</v>
      </c>
      <c r="G188" s="154" t="s">
        <v>3089</v>
      </c>
      <c r="H188" s="154" t="s">
        <v>3090</v>
      </c>
      <c r="I188" s="173" t="s">
        <v>13</v>
      </c>
      <c r="J188" s="154" t="s">
        <v>3091</v>
      </c>
      <c r="K188" s="154" t="s">
        <v>3092</v>
      </c>
    </row>
    <row r="189" spans="1:11" ht="23.4">
      <c r="A189" s="139"/>
      <c r="B189" s="156"/>
      <c r="C189" s="153"/>
      <c r="D189" s="154" t="s">
        <v>2122</v>
      </c>
      <c r="E189" s="154" t="s">
        <v>3093</v>
      </c>
      <c r="F189" s="173" t="s">
        <v>204</v>
      </c>
      <c r="G189" s="154" t="s">
        <v>3094</v>
      </c>
      <c r="H189" s="154" t="s">
        <v>3095</v>
      </c>
      <c r="I189" s="173" t="s">
        <v>13</v>
      </c>
      <c r="J189" s="154" t="s">
        <v>3096</v>
      </c>
      <c r="K189" s="154" t="s">
        <v>3097</v>
      </c>
    </row>
    <row r="190" spans="1:11" ht="23.4">
      <c r="A190" s="139"/>
      <c r="B190" s="156"/>
      <c r="C190" s="153"/>
      <c r="D190" s="154" t="s">
        <v>2108</v>
      </c>
      <c r="E190" s="154" t="s">
        <v>3098</v>
      </c>
      <c r="F190" s="173" t="s">
        <v>242</v>
      </c>
      <c r="G190" s="154" t="s">
        <v>3099</v>
      </c>
      <c r="H190" s="154" t="s">
        <v>3100</v>
      </c>
      <c r="I190" s="173" t="s">
        <v>13</v>
      </c>
      <c r="J190" s="154" t="s">
        <v>3101</v>
      </c>
      <c r="K190" s="154" t="s">
        <v>3102</v>
      </c>
    </row>
    <row r="191" spans="1:11" ht="23.4">
      <c r="A191" s="139"/>
      <c r="B191" s="156"/>
      <c r="C191" s="153"/>
      <c r="D191" s="154" t="s">
        <v>2123</v>
      </c>
      <c r="E191" s="154" t="s">
        <v>3103</v>
      </c>
      <c r="F191" s="173" t="s">
        <v>242</v>
      </c>
      <c r="G191" s="154" t="s">
        <v>3104</v>
      </c>
      <c r="H191" s="154" t="s">
        <v>3105</v>
      </c>
      <c r="I191" s="173" t="s">
        <v>14</v>
      </c>
      <c r="J191" s="154" t="s">
        <v>3106</v>
      </c>
      <c r="K191" s="154" t="s">
        <v>3107</v>
      </c>
    </row>
    <row r="192" spans="1:11" ht="23.4">
      <c r="A192" s="139"/>
      <c r="B192" s="156"/>
      <c r="C192" s="153"/>
      <c r="D192" s="154" t="s">
        <v>2124</v>
      </c>
      <c r="E192" s="154" t="s">
        <v>3108</v>
      </c>
      <c r="F192" s="173" t="s">
        <v>204</v>
      </c>
      <c r="G192" s="154" t="s">
        <v>3109</v>
      </c>
      <c r="H192" s="154" t="s">
        <v>3110</v>
      </c>
      <c r="I192" s="173" t="s">
        <v>13</v>
      </c>
      <c r="J192" s="154" t="s">
        <v>3111</v>
      </c>
      <c r="K192" s="154" t="s">
        <v>3112</v>
      </c>
    </row>
    <row r="193" spans="1:11" ht="23.4">
      <c r="A193" s="139"/>
      <c r="B193" s="156"/>
      <c r="C193" s="153" t="s">
        <v>127</v>
      </c>
      <c r="D193" s="154" t="s">
        <v>2125</v>
      </c>
      <c r="E193" s="154" t="s">
        <v>3113</v>
      </c>
      <c r="F193" s="173" t="s">
        <v>204</v>
      </c>
      <c r="G193" s="154" t="s">
        <v>3114</v>
      </c>
      <c r="H193" s="154" t="s">
        <v>3115</v>
      </c>
      <c r="I193" s="173" t="s">
        <v>14</v>
      </c>
      <c r="J193" s="154" t="s">
        <v>3116</v>
      </c>
      <c r="K193" s="154" t="s">
        <v>3117</v>
      </c>
    </row>
    <row r="194" spans="1:11" ht="23.4">
      <c r="A194" s="139"/>
      <c r="B194" s="156"/>
      <c r="C194" s="153"/>
      <c r="D194" s="154" t="s">
        <v>2126</v>
      </c>
      <c r="E194" s="154" t="s">
        <v>3118</v>
      </c>
      <c r="F194" s="173" t="s">
        <v>209</v>
      </c>
      <c r="G194" s="154" t="s">
        <v>3119</v>
      </c>
      <c r="H194" s="154" t="s">
        <v>3120</v>
      </c>
      <c r="I194" s="173" t="s">
        <v>14</v>
      </c>
      <c r="J194" s="154" t="s">
        <v>3121</v>
      </c>
      <c r="K194" s="154" t="s">
        <v>3122</v>
      </c>
    </row>
    <row r="195" spans="1:11" ht="23.4">
      <c r="A195" s="139"/>
      <c r="B195" s="156"/>
      <c r="C195" s="153"/>
      <c r="D195" s="154" t="s">
        <v>2127</v>
      </c>
      <c r="E195" s="154" t="s">
        <v>3123</v>
      </c>
      <c r="F195" s="173" t="s">
        <v>204</v>
      </c>
      <c r="G195" s="154" t="s">
        <v>3124</v>
      </c>
      <c r="H195" s="154" t="s">
        <v>3125</v>
      </c>
      <c r="I195" s="173" t="s">
        <v>14</v>
      </c>
      <c r="J195" s="154" t="s">
        <v>3126</v>
      </c>
      <c r="K195" s="154" t="s">
        <v>3127</v>
      </c>
    </row>
    <row r="196" spans="1:11" ht="23.4">
      <c r="A196" s="139"/>
      <c r="B196" s="156"/>
      <c r="C196" s="153"/>
      <c r="D196" s="154" t="s">
        <v>2128</v>
      </c>
      <c r="E196" s="154" t="s">
        <v>3128</v>
      </c>
      <c r="F196" s="173" t="s">
        <v>204</v>
      </c>
      <c r="G196" s="154" t="s">
        <v>3129</v>
      </c>
      <c r="H196" s="154" t="s">
        <v>3130</v>
      </c>
      <c r="I196" s="173" t="s">
        <v>14</v>
      </c>
      <c r="J196" s="154" t="s">
        <v>3131</v>
      </c>
      <c r="K196" s="154" t="s">
        <v>3132</v>
      </c>
    </row>
    <row r="197" spans="1:11" ht="23.4">
      <c r="A197" s="140"/>
      <c r="B197" s="160"/>
      <c r="C197" s="153"/>
      <c r="D197" s="154" t="s">
        <v>2085</v>
      </c>
      <c r="E197" s="154" t="s">
        <v>3133</v>
      </c>
      <c r="F197" s="173" t="s">
        <v>204</v>
      </c>
      <c r="G197" s="154" t="s">
        <v>3134</v>
      </c>
      <c r="H197" s="154" t="s">
        <v>3135</v>
      </c>
      <c r="I197" s="173" t="s">
        <v>14</v>
      </c>
      <c r="J197" s="154" t="s">
        <v>3136</v>
      </c>
      <c r="K197" s="154" t="s">
        <v>3137</v>
      </c>
    </row>
  </sheetData>
  <mergeCells count="45">
    <mergeCell ref="B2:B26"/>
    <mergeCell ref="C2:C6"/>
    <mergeCell ref="C7:C11"/>
    <mergeCell ref="C12:C16"/>
    <mergeCell ref="C17:C21"/>
    <mergeCell ref="C22:C26"/>
    <mergeCell ref="B57:B81"/>
    <mergeCell ref="B27:B56"/>
    <mergeCell ref="C27:C31"/>
    <mergeCell ref="C32:C36"/>
    <mergeCell ref="C37:C41"/>
    <mergeCell ref="C42:C46"/>
    <mergeCell ref="C47:C51"/>
    <mergeCell ref="C52:C56"/>
    <mergeCell ref="C57:C61"/>
    <mergeCell ref="C62:C66"/>
    <mergeCell ref="C67:C71"/>
    <mergeCell ref="C72:C76"/>
    <mergeCell ref="C77:C81"/>
    <mergeCell ref="C122:C126"/>
    <mergeCell ref="C127:C131"/>
    <mergeCell ref="C132:C136"/>
    <mergeCell ref="C137:C142"/>
    <mergeCell ref="C82:C86"/>
    <mergeCell ref="C87:C91"/>
    <mergeCell ref="C92:C96"/>
    <mergeCell ref="C97:C101"/>
    <mergeCell ref="C102:C106"/>
    <mergeCell ref="C107:C111"/>
    <mergeCell ref="A2:A197"/>
    <mergeCell ref="C173:C177"/>
    <mergeCell ref="C178:C182"/>
    <mergeCell ref="C183:C187"/>
    <mergeCell ref="C188:C192"/>
    <mergeCell ref="C193:C197"/>
    <mergeCell ref="B82:B172"/>
    <mergeCell ref="B173:B197"/>
    <mergeCell ref="C143:C147"/>
    <mergeCell ref="C148:C152"/>
    <mergeCell ref="C153:C157"/>
    <mergeCell ref="C158:C162"/>
    <mergeCell ref="C163:C167"/>
    <mergeCell ref="C168:C172"/>
    <mergeCell ref="C112:C116"/>
    <mergeCell ref="C117:C121"/>
  </mergeCells>
  <conditionalFormatting sqref="F1:F197">
    <cfRule type="cellIs" dxfId="531" priority="4" operator="equal">
      <formula>$F$179</formula>
    </cfRule>
    <cfRule type="cellIs" dxfId="530" priority="5" operator="equal">
      <formula>$F$178</formula>
    </cfRule>
    <cfRule type="cellIs" dxfId="529" priority="6" operator="equal">
      <formula>"NON"</formula>
    </cfRule>
  </conditionalFormatting>
  <conditionalFormatting sqref="I2:I197">
    <cfRule type="cellIs" dxfId="528" priority="1" operator="equal">
      <formula>$I$22</formula>
    </cfRule>
    <cfRule type="cellIs" dxfId="527" priority="2" operator="equal">
      <formula>$I$169</formula>
    </cfRule>
    <cfRule type="cellIs" dxfId="526" priority="3" operator="equal">
      <formula>$I$173</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06"/>
  <sheetViews>
    <sheetView topLeftCell="D559" zoomScale="65" zoomScaleNormal="65" workbookViewId="0">
      <selection activeCell="E340" sqref="E340:E343"/>
    </sheetView>
  </sheetViews>
  <sheetFormatPr baseColWidth="10" defaultRowHeight="14.4"/>
  <cols>
    <col min="1" max="1" width="25.6640625" customWidth="1"/>
    <col min="2" max="2" width="55.21875" customWidth="1"/>
    <col min="3" max="3" width="102.44140625" style="191" customWidth="1"/>
    <col min="4" max="4" width="96" style="190" customWidth="1"/>
    <col min="5" max="5" width="15.6640625" style="192" customWidth="1"/>
    <col min="6" max="7" width="47.77734375" style="190" customWidth="1"/>
    <col min="8" max="8" width="41.44140625" style="190" customWidth="1"/>
    <col min="9" max="9" width="72.88671875" style="190" customWidth="1"/>
    <col min="10" max="10" width="87.5546875" style="190" customWidth="1"/>
    <col min="11" max="11" width="47.77734375" customWidth="1"/>
  </cols>
  <sheetData>
    <row r="1" spans="1:10" s="3" customFormat="1" ht="23.4">
      <c r="A1" s="185" t="s">
        <v>4911</v>
      </c>
      <c r="B1" s="185" t="s">
        <v>4912</v>
      </c>
      <c r="C1" s="186" t="s">
        <v>4913</v>
      </c>
      <c r="D1" s="186" t="s">
        <v>4914</v>
      </c>
      <c r="E1" s="185" t="s">
        <v>4915</v>
      </c>
      <c r="F1" s="186" t="s">
        <v>4916</v>
      </c>
      <c r="G1" s="186" t="s">
        <v>1472</v>
      </c>
      <c r="H1" s="187" t="s">
        <v>8</v>
      </c>
      <c r="I1" s="186" t="s">
        <v>1473</v>
      </c>
      <c r="J1" s="186" t="s">
        <v>10</v>
      </c>
    </row>
    <row r="2" spans="1:10" ht="16.05" customHeight="1">
      <c r="A2" s="166" t="s">
        <v>128</v>
      </c>
      <c r="B2" s="153" t="s">
        <v>129</v>
      </c>
      <c r="C2" s="188" t="s">
        <v>4917</v>
      </c>
      <c r="D2" s="188" t="s">
        <v>4918</v>
      </c>
      <c r="E2" s="193" t="s">
        <v>209</v>
      </c>
      <c r="F2" s="188" t="s">
        <v>4919</v>
      </c>
      <c r="G2" s="188" t="s">
        <v>4920</v>
      </c>
      <c r="H2" s="184" t="s">
        <v>387</v>
      </c>
      <c r="I2" s="188" t="s">
        <v>4921</v>
      </c>
      <c r="J2" s="188" t="s">
        <v>4922</v>
      </c>
    </row>
    <row r="3" spans="1:10" ht="23.4">
      <c r="A3" s="166"/>
      <c r="B3" s="166"/>
      <c r="C3" s="188" t="s">
        <v>4923</v>
      </c>
      <c r="D3" s="188" t="s">
        <v>4924</v>
      </c>
      <c r="E3" s="193" t="s">
        <v>204</v>
      </c>
      <c r="F3" s="188" t="s">
        <v>4925</v>
      </c>
      <c r="G3" s="188" t="s">
        <v>4926</v>
      </c>
      <c r="H3" s="184" t="s">
        <v>14</v>
      </c>
      <c r="I3" s="188" t="s">
        <v>4927</v>
      </c>
      <c r="J3" s="188" t="s">
        <v>4928</v>
      </c>
    </row>
    <row r="4" spans="1:10" ht="23.4">
      <c r="A4" s="166"/>
      <c r="B4" s="166"/>
      <c r="C4" s="188" t="s">
        <v>4929</v>
      </c>
      <c r="D4" s="188" t="s">
        <v>4930</v>
      </c>
      <c r="E4" s="193" t="s">
        <v>204</v>
      </c>
      <c r="F4" s="188" t="s">
        <v>4931</v>
      </c>
      <c r="G4" s="188" t="s">
        <v>4932</v>
      </c>
      <c r="H4" s="184" t="s">
        <v>14</v>
      </c>
      <c r="I4" s="188" t="s">
        <v>4933</v>
      </c>
      <c r="J4" s="188" t="s">
        <v>4934</v>
      </c>
    </row>
    <row r="5" spans="1:10" ht="23.4">
      <c r="A5" s="166"/>
      <c r="B5" s="166"/>
      <c r="C5" s="188" t="s">
        <v>4935</v>
      </c>
      <c r="D5" s="188" t="s">
        <v>4936</v>
      </c>
      <c r="E5" s="193" t="s">
        <v>204</v>
      </c>
      <c r="F5" s="188" t="s">
        <v>4937</v>
      </c>
      <c r="G5" s="188" t="s">
        <v>3140</v>
      </c>
      <c r="H5" s="184" t="s">
        <v>387</v>
      </c>
      <c r="I5" s="188" t="s">
        <v>4938</v>
      </c>
      <c r="J5" s="188" t="s">
        <v>4939</v>
      </c>
    </row>
    <row r="6" spans="1:10" ht="23.4">
      <c r="A6" s="166"/>
      <c r="B6" s="166"/>
      <c r="C6" s="188" t="s">
        <v>4940</v>
      </c>
      <c r="D6" s="188" t="s">
        <v>4941</v>
      </c>
      <c r="E6" s="193" t="s">
        <v>209</v>
      </c>
      <c r="F6" s="188" t="s">
        <v>3162</v>
      </c>
      <c r="G6" s="188" t="s">
        <v>3543</v>
      </c>
      <c r="H6" s="184" t="s">
        <v>14</v>
      </c>
      <c r="I6" s="188" t="s">
        <v>4942</v>
      </c>
      <c r="J6" s="188" t="s">
        <v>4943</v>
      </c>
    </row>
    <row r="7" spans="1:10" ht="23.4">
      <c r="A7" s="166"/>
      <c r="B7" s="153" t="s">
        <v>4944</v>
      </c>
      <c r="C7" s="188" t="s">
        <v>4945</v>
      </c>
      <c r="D7" s="188" t="s">
        <v>4946</v>
      </c>
      <c r="E7" s="193" t="s">
        <v>209</v>
      </c>
      <c r="F7" s="188" t="s">
        <v>4947</v>
      </c>
      <c r="G7" s="188" t="s">
        <v>4948</v>
      </c>
      <c r="H7" s="184" t="s">
        <v>387</v>
      </c>
      <c r="I7" s="188" t="s">
        <v>4949</v>
      </c>
      <c r="J7" s="188" t="s">
        <v>4950</v>
      </c>
    </row>
    <row r="8" spans="1:10" ht="23.4">
      <c r="A8" s="166"/>
      <c r="B8" s="166"/>
      <c r="C8" s="188" t="s">
        <v>4951</v>
      </c>
      <c r="D8" s="188" t="s">
        <v>4952</v>
      </c>
      <c r="E8" s="193" t="s">
        <v>209</v>
      </c>
      <c r="F8" s="188" t="s">
        <v>490</v>
      </c>
      <c r="G8" s="188" t="s">
        <v>3637</v>
      </c>
      <c r="H8" s="184" t="s">
        <v>14</v>
      </c>
      <c r="I8" s="188" t="s">
        <v>4953</v>
      </c>
      <c r="J8" s="188" t="s">
        <v>4954</v>
      </c>
    </row>
    <row r="9" spans="1:10" ht="23.4">
      <c r="A9" s="166"/>
      <c r="B9" s="166"/>
      <c r="C9" s="188" t="s">
        <v>4955</v>
      </c>
      <c r="D9" s="188" t="s">
        <v>4956</v>
      </c>
      <c r="E9" s="193" t="s">
        <v>209</v>
      </c>
      <c r="F9" s="188" t="s">
        <v>3300</v>
      </c>
      <c r="G9" s="188" t="s">
        <v>3301</v>
      </c>
      <c r="H9" s="184" t="s">
        <v>14</v>
      </c>
      <c r="I9" s="188" t="s">
        <v>4957</v>
      </c>
      <c r="J9" s="188" t="s">
        <v>4958</v>
      </c>
    </row>
    <row r="10" spans="1:10" ht="23.4">
      <c r="A10" s="166"/>
      <c r="B10" s="166"/>
      <c r="C10" s="188" t="s">
        <v>4959</v>
      </c>
      <c r="D10" s="188" t="s">
        <v>4960</v>
      </c>
      <c r="E10" s="193" t="s">
        <v>242</v>
      </c>
      <c r="F10" s="188" t="s">
        <v>4961</v>
      </c>
      <c r="G10" s="188" t="s">
        <v>4962</v>
      </c>
      <c r="H10" s="184" t="s">
        <v>387</v>
      </c>
      <c r="I10" s="188" t="s">
        <v>3654</v>
      </c>
      <c r="J10" s="188" t="s">
        <v>4963</v>
      </c>
    </row>
    <row r="11" spans="1:10" ht="23.4">
      <c r="A11" s="166"/>
      <c r="B11" s="166"/>
      <c r="C11" s="188" t="s">
        <v>4964</v>
      </c>
      <c r="D11" s="188" t="s">
        <v>4965</v>
      </c>
      <c r="E11" s="193" t="s">
        <v>209</v>
      </c>
      <c r="F11" s="188" t="s">
        <v>4966</v>
      </c>
      <c r="G11" s="188" t="s">
        <v>4967</v>
      </c>
      <c r="H11" s="184" t="s">
        <v>14</v>
      </c>
      <c r="I11" s="188" t="s">
        <v>3292</v>
      </c>
      <c r="J11" s="188" t="s">
        <v>4968</v>
      </c>
    </row>
    <row r="12" spans="1:10" ht="16.95" customHeight="1">
      <c r="A12" s="166"/>
      <c r="B12" s="153" t="s">
        <v>130</v>
      </c>
      <c r="C12" s="188" t="s">
        <v>4969</v>
      </c>
      <c r="D12" s="188" t="s">
        <v>4970</v>
      </c>
      <c r="E12" s="193" t="s">
        <v>209</v>
      </c>
      <c r="F12" s="188" t="s">
        <v>4971</v>
      </c>
      <c r="G12" s="188" t="s">
        <v>4972</v>
      </c>
      <c r="H12" s="184" t="s">
        <v>14</v>
      </c>
      <c r="I12" s="188" t="s">
        <v>3324</v>
      </c>
      <c r="J12" s="188" t="s">
        <v>4973</v>
      </c>
    </row>
    <row r="13" spans="1:10" ht="23.4">
      <c r="A13" s="166"/>
      <c r="B13" s="166"/>
      <c r="C13" s="188" t="s">
        <v>4974</v>
      </c>
      <c r="D13" s="188" t="s">
        <v>4975</v>
      </c>
      <c r="E13" s="193" t="s">
        <v>204</v>
      </c>
      <c r="F13" s="188" t="s">
        <v>4976</v>
      </c>
      <c r="G13" s="188" t="s">
        <v>4977</v>
      </c>
      <c r="H13" s="184" t="s">
        <v>14</v>
      </c>
      <c r="I13" s="188" t="s">
        <v>4978</v>
      </c>
      <c r="J13" s="188" t="s">
        <v>4979</v>
      </c>
    </row>
    <row r="14" spans="1:10" ht="23.4">
      <c r="A14" s="166"/>
      <c r="B14" s="166"/>
      <c r="C14" s="188" t="s">
        <v>4980</v>
      </c>
      <c r="D14" s="188" t="s">
        <v>4981</v>
      </c>
      <c r="E14" s="193" t="s">
        <v>209</v>
      </c>
      <c r="F14" s="188" t="s">
        <v>4982</v>
      </c>
      <c r="G14" s="188" t="s">
        <v>4983</v>
      </c>
      <c r="H14" s="184" t="s">
        <v>387</v>
      </c>
      <c r="I14" s="188" t="s">
        <v>4984</v>
      </c>
      <c r="J14" s="188" t="s">
        <v>4985</v>
      </c>
    </row>
    <row r="15" spans="1:10" ht="23.4">
      <c r="A15" s="166"/>
      <c r="B15" s="166"/>
      <c r="C15" s="188" t="s">
        <v>4986</v>
      </c>
      <c r="D15" s="188" t="s">
        <v>4987</v>
      </c>
      <c r="E15" s="193" t="s">
        <v>204</v>
      </c>
      <c r="F15" s="188" t="s">
        <v>4988</v>
      </c>
      <c r="G15" s="188" t="s">
        <v>4989</v>
      </c>
      <c r="H15" s="184" t="s">
        <v>387</v>
      </c>
      <c r="I15" s="188" t="s">
        <v>4990</v>
      </c>
      <c r="J15" s="188" t="s">
        <v>4991</v>
      </c>
    </row>
    <row r="16" spans="1:10" ht="23.4">
      <c r="A16" s="166"/>
      <c r="B16" s="166"/>
      <c r="C16" s="188" t="s">
        <v>4992</v>
      </c>
      <c r="D16" s="188" t="s">
        <v>4993</v>
      </c>
      <c r="E16" s="193" t="s">
        <v>204</v>
      </c>
      <c r="F16" s="188" t="s">
        <v>3151</v>
      </c>
      <c r="G16" s="188" t="s">
        <v>4994</v>
      </c>
      <c r="H16" s="184" t="s">
        <v>14</v>
      </c>
      <c r="I16" s="188" t="s">
        <v>4995</v>
      </c>
      <c r="J16" s="188" t="s">
        <v>4996</v>
      </c>
    </row>
    <row r="17" spans="1:10" ht="23.4">
      <c r="A17" s="166"/>
      <c r="B17" s="153" t="s">
        <v>4997</v>
      </c>
      <c r="C17" s="188" t="s">
        <v>4998</v>
      </c>
      <c r="D17" s="188" t="s">
        <v>4999</v>
      </c>
      <c r="E17" s="193" t="s">
        <v>209</v>
      </c>
      <c r="F17" s="188" t="s">
        <v>5000</v>
      </c>
      <c r="G17" s="188" t="s">
        <v>5001</v>
      </c>
      <c r="H17" s="184" t="s">
        <v>14</v>
      </c>
      <c r="I17" s="188" t="s">
        <v>5002</v>
      </c>
      <c r="J17" s="188" t="s">
        <v>5003</v>
      </c>
    </row>
    <row r="18" spans="1:10" ht="23.4">
      <c r="A18" s="166"/>
      <c r="B18" s="166"/>
      <c r="C18" s="188" t="s">
        <v>5004</v>
      </c>
      <c r="D18" s="188" t="s">
        <v>5005</v>
      </c>
      <c r="E18" s="193" t="s">
        <v>204</v>
      </c>
      <c r="F18" s="188" t="s">
        <v>771</v>
      </c>
      <c r="G18" s="188" t="s">
        <v>5006</v>
      </c>
      <c r="H18" s="184" t="s">
        <v>387</v>
      </c>
      <c r="I18" s="188" t="s">
        <v>3859</v>
      </c>
      <c r="J18" s="188" t="s">
        <v>5007</v>
      </c>
    </row>
    <row r="19" spans="1:10" ht="23.4">
      <c r="A19" s="166"/>
      <c r="B19" s="166"/>
      <c r="C19" s="188" t="s">
        <v>5008</v>
      </c>
      <c r="D19" s="188" t="s">
        <v>5009</v>
      </c>
      <c r="E19" s="193" t="s">
        <v>204</v>
      </c>
      <c r="F19" s="188" t="s">
        <v>5010</v>
      </c>
      <c r="G19" s="188" t="s">
        <v>5011</v>
      </c>
      <c r="H19" s="184" t="s">
        <v>387</v>
      </c>
      <c r="I19" s="188" t="s">
        <v>5012</v>
      </c>
      <c r="J19" s="188" t="s">
        <v>5013</v>
      </c>
    </row>
    <row r="20" spans="1:10" ht="23.4">
      <c r="A20" s="166"/>
      <c r="B20" s="166"/>
      <c r="C20" s="188" t="s">
        <v>5014</v>
      </c>
      <c r="D20" s="188" t="s">
        <v>5015</v>
      </c>
      <c r="E20" s="193" t="s">
        <v>204</v>
      </c>
      <c r="F20" s="188" t="s">
        <v>5016</v>
      </c>
      <c r="G20" s="188" t="s">
        <v>5017</v>
      </c>
      <c r="H20" s="184" t="s">
        <v>14</v>
      </c>
      <c r="I20" s="188" t="s">
        <v>5018</v>
      </c>
      <c r="J20" s="188" t="s">
        <v>5019</v>
      </c>
    </row>
    <row r="21" spans="1:10" ht="23.4">
      <c r="A21" s="166"/>
      <c r="B21" s="166"/>
      <c r="C21" s="188" t="s">
        <v>5020</v>
      </c>
      <c r="D21" s="188" t="s">
        <v>5021</v>
      </c>
      <c r="E21" s="193" t="s">
        <v>209</v>
      </c>
      <c r="F21" s="188" t="s">
        <v>5022</v>
      </c>
      <c r="G21" s="188" t="s">
        <v>5023</v>
      </c>
      <c r="H21" s="184" t="s">
        <v>387</v>
      </c>
      <c r="I21" s="188" t="s">
        <v>5024</v>
      </c>
      <c r="J21" s="188" t="s">
        <v>5025</v>
      </c>
    </row>
    <row r="22" spans="1:10" ht="20.399999999999999" customHeight="1">
      <c r="A22" s="166"/>
      <c r="B22" s="153" t="s">
        <v>131</v>
      </c>
      <c r="C22" s="188" t="s">
        <v>3172</v>
      </c>
      <c r="D22" s="188" t="s">
        <v>3173</v>
      </c>
      <c r="E22" s="193" t="s">
        <v>209</v>
      </c>
      <c r="F22" s="188" t="s">
        <v>3174</v>
      </c>
      <c r="G22" s="188" t="s">
        <v>3147</v>
      </c>
      <c r="H22" s="184" t="s">
        <v>387</v>
      </c>
      <c r="I22" s="188" t="s">
        <v>3175</v>
      </c>
      <c r="J22" s="188" t="s">
        <v>3176</v>
      </c>
    </row>
    <row r="23" spans="1:10" ht="23.4">
      <c r="A23" s="166"/>
      <c r="B23" s="166"/>
      <c r="C23" s="188" t="s">
        <v>3177</v>
      </c>
      <c r="D23" s="188" t="s">
        <v>3178</v>
      </c>
      <c r="E23" s="193" t="s">
        <v>209</v>
      </c>
      <c r="F23" s="188" t="s">
        <v>3179</v>
      </c>
      <c r="G23" s="188" t="s">
        <v>3180</v>
      </c>
      <c r="H23" s="184" t="s">
        <v>387</v>
      </c>
      <c r="I23" s="188" t="s">
        <v>3181</v>
      </c>
      <c r="J23" s="188" t="s">
        <v>3182</v>
      </c>
    </row>
    <row r="24" spans="1:10" ht="23.4" customHeight="1">
      <c r="A24" s="166"/>
      <c r="B24" s="166"/>
      <c r="C24" s="188" t="s">
        <v>3183</v>
      </c>
      <c r="D24" s="188" t="s">
        <v>3184</v>
      </c>
      <c r="E24" s="193" t="s">
        <v>209</v>
      </c>
      <c r="F24" s="188" t="s">
        <v>3185</v>
      </c>
      <c r="G24" s="188" t="s">
        <v>3186</v>
      </c>
      <c r="H24" s="184" t="s">
        <v>387</v>
      </c>
      <c r="I24" s="188" t="s">
        <v>3149</v>
      </c>
      <c r="J24" s="188" t="s">
        <v>3187</v>
      </c>
    </row>
    <row r="25" spans="1:10" ht="24" customHeight="1" thickBot="1">
      <c r="A25" s="166"/>
      <c r="B25" s="166"/>
      <c r="C25" s="188" t="s">
        <v>3188</v>
      </c>
      <c r="D25" s="188" t="s">
        <v>3189</v>
      </c>
      <c r="E25" s="193" t="s">
        <v>242</v>
      </c>
      <c r="F25" s="188" t="s">
        <v>3166</v>
      </c>
      <c r="G25" s="188" t="s">
        <v>3190</v>
      </c>
      <c r="H25" s="194" t="s">
        <v>14</v>
      </c>
      <c r="I25" s="188" t="s">
        <v>3191</v>
      </c>
      <c r="J25" s="188" t="s">
        <v>3192</v>
      </c>
    </row>
    <row r="26" spans="1:10" ht="23.4" customHeight="1">
      <c r="A26" s="166"/>
      <c r="B26" s="166"/>
      <c r="C26" s="188" t="s">
        <v>3193</v>
      </c>
      <c r="D26" s="188" t="s">
        <v>3194</v>
      </c>
      <c r="E26" s="193" t="s">
        <v>209</v>
      </c>
      <c r="F26" s="188" t="s">
        <v>3144</v>
      </c>
      <c r="G26" s="188" t="s">
        <v>3195</v>
      </c>
      <c r="H26" s="184" t="s">
        <v>387</v>
      </c>
      <c r="I26" s="188" t="s">
        <v>3148</v>
      </c>
      <c r="J26" s="188" t="s">
        <v>3196</v>
      </c>
    </row>
    <row r="27" spans="1:10" ht="24" customHeight="1">
      <c r="A27" s="166"/>
      <c r="B27" s="166" t="s">
        <v>132</v>
      </c>
      <c r="C27" s="188" t="s">
        <v>3197</v>
      </c>
      <c r="D27" s="188" t="s">
        <v>3198</v>
      </c>
      <c r="E27" s="193" t="s">
        <v>209</v>
      </c>
      <c r="F27" s="188" t="s">
        <v>3199</v>
      </c>
      <c r="G27" s="188" t="s">
        <v>3200</v>
      </c>
      <c r="H27" s="184" t="s">
        <v>14</v>
      </c>
      <c r="I27" s="188" t="s">
        <v>3201</v>
      </c>
      <c r="J27" s="188" t="s">
        <v>3202</v>
      </c>
    </row>
    <row r="28" spans="1:10" ht="24" customHeight="1">
      <c r="A28" s="166"/>
      <c r="B28" s="166"/>
      <c r="C28" s="188" t="s">
        <v>3203</v>
      </c>
      <c r="D28" s="188" t="s">
        <v>3204</v>
      </c>
      <c r="E28" s="193" t="s">
        <v>204</v>
      </c>
      <c r="F28" s="188" t="s">
        <v>3205</v>
      </c>
      <c r="G28" s="188" t="s">
        <v>3206</v>
      </c>
      <c r="H28" s="184" t="s">
        <v>14</v>
      </c>
      <c r="I28" s="188" t="s">
        <v>3207</v>
      </c>
      <c r="J28" s="188" t="s">
        <v>3208</v>
      </c>
    </row>
    <row r="29" spans="1:10" ht="23.4">
      <c r="A29" s="166"/>
      <c r="B29" s="166"/>
      <c r="C29" s="188" t="s">
        <v>3209</v>
      </c>
      <c r="D29" s="188" t="s">
        <v>3210</v>
      </c>
      <c r="E29" s="193" t="s">
        <v>209</v>
      </c>
      <c r="F29" s="188" t="s">
        <v>3211</v>
      </c>
      <c r="G29" s="188" t="s">
        <v>3212</v>
      </c>
      <c r="H29" s="184" t="s">
        <v>387</v>
      </c>
      <c r="I29" s="188" t="s">
        <v>3213</v>
      </c>
      <c r="J29" s="188" t="s">
        <v>3214</v>
      </c>
    </row>
    <row r="30" spans="1:10" ht="23.4" customHeight="1">
      <c r="A30" s="166"/>
      <c r="B30" s="166"/>
      <c r="C30" s="188" t="s">
        <v>3215</v>
      </c>
      <c r="D30" s="188" t="s">
        <v>3216</v>
      </c>
      <c r="E30" s="193" t="s">
        <v>204</v>
      </c>
      <c r="F30" s="188" t="s">
        <v>3217</v>
      </c>
      <c r="G30" s="188" t="s">
        <v>3218</v>
      </c>
      <c r="H30" s="184" t="s">
        <v>14</v>
      </c>
      <c r="I30" s="188" t="s">
        <v>3219</v>
      </c>
      <c r="J30" s="188" t="s">
        <v>3220</v>
      </c>
    </row>
    <row r="31" spans="1:10" ht="23.4">
      <c r="A31" s="166"/>
      <c r="B31" s="166"/>
      <c r="C31" s="188" t="s">
        <v>3221</v>
      </c>
      <c r="D31" s="188" t="s">
        <v>3222</v>
      </c>
      <c r="E31" s="193" t="s">
        <v>204</v>
      </c>
      <c r="F31" s="188" t="s">
        <v>2167</v>
      </c>
      <c r="G31" s="188" t="s">
        <v>3223</v>
      </c>
      <c r="H31" s="184" t="s">
        <v>14</v>
      </c>
      <c r="I31" s="188" t="s">
        <v>3224</v>
      </c>
      <c r="J31" s="188" t="s">
        <v>3225</v>
      </c>
    </row>
    <row r="32" spans="1:10" ht="23.4" customHeight="1">
      <c r="A32" s="166"/>
      <c r="B32" s="166" t="s">
        <v>133</v>
      </c>
      <c r="C32" s="188" t="s">
        <v>3226</v>
      </c>
      <c r="D32" s="188" t="s">
        <v>3227</v>
      </c>
      <c r="E32" s="193" t="s">
        <v>204</v>
      </c>
      <c r="F32" s="188" t="s">
        <v>3158</v>
      </c>
      <c r="G32" s="188" t="s">
        <v>3228</v>
      </c>
      <c r="H32" s="184" t="s">
        <v>14</v>
      </c>
      <c r="I32" s="188" t="s">
        <v>3229</v>
      </c>
      <c r="J32" s="188" t="s">
        <v>3230</v>
      </c>
    </row>
    <row r="33" spans="1:10" ht="23.4">
      <c r="A33" s="166"/>
      <c r="B33" s="166"/>
      <c r="C33" s="188" t="s">
        <v>3231</v>
      </c>
      <c r="D33" s="188" t="s">
        <v>3232</v>
      </c>
      <c r="E33" s="193" t="s">
        <v>242</v>
      </c>
      <c r="F33" s="188" t="s">
        <v>3233</v>
      </c>
      <c r="G33" s="188" t="s">
        <v>3234</v>
      </c>
      <c r="H33" s="184" t="s">
        <v>387</v>
      </c>
      <c r="I33" s="188" t="s">
        <v>3235</v>
      </c>
      <c r="J33" s="188" t="s">
        <v>3236</v>
      </c>
    </row>
    <row r="34" spans="1:10" ht="23.4" customHeight="1">
      <c r="A34" s="166"/>
      <c r="B34" s="166"/>
      <c r="C34" s="188" t="s">
        <v>3237</v>
      </c>
      <c r="D34" s="188" t="s">
        <v>3238</v>
      </c>
      <c r="E34" s="193" t="s">
        <v>204</v>
      </c>
      <c r="F34" s="188" t="s">
        <v>3239</v>
      </c>
      <c r="G34" s="188" t="s">
        <v>3240</v>
      </c>
      <c r="H34" s="184" t="s">
        <v>387</v>
      </c>
      <c r="I34" s="188" t="s">
        <v>3241</v>
      </c>
      <c r="J34" s="188" t="s">
        <v>3242</v>
      </c>
    </row>
    <row r="35" spans="1:10" ht="23.4">
      <c r="A35" s="166"/>
      <c r="B35" s="166"/>
      <c r="C35" s="188" t="s">
        <v>3243</v>
      </c>
      <c r="D35" s="188" t="s">
        <v>3244</v>
      </c>
      <c r="E35" s="193" t="s">
        <v>209</v>
      </c>
      <c r="F35" s="188" t="s">
        <v>3161</v>
      </c>
      <c r="G35" s="188" t="s">
        <v>3245</v>
      </c>
      <c r="H35" s="184" t="s">
        <v>14</v>
      </c>
      <c r="I35" s="188" t="s">
        <v>3159</v>
      </c>
      <c r="J35" s="188" t="s">
        <v>3246</v>
      </c>
    </row>
    <row r="36" spans="1:10" ht="23.4" customHeight="1">
      <c r="A36" s="166"/>
      <c r="B36" s="166"/>
      <c r="C36" s="188" t="s">
        <v>3247</v>
      </c>
      <c r="D36" s="188" t="s">
        <v>3248</v>
      </c>
      <c r="E36" s="193" t="s">
        <v>242</v>
      </c>
      <c r="F36" s="188" t="s">
        <v>3249</v>
      </c>
      <c r="G36" s="188" t="s">
        <v>3250</v>
      </c>
      <c r="H36" s="184" t="s">
        <v>14</v>
      </c>
      <c r="I36" s="188" t="s">
        <v>3251</v>
      </c>
      <c r="J36" s="188" t="s">
        <v>3252</v>
      </c>
    </row>
    <row r="37" spans="1:10" ht="23.4">
      <c r="A37" s="166"/>
      <c r="B37" s="153" t="s">
        <v>5026</v>
      </c>
      <c r="C37" s="188" t="s">
        <v>3253</v>
      </c>
      <c r="D37" s="188" t="s">
        <v>3254</v>
      </c>
      <c r="E37" s="193" t="s">
        <v>204</v>
      </c>
      <c r="F37" s="188" t="s">
        <v>3255</v>
      </c>
      <c r="G37" s="188" t="s">
        <v>3256</v>
      </c>
      <c r="H37" s="184" t="s">
        <v>387</v>
      </c>
      <c r="I37" s="188" t="s">
        <v>3257</v>
      </c>
      <c r="J37" s="188" t="s">
        <v>3258</v>
      </c>
    </row>
    <row r="38" spans="1:10" ht="23.4" customHeight="1">
      <c r="A38" s="166"/>
      <c r="B38" s="166"/>
      <c r="C38" s="188" t="s">
        <v>3259</v>
      </c>
      <c r="D38" s="188" t="s">
        <v>3260</v>
      </c>
      <c r="E38" s="193" t="s">
        <v>209</v>
      </c>
      <c r="F38" s="188" t="s">
        <v>3261</v>
      </c>
      <c r="G38" s="188" t="s">
        <v>3262</v>
      </c>
      <c r="H38" s="184" t="s">
        <v>387</v>
      </c>
      <c r="I38" s="188" t="s">
        <v>3263</v>
      </c>
      <c r="J38" s="188" t="s">
        <v>3264</v>
      </c>
    </row>
    <row r="39" spans="1:10" ht="23.4">
      <c r="A39" s="166"/>
      <c r="B39" s="166"/>
      <c r="C39" s="188" t="s">
        <v>3265</v>
      </c>
      <c r="D39" s="188" t="s">
        <v>3266</v>
      </c>
      <c r="E39" s="193" t="s">
        <v>204</v>
      </c>
      <c r="F39" s="188" t="s">
        <v>3267</v>
      </c>
      <c r="G39" s="188" t="s">
        <v>3268</v>
      </c>
      <c r="H39" s="184" t="s">
        <v>14</v>
      </c>
      <c r="I39" s="188" t="s">
        <v>3269</v>
      </c>
      <c r="J39" s="188" t="s">
        <v>3270</v>
      </c>
    </row>
    <row r="40" spans="1:10" ht="23.4" customHeight="1">
      <c r="A40" s="166"/>
      <c r="B40" s="166"/>
      <c r="C40" s="188" t="s">
        <v>3271</v>
      </c>
      <c r="D40" s="188" t="s">
        <v>3272</v>
      </c>
      <c r="E40" s="193" t="s">
        <v>204</v>
      </c>
      <c r="F40" s="188" t="s">
        <v>3273</v>
      </c>
      <c r="G40" s="188" t="s">
        <v>3274</v>
      </c>
      <c r="H40" s="184" t="s">
        <v>387</v>
      </c>
      <c r="I40" s="188" t="s">
        <v>3275</v>
      </c>
      <c r="J40" s="188" t="s">
        <v>3276</v>
      </c>
    </row>
    <row r="41" spans="1:10" ht="23.4">
      <c r="A41" s="166"/>
      <c r="B41" s="166"/>
      <c r="C41" s="188" t="s">
        <v>3277</v>
      </c>
      <c r="D41" s="188" t="s">
        <v>3278</v>
      </c>
      <c r="E41" s="193" t="s">
        <v>204</v>
      </c>
      <c r="F41" s="188" t="s">
        <v>3279</v>
      </c>
      <c r="G41" s="188" t="s">
        <v>3280</v>
      </c>
      <c r="H41" s="184" t="s">
        <v>14</v>
      </c>
      <c r="I41" s="188" t="s">
        <v>3281</v>
      </c>
      <c r="J41" s="188" t="s">
        <v>3282</v>
      </c>
    </row>
    <row r="42" spans="1:10" ht="23.4" customHeight="1">
      <c r="A42" s="167" t="s">
        <v>134</v>
      </c>
      <c r="B42" s="145" t="s">
        <v>5027</v>
      </c>
      <c r="C42" s="189" t="s">
        <v>3283</v>
      </c>
      <c r="D42" s="189" t="s">
        <v>3284</v>
      </c>
      <c r="E42" s="193" t="s">
        <v>204</v>
      </c>
      <c r="F42" s="189" t="s">
        <v>3285</v>
      </c>
      <c r="G42" s="189" t="s">
        <v>3286</v>
      </c>
      <c r="H42" s="174" t="s">
        <v>387</v>
      </c>
      <c r="I42" s="189" t="s">
        <v>3287</v>
      </c>
      <c r="J42" s="189" t="s">
        <v>3288</v>
      </c>
    </row>
    <row r="43" spans="1:10" ht="23.4">
      <c r="A43" s="167"/>
      <c r="B43" s="167"/>
      <c r="C43" s="189" t="s">
        <v>3289</v>
      </c>
      <c r="D43" s="189" t="s">
        <v>3290</v>
      </c>
      <c r="E43" s="193" t="s">
        <v>204</v>
      </c>
      <c r="F43" s="189" t="s">
        <v>3150</v>
      </c>
      <c r="G43" s="189" t="s">
        <v>3291</v>
      </c>
      <c r="H43" s="174" t="s">
        <v>387</v>
      </c>
      <c r="I43" s="189" t="s">
        <v>3292</v>
      </c>
      <c r="J43" s="189" t="s">
        <v>3293</v>
      </c>
    </row>
    <row r="44" spans="1:10" ht="23.4" customHeight="1">
      <c r="A44" s="167"/>
      <c r="B44" s="167"/>
      <c r="C44" s="189" t="s">
        <v>3294</v>
      </c>
      <c r="D44" s="189" t="s">
        <v>3295</v>
      </c>
      <c r="E44" s="193" t="s">
        <v>209</v>
      </c>
      <c r="F44" s="189" t="s">
        <v>3296</v>
      </c>
      <c r="G44" s="189" t="s">
        <v>3012</v>
      </c>
      <c r="H44" s="174" t="s">
        <v>14</v>
      </c>
      <c r="I44" s="189" t="s">
        <v>3090</v>
      </c>
      <c r="J44" s="189" t="s">
        <v>3297</v>
      </c>
    </row>
    <row r="45" spans="1:10" ht="23.4">
      <c r="A45" s="167"/>
      <c r="B45" s="167"/>
      <c r="C45" s="189" t="s">
        <v>3298</v>
      </c>
      <c r="D45" s="189" t="s">
        <v>3299</v>
      </c>
      <c r="E45" s="193" t="s">
        <v>209</v>
      </c>
      <c r="F45" s="189" t="s">
        <v>3300</v>
      </c>
      <c r="G45" s="189" t="s">
        <v>3301</v>
      </c>
      <c r="H45" s="174" t="s">
        <v>387</v>
      </c>
      <c r="I45" s="189" t="s">
        <v>3302</v>
      </c>
      <c r="J45" s="189" t="s">
        <v>3303</v>
      </c>
    </row>
    <row r="46" spans="1:10" ht="23.4" customHeight="1">
      <c r="A46" s="167"/>
      <c r="B46" s="167"/>
      <c r="C46" s="189" t="s">
        <v>3304</v>
      </c>
      <c r="D46" s="189" t="s">
        <v>3305</v>
      </c>
      <c r="E46" s="193" t="s">
        <v>242</v>
      </c>
      <c r="F46" s="189" t="s">
        <v>3306</v>
      </c>
      <c r="G46" s="189" t="s">
        <v>3219</v>
      </c>
      <c r="H46" s="174" t="s">
        <v>387</v>
      </c>
      <c r="I46" s="189" t="s">
        <v>3307</v>
      </c>
      <c r="J46" s="189" t="s">
        <v>3308</v>
      </c>
    </row>
    <row r="47" spans="1:10" ht="23.4">
      <c r="A47" s="167"/>
      <c r="B47" s="145" t="s">
        <v>5028</v>
      </c>
      <c r="C47" s="189" t="s">
        <v>3309</v>
      </c>
      <c r="D47" s="189" t="s">
        <v>3310</v>
      </c>
      <c r="E47" s="193" t="s">
        <v>242</v>
      </c>
      <c r="F47" s="189" t="s">
        <v>3311</v>
      </c>
      <c r="G47" s="189" t="s">
        <v>3312</v>
      </c>
      <c r="H47" s="174" t="s">
        <v>387</v>
      </c>
      <c r="I47" s="189" t="s">
        <v>3313</v>
      </c>
      <c r="J47" s="189" t="s">
        <v>3314</v>
      </c>
    </row>
    <row r="48" spans="1:10" ht="23.4" customHeight="1">
      <c r="A48" s="167"/>
      <c r="B48" s="167"/>
      <c r="C48" s="189" t="s">
        <v>3315</v>
      </c>
      <c r="D48" s="189" t="s">
        <v>3316</v>
      </c>
      <c r="E48" s="193" t="s">
        <v>209</v>
      </c>
      <c r="F48" s="189" t="s">
        <v>3166</v>
      </c>
      <c r="G48" s="189" t="s">
        <v>3317</v>
      </c>
      <c r="H48" s="174" t="s">
        <v>387</v>
      </c>
      <c r="I48" s="189" t="s">
        <v>3318</v>
      </c>
      <c r="J48" s="189" t="s">
        <v>3319</v>
      </c>
    </row>
    <row r="49" spans="1:10" ht="24" thickBot="1">
      <c r="A49" s="167"/>
      <c r="B49" s="167"/>
      <c r="C49" s="189" t="s">
        <v>3320</v>
      </c>
      <c r="D49" s="189" t="s">
        <v>3321</v>
      </c>
      <c r="E49" s="193" t="s">
        <v>209</v>
      </c>
      <c r="F49" s="189" t="s">
        <v>3322</v>
      </c>
      <c r="G49" s="189" t="s">
        <v>3323</v>
      </c>
      <c r="H49" s="195" t="s">
        <v>14</v>
      </c>
      <c r="I49" s="189" t="s">
        <v>3324</v>
      </c>
      <c r="J49" s="189" t="s">
        <v>3325</v>
      </c>
    </row>
    <row r="50" spans="1:10" ht="23.4" customHeight="1">
      <c r="A50" s="167"/>
      <c r="B50" s="167"/>
      <c r="C50" s="189" t="s">
        <v>3326</v>
      </c>
      <c r="D50" s="189" t="s">
        <v>3327</v>
      </c>
      <c r="E50" s="193" t="s">
        <v>204</v>
      </c>
      <c r="F50" s="189" t="s">
        <v>3328</v>
      </c>
      <c r="G50" s="189" t="s">
        <v>3329</v>
      </c>
      <c r="H50" s="174" t="s">
        <v>387</v>
      </c>
      <c r="I50" s="189" t="s">
        <v>2350</v>
      </c>
      <c r="J50" s="189" t="s">
        <v>3330</v>
      </c>
    </row>
    <row r="51" spans="1:10" ht="23.4">
      <c r="A51" s="167"/>
      <c r="B51" s="167"/>
      <c r="C51" s="189" t="s">
        <v>3331</v>
      </c>
      <c r="D51" s="189" t="s">
        <v>3332</v>
      </c>
      <c r="E51" s="193" t="s">
        <v>204</v>
      </c>
      <c r="F51" s="189" t="s">
        <v>3185</v>
      </c>
      <c r="G51" s="189" t="s">
        <v>3333</v>
      </c>
      <c r="H51" s="174" t="s">
        <v>14</v>
      </c>
      <c r="I51" s="189" t="s">
        <v>3334</v>
      </c>
      <c r="J51" s="189" t="s">
        <v>3335</v>
      </c>
    </row>
    <row r="52" spans="1:10" ht="23.4" customHeight="1">
      <c r="A52" s="167"/>
      <c r="B52" s="145" t="s">
        <v>5029</v>
      </c>
      <c r="C52" s="189" t="s">
        <v>3336</v>
      </c>
      <c r="D52" s="189" t="s">
        <v>3337</v>
      </c>
      <c r="E52" s="193" t="s">
        <v>204</v>
      </c>
      <c r="F52" s="189" t="s">
        <v>3338</v>
      </c>
      <c r="G52" s="189" t="s">
        <v>3339</v>
      </c>
      <c r="H52" s="174" t="s">
        <v>14</v>
      </c>
      <c r="I52" s="189" t="s">
        <v>3340</v>
      </c>
      <c r="J52" s="189" t="s">
        <v>3341</v>
      </c>
    </row>
    <row r="53" spans="1:10" ht="23.4">
      <c r="A53" s="167"/>
      <c r="B53" s="167"/>
      <c r="C53" s="189" t="s">
        <v>3342</v>
      </c>
      <c r="D53" s="189" t="s">
        <v>3343</v>
      </c>
      <c r="E53" s="193" t="s">
        <v>204</v>
      </c>
      <c r="F53" s="189" t="s">
        <v>3344</v>
      </c>
      <c r="G53" s="189" t="s">
        <v>3345</v>
      </c>
      <c r="H53" s="174" t="s">
        <v>387</v>
      </c>
      <c r="I53" s="189" t="s">
        <v>3213</v>
      </c>
      <c r="J53" s="189" t="s">
        <v>3346</v>
      </c>
    </row>
    <row r="54" spans="1:10" ht="23.4" customHeight="1">
      <c r="A54" s="167"/>
      <c r="B54" s="167"/>
      <c r="C54" s="189" t="s">
        <v>3347</v>
      </c>
      <c r="D54" s="189" t="s">
        <v>3348</v>
      </c>
      <c r="E54" s="193" t="s">
        <v>204</v>
      </c>
      <c r="F54" s="189" t="s">
        <v>3349</v>
      </c>
      <c r="G54" s="189" t="s">
        <v>3350</v>
      </c>
      <c r="H54" s="174" t="s">
        <v>14</v>
      </c>
      <c r="I54" s="189" t="s">
        <v>3351</v>
      </c>
      <c r="J54" s="189" t="s">
        <v>3352</v>
      </c>
    </row>
    <row r="55" spans="1:10" ht="23.4">
      <c r="A55" s="167"/>
      <c r="B55" s="167"/>
      <c r="C55" s="189" t="s">
        <v>3353</v>
      </c>
      <c r="D55" s="189" t="s">
        <v>3354</v>
      </c>
      <c r="E55" s="193" t="s">
        <v>204</v>
      </c>
      <c r="F55" s="189" t="s">
        <v>3355</v>
      </c>
      <c r="G55" s="189" t="s">
        <v>3219</v>
      </c>
      <c r="H55" s="174" t="s">
        <v>387</v>
      </c>
      <c r="I55" s="189" t="s">
        <v>3356</v>
      </c>
      <c r="J55" s="189" t="s">
        <v>3357</v>
      </c>
    </row>
    <row r="56" spans="1:10" ht="23.4" customHeight="1">
      <c r="A56" s="167"/>
      <c r="B56" s="167"/>
      <c r="C56" s="189" t="s">
        <v>3358</v>
      </c>
      <c r="D56" s="189" t="s">
        <v>3359</v>
      </c>
      <c r="E56" s="193" t="s">
        <v>204</v>
      </c>
      <c r="F56" s="189" t="s">
        <v>3163</v>
      </c>
      <c r="G56" s="189" t="s">
        <v>3360</v>
      </c>
      <c r="H56" s="174" t="s">
        <v>14</v>
      </c>
      <c r="I56" s="189" t="s">
        <v>3361</v>
      </c>
      <c r="J56" s="189" t="s">
        <v>3362</v>
      </c>
    </row>
    <row r="57" spans="1:10" ht="23.4">
      <c r="A57" s="167"/>
      <c r="B57" s="145" t="s">
        <v>5030</v>
      </c>
      <c r="C57" s="189" t="s">
        <v>3363</v>
      </c>
      <c r="D57" s="189" t="s">
        <v>3364</v>
      </c>
      <c r="E57" s="193" t="s">
        <v>204</v>
      </c>
      <c r="F57" s="189" t="s">
        <v>3365</v>
      </c>
      <c r="G57" s="189" t="s">
        <v>3366</v>
      </c>
      <c r="H57" s="174" t="s">
        <v>14</v>
      </c>
      <c r="I57" s="189" t="s">
        <v>3367</v>
      </c>
      <c r="J57" s="189" t="s">
        <v>3368</v>
      </c>
    </row>
    <row r="58" spans="1:10" ht="23.4" customHeight="1">
      <c r="A58" s="167"/>
      <c r="B58" s="167"/>
      <c r="C58" s="189" t="s">
        <v>3369</v>
      </c>
      <c r="D58" s="189" t="s">
        <v>3370</v>
      </c>
      <c r="E58" s="193" t="s">
        <v>204</v>
      </c>
      <c r="F58" s="189" t="s">
        <v>3371</v>
      </c>
      <c r="G58" s="189" t="s">
        <v>3190</v>
      </c>
      <c r="H58" s="174" t="s">
        <v>387</v>
      </c>
      <c r="I58" s="189" t="s">
        <v>3372</v>
      </c>
      <c r="J58" s="189" t="s">
        <v>3169</v>
      </c>
    </row>
    <row r="59" spans="1:10" ht="23.4">
      <c r="A59" s="167"/>
      <c r="B59" s="167"/>
      <c r="C59" s="189" t="s">
        <v>3373</v>
      </c>
      <c r="D59" s="189" t="s">
        <v>3374</v>
      </c>
      <c r="E59" s="193" t="s">
        <v>204</v>
      </c>
      <c r="F59" s="189" t="s">
        <v>3239</v>
      </c>
      <c r="G59" s="189" t="s">
        <v>3375</v>
      </c>
      <c r="H59" s="174" t="s">
        <v>387</v>
      </c>
      <c r="I59" s="189" t="s">
        <v>3159</v>
      </c>
      <c r="J59" s="189" t="s">
        <v>3376</v>
      </c>
    </row>
    <row r="60" spans="1:10" ht="23.4" customHeight="1">
      <c r="A60" s="167"/>
      <c r="B60" s="167"/>
      <c r="C60" s="189" t="s">
        <v>3377</v>
      </c>
      <c r="D60" s="189" t="s">
        <v>3378</v>
      </c>
      <c r="E60" s="193" t="s">
        <v>209</v>
      </c>
      <c r="F60" s="189" t="s">
        <v>3144</v>
      </c>
      <c r="G60" s="189" t="s">
        <v>3379</v>
      </c>
      <c r="H60" s="174" t="s">
        <v>14</v>
      </c>
      <c r="I60" s="189" t="s">
        <v>3380</v>
      </c>
      <c r="J60" s="189" t="s">
        <v>3381</v>
      </c>
    </row>
    <row r="61" spans="1:10" ht="23.4">
      <c r="A61" s="167"/>
      <c r="B61" s="167"/>
      <c r="C61" s="189" t="s">
        <v>3382</v>
      </c>
      <c r="D61" s="189" t="s">
        <v>3383</v>
      </c>
      <c r="E61" s="193" t="s">
        <v>209</v>
      </c>
      <c r="F61" s="189" t="s">
        <v>2170</v>
      </c>
      <c r="G61" s="189" t="s">
        <v>3384</v>
      </c>
      <c r="H61" s="174" t="s">
        <v>387</v>
      </c>
      <c r="I61" s="189" t="s">
        <v>3385</v>
      </c>
      <c r="J61" s="189" t="s">
        <v>3386</v>
      </c>
    </row>
    <row r="62" spans="1:10" ht="23.4" customHeight="1">
      <c r="A62" s="167"/>
      <c r="B62" s="167" t="s">
        <v>135</v>
      </c>
      <c r="C62" s="189" t="s">
        <v>3387</v>
      </c>
      <c r="D62" s="189" t="s">
        <v>3388</v>
      </c>
      <c r="E62" s="193" t="s">
        <v>209</v>
      </c>
      <c r="F62" s="189" t="s">
        <v>3389</v>
      </c>
      <c r="G62" s="189" t="s">
        <v>3390</v>
      </c>
      <c r="H62" s="174" t="s">
        <v>14</v>
      </c>
      <c r="I62" s="189" t="s">
        <v>3391</v>
      </c>
      <c r="J62" s="189" t="s">
        <v>3392</v>
      </c>
    </row>
    <row r="63" spans="1:10" ht="23.4">
      <c r="A63" s="167"/>
      <c r="B63" s="167"/>
      <c r="C63" s="189" t="s">
        <v>3393</v>
      </c>
      <c r="D63" s="189" t="s">
        <v>3394</v>
      </c>
      <c r="E63" s="193" t="s">
        <v>204</v>
      </c>
      <c r="F63" s="189" t="s">
        <v>3151</v>
      </c>
      <c r="G63" s="189" t="s">
        <v>3395</v>
      </c>
      <c r="H63" s="174" t="s">
        <v>387</v>
      </c>
      <c r="I63" s="189" t="s">
        <v>3396</v>
      </c>
      <c r="J63" s="189" t="s">
        <v>3397</v>
      </c>
    </row>
    <row r="64" spans="1:10" ht="23.4" customHeight="1">
      <c r="A64" s="167"/>
      <c r="B64" s="167"/>
      <c r="C64" s="189" t="s">
        <v>3398</v>
      </c>
      <c r="D64" s="189" t="s">
        <v>3399</v>
      </c>
      <c r="E64" s="193" t="s">
        <v>204</v>
      </c>
      <c r="F64" s="189" t="s">
        <v>3400</v>
      </c>
      <c r="G64" s="189" t="s">
        <v>3401</v>
      </c>
      <c r="H64" s="174" t="s">
        <v>387</v>
      </c>
      <c r="I64" s="189" t="s">
        <v>3402</v>
      </c>
      <c r="J64" s="189" t="s">
        <v>3403</v>
      </c>
    </row>
    <row r="65" spans="1:10" ht="23.4">
      <c r="A65" s="167"/>
      <c r="B65" s="167"/>
      <c r="C65" s="189" t="s">
        <v>3404</v>
      </c>
      <c r="D65" s="189" t="s">
        <v>3405</v>
      </c>
      <c r="E65" s="193" t="s">
        <v>204</v>
      </c>
      <c r="F65" s="189" t="s">
        <v>3406</v>
      </c>
      <c r="G65" s="189" t="s">
        <v>3407</v>
      </c>
      <c r="H65" s="174" t="s">
        <v>14</v>
      </c>
      <c r="I65" s="189" t="s">
        <v>3408</v>
      </c>
      <c r="J65" s="189" t="s">
        <v>3409</v>
      </c>
    </row>
    <row r="66" spans="1:10" ht="23.4" customHeight="1">
      <c r="A66" s="167"/>
      <c r="B66" s="167"/>
      <c r="C66" s="189" t="s">
        <v>3410</v>
      </c>
      <c r="D66" s="189" t="s">
        <v>3411</v>
      </c>
      <c r="E66" s="193" t="s">
        <v>209</v>
      </c>
      <c r="F66" s="189" t="s">
        <v>3412</v>
      </c>
      <c r="G66" s="189" t="s">
        <v>3329</v>
      </c>
      <c r="H66" s="174" t="s">
        <v>387</v>
      </c>
      <c r="I66" s="189" t="s">
        <v>3148</v>
      </c>
      <c r="J66" s="189" t="s">
        <v>3413</v>
      </c>
    </row>
    <row r="67" spans="1:10" ht="23.4">
      <c r="A67" s="167"/>
      <c r="B67" s="167" t="s">
        <v>136</v>
      </c>
      <c r="C67" s="189" t="s">
        <v>3414</v>
      </c>
      <c r="D67" s="189" t="s">
        <v>3415</v>
      </c>
      <c r="E67" s="193" t="s">
        <v>209</v>
      </c>
      <c r="F67" s="189" t="s">
        <v>3416</v>
      </c>
      <c r="G67" s="189" t="s">
        <v>3417</v>
      </c>
      <c r="H67" s="174" t="s">
        <v>387</v>
      </c>
      <c r="I67" s="189" t="s">
        <v>3418</v>
      </c>
      <c r="J67" s="189" t="s">
        <v>3419</v>
      </c>
    </row>
    <row r="68" spans="1:10" ht="23.4" customHeight="1">
      <c r="A68" s="167"/>
      <c r="B68" s="167"/>
      <c r="C68" s="189" t="s">
        <v>3420</v>
      </c>
      <c r="D68" s="189" t="s">
        <v>3421</v>
      </c>
      <c r="E68" s="193" t="s">
        <v>209</v>
      </c>
      <c r="F68" s="189" t="s">
        <v>3422</v>
      </c>
      <c r="G68" s="189" t="s">
        <v>3423</v>
      </c>
      <c r="H68" s="174" t="s">
        <v>387</v>
      </c>
      <c r="I68" s="189" t="s">
        <v>3207</v>
      </c>
      <c r="J68" s="189" t="s">
        <v>3424</v>
      </c>
    </row>
    <row r="69" spans="1:10" ht="23.4">
      <c r="A69" s="167"/>
      <c r="B69" s="167"/>
      <c r="C69" s="189" t="s">
        <v>3425</v>
      </c>
      <c r="D69" s="189" t="s">
        <v>3426</v>
      </c>
      <c r="E69" s="193" t="s">
        <v>209</v>
      </c>
      <c r="F69" s="189" t="s">
        <v>3427</v>
      </c>
      <c r="G69" s="189" t="s">
        <v>3428</v>
      </c>
      <c r="H69" s="174" t="s">
        <v>387</v>
      </c>
      <c r="I69" s="189" t="s">
        <v>3429</v>
      </c>
      <c r="J69" s="189" t="s">
        <v>3430</v>
      </c>
    </row>
    <row r="70" spans="1:10" ht="23.4" customHeight="1" thickBot="1">
      <c r="A70" s="167"/>
      <c r="B70" s="167"/>
      <c r="C70" s="189" t="s">
        <v>3431</v>
      </c>
      <c r="D70" s="189" t="s">
        <v>3432</v>
      </c>
      <c r="E70" s="193" t="s">
        <v>242</v>
      </c>
      <c r="F70" s="189" t="s">
        <v>3157</v>
      </c>
      <c r="G70" s="189" t="s">
        <v>3433</v>
      </c>
      <c r="H70" s="195" t="s">
        <v>14</v>
      </c>
      <c r="I70" s="189" t="s">
        <v>3434</v>
      </c>
      <c r="J70" s="189" t="s">
        <v>3435</v>
      </c>
    </row>
    <row r="71" spans="1:10" ht="23.4">
      <c r="A71" s="167"/>
      <c r="B71" s="167"/>
      <c r="C71" s="189" t="s">
        <v>3436</v>
      </c>
      <c r="D71" s="189" t="s">
        <v>3437</v>
      </c>
      <c r="E71" s="193" t="s">
        <v>209</v>
      </c>
      <c r="F71" s="189" t="s">
        <v>3438</v>
      </c>
      <c r="G71" s="189" t="s">
        <v>3439</v>
      </c>
      <c r="H71" s="174" t="s">
        <v>14</v>
      </c>
      <c r="I71" s="189" t="s">
        <v>3139</v>
      </c>
      <c r="J71" s="189" t="s">
        <v>3440</v>
      </c>
    </row>
    <row r="72" spans="1:10" ht="23.4" customHeight="1">
      <c r="A72" s="167"/>
      <c r="B72" s="145" t="s">
        <v>5031</v>
      </c>
      <c r="C72" s="189" t="s">
        <v>3441</v>
      </c>
      <c r="D72" s="189" t="s">
        <v>3442</v>
      </c>
      <c r="E72" s="193" t="s">
        <v>209</v>
      </c>
      <c r="F72" s="189" t="s">
        <v>3199</v>
      </c>
      <c r="G72" s="189" t="s">
        <v>3443</v>
      </c>
      <c r="H72" s="174" t="s">
        <v>387</v>
      </c>
      <c r="I72" s="189" t="s">
        <v>3444</v>
      </c>
      <c r="J72" s="189" t="s">
        <v>3445</v>
      </c>
    </row>
    <row r="73" spans="1:10" ht="23.4">
      <c r="A73" s="167"/>
      <c r="B73" s="167"/>
      <c r="C73" s="189" t="s">
        <v>3446</v>
      </c>
      <c r="D73" s="189" t="s">
        <v>3447</v>
      </c>
      <c r="E73" s="193" t="s">
        <v>204</v>
      </c>
      <c r="F73" s="189" t="s">
        <v>3211</v>
      </c>
      <c r="G73" s="189" t="s">
        <v>3448</v>
      </c>
      <c r="H73" s="174" t="s">
        <v>14</v>
      </c>
      <c r="I73" s="189" t="s">
        <v>3449</v>
      </c>
      <c r="J73" s="189" t="s">
        <v>3450</v>
      </c>
    </row>
    <row r="74" spans="1:10" ht="23.4">
      <c r="A74" s="167"/>
      <c r="B74" s="167"/>
      <c r="C74" s="189" t="s">
        <v>3451</v>
      </c>
      <c r="D74" s="189" t="s">
        <v>3452</v>
      </c>
      <c r="E74" s="193" t="s">
        <v>209</v>
      </c>
      <c r="F74" s="189" t="s">
        <v>88</v>
      </c>
      <c r="G74" s="189" t="s">
        <v>3453</v>
      </c>
      <c r="H74" s="174" t="s">
        <v>387</v>
      </c>
      <c r="I74" s="189" t="s">
        <v>3454</v>
      </c>
      <c r="J74" s="189" t="s">
        <v>3455</v>
      </c>
    </row>
    <row r="75" spans="1:10" ht="23.4">
      <c r="A75" s="167"/>
      <c r="B75" s="167"/>
      <c r="C75" s="189" t="s">
        <v>3456</v>
      </c>
      <c r="D75" s="189" t="s">
        <v>3457</v>
      </c>
      <c r="E75" s="193" t="s">
        <v>204</v>
      </c>
      <c r="F75" s="189" t="s">
        <v>3156</v>
      </c>
      <c r="G75" s="189" t="s">
        <v>3407</v>
      </c>
      <c r="H75" s="174" t="s">
        <v>14</v>
      </c>
      <c r="I75" s="189" t="s">
        <v>3458</v>
      </c>
      <c r="J75" s="189" t="s">
        <v>3459</v>
      </c>
    </row>
    <row r="76" spans="1:10" ht="23.4" customHeight="1">
      <c r="A76" s="167"/>
      <c r="B76" s="167"/>
      <c r="C76" s="189" t="s">
        <v>3460</v>
      </c>
      <c r="D76" s="189" t="s">
        <v>3461</v>
      </c>
      <c r="E76" s="193" t="s">
        <v>204</v>
      </c>
      <c r="F76" s="189" t="s">
        <v>3462</v>
      </c>
      <c r="G76" s="189" t="s">
        <v>3463</v>
      </c>
      <c r="H76" s="174" t="s">
        <v>14</v>
      </c>
      <c r="I76" s="189" t="s">
        <v>3464</v>
      </c>
      <c r="J76" s="189" t="s">
        <v>3465</v>
      </c>
    </row>
    <row r="77" spans="1:10" ht="23.4">
      <c r="A77" s="167"/>
      <c r="B77" s="145" t="s">
        <v>5032</v>
      </c>
      <c r="C77" s="189" t="s">
        <v>3466</v>
      </c>
      <c r="D77" s="189" t="s">
        <v>3467</v>
      </c>
      <c r="E77" s="193" t="s">
        <v>209</v>
      </c>
      <c r="F77" s="189" t="s">
        <v>3468</v>
      </c>
      <c r="G77" s="189" t="s">
        <v>3469</v>
      </c>
      <c r="H77" s="174" t="s">
        <v>387</v>
      </c>
      <c r="I77" s="189" t="s">
        <v>3470</v>
      </c>
      <c r="J77" s="189" t="s">
        <v>3471</v>
      </c>
    </row>
    <row r="78" spans="1:10" ht="23.4" customHeight="1">
      <c r="A78" s="167"/>
      <c r="B78" s="167"/>
      <c r="C78" s="189" t="s">
        <v>3472</v>
      </c>
      <c r="D78" s="189" t="s">
        <v>3473</v>
      </c>
      <c r="E78" s="193" t="s">
        <v>204</v>
      </c>
      <c r="F78" s="189" t="s">
        <v>795</v>
      </c>
      <c r="G78" s="189" t="s">
        <v>3474</v>
      </c>
      <c r="H78" s="174" t="s">
        <v>14</v>
      </c>
      <c r="I78" s="189" t="s">
        <v>3475</v>
      </c>
      <c r="J78" s="189" t="s">
        <v>3476</v>
      </c>
    </row>
    <row r="79" spans="1:10" ht="23.4">
      <c r="A79" s="167"/>
      <c r="B79" s="167"/>
      <c r="C79" s="189" t="s">
        <v>3477</v>
      </c>
      <c r="D79" s="189" t="s">
        <v>3478</v>
      </c>
      <c r="E79" s="193" t="s">
        <v>204</v>
      </c>
      <c r="F79" s="189" t="s">
        <v>3479</v>
      </c>
      <c r="G79" s="189" t="s">
        <v>3480</v>
      </c>
      <c r="H79" s="174" t="s">
        <v>14</v>
      </c>
      <c r="I79" s="189" t="s">
        <v>3481</v>
      </c>
      <c r="J79" s="189" t="s">
        <v>3482</v>
      </c>
    </row>
    <row r="80" spans="1:10" ht="23.4" customHeight="1">
      <c r="A80" s="167"/>
      <c r="B80" s="167"/>
      <c r="C80" s="189" t="s">
        <v>3483</v>
      </c>
      <c r="D80" s="189" t="s">
        <v>3484</v>
      </c>
      <c r="E80" s="193" t="s">
        <v>204</v>
      </c>
      <c r="F80" s="189" t="s">
        <v>3485</v>
      </c>
      <c r="G80" s="189" t="s">
        <v>3486</v>
      </c>
      <c r="H80" s="174" t="s">
        <v>14</v>
      </c>
      <c r="I80" s="189" t="s">
        <v>3487</v>
      </c>
      <c r="J80" s="189" t="s">
        <v>3488</v>
      </c>
    </row>
    <row r="81" spans="1:10" ht="23.4">
      <c r="A81" s="167"/>
      <c r="B81" s="167"/>
      <c r="C81" s="189" t="s">
        <v>3489</v>
      </c>
      <c r="D81" s="189" t="s">
        <v>3490</v>
      </c>
      <c r="E81" s="193" t="s">
        <v>209</v>
      </c>
      <c r="F81" s="189" t="s">
        <v>3491</v>
      </c>
      <c r="G81" s="189" t="s">
        <v>3492</v>
      </c>
      <c r="H81" s="174" t="s">
        <v>387</v>
      </c>
      <c r="I81" s="189" t="s">
        <v>3493</v>
      </c>
      <c r="J81" s="189" t="s">
        <v>3494</v>
      </c>
    </row>
    <row r="82" spans="1:10" ht="23.4">
      <c r="A82" s="166" t="s">
        <v>137</v>
      </c>
      <c r="B82" s="153" t="s">
        <v>138</v>
      </c>
      <c r="C82" s="188" t="s">
        <v>3495</v>
      </c>
      <c r="D82" s="188" t="s">
        <v>3496</v>
      </c>
      <c r="E82" s="193" t="s">
        <v>209</v>
      </c>
      <c r="F82" s="188" t="s">
        <v>3171</v>
      </c>
      <c r="G82" s="188" t="s">
        <v>2264</v>
      </c>
      <c r="H82" s="184" t="s">
        <v>387</v>
      </c>
      <c r="I82" s="188" t="s">
        <v>3497</v>
      </c>
      <c r="J82" s="188" t="s">
        <v>3498</v>
      </c>
    </row>
    <row r="83" spans="1:10" ht="23.4">
      <c r="A83" s="166"/>
      <c r="B83" s="166"/>
      <c r="C83" s="188" t="s">
        <v>3499</v>
      </c>
      <c r="D83" s="188" t="s">
        <v>3500</v>
      </c>
      <c r="E83" s="193" t="s">
        <v>209</v>
      </c>
      <c r="F83" s="188" t="s">
        <v>3501</v>
      </c>
      <c r="G83" s="188" t="s">
        <v>3502</v>
      </c>
      <c r="H83" s="184" t="s">
        <v>14</v>
      </c>
      <c r="I83" s="188" t="s">
        <v>3165</v>
      </c>
      <c r="J83" s="188" t="s">
        <v>3503</v>
      </c>
    </row>
    <row r="84" spans="1:10" ht="23.4">
      <c r="A84" s="166"/>
      <c r="B84" s="166"/>
      <c r="C84" s="188" t="s">
        <v>3504</v>
      </c>
      <c r="D84" s="188" t="s">
        <v>3505</v>
      </c>
      <c r="E84" s="193" t="s">
        <v>209</v>
      </c>
      <c r="F84" s="188" t="s">
        <v>3506</v>
      </c>
      <c r="G84" s="188" t="s">
        <v>3366</v>
      </c>
      <c r="H84" s="184" t="s">
        <v>14</v>
      </c>
      <c r="I84" s="188" t="s">
        <v>3155</v>
      </c>
      <c r="J84" s="188" t="s">
        <v>3507</v>
      </c>
    </row>
    <row r="85" spans="1:10" ht="23.4">
      <c r="A85" s="166"/>
      <c r="B85" s="166"/>
      <c r="C85" s="188" t="s">
        <v>3508</v>
      </c>
      <c r="D85" s="188" t="s">
        <v>3509</v>
      </c>
      <c r="E85" s="193" t="s">
        <v>242</v>
      </c>
      <c r="F85" s="188" t="s">
        <v>3510</v>
      </c>
      <c r="G85" s="188" t="s">
        <v>3511</v>
      </c>
      <c r="H85" s="184" t="s">
        <v>387</v>
      </c>
      <c r="I85" s="188" t="s">
        <v>1649</v>
      </c>
      <c r="J85" s="188" t="s">
        <v>3512</v>
      </c>
    </row>
    <row r="86" spans="1:10" ht="23.4">
      <c r="A86" s="166"/>
      <c r="B86" s="166"/>
      <c r="C86" s="188" t="s">
        <v>3513</v>
      </c>
      <c r="D86" s="188" t="s">
        <v>3514</v>
      </c>
      <c r="E86" s="193" t="s">
        <v>209</v>
      </c>
      <c r="F86" s="188" t="s">
        <v>3515</v>
      </c>
      <c r="G86" s="188" t="s">
        <v>3516</v>
      </c>
      <c r="H86" s="184" t="s">
        <v>387</v>
      </c>
      <c r="I86" s="188" t="s">
        <v>3517</v>
      </c>
      <c r="J86" s="188" t="s">
        <v>3518</v>
      </c>
    </row>
    <row r="87" spans="1:10" ht="23.4">
      <c r="A87" s="166"/>
      <c r="B87" s="166" t="s">
        <v>139</v>
      </c>
      <c r="C87" s="188" t="s">
        <v>3519</v>
      </c>
      <c r="D87" s="188" t="s">
        <v>3520</v>
      </c>
      <c r="E87" s="193" t="s">
        <v>209</v>
      </c>
      <c r="F87" s="188" t="s">
        <v>3521</v>
      </c>
      <c r="G87" s="188" t="s">
        <v>3522</v>
      </c>
      <c r="H87" s="184" t="s">
        <v>14</v>
      </c>
      <c r="I87" s="188" t="s">
        <v>3523</v>
      </c>
      <c r="J87" s="188" t="s">
        <v>3524</v>
      </c>
    </row>
    <row r="88" spans="1:10" ht="23.4">
      <c r="A88" s="166"/>
      <c r="B88" s="166"/>
      <c r="C88" s="188" t="s">
        <v>3525</v>
      </c>
      <c r="D88" s="188" t="s">
        <v>3526</v>
      </c>
      <c r="E88" s="193" t="s">
        <v>204</v>
      </c>
      <c r="F88" s="188" t="s">
        <v>3527</v>
      </c>
      <c r="G88" s="188" t="s">
        <v>3528</v>
      </c>
      <c r="H88" s="184" t="s">
        <v>387</v>
      </c>
      <c r="I88" s="188" t="s">
        <v>3529</v>
      </c>
      <c r="J88" s="188" t="s">
        <v>3530</v>
      </c>
    </row>
    <row r="89" spans="1:10" ht="23.4">
      <c r="A89" s="166"/>
      <c r="B89" s="166"/>
      <c r="C89" s="188" t="s">
        <v>3531</v>
      </c>
      <c r="D89" s="188" t="s">
        <v>3532</v>
      </c>
      <c r="E89" s="193" t="s">
        <v>209</v>
      </c>
      <c r="F89" s="188" t="s">
        <v>3211</v>
      </c>
      <c r="G89" s="188" t="s">
        <v>3533</v>
      </c>
      <c r="H89" s="184" t="s">
        <v>387</v>
      </c>
      <c r="I89" s="188" t="s">
        <v>3481</v>
      </c>
      <c r="J89" s="188" t="s">
        <v>3534</v>
      </c>
    </row>
    <row r="90" spans="1:10" ht="23.4">
      <c r="A90" s="166"/>
      <c r="B90" s="166"/>
      <c r="C90" s="188" t="s">
        <v>3535</v>
      </c>
      <c r="D90" s="188" t="s">
        <v>3536</v>
      </c>
      <c r="E90" s="193" t="s">
        <v>204</v>
      </c>
      <c r="F90" s="188" t="s">
        <v>3537</v>
      </c>
      <c r="G90" s="188" t="s">
        <v>3538</v>
      </c>
      <c r="H90" s="184" t="s">
        <v>387</v>
      </c>
      <c r="I90" s="188" t="s">
        <v>2418</v>
      </c>
      <c r="J90" s="188" t="s">
        <v>3539</v>
      </c>
    </row>
    <row r="91" spans="1:10" ht="23.4">
      <c r="A91" s="166"/>
      <c r="B91" s="166"/>
      <c r="C91" s="188" t="s">
        <v>3540</v>
      </c>
      <c r="D91" s="188" t="s">
        <v>3541</v>
      </c>
      <c r="E91" s="193" t="s">
        <v>204</v>
      </c>
      <c r="F91" s="188" t="s">
        <v>3542</v>
      </c>
      <c r="G91" s="188" t="s">
        <v>3543</v>
      </c>
      <c r="H91" s="184" t="s">
        <v>387</v>
      </c>
      <c r="I91" s="188" t="s">
        <v>3544</v>
      </c>
      <c r="J91" s="188" t="s">
        <v>3545</v>
      </c>
    </row>
    <row r="92" spans="1:10" ht="24" thickBot="1">
      <c r="A92" s="166"/>
      <c r="B92" s="166" t="s">
        <v>140</v>
      </c>
      <c r="C92" s="188" t="s">
        <v>3546</v>
      </c>
      <c r="D92" s="188" t="s">
        <v>3547</v>
      </c>
      <c r="E92" s="193" t="s">
        <v>204</v>
      </c>
      <c r="F92" s="188" t="s">
        <v>3548</v>
      </c>
      <c r="G92" s="188" t="s">
        <v>3549</v>
      </c>
      <c r="H92" s="194" t="s">
        <v>14</v>
      </c>
      <c r="I92" s="188" t="s">
        <v>3550</v>
      </c>
      <c r="J92" s="188" t="s">
        <v>3551</v>
      </c>
    </row>
    <row r="93" spans="1:10" ht="23.4">
      <c r="A93" s="166"/>
      <c r="B93" s="166"/>
      <c r="C93" s="188" t="s">
        <v>3552</v>
      </c>
      <c r="D93" s="188" t="s">
        <v>3553</v>
      </c>
      <c r="E93" s="193" t="s">
        <v>242</v>
      </c>
      <c r="F93" s="188" t="s">
        <v>3491</v>
      </c>
      <c r="G93" s="188" t="s">
        <v>3554</v>
      </c>
      <c r="H93" s="184" t="s">
        <v>387</v>
      </c>
      <c r="I93" s="188" t="s">
        <v>3555</v>
      </c>
      <c r="J93" s="188" t="s">
        <v>3556</v>
      </c>
    </row>
    <row r="94" spans="1:10" ht="23.4">
      <c r="A94" s="166"/>
      <c r="B94" s="166"/>
      <c r="C94" s="188" t="s">
        <v>3557</v>
      </c>
      <c r="D94" s="188" t="s">
        <v>3558</v>
      </c>
      <c r="E94" s="193" t="s">
        <v>204</v>
      </c>
      <c r="F94" s="188" t="s">
        <v>3559</v>
      </c>
      <c r="G94" s="188" t="s">
        <v>3560</v>
      </c>
      <c r="H94" s="184" t="s">
        <v>14</v>
      </c>
      <c r="I94" s="188" t="s">
        <v>3561</v>
      </c>
      <c r="J94" s="188" t="s">
        <v>3562</v>
      </c>
    </row>
    <row r="95" spans="1:10" ht="23.4">
      <c r="A95" s="166"/>
      <c r="B95" s="166"/>
      <c r="C95" s="188" t="s">
        <v>3563</v>
      </c>
      <c r="D95" s="188" t="s">
        <v>3564</v>
      </c>
      <c r="E95" s="193" t="s">
        <v>209</v>
      </c>
      <c r="F95" s="188" t="s">
        <v>2168</v>
      </c>
      <c r="G95" s="188" t="s">
        <v>2388</v>
      </c>
      <c r="H95" s="184" t="s">
        <v>14</v>
      </c>
      <c r="I95" s="188" t="s">
        <v>3565</v>
      </c>
      <c r="J95" s="188" t="s">
        <v>3566</v>
      </c>
    </row>
    <row r="96" spans="1:10" ht="23.4">
      <c r="A96" s="166"/>
      <c r="B96" s="166"/>
      <c r="C96" s="188" t="s">
        <v>3567</v>
      </c>
      <c r="D96" s="188" t="s">
        <v>3568</v>
      </c>
      <c r="E96" s="193" t="s">
        <v>242</v>
      </c>
      <c r="F96" s="188" t="s">
        <v>3569</v>
      </c>
      <c r="G96" s="188" t="s">
        <v>2265</v>
      </c>
      <c r="H96" s="184" t="s">
        <v>387</v>
      </c>
      <c r="I96" s="188" t="s">
        <v>3570</v>
      </c>
      <c r="J96" s="188" t="s">
        <v>3571</v>
      </c>
    </row>
    <row r="97" spans="1:10" ht="23.4">
      <c r="A97" s="166"/>
      <c r="B97" s="166" t="s">
        <v>141</v>
      </c>
      <c r="C97" s="188" t="s">
        <v>3572</v>
      </c>
      <c r="D97" s="188" t="s">
        <v>3573</v>
      </c>
      <c r="E97" s="193" t="s">
        <v>204</v>
      </c>
      <c r="F97" s="188" t="s">
        <v>3574</v>
      </c>
      <c r="G97" s="188" t="s">
        <v>3575</v>
      </c>
      <c r="H97" s="184" t="s">
        <v>14</v>
      </c>
      <c r="I97" s="188" t="s">
        <v>3576</v>
      </c>
      <c r="J97" s="188" t="s">
        <v>3577</v>
      </c>
    </row>
    <row r="98" spans="1:10" ht="23.4">
      <c r="A98" s="166"/>
      <c r="B98" s="166"/>
      <c r="C98" s="188" t="s">
        <v>3578</v>
      </c>
      <c r="D98" s="188" t="s">
        <v>3579</v>
      </c>
      <c r="E98" s="193" t="s">
        <v>209</v>
      </c>
      <c r="F98" s="188" t="s">
        <v>3580</v>
      </c>
      <c r="G98" s="188" t="s">
        <v>3581</v>
      </c>
      <c r="H98" s="184" t="s">
        <v>14</v>
      </c>
      <c r="I98" s="188" t="s">
        <v>3149</v>
      </c>
      <c r="J98" s="188" t="s">
        <v>3582</v>
      </c>
    </row>
    <row r="99" spans="1:10" ht="24" thickBot="1">
      <c r="A99" s="166"/>
      <c r="B99" s="166"/>
      <c r="C99" s="188" t="s">
        <v>3583</v>
      </c>
      <c r="D99" s="188" t="s">
        <v>3584</v>
      </c>
      <c r="E99" s="193" t="s">
        <v>204</v>
      </c>
      <c r="F99" s="188" t="s">
        <v>3585</v>
      </c>
      <c r="G99" s="188" t="s">
        <v>3586</v>
      </c>
      <c r="H99" s="194" t="s">
        <v>14</v>
      </c>
      <c r="I99" s="188" t="s">
        <v>3587</v>
      </c>
      <c r="J99" s="188" t="s">
        <v>3588</v>
      </c>
    </row>
    <row r="100" spans="1:10" ht="23.4">
      <c r="A100" s="166"/>
      <c r="B100" s="166"/>
      <c r="C100" s="188" t="s">
        <v>3589</v>
      </c>
      <c r="D100" s="188" t="s">
        <v>3590</v>
      </c>
      <c r="E100" s="193" t="s">
        <v>204</v>
      </c>
      <c r="F100" s="188" t="s">
        <v>3591</v>
      </c>
      <c r="G100" s="188" t="s">
        <v>3592</v>
      </c>
      <c r="H100" s="184" t="s">
        <v>14</v>
      </c>
      <c r="I100" s="188" t="s">
        <v>3593</v>
      </c>
      <c r="J100" s="188" t="s">
        <v>3594</v>
      </c>
    </row>
    <row r="101" spans="1:10" ht="23.4">
      <c r="A101" s="166"/>
      <c r="B101" s="166"/>
      <c r="C101" s="188" t="s">
        <v>3595</v>
      </c>
      <c r="D101" s="188" t="s">
        <v>3596</v>
      </c>
      <c r="E101" s="193" t="s">
        <v>204</v>
      </c>
      <c r="F101" s="188" t="s">
        <v>3597</v>
      </c>
      <c r="G101" s="188" t="s">
        <v>3598</v>
      </c>
      <c r="H101" s="184" t="s">
        <v>387</v>
      </c>
      <c r="I101" s="188" t="s">
        <v>3599</v>
      </c>
      <c r="J101" s="188" t="s">
        <v>3600</v>
      </c>
    </row>
    <row r="102" spans="1:10" ht="23.4">
      <c r="A102" s="166"/>
      <c r="B102" s="166" t="s">
        <v>142</v>
      </c>
      <c r="C102" s="188" t="s">
        <v>3601</v>
      </c>
      <c r="D102" s="188" t="s">
        <v>3602</v>
      </c>
      <c r="E102" s="193" t="s">
        <v>204</v>
      </c>
      <c r="F102" s="188" t="s">
        <v>3146</v>
      </c>
      <c r="G102" s="188" t="s">
        <v>3603</v>
      </c>
      <c r="H102" s="184" t="s">
        <v>14</v>
      </c>
      <c r="I102" s="188" t="s">
        <v>3604</v>
      </c>
      <c r="J102" s="188" t="s">
        <v>3605</v>
      </c>
    </row>
    <row r="103" spans="1:10" ht="23.4">
      <c r="A103" s="166"/>
      <c r="B103" s="166"/>
      <c r="C103" s="188" t="s">
        <v>3606</v>
      </c>
      <c r="D103" s="188" t="s">
        <v>3607</v>
      </c>
      <c r="E103" s="193" t="s">
        <v>204</v>
      </c>
      <c r="F103" s="188" t="s">
        <v>3608</v>
      </c>
      <c r="G103" s="188" t="s">
        <v>3609</v>
      </c>
      <c r="H103" s="184" t="s">
        <v>387</v>
      </c>
      <c r="I103" s="188" t="s">
        <v>3610</v>
      </c>
      <c r="J103" s="188" t="s">
        <v>3611</v>
      </c>
    </row>
    <row r="104" spans="1:10" ht="23.4">
      <c r="A104" s="166"/>
      <c r="B104" s="166"/>
      <c r="C104" s="188" t="s">
        <v>3612</v>
      </c>
      <c r="D104" s="188" t="s">
        <v>3613</v>
      </c>
      <c r="E104" s="193" t="s">
        <v>209</v>
      </c>
      <c r="F104" s="188" t="s">
        <v>3614</v>
      </c>
      <c r="G104" s="188" t="s">
        <v>3615</v>
      </c>
      <c r="H104" s="184" t="s">
        <v>14</v>
      </c>
      <c r="I104" s="188" t="s">
        <v>3616</v>
      </c>
      <c r="J104" s="188" t="s">
        <v>3617</v>
      </c>
    </row>
    <row r="105" spans="1:10" ht="23.4">
      <c r="A105" s="166"/>
      <c r="B105" s="166"/>
      <c r="C105" s="188" t="s">
        <v>3618</v>
      </c>
      <c r="D105" s="188" t="s">
        <v>3619</v>
      </c>
      <c r="E105" s="193" t="s">
        <v>209</v>
      </c>
      <c r="F105" s="188" t="s">
        <v>3620</v>
      </c>
      <c r="G105" s="188" t="s">
        <v>3621</v>
      </c>
      <c r="H105" s="184" t="s">
        <v>14</v>
      </c>
      <c r="I105" s="188" t="s">
        <v>3622</v>
      </c>
      <c r="J105" s="188" t="s">
        <v>3623</v>
      </c>
    </row>
    <row r="106" spans="1:10" ht="23.4">
      <c r="A106" s="166"/>
      <c r="B106" s="166"/>
      <c r="C106" s="188" t="s">
        <v>3624</v>
      </c>
      <c r="D106" s="188" t="s">
        <v>3625</v>
      </c>
      <c r="E106" s="193" t="s">
        <v>242</v>
      </c>
      <c r="F106" s="188" t="s">
        <v>3626</v>
      </c>
      <c r="G106" s="188" t="s">
        <v>2580</v>
      </c>
      <c r="H106" s="184" t="s">
        <v>387</v>
      </c>
      <c r="I106" s="188" t="s">
        <v>3627</v>
      </c>
      <c r="J106" s="188" t="s">
        <v>3628</v>
      </c>
    </row>
    <row r="107" spans="1:10" ht="23.4">
      <c r="A107" s="166"/>
      <c r="B107" s="153" t="s">
        <v>5033</v>
      </c>
      <c r="C107" s="188" t="s">
        <v>3629</v>
      </c>
      <c r="D107" s="188" t="s">
        <v>3630</v>
      </c>
      <c r="E107" s="193" t="s">
        <v>242</v>
      </c>
      <c r="F107" s="188" t="s">
        <v>3631</v>
      </c>
      <c r="G107" s="188" t="s">
        <v>3632</v>
      </c>
      <c r="H107" s="184" t="s">
        <v>14</v>
      </c>
      <c r="I107" s="188" t="s">
        <v>3633</v>
      </c>
      <c r="J107" s="188" t="s">
        <v>3634</v>
      </c>
    </row>
    <row r="108" spans="1:10" ht="23.4">
      <c r="A108" s="166"/>
      <c r="B108" s="166"/>
      <c r="C108" s="188" t="s">
        <v>3635</v>
      </c>
      <c r="D108" s="188" t="s">
        <v>3636</v>
      </c>
      <c r="E108" s="193" t="s">
        <v>209</v>
      </c>
      <c r="F108" s="188" t="s">
        <v>3462</v>
      </c>
      <c r="G108" s="188" t="s">
        <v>3637</v>
      </c>
      <c r="H108" s="184" t="s">
        <v>14</v>
      </c>
      <c r="I108" s="188" t="s">
        <v>3464</v>
      </c>
      <c r="J108" s="188" t="s">
        <v>3638</v>
      </c>
    </row>
    <row r="109" spans="1:10" ht="23.4">
      <c r="A109" s="166"/>
      <c r="B109" s="166"/>
      <c r="C109" s="188" t="s">
        <v>3639</v>
      </c>
      <c r="D109" s="188" t="s">
        <v>3640</v>
      </c>
      <c r="E109" s="193" t="s">
        <v>209</v>
      </c>
      <c r="F109" s="188" t="s">
        <v>3641</v>
      </c>
      <c r="G109" s="188" t="s">
        <v>3642</v>
      </c>
      <c r="H109" s="184" t="s">
        <v>14</v>
      </c>
      <c r="I109" s="188" t="s">
        <v>3643</v>
      </c>
      <c r="J109" s="188" t="s">
        <v>3644</v>
      </c>
    </row>
    <row r="110" spans="1:10" ht="23.4">
      <c r="A110" s="166"/>
      <c r="B110" s="166"/>
      <c r="C110" s="188" t="s">
        <v>3645</v>
      </c>
      <c r="D110" s="188" t="s">
        <v>3646</v>
      </c>
      <c r="E110" s="193" t="s">
        <v>204</v>
      </c>
      <c r="F110" s="188" t="s">
        <v>3647</v>
      </c>
      <c r="G110" s="188" t="s">
        <v>3648</v>
      </c>
      <c r="H110" s="184" t="s">
        <v>387</v>
      </c>
      <c r="I110" s="188" t="s">
        <v>3649</v>
      </c>
      <c r="J110" s="188" t="s">
        <v>3650</v>
      </c>
    </row>
    <row r="111" spans="1:10" ht="23.4">
      <c r="A111" s="166"/>
      <c r="B111" s="166"/>
      <c r="C111" s="188" t="s">
        <v>3651</v>
      </c>
      <c r="D111" s="188" t="s">
        <v>3652</v>
      </c>
      <c r="E111" s="193" t="s">
        <v>204</v>
      </c>
      <c r="F111" s="188" t="s">
        <v>3653</v>
      </c>
      <c r="G111" s="188" t="s">
        <v>3654</v>
      </c>
      <c r="H111" s="184" t="s">
        <v>14</v>
      </c>
      <c r="I111" s="188" t="s">
        <v>3655</v>
      </c>
      <c r="J111" s="188" t="s">
        <v>3656</v>
      </c>
    </row>
    <row r="112" spans="1:10" ht="23.4">
      <c r="A112" s="166"/>
      <c r="B112" s="153" t="s">
        <v>5034</v>
      </c>
      <c r="C112" s="188" t="s">
        <v>3657</v>
      </c>
      <c r="D112" s="188" t="s">
        <v>3658</v>
      </c>
      <c r="E112" s="193" t="s">
        <v>204</v>
      </c>
      <c r="F112" s="188" t="s">
        <v>3659</v>
      </c>
      <c r="G112" s="188" t="s">
        <v>3660</v>
      </c>
      <c r="H112" s="184" t="s">
        <v>14</v>
      </c>
      <c r="I112" s="188" t="s">
        <v>3661</v>
      </c>
      <c r="J112" s="188" t="s">
        <v>3662</v>
      </c>
    </row>
    <row r="113" spans="1:10" ht="23.4">
      <c r="A113" s="166"/>
      <c r="B113" s="166"/>
      <c r="C113" s="188" t="s">
        <v>3663</v>
      </c>
      <c r="D113" s="188" t="s">
        <v>3664</v>
      </c>
      <c r="E113" s="193" t="s">
        <v>209</v>
      </c>
      <c r="F113" s="188" t="s">
        <v>3665</v>
      </c>
      <c r="G113" s="188" t="s">
        <v>2320</v>
      </c>
      <c r="H113" s="184" t="s">
        <v>387</v>
      </c>
      <c r="I113" s="188" t="s">
        <v>3666</v>
      </c>
      <c r="J113" s="188" t="s">
        <v>3667</v>
      </c>
    </row>
    <row r="114" spans="1:10" ht="23.4">
      <c r="A114" s="166"/>
      <c r="B114" s="166"/>
      <c r="C114" s="188" t="s">
        <v>3668</v>
      </c>
      <c r="D114" s="188" t="s">
        <v>3669</v>
      </c>
      <c r="E114" s="193" t="s">
        <v>209</v>
      </c>
      <c r="F114" s="188" t="s">
        <v>3670</v>
      </c>
      <c r="G114" s="188" t="s">
        <v>3671</v>
      </c>
      <c r="H114" s="184" t="s">
        <v>387</v>
      </c>
      <c r="I114" s="188" t="s">
        <v>3672</v>
      </c>
      <c r="J114" s="188" t="s">
        <v>3673</v>
      </c>
    </row>
    <row r="115" spans="1:10" ht="23.4">
      <c r="A115" s="166"/>
      <c r="B115" s="166"/>
      <c r="C115" s="188" t="s">
        <v>3674</v>
      </c>
      <c r="D115" s="188" t="s">
        <v>3675</v>
      </c>
      <c r="E115" s="193" t="s">
        <v>242</v>
      </c>
      <c r="F115" s="188" t="s">
        <v>3676</v>
      </c>
      <c r="G115" s="188" t="s">
        <v>3677</v>
      </c>
      <c r="H115" s="184" t="s">
        <v>14</v>
      </c>
      <c r="I115" s="188" t="s">
        <v>3159</v>
      </c>
      <c r="J115" s="188" t="s">
        <v>3678</v>
      </c>
    </row>
    <row r="116" spans="1:10" ht="23.4">
      <c r="A116" s="166"/>
      <c r="B116" s="166"/>
      <c r="C116" s="188" t="s">
        <v>3679</v>
      </c>
      <c r="D116" s="188" t="s">
        <v>3680</v>
      </c>
      <c r="E116" s="193" t="s">
        <v>242</v>
      </c>
      <c r="F116" s="188" t="s">
        <v>3681</v>
      </c>
      <c r="G116" s="188" t="s">
        <v>3682</v>
      </c>
      <c r="H116" s="184" t="s">
        <v>387</v>
      </c>
      <c r="I116" s="188" t="s">
        <v>3683</v>
      </c>
      <c r="J116" s="188" t="s">
        <v>3684</v>
      </c>
    </row>
    <row r="117" spans="1:10" ht="23.4">
      <c r="A117" s="166"/>
      <c r="B117" s="153" t="s">
        <v>5035</v>
      </c>
      <c r="C117" s="188" t="s">
        <v>3685</v>
      </c>
      <c r="D117" s="188" t="s">
        <v>3686</v>
      </c>
      <c r="E117" s="193" t="s">
        <v>204</v>
      </c>
      <c r="F117" s="188" t="s">
        <v>3687</v>
      </c>
      <c r="G117" s="188" t="s">
        <v>3688</v>
      </c>
      <c r="H117" s="184" t="s">
        <v>387</v>
      </c>
      <c r="I117" s="188" t="s">
        <v>3689</v>
      </c>
      <c r="J117" s="188" t="s">
        <v>3690</v>
      </c>
    </row>
    <row r="118" spans="1:10" ht="23.4">
      <c r="A118" s="166"/>
      <c r="B118" s="166"/>
      <c r="C118" s="188" t="s">
        <v>3691</v>
      </c>
      <c r="D118" s="188" t="s">
        <v>3692</v>
      </c>
      <c r="E118" s="193" t="s">
        <v>204</v>
      </c>
      <c r="F118" s="188" t="s">
        <v>3693</v>
      </c>
      <c r="G118" s="188" t="s">
        <v>2905</v>
      </c>
      <c r="H118" s="184" t="s">
        <v>387</v>
      </c>
      <c r="I118" s="188" t="s">
        <v>3168</v>
      </c>
      <c r="J118" s="188" t="s">
        <v>3694</v>
      </c>
    </row>
    <row r="119" spans="1:10" ht="23.4">
      <c r="A119" s="166"/>
      <c r="B119" s="166"/>
      <c r="C119" s="188" t="s">
        <v>3695</v>
      </c>
      <c r="D119" s="188" t="s">
        <v>3696</v>
      </c>
      <c r="E119" s="193" t="s">
        <v>204</v>
      </c>
      <c r="F119" s="188" t="s">
        <v>3697</v>
      </c>
      <c r="G119" s="188" t="s">
        <v>3698</v>
      </c>
      <c r="H119" s="184" t="s">
        <v>387</v>
      </c>
      <c r="I119" s="188" t="s">
        <v>3699</v>
      </c>
      <c r="J119" s="188" t="s">
        <v>3700</v>
      </c>
    </row>
    <row r="120" spans="1:10" ht="24" thickBot="1">
      <c r="A120" s="166"/>
      <c r="B120" s="166"/>
      <c r="C120" s="188" t="s">
        <v>3701</v>
      </c>
      <c r="D120" s="188" t="s">
        <v>3702</v>
      </c>
      <c r="E120" s="193" t="s">
        <v>209</v>
      </c>
      <c r="F120" s="188" t="s">
        <v>3703</v>
      </c>
      <c r="G120" s="188" t="s">
        <v>3704</v>
      </c>
      <c r="H120" s="194" t="s">
        <v>14</v>
      </c>
      <c r="I120" s="188" t="s">
        <v>2270</v>
      </c>
      <c r="J120" s="188" t="s">
        <v>3705</v>
      </c>
    </row>
    <row r="121" spans="1:10" ht="23.4">
      <c r="A121" s="166"/>
      <c r="B121" s="166"/>
      <c r="C121" s="188" t="s">
        <v>3706</v>
      </c>
      <c r="D121" s="188" t="s">
        <v>3707</v>
      </c>
      <c r="E121" s="193" t="s">
        <v>204</v>
      </c>
      <c r="F121" s="188" t="s">
        <v>795</v>
      </c>
      <c r="G121" s="188" t="s">
        <v>3708</v>
      </c>
      <c r="H121" s="184" t="s">
        <v>387</v>
      </c>
      <c r="I121" s="188" t="s">
        <v>3709</v>
      </c>
      <c r="J121" s="188" t="s">
        <v>3710</v>
      </c>
    </row>
    <row r="122" spans="1:10" ht="23.4">
      <c r="A122" s="167" t="s">
        <v>143</v>
      </c>
      <c r="B122" s="145" t="s">
        <v>5036</v>
      </c>
      <c r="C122" s="189" t="s">
        <v>3711</v>
      </c>
      <c r="D122" s="189" t="s">
        <v>3712</v>
      </c>
      <c r="E122" s="193" t="s">
        <v>204</v>
      </c>
      <c r="F122" s="189" t="s">
        <v>3713</v>
      </c>
      <c r="G122" s="189" t="s">
        <v>3154</v>
      </c>
      <c r="H122" s="174" t="s">
        <v>14</v>
      </c>
      <c r="I122" s="189" t="s">
        <v>3714</v>
      </c>
      <c r="J122" s="189" t="s">
        <v>3715</v>
      </c>
    </row>
    <row r="123" spans="1:10" ht="23.4">
      <c r="A123" s="167"/>
      <c r="B123" s="167"/>
      <c r="C123" s="189" t="s">
        <v>3716</v>
      </c>
      <c r="D123" s="189" t="s">
        <v>3717</v>
      </c>
      <c r="E123" s="193" t="s">
        <v>204</v>
      </c>
      <c r="F123" s="189" t="s">
        <v>3199</v>
      </c>
      <c r="G123" s="189" t="s">
        <v>3280</v>
      </c>
      <c r="H123" s="174" t="s">
        <v>14</v>
      </c>
      <c r="I123" s="189" t="s">
        <v>2477</v>
      </c>
      <c r="J123" s="189" t="s">
        <v>3718</v>
      </c>
    </row>
    <row r="124" spans="1:10" ht="23.4">
      <c r="A124" s="167"/>
      <c r="B124" s="167"/>
      <c r="C124" s="189" t="s">
        <v>3719</v>
      </c>
      <c r="D124" s="189" t="s">
        <v>3720</v>
      </c>
      <c r="E124" s="193" t="s">
        <v>204</v>
      </c>
      <c r="F124" s="189" t="s">
        <v>3721</v>
      </c>
      <c r="G124" s="189" t="s">
        <v>3407</v>
      </c>
      <c r="H124" s="174" t="s">
        <v>387</v>
      </c>
      <c r="I124" s="189" t="s">
        <v>3722</v>
      </c>
      <c r="J124" s="189" t="s">
        <v>3723</v>
      </c>
    </row>
    <row r="125" spans="1:10" ht="23.4">
      <c r="A125" s="167"/>
      <c r="B125" s="167"/>
      <c r="C125" s="189" t="s">
        <v>3724</v>
      </c>
      <c r="D125" s="189" t="s">
        <v>3725</v>
      </c>
      <c r="E125" s="193" t="s">
        <v>204</v>
      </c>
      <c r="F125" s="189" t="s">
        <v>3726</v>
      </c>
      <c r="G125" s="189" t="s">
        <v>3727</v>
      </c>
      <c r="H125" s="174" t="s">
        <v>14</v>
      </c>
      <c r="I125" s="189" t="s">
        <v>3728</v>
      </c>
      <c r="J125" s="189" t="s">
        <v>3729</v>
      </c>
    </row>
    <row r="126" spans="1:10" ht="23.4">
      <c r="A126" s="167"/>
      <c r="B126" s="167"/>
      <c r="C126" s="189" t="s">
        <v>3730</v>
      </c>
      <c r="D126" s="189" t="s">
        <v>3731</v>
      </c>
      <c r="E126" s="193" t="s">
        <v>204</v>
      </c>
      <c r="F126" s="189" t="s">
        <v>3732</v>
      </c>
      <c r="G126" s="189" t="s">
        <v>3733</v>
      </c>
      <c r="H126" s="174" t="s">
        <v>14</v>
      </c>
      <c r="I126" s="189" t="s">
        <v>3012</v>
      </c>
      <c r="J126" s="189" t="s">
        <v>3734</v>
      </c>
    </row>
    <row r="127" spans="1:10" ht="24" thickBot="1">
      <c r="A127" s="167"/>
      <c r="B127" s="145" t="s">
        <v>5037</v>
      </c>
      <c r="C127" s="189" t="s">
        <v>3735</v>
      </c>
      <c r="D127" s="189" t="s">
        <v>3736</v>
      </c>
      <c r="E127" s="193" t="s">
        <v>204</v>
      </c>
      <c r="F127" s="189" t="s">
        <v>3737</v>
      </c>
      <c r="G127" s="189" t="s">
        <v>3738</v>
      </c>
      <c r="H127" s="195" t="s">
        <v>14</v>
      </c>
      <c r="I127" s="189" t="s">
        <v>3739</v>
      </c>
      <c r="J127" s="189" t="s">
        <v>3740</v>
      </c>
    </row>
    <row r="128" spans="1:10" ht="23.4">
      <c r="A128" s="167"/>
      <c r="B128" s="167"/>
      <c r="C128" s="189" t="s">
        <v>3741</v>
      </c>
      <c r="D128" s="189" t="s">
        <v>3742</v>
      </c>
      <c r="E128" s="193" t="s">
        <v>204</v>
      </c>
      <c r="F128" s="189" t="s">
        <v>3743</v>
      </c>
      <c r="G128" s="189" t="s">
        <v>3744</v>
      </c>
      <c r="H128" s="174" t="s">
        <v>14</v>
      </c>
      <c r="I128" s="189" t="s">
        <v>3268</v>
      </c>
      <c r="J128" s="189" t="s">
        <v>3745</v>
      </c>
    </row>
    <row r="129" spans="1:10" ht="23.4">
      <c r="A129" s="167"/>
      <c r="B129" s="167"/>
      <c r="C129" s="189" t="s">
        <v>3746</v>
      </c>
      <c r="D129" s="189" t="s">
        <v>3747</v>
      </c>
      <c r="E129" s="193" t="s">
        <v>204</v>
      </c>
      <c r="F129" s="189" t="s">
        <v>3157</v>
      </c>
      <c r="G129" s="189" t="s">
        <v>3433</v>
      </c>
      <c r="H129" s="174" t="s">
        <v>387</v>
      </c>
      <c r="I129" s="189" t="s">
        <v>3748</v>
      </c>
      <c r="J129" s="189" t="s">
        <v>3749</v>
      </c>
    </row>
    <row r="130" spans="1:10" ht="23.4">
      <c r="A130" s="167"/>
      <c r="B130" s="167"/>
      <c r="C130" s="189" t="s">
        <v>3750</v>
      </c>
      <c r="D130" s="189" t="s">
        <v>3751</v>
      </c>
      <c r="E130" s="193" t="s">
        <v>204</v>
      </c>
      <c r="F130" s="189" t="s">
        <v>3752</v>
      </c>
      <c r="G130" s="189" t="s">
        <v>3704</v>
      </c>
      <c r="H130" s="174" t="s">
        <v>14</v>
      </c>
      <c r="I130" s="189" t="s">
        <v>3753</v>
      </c>
      <c r="J130" s="189" t="s">
        <v>3754</v>
      </c>
    </row>
    <row r="131" spans="1:10" ht="23.4">
      <c r="A131" s="167"/>
      <c r="B131" s="167"/>
      <c r="C131" s="189" t="s">
        <v>3755</v>
      </c>
      <c r="D131" s="189" t="s">
        <v>3756</v>
      </c>
      <c r="E131" s="193" t="s">
        <v>204</v>
      </c>
      <c r="F131" s="189" t="s">
        <v>3757</v>
      </c>
      <c r="G131" s="189" t="s">
        <v>3758</v>
      </c>
      <c r="H131" s="174" t="s">
        <v>387</v>
      </c>
      <c r="I131" s="189" t="s">
        <v>3759</v>
      </c>
      <c r="J131" s="189" t="s">
        <v>3760</v>
      </c>
    </row>
    <row r="132" spans="1:10" ht="23.4" customHeight="1">
      <c r="A132" s="167"/>
      <c r="B132" s="167" t="s">
        <v>144</v>
      </c>
      <c r="C132" s="189" t="s">
        <v>3764</v>
      </c>
      <c r="D132" s="189" t="s">
        <v>3765</v>
      </c>
      <c r="E132" s="193" t="s">
        <v>204</v>
      </c>
      <c r="F132" s="189" t="s">
        <v>3766</v>
      </c>
      <c r="G132" s="189" t="s">
        <v>3767</v>
      </c>
      <c r="H132" s="174" t="s">
        <v>14</v>
      </c>
      <c r="I132" s="189" t="s">
        <v>3486</v>
      </c>
      <c r="J132" s="189" t="s">
        <v>3768</v>
      </c>
    </row>
    <row r="133" spans="1:10" ht="23.4">
      <c r="A133" s="167"/>
      <c r="B133" s="167"/>
      <c r="C133" s="189" t="s">
        <v>3769</v>
      </c>
      <c r="D133" s="189" t="s">
        <v>3770</v>
      </c>
      <c r="E133" s="193" t="s">
        <v>242</v>
      </c>
      <c r="F133" s="189" t="s">
        <v>3771</v>
      </c>
      <c r="G133" s="189" t="s">
        <v>3449</v>
      </c>
      <c r="H133" s="174" t="s">
        <v>14</v>
      </c>
      <c r="I133" s="189" t="s">
        <v>3772</v>
      </c>
      <c r="J133" s="189" t="s">
        <v>3773</v>
      </c>
    </row>
    <row r="134" spans="1:10" ht="23.4">
      <c r="A134" s="167"/>
      <c r="B134" s="167"/>
      <c r="C134" s="189" t="s">
        <v>3774</v>
      </c>
      <c r="D134" s="189" t="s">
        <v>3775</v>
      </c>
      <c r="E134" s="193" t="s">
        <v>204</v>
      </c>
      <c r="F134" s="189" t="s">
        <v>3776</v>
      </c>
      <c r="G134" s="189" t="s">
        <v>3554</v>
      </c>
      <c r="H134" s="174" t="s">
        <v>14</v>
      </c>
      <c r="I134" s="189" t="s">
        <v>2556</v>
      </c>
      <c r="J134" s="189" t="s">
        <v>3777</v>
      </c>
    </row>
    <row r="135" spans="1:10" ht="23.4">
      <c r="A135" s="167"/>
      <c r="B135" s="167"/>
      <c r="C135" s="189" t="s">
        <v>3778</v>
      </c>
      <c r="D135" s="189" t="s">
        <v>3779</v>
      </c>
      <c r="E135" s="193" t="s">
        <v>204</v>
      </c>
      <c r="F135" s="189" t="s">
        <v>2079</v>
      </c>
      <c r="G135" s="189" t="s">
        <v>3780</v>
      </c>
      <c r="H135" s="174" t="s">
        <v>387</v>
      </c>
      <c r="I135" s="189" t="s">
        <v>3139</v>
      </c>
      <c r="J135" s="189" t="s">
        <v>3781</v>
      </c>
    </row>
    <row r="136" spans="1:10" ht="23.4">
      <c r="A136" s="167"/>
      <c r="B136" s="167"/>
      <c r="C136" s="189" t="s">
        <v>3782</v>
      </c>
      <c r="D136" s="189" t="s">
        <v>3783</v>
      </c>
      <c r="E136" s="193" t="s">
        <v>204</v>
      </c>
      <c r="F136" s="189" t="s">
        <v>3784</v>
      </c>
      <c r="G136" s="189" t="s">
        <v>3708</v>
      </c>
      <c r="H136" s="174" t="s">
        <v>14</v>
      </c>
      <c r="I136" s="189" t="s">
        <v>3785</v>
      </c>
      <c r="J136" s="189" t="s">
        <v>3786</v>
      </c>
    </row>
    <row r="137" spans="1:10" ht="23.4" customHeight="1">
      <c r="A137" s="167"/>
      <c r="B137" s="167" t="s">
        <v>145</v>
      </c>
      <c r="C137" s="189" t="s">
        <v>3787</v>
      </c>
      <c r="D137" s="189" t="s">
        <v>3788</v>
      </c>
      <c r="E137" s="193" t="s">
        <v>209</v>
      </c>
      <c r="F137" s="189" t="s">
        <v>3789</v>
      </c>
      <c r="G137" s="189" t="s">
        <v>3790</v>
      </c>
      <c r="H137" s="174" t="s">
        <v>387</v>
      </c>
      <c r="I137" s="189" t="s">
        <v>3791</v>
      </c>
      <c r="J137" s="189" t="s">
        <v>3792</v>
      </c>
    </row>
    <row r="138" spans="1:10" ht="23.4">
      <c r="A138" s="167"/>
      <c r="B138" s="167"/>
      <c r="C138" s="189" t="s">
        <v>3793</v>
      </c>
      <c r="D138" s="189" t="s">
        <v>3794</v>
      </c>
      <c r="E138" s="193" t="s">
        <v>204</v>
      </c>
      <c r="F138" s="189" t="s">
        <v>3795</v>
      </c>
      <c r="G138" s="189" t="s">
        <v>3143</v>
      </c>
      <c r="H138" s="174" t="s">
        <v>14</v>
      </c>
      <c r="I138" s="189" t="s">
        <v>3796</v>
      </c>
      <c r="J138" s="189" t="s">
        <v>3797</v>
      </c>
    </row>
    <row r="139" spans="1:10" ht="23.4">
      <c r="A139" s="167"/>
      <c r="B139" s="167"/>
      <c r="C139" s="189" t="s">
        <v>3798</v>
      </c>
      <c r="D139" s="189" t="s">
        <v>3799</v>
      </c>
      <c r="E139" s="193" t="s">
        <v>204</v>
      </c>
      <c r="F139" s="189" t="s">
        <v>3800</v>
      </c>
      <c r="G139" s="189" t="s">
        <v>3801</v>
      </c>
      <c r="H139" s="174" t="s">
        <v>14</v>
      </c>
      <c r="I139" s="189" t="s">
        <v>3802</v>
      </c>
      <c r="J139" s="189" t="s">
        <v>3803</v>
      </c>
    </row>
    <row r="140" spans="1:10" ht="23.4">
      <c r="A140" s="167"/>
      <c r="B140" s="167"/>
      <c r="C140" s="189" t="s">
        <v>3804</v>
      </c>
      <c r="D140" s="189" t="s">
        <v>3805</v>
      </c>
      <c r="E140" s="193" t="s">
        <v>204</v>
      </c>
      <c r="F140" s="189" t="s">
        <v>3806</v>
      </c>
      <c r="G140" s="189" t="s">
        <v>3807</v>
      </c>
      <c r="H140" s="174" t="s">
        <v>387</v>
      </c>
      <c r="I140" s="189" t="s">
        <v>3808</v>
      </c>
      <c r="J140" s="189" t="s">
        <v>3809</v>
      </c>
    </row>
    <row r="141" spans="1:10" ht="23.4">
      <c r="A141" s="167"/>
      <c r="B141" s="167"/>
      <c r="C141" s="189" t="s">
        <v>3810</v>
      </c>
      <c r="D141" s="189" t="s">
        <v>3811</v>
      </c>
      <c r="E141" s="193" t="s">
        <v>209</v>
      </c>
      <c r="F141" s="189" t="s">
        <v>3812</v>
      </c>
      <c r="G141" s="189" t="s">
        <v>3813</v>
      </c>
      <c r="H141" s="174" t="s">
        <v>14</v>
      </c>
      <c r="I141" s="189" t="s">
        <v>3814</v>
      </c>
      <c r="J141" s="189" t="s">
        <v>3815</v>
      </c>
    </row>
    <row r="142" spans="1:10" ht="23.4" customHeight="1">
      <c r="A142" s="167"/>
      <c r="B142" s="167" t="s">
        <v>146</v>
      </c>
      <c r="C142" s="189" t="s">
        <v>3816</v>
      </c>
      <c r="D142" s="189" t="s">
        <v>3817</v>
      </c>
      <c r="E142" s="193" t="s">
        <v>209</v>
      </c>
      <c r="F142" s="189" t="s">
        <v>3818</v>
      </c>
      <c r="G142" s="189" t="s">
        <v>3819</v>
      </c>
      <c r="H142" s="174" t="s">
        <v>14</v>
      </c>
      <c r="I142" s="189" t="s">
        <v>3820</v>
      </c>
      <c r="J142" s="189" t="s">
        <v>3821</v>
      </c>
    </row>
    <row r="143" spans="1:10" ht="23.4">
      <c r="A143" s="167"/>
      <c r="B143" s="167"/>
      <c r="C143" s="189" t="s">
        <v>3822</v>
      </c>
      <c r="D143" s="189" t="s">
        <v>3823</v>
      </c>
      <c r="E143" s="193" t="s">
        <v>209</v>
      </c>
      <c r="F143" s="189" t="s">
        <v>3824</v>
      </c>
      <c r="G143" s="189" t="s">
        <v>3825</v>
      </c>
      <c r="H143" s="174" t="s">
        <v>14</v>
      </c>
      <c r="I143" s="189" t="s">
        <v>3429</v>
      </c>
      <c r="J143" s="189" t="s">
        <v>3826</v>
      </c>
    </row>
    <row r="144" spans="1:10" ht="23.4">
      <c r="A144" s="167"/>
      <c r="B144" s="167"/>
      <c r="C144" s="189" t="s">
        <v>3827</v>
      </c>
      <c r="D144" s="189" t="s">
        <v>3828</v>
      </c>
      <c r="E144" s="193" t="s">
        <v>209</v>
      </c>
      <c r="F144" s="189" t="s">
        <v>3829</v>
      </c>
      <c r="G144" s="189" t="s">
        <v>3830</v>
      </c>
      <c r="H144" s="174" t="s">
        <v>387</v>
      </c>
      <c r="I144" s="189" t="s">
        <v>3831</v>
      </c>
      <c r="J144" s="189" t="s">
        <v>3832</v>
      </c>
    </row>
    <row r="145" spans="1:10" ht="23.4">
      <c r="A145" s="167"/>
      <c r="B145" s="167"/>
      <c r="C145" s="189" t="s">
        <v>3833</v>
      </c>
      <c r="D145" s="189" t="s">
        <v>3834</v>
      </c>
      <c r="E145" s="193" t="s">
        <v>209</v>
      </c>
      <c r="F145" s="189" t="s">
        <v>3835</v>
      </c>
      <c r="G145" s="189" t="s">
        <v>3836</v>
      </c>
      <c r="H145" s="174" t="s">
        <v>387</v>
      </c>
      <c r="I145" s="189" t="s">
        <v>3837</v>
      </c>
      <c r="J145" s="189" t="s">
        <v>3838</v>
      </c>
    </row>
    <row r="146" spans="1:10" ht="23.4">
      <c r="A146" s="167"/>
      <c r="B146" s="167"/>
      <c r="C146" s="189" t="s">
        <v>3839</v>
      </c>
      <c r="D146" s="189" t="s">
        <v>3840</v>
      </c>
      <c r="E146" s="193" t="s">
        <v>242</v>
      </c>
      <c r="F146" s="189" t="s">
        <v>3841</v>
      </c>
      <c r="G146" s="189" t="s">
        <v>3842</v>
      </c>
      <c r="H146" s="174" t="s">
        <v>14</v>
      </c>
      <c r="I146" s="189" t="s">
        <v>3843</v>
      </c>
      <c r="J146" s="189" t="s">
        <v>3844</v>
      </c>
    </row>
    <row r="147" spans="1:10" ht="46.8" customHeight="1">
      <c r="A147" s="167"/>
      <c r="B147" s="145" t="s">
        <v>3761</v>
      </c>
      <c r="C147" s="189" t="s">
        <v>3845</v>
      </c>
      <c r="D147" s="189" t="s">
        <v>3846</v>
      </c>
      <c r="E147" s="193" t="s">
        <v>242</v>
      </c>
      <c r="F147" s="189" t="s">
        <v>3416</v>
      </c>
      <c r="G147" s="189" t="s">
        <v>3847</v>
      </c>
      <c r="H147" s="174" t="s">
        <v>14</v>
      </c>
      <c r="I147" s="189" t="s">
        <v>3287</v>
      </c>
      <c r="J147" s="189" t="s">
        <v>3848</v>
      </c>
    </row>
    <row r="148" spans="1:10" ht="23.4">
      <c r="A148" s="167"/>
      <c r="B148" s="167"/>
      <c r="C148" s="189" t="s">
        <v>3849</v>
      </c>
      <c r="D148" s="189" t="s">
        <v>3850</v>
      </c>
      <c r="E148" s="193" t="s">
        <v>204</v>
      </c>
      <c r="F148" s="189" t="s">
        <v>3851</v>
      </c>
      <c r="G148" s="189" t="s">
        <v>3852</v>
      </c>
      <c r="H148" s="174" t="s">
        <v>387</v>
      </c>
      <c r="I148" s="189" t="s">
        <v>3853</v>
      </c>
      <c r="J148" s="189" t="s">
        <v>3854</v>
      </c>
    </row>
    <row r="149" spans="1:10" ht="23.4">
      <c r="A149" s="167"/>
      <c r="B149" s="167"/>
      <c r="C149" s="189" t="s">
        <v>3855</v>
      </c>
      <c r="D149" s="189" t="s">
        <v>3856</v>
      </c>
      <c r="E149" s="193" t="s">
        <v>209</v>
      </c>
      <c r="F149" s="189" t="s">
        <v>3857</v>
      </c>
      <c r="G149" s="189" t="s">
        <v>3858</v>
      </c>
      <c r="H149" s="174" t="s">
        <v>387</v>
      </c>
      <c r="I149" s="189" t="s">
        <v>3859</v>
      </c>
      <c r="J149" s="189" t="s">
        <v>3860</v>
      </c>
    </row>
    <row r="150" spans="1:10" ht="23.4">
      <c r="A150" s="167"/>
      <c r="B150" s="167"/>
      <c r="C150" s="189" t="s">
        <v>3861</v>
      </c>
      <c r="D150" s="189" t="s">
        <v>3862</v>
      </c>
      <c r="E150" s="193" t="s">
        <v>204</v>
      </c>
      <c r="F150" s="189" t="s">
        <v>3863</v>
      </c>
      <c r="G150" s="189" t="s">
        <v>3486</v>
      </c>
      <c r="H150" s="174" t="s">
        <v>14</v>
      </c>
      <c r="I150" s="189" t="s">
        <v>3864</v>
      </c>
      <c r="J150" s="189" t="s">
        <v>3865</v>
      </c>
    </row>
    <row r="151" spans="1:10" ht="23.4">
      <c r="A151" s="167"/>
      <c r="B151" s="167"/>
      <c r="C151" s="189" t="s">
        <v>3866</v>
      </c>
      <c r="D151" s="189" t="s">
        <v>3867</v>
      </c>
      <c r="E151" s="193" t="s">
        <v>204</v>
      </c>
      <c r="F151" s="189" t="s">
        <v>3868</v>
      </c>
      <c r="G151" s="189" t="s">
        <v>3869</v>
      </c>
      <c r="H151" s="174" t="s">
        <v>387</v>
      </c>
      <c r="I151" s="189" t="s">
        <v>3870</v>
      </c>
      <c r="J151" s="189" t="s">
        <v>3871</v>
      </c>
    </row>
    <row r="152" spans="1:10" ht="23.4" customHeight="1">
      <c r="A152" s="167"/>
      <c r="B152" s="145" t="s">
        <v>3762</v>
      </c>
      <c r="C152" s="189" t="s">
        <v>3872</v>
      </c>
      <c r="D152" s="189" t="s">
        <v>3873</v>
      </c>
      <c r="E152" s="193" t="s">
        <v>204</v>
      </c>
      <c r="F152" s="189" t="s">
        <v>3874</v>
      </c>
      <c r="G152" s="189" t="s">
        <v>3875</v>
      </c>
      <c r="H152" s="174" t="s">
        <v>387</v>
      </c>
      <c r="I152" s="189" t="s">
        <v>3876</v>
      </c>
      <c r="J152" s="189" t="s">
        <v>3877</v>
      </c>
    </row>
    <row r="153" spans="1:10" ht="23.4">
      <c r="A153" s="167"/>
      <c r="B153" s="167"/>
      <c r="C153" s="189" t="s">
        <v>3878</v>
      </c>
      <c r="D153" s="189" t="s">
        <v>3879</v>
      </c>
      <c r="E153" s="193" t="s">
        <v>242</v>
      </c>
      <c r="F153" s="189" t="s">
        <v>3880</v>
      </c>
      <c r="G153" s="189" t="s">
        <v>3790</v>
      </c>
      <c r="H153" s="174" t="s">
        <v>387</v>
      </c>
      <c r="I153" s="189" t="s">
        <v>3881</v>
      </c>
      <c r="J153" s="189" t="s">
        <v>3882</v>
      </c>
    </row>
    <row r="154" spans="1:10" ht="23.4">
      <c r="A154" s="167"/>
      <c r="B154" s="167"/>
      <c r="C154" s="189" t="s">
        <v>3883</v>
      </c>
      <c r="D154" s="189" t="s">
        <v>3884</v>
      </c>
      <c r="E154" s="193" t="s">
        <v>204</v>
      </c>
      <c r="F154" s="189" t="s">
        <v>3885</v>
      </c>
      <c r="G154" s="189" t="s">
        <v>3886</v>
      </c>
      <c r="H154" s="174" t="s">
        <v>387</v>
      </c>
      <c r="I154" s="189" t="s">
        <v>3141</v>
      </c>
      <c r="J154" s="189" t="s">
        <v>3887</v>
      </c>
    </row>
    <row r="155" spans="1:10" ht="24" thickBot="1">
      <c r="A155" s="167"/>
      <c r="B155" s="167"/>
      <c r="C155" s="189" t="s">
        <v>3888</v>
      </c>
      <c r="D155" s="189" t="s">
        <v>3889</v>
      </c>
      <c r="E155" s="193" t="s">
        <v>209</v>
      </c>
      <c r="F155" s="189" t="s">
        <v>3890</v>
      </c>
      <c r="G155" s="189" t="s">
        <v>3891</v>
      </c>
      <c r="H155" s="195" t="s">
        <v>14</v>
      </c>
      <c r="I155" s="189" t="s">
        <v>3892</v>
      </c>
      <c r="J155" s="189" t="s">
        <v>3893</v>
      </c>
    </row>
    <row r="156" spans="1:10" ht="23.4">
      <c r="A156" s="167"/>
      <c r="B156" s="167"/>
      <c r="C156" s="189" t="s">
        <v>3894</v>
      </c>
      <c r="D156" s="189" t="s">
        <v>3895</v>
      </c>
      <c r="E156" s="193" t="s">
        <v>242</v>
      </c>
      <c r="F156" s="189" t="s">
        <v>3896</v>
      </c>
      <c r="G156" s="189" t="s">
        <v>3801</v>
      </c>
      <c r="H156" s="174" t="s">
        <v>387</v>
      </c>
      <c r="I156" s="189" t="s">
        <v>3897</v>
      </c>
      <c r="J156" s="189" t="s">
        <v>3898</v>
      </c>
    </row>
    <row r="157" spans="1:10" ht="46.8" customHeight="1">
      <c r="A157" s="167"/>
      <c r="B157" s="145" t="s">
        <v>3763</v>
      </c>
      <c r="C157" s="189" t="s">
        <v>3899</v>
      </c>
      <c r="D157" s="189" t="s">
        <v>3900</v>
      </c>
      <c r="E157" s="193" t="s">
        <v>209</v>
      </c>
      <c r="F157" s="189" t="s">
        <v>3901</v>
      </c>
      <c r="G157" s="189" t="s">
        <v>3902</v>
      </c>
      <c r="H157" s="174" t="s">
        <v>14</v>
      </c>
      <c r="I157" s="189" t="s">
        <v>3903</v>
      </c>
      <c r="J157" s="189" t="s">
        <v>3904</v>
      </c>
    </row>
    <row r="158" spans="1:10" ht="23.4">
      <c r="A158" s="167"/>
      <c r="B158" s="167"/>
      <c r="C158" s="189" t="s">
        <v>3905</v>
      </c>
      <c r="D158" s="189" t="s">
        <v>3906</v>
      </c>
      <c r="E158" s="193" t="s">
        <v>209</v>
      </c>
      <c r="F158" s="189" t="s">
        <v>3907</v>
      </c>
      <c r="G158" s="189" t="s">
        <v>3908</v>
      </c>
      <c r="H158" s="174" t="s">
        <v>14</v>
      </c>
      <c r="I158" s="189" t="s">
        <v>3689</v>
      </c>
      <c r="J158" s="189" t="s">
        <v>3909</v>
      </c>
    </row>
    <row r="159" spans="1:10" ht="23.4">
      <c r="A159" s="167"/>
      <c r="B159" s="167"/>
      <c r="C159" s="189" t="s">
        <v>3910</v>
      </c>
      <c r="D159" s="189" t="s">
        <v>3911</v>
      </c>
      <c r="E159" s="193" t="s">
        <v>209</v>
      </c>
      <c r="F159" s="189" t="s">
        <v>3912</v>
      </c>
      <c r="G159" s="189" t="s">
        <v>3041</v>
      </c>
      <c r="H159" s="174" t="s">
        <v>387</v>
      </c>
      <c r="I159" s="189" t="s">
        <v>3913</v>
      </c>
      <c r="J159" s="189" t="s">
        <v>3914</v>
      </c>
    </row>
    <row r="160" spans="1:10" ht="23.4">
      <c r="A160" s="167"/>
      <c r="B160" s="167"/>
      <c r="C160" s="189" t="s">
        <v>3915</v>
      </c>
      <c r="D160" s="189" t="s">
        <v>3916</v>
      </c>
      <c r="E160" s="193" t="s">
        <v>204</v>
      </c>
      <c r="F160" s="189" t="s">
        <v>3917</v>
      </c>
      <c r="G160" s="189" t="s">
        <v>3918</v>
      </c>
      <c r="H160" s="174" t="s">
        <v>14</v>
      </c>
      <c r="I160" s="189" t="s">
        <v>3919</v>
      </c>
      <c r="J160" s="189" t="s">
        <v>3920</v>
      </c>
    </row>
    <row r="161" spans="1:10" ht="23.4">
      <c r="A161" s="167"/>
      <c r="B161" s="167"/>
      <c r="C161" s="189" t="s">
        <v>3921</v>
      </c>
      <c r="D161" s="189" t="s">
        <v>3922</v>
      </c>
      <c r="E161" s="193" t="s">
        <v>204</v>
      </c>
      <c r="F161" s="189" t="s">
        <v>3923</v>
      </c>
      <c r="G161" s="189" t="s">
        <v>3924</v>
      </c>
      <c r="H161" s="174" t="s">
        <v>14</v>
      </c>
      <c r="I161" s="189" t="s">
        <v>3925</v>
      </c>
      <c r="J161" s="189" t="s">
        <v>3926</v>
      </c>
    </row>
    <row r="162" spans="1:10" ht="23.4">
      <c r="A162" s="166" t="s">
        <v>147</v>
      </c>
      <c r="B162" s="153" t="s">
        <v>5038</v>
      </c>
      <c r="C162" s="188" t="s">
        <v>3927</v>
      </c>
      <c r="D162" s="188" t="s">
        <v>3928</v>
      </c>
      <c r="E162" s="193" t="s">
        <v>204</v>
      </c>
      <c r="F162" s="188" t="s">
        <v>3929</v>
      </c>
      <c r="G162" s="188" t="s">
        <v>3930</v>
      </c>
      <c r="H162" s="184" t="s">
        <v>14</v>
      </c>
      <c r="I162" s="188" t="s">
        <v>3931</v>
      </c>
      <c r="J162" s="188" t="s">
        <v>3932</v>
      </c>
    </row>
    <row r="163" spans="1:10" ht="23.4">
      <c r="A163" s="166"/>
      <c r="B163" s="166"/>
      <c r="C163" s="188" t="s">
        <v>3933</v>
      </c>
      <c r="D163" s="188" t="s">
        <v>3934</v>
      </c>
      <c r="E163" s="193" t="s">
        <v>204</v>
      </c>
      <c r="F163" s="188" t="s">
        <v>3752</v>
      </c>
      <c r="G163" s="188" t="s">
        <v>3935</v>
      </c>
      <c r="H163" s="184" t="s">
        <v>387</v>
      </c>
      <c r="I163" s="188" t="s">
        <v>3936</v>
      </c>
      <c r="J163" s="188" t="s">
        <v>3937</v>
      </c>
    </row>
    <row r="164" spans="1:10" ht="23.4">
      <c r="A164" s="166"/>
      <c r="B164" s="166"/>
      <c r="C164" s="188" t="s">
        <v>3938</v>
      </c>
      <c r="D164" s="188" t="s">
        <v>3939</v>
      </c>
      <c r="E164" s="193" t="s">
        <v>204</v>
      </c>
      <c r="F164" s="188" t="s">
        <v>3940</v>
      </c>
      <c r="G164" s="188" t="s">
        <v>3941</v>
      </c>
      <c r="H164" s="184" t="s">
        <v>387</v>
      </c>
      <c r="I164" s="188" t="s">
        <v>3942</v>
      </c>
      <c r="J164" s="188" t="s">
        <v>3943</v>
      </c>
    </row>
    <row r="165" spans="1:10" ht="23.4">
      <c r="A165" s="166"/>
      <c r="B165" s="166"/>
      <c r="C165" s="188" t="s">
        <v>3944</v>
      </c>
      <c r="D165" s="188" t="s">
        <v>3945</v>
      </c>
      <c r="E165" s="193" t="s">
        <v>204</v>
      </c>
      <c r="F165" s="188" t="s">
        <v>3946</v>
      </c>
      <c r="G165" s="188" t="s">
        <v>3947</v>
      </c>
      <c r="H165" s="184" t="s">
        <v>14</v>
      </c>
      <c r="I165" s="188" t="s">
        <v>3012</v>
      </c>
      <c r="J165" s="188" t="s">
        <v>3948</v>
      </c>
    </row>
    <row r="166" spans="1:10" ht="23.4">
      <c r="A166" s="166"/>
      <c r="B166" s="166"/>
      <c r="C166" s="188" t="s">
        <v>3949</v>
      </c>
      <c r="D166" s="188" t="s">
        <v>3950</v>
      </c>
      <c r="E166" s="193" t="s">
        <v>204</v>
      </c>
      <c r="F166" s="188" t="s">
        <v>3951</v>
      </c>
      <c r="G166" s="188" t="s">
        <v>3329</v>
      </c>
      <c r="H166" s="184" t="s">
        <v>14</v>
      </c>
      <c r="I166" s="188" t="s">
        <v>3952</v>
      </c>
      <c r="J166" s="188" t="s">
        <v>3953</v>
      </c>
    </row>
    <row r="167" spans="1:10" ht="23.4">
      <c r="A167" s="166"/>
      <c r="B167" s="153" t="s">
        <v>5039</v>
      </c>
      <c r="C167" s="188" t="s">
        <v>3954</v>
      </c>
      <c r="D167" s="188" t="s">
        <v>3955</v>
      </c>
      <c r="E167" s="193" t="s">
        <v>204</v>
      </c>
      <c r="F167" s="188" t="s">
        <v>3956</v>
      </c>
      <c r="G167" s="188" t="s">
        <v>3957</v>
      </c>
      <c r="H167" s="184" t="s">
        <v>387</v>
      </c>
      <c r="I167" s="188" t="s">
        <v>3958</v>
      </c>
      <c r="J167" s="188" t="s">
        <v>3959</v>
      </c>
    </row>
    <row r="168" spans="1:10" ht="23.4">
      <c r="A168" s="166"/>
      <c r="B168" s="166"/>
      <c r="C168" s="188" t="s">
        <v>3960</v>
      </c>
      <c r="D168" s="188" t="s">
        <v>3961</v>
      </c>
      <c r="E168" s="193" t="s">
        <v>209</v>
      </c>
      <c r="F168" s="188" t="s">
        <v>3962</v>
      </c>
      <c r="G168" s="188" t="s">
        <v>3963</v>
      </c>
      <c r="H168" s="184" t="s">
        <v>387</v>
      </c>
      <c r="I168" s="188" t="s">
        <v>3964</v>
      </c>
      <c r="J168" s="188" t="s">
        <v>3965</v>
      </c>
    </row>
    <row r="169" spans="1:10" ht="23.4">
      <c r="A169" s="166"/>
      <c r="B169" s="166"/>
      <c r="C169" s="188" t="s">
        <v>3966</v>
      </c>
      <c r="D169" s="188" t="s">
        <v>3967</v>
      </c>
      <c r="E169" s="193" t="s">
        <v>209</v>
      </c>
      <c r="F169" s="188" t="s">
        <v>3968</v>
      </c>
      <c r="G169" s="188" t="s">
        <v>3366</v>
      </c>
      <c r="H169" s="184" t="s">
        <v>14</v>
      </c>
      <c r="I169" s="188" t="s">
        <v>3969</v>
      </c>
      <c r="J169" s="188" t="s">
        <v>3970</v>
      </c>
    </row>
    <row r="170" spans="1:10" ht="23.4">
      <c r="A170" s="166"/>
      <c r="B170" s="166"/>
      <c r="C170" s="188" t="s">
        <v>3971</v>
      </c>
      <c r="D170" s="188" t="s">
        <v>3972</v>
      </c>
      <c r="E170" s="193" t="s">
        <v>209</v>
      </c>
      <c r="F170" s="188" t="s">
        <v>3973</v>
      </c>
      <c r="G170" s="188" t="s">
        <v>3317</v>
      </c>
      <c r="H170" s="184" t="s">
        <v>387</v>
      </c>
      <c r="I170" s="188" t="s">
        <v>3974</v>
      </c>
      <c r="J170" s="188" t="s">
        <v>3975</v>
      </c>
    </row>
    <row r="171" spans="1:10" ht="23.4">
      <c r="A171" s="166"/>
      <c r="B171" s="166"/>
      <c r="C171" s="188" t="s">
        <v>3976</v>
      </c>
      <c r="D171" s="188" t="s">
        <v>3977</v>
      </c>
      <c r="E171" s="193" t="s">
        <v>204</v>
      </c>
      <c r="F171" s="188" t="s">
        <v>3978</v>
      </c>
      <c r="G171" s="188" t="s">
        <v>3979</v>
      </c>
      <c r="H171" s="184" t="s">
        <v>14</v>
      </c>
      <c r="I171" s="188" t="s">
        <v>3443</v>
      </c>
      <c r="J171" s="188" t="s">
        <v>3980</v>
      </c>
    </row>
    <row r="172" spans="1:10" ht="23.4">
      <c r="A172" s="166"/>
      <c r="B172" s="153" t="s">
        <v>5040</v>
      </c>
      <c r="C172" s="188" t="s">
        <v>3981</v>
      </c>
      <c r="D172" s="188" t="s">
        <v>3982</v>
      </c>
      <c r="E172" s="193" t="s">
        <v>204</v>
      </c>
      <c r="F172" s="188" t="s">
        <v>3983</v>
      </c>
      <c r="G172" s="188" t="s">
        <v>3984</v>
      </c>
      <c r="H172" s="184" t="s">
        <v>387</v>
      </c>
      <c r="I172" s="188" t="s">
        <v>3207</v>
      </c>
      <c r="J172" s="188" t="s">
        <v>3985</v>
      </c>
    </row>
    <row r="173" spans="1:10" ht="23.4">
      <c r="A173" s="166"/>
      <c r="B173" s="166"/>
      <c r="C173" s="188" t="s">
        <v>3986</v>
      </c>
      <c r="D173" s="188" t="s">
        <v>3987</v>
      </c>
      <c r="E173" s="193" t="s">
        <v>209</v>
      </c>
      <c r="F173" s="188" t="s">
        <v>3199</v>
      </c>
      <c r="G173" s="188" t="s">
        <v>3154</v>
      </c>
      <c r="H173" s="184" t="s">
        <v>387</v>
      </c>
      <c r="I173" s="188" t="s">
        <v>3988</v>
      </c>
      <c r="J173" s="188" t="s">
        <v>3989</v>
      </c>
    </row>
    <row r="174" spans="1:10" ht="23.4">
      <c r="A174" s="166"/>
      <c r="B174" s="166"/>
      <c r="C174" s="188" t="s">
        <v>3990</v>
      </c>
      <c r="D174" s="188" t="s">
        <v>3991</v>
      </c>
      <c r="E174" s="193" t="s">
        <v>204</v>
      </c>
      <c r="F174" s="188" t="s">
        <v>3992</v>
      </c>
      <c r="G174" s="188" t="s">
        <v>3993</v>
      </c>
      <c r="H174" s="184" t="s">
        <v>14</v>
      </c>
      <c r="I174" s="188" t="s">
        <v>3402</v>
      </c>
      <c r="J174" s="188" t="s">
        <v>3994</v>
      </c>
    </row>
    <row r="175" spans="1:10" ht="23.4">
      <c r="A175" s="166"/>
      <c r="B175" s="166"/>
      <c r="C175" s="188" t="s">
        <v>3995</v>
      </c>
      <c r="D175" s="188" t="s">
        <v>3996</v>
      </c>
      <c r="E175" s="193" t="s">
        <v>204</v>
      </c>
      <c r="F175" s="188" t="s">
        <v>3997</v>
      </c>
      <c r="G175" s="188" t="s">
        <v>3704</v>
      </c>
      <c r="H175" s="184" t="s">
        <v>387</v>
      </c>
      <c r="I175" s="188" t="s">
        <v>3470</v>
      </c>
      <c r="J175" s="188" t="s">
        <v>3998</v>
      </c>
    </row>
    <row r="176" spans="1:10" ht="23.4">
      <c r="A176" s="166"/>
      <c r="B176" s="166"/>
      <c r="C176" s="188" t="s">
        <v>3999</v>
      </c>
      <c r="D176" s="188" t="s">
        <v>4000</v>
      </c>
      <c r="E176" s="193" t="s">
        <v>204</v>
      </c>
      <c r="F176" s="188" t="s">
        <v>4001</v>
      </c>
      <c r="G176" s="188" t="s">
        <v>4002</v>
      </c>
      <c r="H176" s="184" t="s">
        <v>387</v>
      </c>
      <c r="I176" s="188" t="s">
        <v>4003</v>
      </c>
      <c r="J176" s="188" t="s">
        <v>4004</v>
      </c>
    </row>
    <row r="177" spans="1:10" ht="23.4">
      <c r="A177" s="166"/>
      <c r="B177" s="153" t="s">
        <v>5041</v>
      </c>
      <c r="C177" s="188" t="s">
        <v>4005</v>
      </c>
      <c r="D177" s="188" t="s">
        <v>4006</v>
      </c>
      <c r="E177" s="193" t="s">
        <v>204</v>
      </c>
      <c r="F177" s="188" t="s">
        <v>4007</v>
      </c>
      <c r="G177" s="188" t="s">
        <v>2264</v>
      </c>
      <c r="H177" s="184" t="s">
        <v>387</v>
      </c>
      <c r="I177" s="188" t="s">
        <v>4008</v>
      </c>
      <c r="J177" s="188" t="s">
        <v>4009</v>
      </c>
    </row>
    <row r="178" spans="1:10" ht="23.4">
      <c r="A178" s="166"/>
      <c r="B178" s="166"/>
      <c r="C178" s="188" t="s">
        <v>4010</v>
      </c>
      <c r="D178" s="188" t="s">
        <v>4011</v>
      </c>
      <c r="E178" s="193" t="s">
        <v>204</v>
      </c>
      <c r="F178" s="188" t="s">
        <v>4012</v>
      </c>
      <c r="G178" s="188" t="s">
        <v>4013</v>
      </c>
      <c r="H178" s="184" t="s">
        <v>387</v>
      </c>
      <c r="I178" s="188" t="s">
        <v>4014</v>
      </c>
      <c r="J178" s="188" t="s">
        <v>4015</v>
      </c>
    </row>
    <row r="179" spans="1:10" ht="24" thickBot="1">
      <c r="A179" s="166"/>
      <c r="B179" s="166"/>
      <c r="C179" s="188" t="s">
        <v>4016</v>
      </c>
      <c r="D179" s="188" t="s">
        <v>4017</v>
      </c>
      <c r="E179" s="193" t="s">
        <v>204</v>
      </c>
      <c r="F179" s="188" t="s">
        <v>4018</v>
      </c>
      <c r="G179" s="188" t="s">
        <v>4019</v>
      </c>
      <c r="H179" s="194" t="s">
        <v>14</v>
      </c>
      <c r="I179" s="188" t="s">
        <v>3587</v>
      </c>
      <c r="J179" s="188" t="s">
        <v>4020</v>
      </c>
    </row>
    <row r="180" spans="1:10" ht="23.4">
      <c r="A180" s="166"/>
      <c r="B180" s="166"/>
      <c r="C180" s="188" t="s">
        <v>4021</v>
      </c>
      <c r="D180" s="188" t="s">
        <v>4022</v>
      </c>
      <c r="E180" s="193" t="s">
        <v>204</v>
      </c>
      <c r="F180" s="188" t="s">
        <v>3548</v>
      </c>
      <c r="G180" s="188" t="s">
        <v>4023</v>
      </c>
      <c r="H180" s="184" t="s">
        <v>387</v>
      </c>
      <c r="I180" s="188" t="s">
        <v>4024</v>
      </c>
      <c r="J180" s="188" t="s">
        <v>4025</v>
      </c>
    </row>
    <row r="181" spans="1:10" ht="23.4">
      <c r="A181" s="166"/>
      <c r="B181" s="166"/>
      <c r="C181" s="188" t="s">
        <v>4026</v>
      </c>
      <c r="D181" s="188" t="s">
        <v>4027</v>
      </c>
      <c r="E181" s="193" t="s">
        <v>204</v>
      </c>
      <c r="F181" s="188" t="s">
        <v>4028</v>
      </c>
      <c r="G181" s="188" t="s">
        <v>3671</v>
      </c>
      <c r="H181" s="184" t="s">
        <v>14</v>
      </c>
      <c r="I181" s="188" t="s">
        <v>4029</v>
      </c>
      <c r="J181" s="188" t="s">
        <v>4030</v>
      </c>
    </row>
    <row r="182" spans="1:10" ht="23.4">
      <c r="A182" s="166"/>
      <c r="B182" s="153" t="s">
        <v>5042</v>
      </c>
      <c r="C182" s="188" t="s">
        <v>4031</v>
      </c>
      <c r="D182" s="188" t="s">
        <v>4032</v>
      </c>
      <c r="E182" s="193" t="s">
        <v>204</v>
      </c>
      <c r="F182" s="188" t="s">
        <v>4033</v>
      </c>
      <c r="G182" s="188" t="s">
        <v>4034</v>
      </c>
      <c r="H182" s="184" t="s">
        <v>14</v>
      </c>
      <c r="I182" s="188" t="s">
        <v>4035</v>
      </c>
      <c r="J182" s="188" t="s">
        <v>4036</v>
      </c>
    </row>
    <row r="183" spans="1:10" ht="23.4">
      <c r="A183" s="166"/>
      <c r="B183" s="166"/>
      <c r="C183" s="188" t="s">
        <v>4037</v>
      </c>
      <c r="D183" s="188" t="s">
        <v>4038</v>
      </c>
      <c r="E183" s="193" t="s">
        <v>204</v>
      </c>
      <c r="F183" s="188" t="s">
        <v>4039</v>
      </c>
      <c r="G183" s="188" t="s">
        <v>4040</v>
      </c>
      <c r="H183" s="184" t="s">
        <v>387</v>
      </c>
      <c r="I183" s="188" t="s">
        <v>2434</v>
      </c>
      <c r="J183" s="188" t="s">
        <v>4041</v>
      </c>
    </row>
    <row r="184" spans="1:10" ht="23.4">
      <c r="A184" s="166"/>
      <c r="B184" s="166"/>
      <c r="C184" s="188" t="s">
        <v>4042</v>
      </c>
      <c r="D184" s="188" t="s">
        <v>4043</v>
      </c>
      <c r="E184" s="193" t="s">
        <v>209</v>
      </c>
      <c r="F184" s="188" t="s">
        <v>4044</v>
      </c>
      <c r="G184" s="188" t="s">
        <v>4045</v>
      </c>
      <c r="H184" s="184" t="s">
        <v>14</v>
      </c>
      <c r="I184" s="188" t="s">
        <v>4046</v>
      </c>
      <c r="J184" s="188" t="s">
        <v>4047</v>
      </c>
    </row>
    <row r="185" spans="1:10" ht="23.4">
      <c r="A185" s="166"/>
      <c r="B185" s="166"/>
      <c r="C185" s="188" t="s">
        <v>4048</v>
      </c>
      <c r="D185" s="188" t="s">
        <v>4049</v>
      </c>
      <c r="E185" s="193" t="s">
        <v>204</v>
      </c>
      <c r="F185" s="188" t="s">
        <v>3776</v>
      </c>
      <c r="G185" s="188" t="s">
        <v>3554</v>
      </c>
      <c r="H185" s="184" t="s">
        <v>387</v>
      </c>
      <c r="I185" s="188" t="s">
        <v>4050</v>
      </c>
      <c r="J185" s="188" t="s">
        <v>4051</v>
      </c>
    </row>
    <row r="186" spans="1:10" ht="23.4">
      <c r="A186" s="166"/>
      <c r="B186" s="166"/>
      <c r="C186" s="188" t="s">
        <v>4052</v>
      </c>
      <c r="D186" s="188" t="s">
        <v>4053</v>
      </c>
      <c r="E186" s="193" t="s">
        <v>204</v>
      </c>
      <c r="F186" s="188" t="s">
        <v>2169</v>
      </c>
      <c r="G186" s="188" t="s">
        <v>4054</v>
      </c>
      <c r="H186" s="184" t="s">
        <v>14</v>
      </c>
      <c r="I186" s="188" t="s">
        <v>4055</v>
      </c>
      <c r="J186" s="188" t="s">
        <v>4056</v>
      </c>
    </row>
    <row r="187" spans="1:10" ht="23.4">
      <c r="A187" s="166"/>
      <c r="B187" s="166" t="s">
        <v>148</v>
      </c>
      <c r="C187" s="188" t="s">
        <v>4057</v>
      </c>
      <c r="D187" s="188" t="s">
        <v>4058</v>
      </c>
      <c r="E187" s="193" t="s">
        <v>204</v>
      </c>
      <c r="F187" s="188" t="s">
        <v>4059</v>
      </c>
      <c r="G187" s="188" t="s">
        <v>4060</v>
      </c>
      <c r="H187" s="184" t="s">
        <v>14</v>
      </c>
      <c r="I187" s="188" t="s">
        <v>3191</v>
      </c>
      <c r="J187" s="188" t="s">
        <v>4061</v>
      </c>
    </row>
    <row r="188" spans="1:10" ht="23.4">
      <c r="A188" s="166"/>
      <c r="B188" s="166"/>
      <c r="C188" s="188" t="s">
        <v>4062</v>
      </c>
      <c r="D188" s="188" t="s">
        <v>4063</v>
      </c>
      <c r="E188" s="193" t="s">
        <v>204</v>
      </c>
      <c r="F188" s="188" t="s">
        <v>4064</v>
      </c>
      <c r="G188" s="188" t="s">
        <v>4065</v>
      </c>
      <c r="H188" s="184" t="s">
        <v>387</v>
      </c>
      <c r="I188" s="188" t="s">
        <v>4066</v>
      </c>
      <c r="J188" s="188" t="s">
        <v>4067</v>
      </c>
    </row>
    <row r="189" spans="1:10" ht="23.4">
      <c r="A189" s="166"/>
      <c r="B189" s="166"/>
      <c r="C189" s="188" t="s">
        <v>4068</v>
      </c>
      <c r="D189" s="188" t="s">
        <v>4069</v>
      </c>
      <c r="E189" s="193" t="s">
        <v>204</v>
      </c>
      <c r="F189" s="188" t="s">
        <v>4070</v>
      </c>
      <c r="G189" s="188" t="s">
        <v>4071</v>
      </c>
      <c r="H189" s="184" t="s">
        <v>387</v>
      </c>
      <c r="I189" s="188" t="s">
        <v>4072</v>
      </c>
      <c r="J189" s="188" t="s">
        <v>4073</v>
      </c>
    </row>
    <row r="190" spans="1:10" ht="23.4">
      <c r="A190" s="166"/>
      <c r="B190" s="166"/>
      <c r="C190" s="188" t="s">
        <v>4074</v>
      </c>
      <c r="D190" s="188" t="s">
        <v>4075</v>
      </c>
      <c r="E190" s="193" t="s">
        <v>204</v>
      </c>
      <c r="F190" s="188" t="s">
        <v>4076</v>
      </c>
      <c r="G190" s="188" t="s">
        <v>4077</v>
      </c>
      <c r="H190" s="184" t="s">
        <v>14</v>
      </c>
      <c r="I190" s="188" t="s">
        <v>4078</v>
      </c>
      <c r="J190" s="188" t="s">
        <v>4079</v>
      </c>
    </row>
    <row r="191" spans="1:10" ht="23.4">
      <c r="A191" s="166"/>
      <c r="B191" s="166"/>
      <c r="C191" s="188" t="s">
        <v>4080</v>
      </c>
      <c r="D191" s="188" t="s">
        <v>4081</v>
      </c>
      <c r="E191" s="193" t="s">
        <v>209</v>
      </c>
      <c r="F191" s="188" t="s">
        <v>4082</v>
      </c>
      <c r="G191" s="188" t="s">
        <v>4083</v>
      </c>
      <c r="H191" s="184" t="s">
        <v>387</v>
      </c>
      <c r="I191" s="188" t="s">
        <v>3219</v>
      </c>
      <c r="J191" s="188" t="s">
        <v>4084</v>
      </c>
    </row>
    <row r="192" spans="1:10" ht="23.4">
      <c r="A192" s="166"/>
      <c r="B192" s="166" t="s">
        <v>149</v>
      </c>
      <c r="C192" s="188" t="s">
        <v>4085</v>
      </c>
      <c r="D192" s="188" t="s">
        <v>4086</v>
      </c>
      <c r="E192" s="193" t="s">
        <v>209</v>
      </c>
      <c r="F192" s="188" t="s">
        <v>4087</v>
      </c>
      <c r="G192" s="188" t="s">
        <v>4088</v>
      </c>
      <c r="H192" s="184" t="s">
        <v>14</v>
      </c>
      <c r="I192" s="188" t="s">
        <v>4089</v>
      </c>
      <c r="J192" s="188" t="s">
        <v>4090</v>
      </c>
    </row>
    <row r="193" spans="1:10" ht="23.4">
      <c r="A193" s="166"/>
      <c r="B193" s="166"/>
      <c r="C193" s="188" t="s">
        <v>4091</v>
      </c>
      <c r="D193" s="188" t="s">
        <v>4092</v>
      </c>
      <c r="E193" s="193" t="s">
        <v>204</v>
      </c>
      <c r="F193" s="188" t="s">
        <v>4093</v>
      </c>
      <c r="G193" s="188" t="s">
        <v>4094</v>
      </c>
      <c r="H193" s="184" t="s">
        <v>387</v>
      </c>
      <c r="I193" s="188" t="s">
        <v>4095</v>
      </c>
      <c r="J193" s="188" t="s">
        <v>4096</v>
      </c>
    </row>
    <row r="194" spans="1:10" ht="23.4">
      <c r="A194" s="166"/>
      <c r="B194" s="166"/>
      <c r="C194" s="188" t="s">
        <v>4097</v>
      </c>
      <c r="D194" s="188" t="s">
        <v>4098</v>
      </c>
      <c r="E194" s="193" t="s">
        <v>204</v>
      </c>
      <c r="F194" s="188" t="s">
        <v>3170</v>
      </c>
      <c r="G194" s="188" t="s">
        <v>4099</v>
      </c>
      <c r="H194" s="184" t="s">
        <v>387</v>
      </c>
      <c r="I194" s="188" t="s">
        <v>3219</v>
      </c>
      <c r="J194" s="188" t="s">
        <v>4100</v>
      </c>
    </row>
    <row r="195" spans="1:10" ht="23.4">
      <c r="A195" s="166"/>
      <c r="B195" s="166"/>
      <c r="C195" s="188" t="s">
        <v>4101</v>
      </c>
      <c r="D195" s="188" t="s">
        <v>4102</v>
      </c>
      <c r="E195" s="193" t="s">
        <v>209</v>
      </c>
      <c r="F195" s="188" t="s">
        <v>4103</v>
      </c>
      <c r="G195" s="188" t="s">
        <v>3474</v>
      </c>
      <c r="H195" s="184" t="s">
        <v>14</v>
      </c>
      <c r="I195" s="188" t="s">
        <v>3391</v>
      </c>
      <c r="J195" s="188" t="s">
        <v>4104</v>
      </c>
    </row>
    <row r="196" spans="1:10" ht="23.4">
      <c r="A196" s="166"/>
      <c r="B196" s="166"/>
      <c r="C196" s="188" t="s">
        <v>4105</v>
      </c>
      <c r="D196" s="188" t="s">
        <v>4106</v>
      </c>
      <c r="E196" s="193" t="s">
        <v>209</v>
      </c>
      <c r="F196" s="188" t="s">
        <v>4107</v>
      </c>
      <c r="G196" s="188" t="s">
        <v>3329</v>
      </c>
      <c r="H196" s="184" t="s">
        <v>387</v>
      </c>
      <c r="I196" s="188" t="s">
        <v>3234</v>
      </c>
      <c r="J196" s="188" t="s">
        <v>4108</v>
      </c>
    </row>
    <row r="197" spans="1:10" ht="23.4">
      <c r="A197" s="166"/>
      <c r="B197" s="153" t="s">
        <v>5043</v>
      </c>
      <c r="C197" s="188" t="s">
        <v>4109</v>
      </c>
      <c r="D197" s="188" t="s">
        <v>4110</v>
      </c>
      <c r="E197" s="193" t="s">
        <v>209</v>
      </c>
      <c r="F197" s="188" t="s">
        <v>3311</v>
      </c>
      <c r="G197" s="188" t="s">
        <v>4111</v>
      </c>
      <c r="H197" s="184" t="s">
        <v>387</v>
      </c>
      <c r="I197" s="188" t="s">
        <v>4112</v>
      </c>
      <c r="J197" s="188" t="s">
        <v>4113</v>
      </c>
    </row>
    <row r="198" spans="1:10" ht="23.4">
      <c r="A198" s="166"/>
      <c r="B198" s="166"/>
      <c r="C198" s="188" t="s">
        <v>4114</v>
      </c>
      <c r="D198" s="188" t="s">
        <v>4115</v>
      </c>
      <c r="E198" s="193" t="s">
        <v>204</v>
      </c>
      <c r="F198" s="188" t="s">
        <v>4116</v>
      </c>
      <c r="G198" s="188" t="s">
        <v>4117</v>
      </c>
      <c r="H198" s="184" t="s">
        <v>14</v>
      </c>
      <c r="I198" s="188" t="s">
        <v>3808</v>
      </c>
      <c r="J198" s="188" t="s">
        <v>4118</v>
      </c>
    </row>
    <row r="199" spans="1:10" ht="23.4">
      <c r="A199" s="166"/>
      <c r="B199" s="166"/>
      <c r="C199" s="188" t="s">
        <v>4119</v>
      </c>
      <c r="D199" s="188" t="s">
        <v>4120</v>
      </c>
      <c r="E199" s="193" t="s">
        <v>204</v>
      </c>
      <c r="F199" s="188" t="s">
        <v>4121</v>
      </c>
      <c r="G199" s="188" t="s">
        <v>3041</v>
      </c>
      <c r="H199" s="184" t="s">
        <v>14</v>
      </c>
      <c r="I199" s="188" t="s">
        <v>4122</v>
      </c>
      <c r="J199" s="188" t="s">
        <v>4123</v>
      </c>
    </row>
    <row r="200" spans="1:10" ht="23.4">
      <c r="A200" s="166"/>
      <c r="B200" s="166"/>
      <c r="C200" s="188" t="s">
        <v>4124</v>
      </c>
      <c r="D200" s="188" t="s">
        <v>4125</v>
      </c>
      <c r="E200" s="193" t="s">
        <v>204</v>
      </c>
      <c r="F200" s="188" t="s">
        <v>4126</v>
      </c>
      <c r="G200" s="188" t="s">
        <v>2388</v>
      </c>
      <c r="H200" s="184" t="s">
        <v>387</v>
      </c>
      <c r="I200" s="188" t="s">
        <v>3012</v>
      </c>
      <c r="J200" s="188" t="s">
        <v>4127</v>
      </c>
    </row>
    <row r="201" spans="1:10" ht="23.4">
      <c r="A201" s="166"/>
      <c r="B201" s="166"/>
      <c r="C201" s="188" t="s">
        <v>4128</v>
      </c>
      <c r="D201" s="188" t="s">
        <v>4129</v>
      </c>
      <c r="E201" s="193" t="s">
        <v>242</v>
      </c>
      <c r="F201" s="188" t="s">
        <v>4130</v>
      </c>
      <c r="G201" s="188" t="s">
        <v>4131</v>
      </c>
      <c r="H201" s="184" t="s">
        <v>387</v>
      </c>
      <c r="I201" s="188" t="s">
        <v>3738</v>
      </c>
      <c r="J201" s="188" t="s">
        <v>4132</v>
      </c>
    </row>
    <row r="202" spans="1:10" ht="23.4">
      <c r="A202" s="167" t="s">
        <v>150</v>
      </c>
      <c r="B202" s="145" t="s">
        <v>5044</v>
      </c>
      <c r="C202" s="189" t="s">
        <v>4135</v>
      </c>
      <c r="D202" s="189" t="s">
        <v>4136</v>
      </c>
      <c r="E202" s="193" t="s">
        <v>204</v>
      </c>
      <c r="F202" s="189" t="s">
        <v>4137</v>
      </c>
      <c r="G202" s="189" t="s">
        <v>3012</v>
      </c>
      <c r="H202" s="174" t="s">
        <v>14</v>
      </c>
      <c r="I202" s="189" t="s">
        <v>3013</v>
      </c>
      <c r="J202" s="189" t="s">
        <v>4138</v>
      </c>
    </row>
    <row r="203" spans="1:10" ht="23.4">
      <c r="A203" s="167"/>
      <c r="B203" s="167"/>
      <c r="C203" s="189" t="s">
        <v>4139</v>
      </c>
      <c r="D203" s="189" t="s">
        <v>4140</v>
      </c>
      <c r="E203" s="193" t="s">
        <v>204</v>
      </c>
      <c r="F203" s="189" t="s">
        <v>3138</v>
      </c>
      <c r="G203" s="189" t="s">
        <v>4111</v>
      </c>
      <c r="H203" s="174" t="s">
        <v>387</v>
      </c>
      <c r="I203" s="189" t="s">
        <v>4141</v>
      </c>
      <c r="J203" s="189" t="s">
        <v>4142</v>
      </c>
    </row>
    <row r="204" spans="1:10" ht="23.4">
      <c r="A204" s="167"/>
      <c r="B204" s="167"/>
      <c r="C204" s="189" t="s">
        <v>4143</v>
      </c>
      <c r="D204" s="189" t="s">
        <v>4144</v>
      </c>
      <c r="E204" s="193" t="s">
        <v>204</v>
      </c>
      <c r="F204" s="189" t="s">
        <v>4145</v>
      </c>
      <c r="G204" s="189" t="s">
        <v>3200</v>
      </c>
      <c r="H204" s="174" t="s">
        <v>14</v>
      </c>
      <c r="I204" s="189" t="s">
        <v>4146</v>
      </c>
      <c r="J204" s="189" t="s">
        <v>4147</v>
      </c>
    </row>
    <row r="205" spans="1:10" ht="23.4">
      <c r="A205" s="167"/>
      <c r="B205" s="167"/>
      <c r="C205" s="189" t="s">
        <v>4148</v>
      </c>
      <c r="D205" s="189" t="s">
        <v>4149</v>
      </c>
      <c r="E205" s="193" t="s">
        <v>204</v>
      </c>
      <c r="F205" s="189" t="s">
        <v>4150</v>
      </c>
      <c r="G205" s="189" t="s">
        <v>4151</v>
      </c>
      <c r="H205" s="174" t="s">
        <v>387</v>
      </c>
      <c r="I205" s="189" t="s">
        <v>4152</v>
      </c>
      <c r="J205" s="189" t="s">
        <v>4153</v>
      </c>
    </row>
    <row r="206" spans="1:10" ht="23.4">
      <c r="A206" s="167"/>
      <c r="B206" s="167"/>
      <c r="C206" s="189" t="s">
        <v>4154</v>
      </c>
      <c r="D206" s="189" t="s">
        <v>4155</v>
      </c>
      <c r="E206" s="193" t="s">
        <v>204</v>
      </c>
      <c r="F206" s="189" t="s">
        <v>4156</v>
      </c>
      <c r="G206" s="189" t="s">
        <v>3947</v>
      </c>
      <c r="H206" s="174" t="s">
        <v>387</v>
      </c>
      <c r="I206" s="189" t="s">
        <v>3780</v>
      </c>
      <c r="J206" s="189" t="s">
        <v>4157</v>
      </c>
    </row>
    <row r="207" spans="1:10" ht="23.4">
      <c r="A207" s="167"/>
      <c r="B207" s="167" t="s">
        <v>5045</v>
      </c>
      <c r="C207" s="189" t="s">
        <v>4158</v>
      </c>
      <c r="D207" s="189" t="s">
        <v>4159</v>
      </c>
      <c r="E207" s="193" t="s">
        <v>204</v>
      </c>
      <c r="F207" s="189" t="s">
        <v>4160</v>
      </c>
      <c r="G207" s="189" t="s">
        <v>4161</v>
      </c>
      <c r="H207" s="174" t="s">
        <v>14</v>
      </c>
      <c r="I207" s="189" t="s">
        <v>4162</v>
      </c>
      <c r="J207" s="189" t="s">
        <v>4163</v>
      </c>
    </row>
    <row r="208" spans="1:10" ht="23.4">
      <c r="A208" s="167"/>
      <c r="B208" s="167"/>
      <c r="C208" s="189" t="s">
        <v>4164</v>
      </c>
      <c r="D208" s="189" t="s">
        <v>4165</v>
      </c>
      <c r="E208" s="193" t="s">
        <v>209</v>
      </c>
      <c r="F208" s="189" t="s">
        <v>2168</v>
      </c>
      <c r="G208" s="189" t="s">
        <v>4166</v>
      </c>
      <c r="H208" s="174" t="s">
        <v>387</v>
      </c>
      <c r="I208" s="189" t="s">
        <v>4167</v>
      </c>
      <c r="J208" s="189" t="s">
        <v>4168</v>
      </c>
    </row>
    <row r="209" spans="1:10" ht="23.4">
      <c r="A209" s="167"/>
      <c r="B209" s="167"/>
      <c r="C209" s="189" t="s">
        <v>4169</v>
      </c>
      <c r="D209" s="189" t="s">
        <v>4170</v>
      </c>
      <c r="E209" s="193" t="s">
        <v>209</v>
      </c>
      <c r="F209" s="189" t="s">
        <v>4076</v>
      </c>
      <c r="G209" s="189" t="s">
        <v>4171</v>
      </c>
      <c r="H209" s="174" t="s">
        <v>387</v>
      </c>
      <c r="I209" s="189" t="s">
        <v>4172</v>
      </c>
      <c r="J209" s="189" t="s">
        <v>4173</v>
      </c>
    </row>
    <row r="210" spans="1:10" ht="23.4">
      <c r="A210" s="167"/>
      <c r="B210" s="167"/>
      <c r="C210" s="189" t="s">
        <v>4174</v>
      </c>
      <c r="D210" s="189" t="s">
        <v>4175</v>
      </c>
      <c r="E210" s="193" t="s">
        <v>204</v>
      </c>
      <c r="F210" s="189" t="s">
        <v>4176</v>
      </c>
      <c r="G210" s="189" t="s">
        <v>3329</v>
      </c>
      <c r="H210" s="174" t="s">
        <v>387</v>
      </c>
      <c r="I210" s="189" t="s">
        <v>3952</v>
      </c>
      <c r="J210" s="189" t="s">
        <v>3953</v>
      </c>
    </row>
    <row r="211" spans="1:10" ht="23.4">
      <c r="A211" s="167"/>
      <c r="B211" s="167"/>
      <c r="C211" s="189" t="s">
        <v>4177</v>
      </c>
      <c r="D211" s="189" t="s">
        <v>4178</v>
      </c>
      <c r="E211" s="193" t="s">
        <v>209</v>
      </c>
      <c r="F211" s="189" t="s">
        <v>4179</v>
      </c>
      <c r="G211" s="189" t="s">
        <v>4180</v>
      </c>
      <c r="H211" s="174" t="s">
        <v>387</v>
      </c>
      <c r="I211" s="189" t="s">
        <v>4181</v>
      </c>
      <c r="J211" s="189" t="s">
        <v>4182</v>
      </c>
    </row>
    <row r="212" spans="1:10" ht="24" thickBot="1">
      <c r="A212" s="167"/>
      <c r="B212" s="167" t="s">
        <v>5046</v>
      </c>
      <c r="C212" s="189" t="s">
        <v>4183</v>
      </c>
      <c r="D212" s="189" t="s">
        <v>4184</v>
      </c>
      <c r="E212" s="193" t="s">
        <v>209</v>
      </c>
      <c r="F212" s="189" t="s">
        <v>4185</v>
      </c>
      <c r="G212" s="189" t="s">
        <v>4186</v>
      </c>
      <c r="H212" s="195" t="s">
        <v>14</v>
      </c>
      <c r="I212" s="189" t="s">
        <v>4187</v>
      </c>
      <c r="J212" s="189" t="s">
        <v>4188</v>
      </c>
    </row>
    <row r="213" spans="1:10" ht="23.4">
      <c r="A213" s="167"/>
      <c r="B213" s="167"/>
      <c r="C213" s="189" t="s">
        <v>4189</v>
      </c>
      <c r="D213" s="189" t="s">
        <v>4190</v>
      </c>
      <c r="E213" s="193" t="s">
        <v>209</v>
      </c>
      <c r="F213" s="189" t="s">
        <v>4191</v>
      </c>
      <c r="G213" s="189" t="s">
        <v>4192</v>
      </c>
      <c r="H213" s="174" t="s">
        <v>387</v>
      </c>
      <c r="I213" s="189" t="s">
        <v>4193</v>
      </c>
      <c r="J213" s="189" t="s">
        <v>4194</v>
      </c>
    </row>
    <row r="214" spans="1:10" ht="23.4">
      <c r="A214" s="167"/>
      <c r="B214" s="167"/>
      <c r="C214" s="189" t="s">
        <v>4195</v>
      </c>
      <c r="D214" s="189" t="s">
        <v>4196</v>
      </c>
      <c r="E214" s="193" t="s">
        <v>204</v>
      </c>
      <c r="F214" s="189" t="s">
        <v>4197</v>
      </c>
      <c r="G214" s="189" t="s">
        <v>4198</v>
      </c>
      <c r="H214" s="174" t="s">
        <v>14</v>
      </c>
      <c r="I214" s="189" t="s">
        <v>4199</v>
      </c>
      <c r="J214" s="189" t="s">
        <v>4200</v>
      </c>
    </row>
    <row r="215" spans="1:10" ht="23.4">
      <c r="A215" s="167"/>
      <c r="B215" s="167"/>
      <c r="C215" s="189" t="s">
        <v>4201</v>
      </c>
      <c r="D215" s="189" t="s">
        <v>4202</v>
      </c>
      <c r="E215" s="193" t="s">
        <v>209</v>
      </c>
      <c r="F215" s="189" t="s">
        <v>4203</v>
      </c>
      <c r="G215" s="189" t="s">
        <v>3212</v>
      </c>
      <c r="H215" s="174" t="s">
        <v>14</v>
      </c>
      <c r="I215" s="189" t="s">
        <v>4204</v>
      </c>
      <c r="J215" s="189" t="s">
        <v>4205</v>
      </c>
    </row>
    <row r="216" spans="1:10" ht="23.4">
      <c r="A216" s="167"/>
      <c r="B216" s="167"/>
      <c r="C216" s="189" t="s">
        <v>4206</v>
      </c>
      <c r="D216" s="189" t="s">
        <v>4207</v>
      </c>
      <c r="E216" s="193" t="s">
        <v>204</v>
      </c>
      <c r="F216" s="189" t="s">
        <v>4208</v>
      </c>
      <c r="G216" s="189" t="s">
        <v>3219</v>
      </c>
      <c r="H216" s="174" t="s">
        <v>387</v>
      </c>
      <c r="I216" s="189" t="s">
        <v>4209</v>
      </c>
      <c r="J216" s="189" t="s">
        <v>4210</v>
      </c>
    </row>
    <row r="217" spans="1:10" ht="23.4">
      <c r="A217" s="167"/>
      <c r="B217" s="145" t="s">
        <v>5047</v>
      </c>
      <c r="C217" s="189" t="s">
        <v>4211</v>
      </c>
      <c r="D217" s="189" t="s">
        <v>4212</v>
      </c>
      <c r="E217" s="193" t="s">
        <v>204</v>
      </c>
      <c r="F217" s="189" t="s">
        <v>4213</v>
      </c>
      <c r="G217" s="189" t="s">
        <v>4013</v>
      </c>
      <c r="H217" s="174" t="s">
        <v>14</v>
      </c>
      <c r="I217" s="189" t="s">
        <v>4214</v>
      </c>
      <c r="J217" s="189" t="s">
        <v>4215</v>
      </c>
    </row>
    <row r="218" spans="1:10" ht="23.4">
      <c r="A218" s="167"/>
      <c r="B218" s="167"/>
      <c r="C218" s="189" t="s">
        <v>4216</v>
      </c>
      <c r="D218" s="189" t="s">
        <v>4217</v>
      </c>
      <c r="E218" s="193" t="s">
        <v>204</v>
      </c>
      <c r="F218" s="189" t="s">
        <v>4218</v>
      </c>
      <c r="G218" s="189" t="s">
        <v>4219</v>
      </c>
      <c r="H218" s="174" t="s">
        <v>387</v>
      </c>
      <c r="I218" s="189" t="s">
        <v>4220</v>
      </c>
      <c r="J218" s="189" t="s">
        <v>4221</v>
      </c>
    </row>
    <row r="219" spans="1:10" ht="23.4">
      <c r="A219" s="167"/>
      <c r="B219" s="167"/>
      <c r="C219" s="189" t="s">
        <v>4016</v>
      </c>
      <c r="D219" s="189" t="s">
        <v>4222</v>
      </c>
      <c r="E219" s="193" t="s">
        <v>204</v>
      </c>
      <c r="F219" s="189" t="s">
        <v>4223</v>
      </c>
      <c r="G219" s="189" t="s">
        <v>4198</v>
      </c>
      <c r="H219" s="174" t="s">
        <v>14</v>
      </c>
      <c r="I219" s="189" t="s">
        <v>4224</v>
      </c>
      <c r="J219" s="189" t="s">
        <v>4225</v>
      </c>
    </row>
    <row r="220" spans="1:10" ht="23.4">
      <c r="A220" s="167"/>
      <c r="B220" s="167"/>
      <c r="C220" s="189" t="s">
        <v>4226</v>
      </c>
      <c r="D220" s="189" t="s">
        <v>4227</v>
      </c>
      <c r="E220" s="193" t="s">
        <v>204</v>
      </c>
      <c r="F220" s="189" t="s">
        <v>4228</v>
      </c>
      <c r="G220" s="189" t="s">
        <v>4229</v>
      </c>
      <c r="H220" s="174" t="s">
        <v>14</v>
      </c>
      <c r="I220" s="189" t="s">
        <v>4230</v>
      </c>
      <c r="J220" s="189" t="s">
        <v>4231</v>
      </c>
    </row>
    <row r="221" spans="1:10" ht="23.4">
      <c r="A221" s="167"/>
      <c r="B221" s="167"/>
      <c r="C221" s="189" t="s">
        <v>4232</v>
      </c>
      <c r="D221" s="189" t="s">
        <v>4233</v>
      </c>
      <c r="E221" s="193" t="s">
        <v>209</v>
      </c>
      <c r="F221" s="189" t="s">
        <v>4234</v>
      </c>
      <c r="G221" s="189" t="s">
        <v>4235</v>
      </c>
      <c r="H221" s="174" t="s">
        <v>387</v>
      </c>
      <c r="I221" s="189" t="s">
        <v>4236</v>
      </c>
      <c r="J221" s="189" t="s">
        <v>4237</v>
      </c>
    </row>
    <row r="222" spans="1:10" ht="23.4">
      <c r="A222" s="167"/>
      <c r="B222" s="145" t="s">
        <v>5048</v>
      </c>
      <c r="C222" s="189" t="s">
        <v>4238</v>
      </c>
      <c r="D222" s="189" t="s">
        <v>4239</v>
      </c>
      <c r="E222" s="193" t="s">
        <v>204</v>
      </c>
      <c r="F222" s="189" t="s">
        <v>4240</v>
      </c>
      <c r="G222" s="189" t="s">
        <v>4241</v>
      </c>
      <c r="H222" s="174" t="s">
        <v>387</v>
      </c>
      <c r="I222" s="189" t="s">
        <v>4242</v>
      </c>
      <c r="J222" s="189" t="s">
        <v>4243</v>
      </c>
    </row>
    <row r="223" spans="1:10" ht="23.4">
      <c r="A223" s="167"/>
      <c r="B223" s="167"/>
      <c r="C223" s="189" t="s">
        <v>4244</v>
      </c>
      <c r="D223" s="189" t="s">
        <v>4245</v>
      </c>
      <c r="E223" s="193" t="s">
        <v>204</v>
      </c>
      <c r="F223" s="189" t="s">
        <v>4246</v>
      </c>
      <c r="G223" s="189" t="s">
        <v>3429</v>
      </c>
      <c r="H223" s="174" t="s">
        <v>14</v>
      </c>
      <c r="I223" s="189" t="s">
        <v>4247</v>
      </c>
      <c r="J223" s="189" t="s">
        <v>4248</v>
      </c>
    </row>
    <row r="224" spans="1:10" ht="23.4">
      <c r="A224" s="167"/>
      <c r="B224" s="167"/>
      <c r="C224" s="189" t="s">
        <v>4249</v>
      </c>
      <c r="D224" s="189" t="s">
        <v>4250</v>
      </c>
      <c r="E224" s="193" t="s">
        <v>204</v>
      </c>
      <c r="F224" s="189" t="s">
        <v>4251</v>
      </c>
      <c r="G224" s="189" t="s">
        <v>4252</v>
      </c>
      <c r="H224" s="174" t="s">
        <v>387</v>
      </c>
      <c r="I224" s="189" t="s">
        <v>4253</v>
      </c>
      <c r="J224" s="189" t="s">
        <v>4254</v>
      </c>
    </row>
    <row r="225" spans="1:10" ht="23.4">
      <c r="A225" s="167"/>
      <c r="B225" s="167"/>
      <c r="C225" s="189" t="s">
        <v>4255</v>
      </c>
      <c r="D225" s="189" t="s">
        <v>4256</v>
      </c>
      <c r="E225" s="193" t="s">
        <v>204</v>
      </c>
      <c r="F225" s="189" t="s">
        <v>4257</v>
      </c>
      <c r="G225" s="189" t="s">
        <v>2955</v>
      </c>
      <c r="H225" s="174" t="s">
        <v>387</v>
      </c>
      <c r="I225" s="189" t="s">
        <v>3913</v>
      </c>
      <c r="J225" s="189" t="s">
        <v>4258</v>
      </c>
    </row>
    <row r="226" spans="1:10" ht="23.4">
      <c r="A226" s="167"/>
      <c r="B226" s="167"/>
      <c r="C226" s="189" t="s">
        <v>4259</v>
      </c>
      <c r="D226" s="189" t="s">
        <v>4260</v>
      </c>
      <c r="E226" s="193" t="s">
        <v>242</v>
      </c>
      <c r="F226" s="189" t="s">
        <v>4261</v>
      </c>
      <c r="G226" s="189" t="s">
        <v>4262</v>
      </c>
      <c r="H226" s="174" t="s">
        <v>14</v>
      </c>
      <c r="I226" s="189" t="s">
        <v>4263</v>
      </c>
      <c r="J226" s="189" t="s">
        <v>4264</v>
      </c>
    </row>
    <row r="227" spans="1:10" ht="23.4">
      <c r="A227" s="167"/>
      <c r="B227" s="145" t="s">
        <v>5049</v>
      </c>
      <c r="C227" s="189" t="s">
        <v>4265</v>
      </c>
      <c r="D227" s="189" t="s">
        <v>4266</v>
      </c>
      <c r="E227" s="193" t="s">
        <v>204</v>
      </c>
      <c r="F227" s="189" t="s">
        <v>4267</v>
      </c>
      <c r="G227" s="189" t="s">
        <v>4268</v>
      </c>
      <c r="H227" s="174" t="s">
        <v>14</v>
      </c>
      <c r="I227" s="189" t="s">
        <v>4269</v>
      </c>
      <c r="J227" s="189" t="s">
        <v>4270</v>
      </c>
    </row>
    <row r="228" spans="1:10" ht="23.4">
      <c r="A228" s="167"/>
      <c r="B228" s="167"/>
      <c r="C228" s="189" t="s">
        <v>4271</v>
      </c>
      <c r="D228" s="189" t="s">
        <v>4272</v>
      </c>
      <c r="E228" s="193" t="s">
        <v>242</v>
      </c>
      <c r="F228" s="189" t="s">
        <v>4273</v>
      </c>
      <c r="G228" s="189" t="s">
        <v>4274</v>
      </c>
      <c r="H228" s="174" t="s">
        <v>387</v>
      </c>
      <c r="I228" s="189" t="s">
        <v>4275</v>
      </c>
      <c r="J228" s="189" t="s">
        <v>4276</v>
      </c>
    </row>
    <row r="229" spans="1:10" ht="23.4">
      <c r="A229" s="167"/>
      <c r="B229" s="167"/>
      <c r="C229" s="189" t="s">
        <v>4277</v>
      </c>
      <c r="D229" s="189" t="s">
        <v>4278</v>
      </c>
      <c r="E229" s="193" t="s">
        <v>204</v>
      </c>
      <c r="F229" s="189" t="s">
        <v>4279</v>
      </c>
      <c r="G229" s="189" t="s">
        <v>4280</v>
      </c>
      <c r="H229" s="174" t="s">
        <v>387</v>
      </c>
      <c r="I229" s="189" t="s">
        <v>4281</v>
      </c>
      <c r="J229" s="189" t="s">
        <v>4282</v>
      </c>
    </row>
    <row r="230" spans="1:10" ht="23.4">
      <c r="A230" s="167"/>
      <c r="B230" s="167"/>
      <c r="C230" s="189" t="s">
        <v>4283</v>
      </c>
      <c r="D230" s="189" t="s">
        <v>4284</v>
      </c>
      <c r="E230" s="193" t="s">
        <v>242</v>
      </c>
      <c r="F230" s="189" t="s">
        <v>4285</v>
      </c>
      <c r="G230" s="189" t="s">
        <v>4286</v>
      </c>
      <c r="H230" s="174" t="s">
        <v>14</v>
      </c>
      <c r="I230" s="189" t="s">
        <v>2556</v>
      </c>
      <c r="J230" s="189" t="s">
        <v>4287</v>
      </c>
    </row>
    <row r="231" spans="1:10" ht="23.4">
      <c r="A231" s="167"/>
      <c r="B231" s="167"/>
      <c r="C231" s="189" t="s">
        <v>4288</v>
      </c>
      <c r="D231" s="189" t="s">
        <v>4289</v>
      </c>
      <c r="E231" s="193" t="s">
        <v>209</v>
      </c>
      <c r="F231" s="189" t="s">
        <v>4290</v>
      </c>
      <c r="G231" s="189" t="s">
        <v>4291</v>
      </c>
      <c r="H231" s="174" t="s">
        <v>387</v>
      </c>
      <c r="I231" s="189" t="s">
        <v>4292</v>
      </c>
      <c r="J231" s="189" t="s">
        <v>4293</v>
      </c>
    </row>
    <row r="232" spans="1:10" ht="23.4">
      <c r="A232" s="167"/>
      <c r="B232" s="145" t="s">
        <v>4133</v>
      </c>
      <c r="C232" s="189" t="s">
        <v>4294</v>
      </c>
      <c r="D232" s="189" t="s">
        <v>4295</v>
      </c>
      <c r="E232" s="193" t="s">
        <v>204</v>
      </c>
      <c r="F232" s="189" t="s">
        <v>3548</v>
      </c>
      <c r="G232" s="189" t="s">
        <v>4296</v>
      </c>
      <c r="H232" s="174" t="s">
        <v>14</v>
      </c>
      <c r="I232" s="189" t="s">
        <v>4297</v>
      </c>
      <c r="J232" s="189" t="s">
        <v>4298</v>
      </c>
    </row>
    <row r="233" spans="1:10" ht="23.4">
      <c r="A233" s="167"/>
      <c r="B233" s="167"/>
      <c r="C233" s="189" t="s">
        <v>4299</v>
      </c>
      <c r="D233" s="189" t="s">
        <v>4300</v>
      </c>
      <c r="E233" s="193" t="s">
        <v>209</v>
      </c>
      <c r="F233" s="189" t="s">
        <v>4301</v>
      </c>
      <c r="G233" s="189" t="s">
        <v>4302</v>
      </c>
      <c r="H233" s="174" t="s">
        <v>387</v>
      </c>
      <c r="I233" s="189" t="s">
        <v>4303</v>
      </c>
      <c r="J233" s="189" t="s">
        <v>4304</v>
      </c>
    </row>
    <row r="234" spans="1:10" ht="23.4">
      <c r="A234" s="167"/>
      <c r="B234" s="167"/>
      <c r="C234" s="189" t="s">
        <v>4305</v>
      </c>
      <c r="D234" s="189" t="s">
        <v>4306</v>
      </c>
      <c r="E234" s="193" t="s">
        <v>204</v>
      </c>
      <c r="F234" s="189" t="s">
        <v>4307</v>
      </c>
      <c r="G234" s="189" t="s">
        <v>4308</v>
      </c>
      <c r="H234" s="174" t="s">
        <v>387</v>
      </c>
      <c r="I234" s="189" t="s">
        <v>4309</v>
      </c>
      <c r="J234" s="189" t="s">
        <v>4310</v>
      </c>
    </row>
    <row r="235" spans="1:10" ht="23.4">
      <c r="A235" s="167"/>
      <c r="B235" s="167"/>
      <c r="C235" s="189" t="s">
        <v>4311</v>
      </c>
      <c r="D235" s="189" t="s">
        <v>4312</v>
      </c>
      <c r="E235" s="193" t="s">
        <v>204</v>
      </c>
      <c r="F235" s="189" t="s">
        <v>4313</v>
      </c>
      <c r="G235" s="189" t="s">
        <v>3842</v>
      </c>
      <c r="H235" s="174" t="s">
        <v>14</v>
      </c>
      <c r="I235" s="189" t="s">
        <v>4314</v>
      </c>
      <c r="J235" s="189" t="s">
        <v>4315</v>
      </c>
    </row>
    <row r="236" spans="1:10" ht="23.4">
      <c r="A236" s="167"/>
      <c r="B236" s="167"/>
      <c r="C236" s="189" t="s">
        <v>4316</v>
      </c>
      <c r="D236" s="189" t="s">
        <v>4317</v>
      </c>
      <c r="E236" s="193" t="s">
        <v>204</v>
      </c>
      <c r="F236" s="189" t="s">
        <v>4318</v>
      </c>
      <c r="G236" s="189" t="s">
        <v>4319</v>
      </c>
      <c r="H236" s="174" t="s">
        <v>387</v>
      </c>
      <c r="I236" s="189" t="s">
        <v>3012</v>
      </c>
      <c r="J236" s="189" t="s">
        <v>4320</v>
      </c>
    </row>
    <row r="237" spans="1:10" ht="46.8" customHeight="1">
      <c r="A237" s="167"/>
      <c r="B237" s="145" t="s">
        <v>4134</v>
      </c>
      <c r="C237" s="189" t="s">
        <v>4148</v>
      </c>
      <c r="D237" s="189" t="s">
        <v>4321</v>
      </c>
      <c r="E237" s="193" t="s">
        <v>204</v>
      </c>
      <c r="F237" s="189" t="s">
        <v>4322</v>
      </c>
      <c r="G237" s="189" t="s">
        <v>4323</v>
      </c>
      <c r="H237" s="174" t="s">
        <v>387</v>
      </c>
      <c r="I237" s="189" t="s">
        <v>3554</v>
      </c>
      <c r="J237" s="189" t="s">
        <v>4324</v>
      </c>
    </row>
    <row r="238" spans="1:10" ht="23.4">
      <c r="A238" s="167"/>
      <c r="B238" s="167"/>
      <c r="C238" s="189" t="s">
        <v>4325</v>
      </c>
      <c r="D238" s="189" t="s">
        <v>4326</v>
      </c>
      <c r="E238" s="193" t="s">
        <v>204</v>
      </c>
      <c r="F238" s="189" t="s">
        <v>4327</v>
      </c>
      <c r="G238" s="189" t="s">
        <v>4328</v>
      </c>
      <c r="H238" s="174" t="s">
        <v>387</v>
      </c>
      <c r="I238" s="189" t="s">
        <v>3780</v>
      </c>
      <c r="J238" s="189" t="s">
        <v>4329</v>
      </c>
    </row>
    <row r="239" spans="1:10" ht="23.4">
      <c r="A239" s="167"/>
      <c r="B239" s="167"/>
      <c r="C239" s="189" t="s">
        <v>4330</v>
      </c>
      <c r="D239" s="189" t="s">
        <v>4331</v>
      </c>
      <c r="E239" s="193" t="s">
        <v>209</v>
      </c>
      <c r="F239" s="189" t="s">
        <v>4332</v>
      </c>
      <c r="G239" s="189" t="s">
        <v>3643</v>
      </c>
      <c r="H239" s="174" t="s">
        <v>387</v>
      </c>
      <c r="I239" s="189" t="s">
        <v>4333</v>
      </c>
      <c r="J239" s="189" t="s">
        <v>4334</v>
      </c>
    </row>
    <row r="240" spans="1:10" ht="24" thickBot="1">
      <c r="A240" s="167"/>
      <c r="B240" s="167"/>
      <c r="C240" s="189" t="s">
        <v>4335</v>
      </c>
      <c r="D240" s="189" t="s">
        <v>4336</v>
      </c>
      <c r="E240" s="193" t="s">
        <v>204</v>
      </c>
      <c r="F240" s="189" t="s">
        <v>4337</v>
      </c>
      <c r="G240" s="189" t="s">
        <v>3433</v>
      </c>
      <c r="H240" s="195" t="s">
        <v>14</v>
      </c>
      <c r="I240" s="189" t="s">
        <v>3423</v>
      </c>
      <c r="J240" s="189" t="s">
        <v>4338</v>
      </c>
    </row>
    <row r="241" spans="1:10" ht="23.4">
      <c r="A241" s="167"/>
      <c r="B241" s="167"/>
      <c r="C241" s="189" t="s">
        <v>4339</v>
      </c>
      <c r="D241" s="189" t="s">
        <v>4340</v>
      </c>
      <c r="E241" s="193" t="s">
        <v>204</v>
      </c>
      <c r="F241" s="189" t="s">
        <v>4341</v>
      </c>
      <c r="G241" s="189" t="s">
        <v>3486</v>
      </c>
      <c r="H241" s="174" t="s">
        <v>387</v>
      </c>
      <c r="I241" s="189" t="s">
        <v>4342</v>
      </c>
      <c r="J241" s="189" t="s">
        <v>4343</v>
      </c>
    </row>
    <row r="242" spans="1:10" ht="23.4" customHeight="1">
      <c r="A242" s="166" t="s">
        <v>151</v>
      </c>
      <c r="B242" s="153" t="s">
        <v>4344</v>
      </c>
      <c r="C242" s="188" t="s">
        <v>4345</v>
      </c>
      <c r="D242" s="188" t="s">
        <v>4346</v>
      </c>
      <c r="E242" s="193" t="s">
        <v>204</v>
      </c>
      <c r="F242" s="188" t="s">
        <v>4347</v>
      </c>
      <c r="G242" s="188" t="s">
        <v>4348</v>
      </c>
      <c r="H242" s="184" t="s">
        <v>14</v>
      </c>
      <c r="I242" s="188" t="s">
        <v>3140</v>
      </c>
      <c r="J242" s="188" t="s">
        <v>4349</v>
      </c>
    </row>
    <row r="243" spans="1:10" ht="23.4">
      <c r="A243" s="166"/>
      <c r="B243" s="166"/>
      <c r="C243" s="188" t="s">
        <v>4350</v>
      </c>
      <c r="D243" s="188" t="s">
        <v>4351</v>
      </c>
      <c r="E243" s="193" t="s">
        <v>204</v>
      </c>
      <c r="F243" s="188" t="s">
        <v>3239</v>
      </c>
      <c r="G243" s="188" t="s">
        <v>4352</v>
      </c>
      <c r="H243" s="184" t="s">
        <v>14</v>
      </c>
      <c r="I243" s="188" t="s">
        <v>3145</v>
      </c>
      <c r="J243" s="188" t="s">
        <v>4353</v>
      </c>
    </row>
    <row r="244" spans="1:10" ht="23.4">
      <c r="A244" s="166"/>
      <c r="B244" s="166"/>
      <c r="C244" s="188" t="s">
        <v>4354</v>
      </c>
      <c r="D244" s="188" t="s">
        <v>4355</v>
      </c>
      <c r="E244" s="193" t="s">
        <v>242</v>
      </c>
      <c r="F244" s="188" t="s">
        <v>3167</v>
      </c>
      <c r="G244" s="188" t="s">
        <v>2320</v>
      </c>
      <c r="H244" s="184" t="s">
        <v>387</v>
      </c>
      <c r="I244" s="188" t="s">
        <v>3666</v>
      </c>
      <c r="J244" s="188" t="s">
        <v>4356</v>
      </c>
    </row>
    <row r="245" spans="1:10" ht="23.4">
      <c r="A245" s="166"/>
      <c r="B245" s="166"/>
      <c r="C245" s="188" t="s">
        <v>4357</v>
      </c>
      <c r="D245" s="188" t="s">
        <v>4358</v>
      </c>
      <c r="E245" s="193" t="s">
        <v>204</v>
      </c>
      <c r="F245" s="188" t="s">
        <v>3164</v>
      </c>
      <c r="G245" s="188" t="s">
        <v>4359</v>
      </c>
      <c r="H245" s="184" t="s">
        <v>14</v>
      </c>
      <c r="I245" s="188" t="s">
        <v>3318</v>
      </c>
      <c r="J245" s="188" t="s">
        <v>4360</v>
      </c>
    </row>
    <row r="246" spans="1:10" ht="23.4">
      <c r="A246" s="166"/>
      <c r="B246" s="166"/>
      <c r="C246" s="188" t="s">
        <v>4361</v>
      </c>
      <c r="D246" s="188" t="s">
        <v>4362</v>
      </c>
      <c r="E246" s="193" t="s">
        <v>242</v>
      </c>
      <c r="F246" s="188" t="s">
        <v>4363</v>
      </c>
      <c r="G246" s="188" t="s">
        <v>4364</v>
      </c>
      <c r="H246" s="184" t="s">
        <v>387</v>
      </c>
      <c r="I246" s="188" t="s">
        <v>4365</v>
      </c>
      <c r="J246" s="188" t="s">
        <v>4366</v>
      </c>
    </row>
    <row r="247" spans="1:10" ht="23.4" customHeight="1">
      <c r="A247" s="166"/>
      <c r="B247" s="153" t="s">
        <v>4367</v>
      </c>
      <c r="C247" s="188" t="s">
        <v>4419</v>
      </c>
      <c r="D247" s="188" t="s">
        <v>4420</v>
      </c>
      <c r="E247" s="193" t="s">
        <v>204</v>
      </c>
      <c r="F247" s="188" t="s">
        <v>4421</v>
      </c>
      <c r="G247" s="188" t="s">
        <v>3660</v>
      </c>
      <c r="H247" s="184" t="s">
        <v>14</v>
      </c>
      <c r="I247" s="188" t="s">
        <v>4422</v>
      </c>
      <c r="J247" s="188" t="s">
        <v>4423</v>
      </c>
    </row>
    <row r="248" spans="1:10" ht="23.4">
      <c r="A248" s="166"/>
      <c r="B248" s="166"/>
      <c r="C248" s="188" t="s">
        <v>4424</v>
      </c>
      <c r="D248" s="188" t="s">
        <v>4425</v>
      </c>
      <c r="E248" s="193" t="s">
        <v>242</v>
      </c>
      <c r="F248" s="188" t="s">
        <v>4426</v>
      </c>
      <c r="G248" s="188" t="s">
        <v>3228</v>
      </c>
      <c r="H248" s="184" t="s">
        <v>14</v>
      </c>
      <c r="I248" s="188" t="s">
        <v>4427</v>
      </c>
      <c r="J248" s="188" t="s">
        <v>4428</v>
      </c>
    </row>
    <row r="249" spans="1:10" ht="23.4">
      <c r="A249" s="166"/>
      <c r="B249" s="166"/>
      <c r="C249" s="188" t="s">
        <v>4429</v>
      </c>
      <c r="D249" s="188" t="s">
        <v>4430</v>
      </c>
      <c r="E249" s="193" t="s">
        <v>242</v>
      </c>
      <c r="F249" s="188" t="s">
        <v>3681</v>
      </c>
      <c r="G249" s="188" t="s">
        <v>3744</v>
      </c>
      <c r="H249" s="184" t="s">
        <v>387</v>
      </c>
      <c r="I249" s="188" t="s">
        <v>2513</v>
      </c>
      <c r="J249" s="188" t="s">
        <v>4431</v>
      </c>
    </row>
    <row r="250" spans="1:10" ht="23.4">
      <c r="A250" s="166"/>
      <c r="B250" s="166"/>
      <c r="C250" s="188" t="s">
        <v>4432</v>
      </c>
      <c r="D250" s="188" t="s">
        <v>4433</v>
      </c>
      <c r="E250" s="193" t="s">
        <v>204</v>
      </c>
      <c r="F250" s="188" t="s">
        <v>4434</v>
      </c>
      <c r="G250" s="188" t="s">
        <v>4435</v>
      </c>
      <c r="H250" s="184" t="s">
        <v>387</v>
      </c>
      <c r="I250" s="188" t="s">
        <v>4436</v>
      </c>
      <c r="J250" s="188" t="s">
        <v>4437</v>
      </c>
    </row>
    <row r="251" spans="1:10" ht="23.4">
      <c r="A251" s="166"/>
      <c r="B251" s="166"/>
      <c r="C251" s="188" t="s">
        <v>4438</v>
      </c>
      <c r="D251" s="188" t="s">
        <v>4439</v>
      </c>
      <c r="E251" s="193" t="s">
        <v>204</v>
      </c>
      <c r="F251" s="188" t="s">
        <v>4440</v>
      </c>
      <c r="G251" s="188" t="s">
        <v>4441</v>
      </c>
      <c r="H251" s="184" t="s">
        <v>14</v>
      </c>
      <c r="I251" s="188" t="s">
        <v>4442</v>
      </c>
      <c r="J251" s="188" t="s">
        <v>4443</v>
      </c>
    </row>
    <row r="252" spans="1:10" ht="23.4" customHeight="1">
      <c r="A252" s="166"/>
      <c r="B252" s="153" t="s">
        <v>4368</v>
      </c>
      <c r="C252" s="188" t="s">
        <v>4444</v>
      </c>
      <c r="D252" s="188" t="s">
        <v>4445</v>
      </c>
      <c r="E252" s="193" t="s">
        <v>204</v>
      </c>
      <c r="F252" s="188" t="s">
        <v>4446</v>
      </c>
      <c r="G252" s="188" t="s">
        <v>4447</v>
      </c>
      <c r="H252" s="184" t="s">
        <v>387</v>
      </c>
      <c r="I252" s="188" t="s">
        <v>4448</v>
      </c>
      <c r="J252" s="188" t="s">
        <v>4449</v>
      </c>
    </row>
    <row r="253" spans="1:10" ht="23.4">
      <c r="A253" s="166"/>
      <c r="B253" s="166"/>
      <c r="C253" s="188" t="s">
        <v>4450</v>
      </c>
      <c r="D253" s="188" t="s">
        <v>4451</v>
      </c>
      <c r="E253" s="193" t="s">
        <v>242</v>
      </c>
      <c r="F253" s="188" t="s">
        <v>3158</v>
      </c>
      <c r="G253" s="188" t="s">
        <v>4452</v>
      </c>
      <c r="H253" s="184" t="s">
        <v>387</v>
      </c>
      <c r="I253" s="188" t="s">
        <v>3654</v>
      </c>
      <c r="J253" s="188" t="s">
        <v>4453</v>
      </c>
    </row>
    <row r="254" spans="1:10" ht="23.4">
      <c r="A254" s="166"/>
      <c r="B254" s="166"/>
      <c r="C254" s="188" t="s">
        <v>4454</v>
      </c>
      <c r="D254" s="188" t="s">
        <v>4455</v>
      </c>
      <c r="E254" s="193" t="s">
        <v>204</v>
      </c>
      <c r="F254" s="188" t="s">
        <v>3896</v>
      </c>
      <c r="G254" s="188" t="s">
        <v>4456</v>
      </c>
      <c r="H254" s="184" t="s">
        <v>14</v>
      </c>
      <c r="I254" s="188" t="s">
        <v>4457</v>
      </c>
      <c r="J254" s="188" t="s">
        <v>4458</v>
      </c>
    </row>
    <row r="255" spans="1:10" ht="23.4">
      <c r="A255" s="166"/>
      <c r="B255" s="166"/>
      <c r="C255" s="188" t="s">
        <v>4459</v>
      </c>
      <c r="D255" s="188" t="s">
        <v>4460</v>
      </c>
      <c r="E255" s="193" t="s">
        <v>242</v>
      </c>
      <c r="F255" s="188" t="s">
        <v>4461</v>
      </c>
      <c r="G255" s="188" t="s">
        <v>4462</v>
      </c>
      <c r="H255" s="184" t="s">
        <v>387</v>
      </c>
      <c r="I255" s="188" t="s">
        <v>4463</v>
      </c>
      <c r="J255" s="188" t="s">
        <v>4464</v>
      </c>
    </row>
    <row r="256" spans="1:10" ht="23.4">
      <c r="A256" s="166"/>
      <c r="B256" s="166"/>
      <c r="C256" s="188" t="s">
        <v>4465</v>
      </c>
      <c r="D256" s="188" t="s">
        <v>4466</v>
      </c>
      <c r="E256" s="193" t="s">
        <v>204</v>
      </c>
      <c r="F256" s="188" t="s">
        <v>3162</v>
      </c>
      <c r="G256" s="188" t="s">
        <v>3366</v>
      </c>
      <c r="H256" s="184" t="s">
        <v>14</v>
      </c>
      <c r="I256" s="188" t="s">
        <v>4467</v>
      </c>
      <c r="J256" s="188" t="s">
        <v>4468</v>
      </c>
    </row>
    <row r="257" spans="1:10" ht="23.4" customHeight="1">
      <c r="A257" s="166"/>
      <c r="B257" s="153" t="s">
        <v>4369</v>
      </c>
      <c r="C257" s="188" t="s">
        <v>4469</v>
      </c>
      <c r="D257" s="188" t="s">
        <v>4470</v>
      </c>
      <c r="E257" s="193" t="s">
        <v>242</v>
      </c>
      <c r="F257" s="188" t="s">
        <v>4471</v>
      </c>
      <c r="G257" s="188" t="s">
        <v>4472</v>
      </c>
      <c r="H257" s="184" t="s">
        <v>387</v>
      </c>
      <c r="I257" s="188" t="s">
        <v>4122</v>
      </c>
      <c r="J257" s="188" t="s">
        <v>4473</v>
      </c>
    </row>
    <row r="258" spans="1:10" ht="23.4">
      <c r="A258" s="166"/>
      <c r="B258" s="166"/>
      <c r="C258" s="188" t="s">
        <v>4474</v>
      </c>
      <c r="D258" s="188" t="s">
        <v>4475</v>
      </c>
      <c r="E258" s="193" t="s">
        <v>209</v>
      </c>
      <c r="F258" s="188" t="s">
        <v>4476</v>
      </c>
      <c r="G258" s="188" t="s">
        <v>4198</v>
      </c>
      <c r="H258" s="184" t="s">
        <v>387</v>
      </c>
      <c r="I258" s="188" t="s">
        <v>4477</v>
      </c>
      <c r="J258" s="188" t="s">
        <v>4478</v>
      </c>
    </row>
    <row r="259" spans="1:10" ht="23.4">
      <c r="A259" s="166"/>
      <c r="B259" s="166"/>
      <c r="C259" s="188" t="s">
        <v>4479</v>
      </c>
      <c r="D259" s="188" t="s">
        <v>4480</v>
      </c>
      <c r="E259" s="193" t="s">
        <v>204</v>
      </c>
      <c r="F259" s="188" t="s">
        <v>3676</v>
      </c>
      <c r="G259" s="188" t="s">
        <v>4481</v>
      </c>
      <c r="H259" s="184" t="s">
        <v>14</v>
      </c>
      <c r="I259" s="188" t="s">
        <v>4482</v>
      </c>
      <c r="J259" s="188" t="s">
        <v>4483</v>
      </c>
    </row>
    <row r="260" spans="1:10" ht="23.4">
      <c r="A260" s="166"/>
      <c r="B260" s="166"/>
      <c r="C260" s="188" t="s">
        <v>4484</v>
      </c>
      <c r="D260" s="188" t="s">
        <v>4485</v>
      </c>
      <c r="E260" s="193" t="s">
        <v>209</v>
      </c>
      <c r="F260" s="188" t="s">
        <v>4486</v>
      </c>
      <c r="G260" s="188" t="s">
        <v>3200</v>
      </c>
      <c r="H260" s="184" t="s">
        <v>387</v>
      </c>
      <c r="I260" s="188" t="s">
        <v>4487</v>
      </c>
      <c r="J260" s="188" t="s">
        <v>4488</v>
      </c>
    </row>
    <row r="261" spans="1:10" ht="23.4">
      <c r="A261" s="166"/>
      <c r="B261" s="166"/>
      <c r="C261" s="188" t="s">
        <v>4489</v>
      </c>
      <c r="D261" s="188" t="s">
        <v>4490</v>
      </c>
      <c r="E261" s="193" t="s">
        <v>204</v>
      </c>
      <c r="F261" s="188" t="s">
        <v>3548</v>
      </c>
      <c r="G261" s="188" t="s">
        <v>3080</v>
      </c>
      <c r="H261" s="184" t="s">
        <v>387</v>
      </c>
      <c r="I261" s="188" t="s">
        <v>4491</v>
      </c>
      <c r="J261" s="188" t="s">
        <v>4492</v>
      </c>
    </row>
    <row r="262" spans="1:10" ht="23.4" customHeight="1">
      <c r="A262" s="166"/>
      <c r="B262" s="153" t="s">
        <v>4370</v>
      </c>
      <c r="C262" s="188" t="s">
        <v>4493</v>
      </c>
      <c r="D262" s="188" t="s">
        <v>4494</v>
      </c>
      <c r="E262" s="193" t="s">
        <v>204</v>
      </c>
      <c r="F262" s="188" t="s">
        <v>4495</v>
      </c>
      <c r="G262" s="188" t="s">
        <v>4496</v>
      </c>
      <c r="H262" s="184" t="s">
        <v>387</v>
      </c>
      <c r="I262" s="188" t="s">
        <v>4497</v>
      </c>
      <c r="J262" s="188" t="s">
        <v>4498</v>
      </c>
    </row>
    <row r="263" spans="1:10" ht="23.4">
      <c r="A263" s="166"/>
      <c r="B263" s="166"/>
      <c r="C263" s="188" t="s">
        <v>4499</v>
      </c>
      <c r="D263" s="188" t="s">
        <v>4500</v>
      </c>
      <c r="E263" s="193" t="s">
        <v>204</v>
      </c>
      <c r="F263" s="188" t="s">
        <v>4501</v>
      </c>
      <c r="G263" s="188" t="s">
        <v>4502</v>
      </c>
      <c r="H263" s="184" t="s">
        <v>387</v>
      </c>
      <c r="I263" s="188" t="s">
        <v>4365</v>
      </c>
      <c r="J263" s="188" t="s">
        <v>4503</v>
      </c>
    </row>
    <row r="264" spans="1:10" ht="24" thickBot="1">
      <c r="A264" s="166"/>
      <c r="B264" s="166"/>
      <c r="C264" s="188" t="s">
        <v>4504</v>
      </c>
      <c r="D264" s="188" t="s">
        <v>4505</v>
      </c>
      <c r="E264" s="193" t="s">
        <v>204</v>
      </c>
      <c r="F264" s="188" t="s">
        <v>4506</v>
      </c>
      <c r="G264" s="188" t="s">
        <v>4268</v>
      </c>
      <c r="H264" s="194" t="s">
        <v>14</v>
      </c>
      <c r="I264" s="188" t="s">
        <v>4507</v>
      </c>
      <c r="J264" s="188" t="s">
        <v>4508</v>
      </c>
    </row>
    <row r="265" spans="1:10" ht="23.4">
      <c r="A265" s="166"/>
      <c r="B265" s="166"/>
      <c r="C265" s="188" t="s">
        <v>4509</v>
      </c>
      <c r="D265" s="188" t="s">
        <v>4510</v>
      </c>
      <c r="E265" s="193" t="s">
        <v>204</v>
      </c>
      <c r="F265" s="188" t="s">
        <v>4511</v>
      </c>
      <c r="G265" s="188" t="s">
        <v>3453</v>
      </c>
      <c r="H265" s="184" t="s">
        <v>387</v>
      </c>
      <c r="I265" s="188" t="s">
        <v>2885</v>
      </c>
      <c r="J265" s="188" t="s">
        <v>4512</v>
      </c>
    </row>
    <row r="266" spans="1:10" ht="23.4">
      <c r="A266" s="166"/>
      <c r="B266" s="166"/>
      <c r="C266" s="188" t="s">
        <v>4513</v>
      </c>
      <c r="D266" s="188" t="s">
        <v>4514</v>
      </c>
      <c r="E266" s="193" t="s">
        <v>209</v>
      </c>
      <c r="F266" s="188" t="s">
        <v>3491</v>
      </c>
      <c r="G266" s="188" t="s">
        <v>4515</v>
      </c>
      <c r="H266" s="184" t="s">
        <v>14</v>
      </c>
      <c r="I266" s="188" t="s">
        <v>3554</v>
      </c>
      <c r="J266" s="188" t="s">
        <v>4516</v>
      </c>
    </row>
    <row r="267" spans="1:10" ht="23.4" customHeight="1">
      <c r="A267" s="166"/>
      <c r="B267" s="153" t="s">
        <v>4371</v>
      </c>
      <c r="C267" s="188" t="s">
        <v>4517</v>
      </c>
      <c r="D267" s="188" t="s">
        <v>4518</v>
      </c>
      <c r="E267" s="193" t="s">
        <v>204</v>
      </c>
      <c r="F267" s="188" t="s">
        <v>4519</v>
      </c>
      <c r="G267" s="188" t="s">
        <v>3384</v>
      </c>
      <c r="H267" s="184" t="s">
        <v>14</v>
      </c>
      <c r="I267" s="188" t="s">
        <v>4520</v>
      </c>
      <c r="J267" s="188" t="s">
        <v>4521</v>
      </c>
    </row>
    <row r="268" spans="1:10" ht="23.4">
      <c r="A268" s="166"/>
      <c r="B268" s="166"/>
      <c r="C268" s="188" t="s">
        <v>4522</v>
      </c>
      <c r="D268" s="188" t="s">
        <v>4523</v>
      </c>
      <c r="E268" s="193" t="s">
        <v>204</v>
      </c>
      <c r="F268" s="188" t="s">
        <v>181</v>
      </c>
      <c r="G268" s="188" t="s">
        <v>4524</v>
      </c>
      <c r="H268" s="184" t="s">
        <v>387</v>
      </c>
      <c r="I268" s="188" t="s">
        <v>3090</v>
      </c>
      <c r="J268" s="188" t="s">
        <v>4525</v>
      </c>
    </row>
    <row r="269" spans="1:10" ht="23.4">
      <c r="A269" s="166"/>
      <c r="B269" s="166"/>
      <c r="C269" s="188" t="s">
        <v>4526</v>
      </c>
      <c r="D269" s="188" t="s">
        <v>4527</v>
      </c>
      <c r="E269" s="193" t="s">
        <v>204</v>
      </c>
      <c r="F269" s="188" t="s">
        <v>4528</v>
      </c>
      <c r="G269" s="188" t="s">
        <v>3012</v>
      </c>
      <c r="H269" s="184" t="s">
        <v>14</v>
      </c>
      <c r="I269" s="188" t="s">
        <v>4529</v>
      </c>
      <c r="J269" s="188" t="s">
        <v>4530</v>
      </c>
    </row>
    <row r="270" spans="1:10" ht="23.4">
      <c r="A270" s="166"/>
      <c r="B270" s="166"/>
      <c r="C270" s="188" t="s">
        <v>4531</v>
      </c>
      <c r="D270" s="188" t="s">
        <v>4532</v>
      </c>
      <c r="E270" s="193" t="s">
        <v>204</v>
      </c>
      <c r="F270" s="188" t="s">
        <v>4533</v>
      </c>
      <c r="G270" s="188" t="s">
        <v>3080</v>
      </c>
      <c r="H270" s="184" t="s">
        <v>387</v>
      </c>
      <c r="I270" s="188" t="s">
        <v>4534</v>
      </c>
      <c r="J270" s="188" t="s">
        <v>4535</v>
      </c>
    </row>
    <row r="271" spans="1:10" ht="23.4">
      <c r="A271" s="166"/>
      <c r="B271" s="166"/>
      <c r="C271" s="188" t="s">
        <v>4536</v>
      </c>
      <c r="D271" s="188" t="s">
        <v>4537</v>
      </c>
      <c r="E271" s="193" t="s">
        <v>242</v>
      </c>
      <c r="F271" s="188" t="s">
        <v>2171</v>
      </c>
      <c r="G271" s="188" t="s">
        <v>4538</v>
      </c>
      <c r="H271" s="184" t="s">
        <v>14</v>
      </c>
      <c r="I271" s="188" t="s">
        <v>4539</v>
      </c>
      <c r="J271" s="188" t="s">
        <v>4540</v>
      </c>
    </row>
    <row r="272" spans="1:10" ht="23.4">
      <c r="A272" s="166"/>
      <c r="B272" s="166" t="s">
        <v>152</v>
      </c>
      <c r="C272" s="188" t="s">
        <v>4541</v>
      </c>
      <c r="D272" s="188" t="s">
        <v>4542</v>
      </c>
      <c r="E272" s="193" t="s">
        <v>204</v>
      </c>
      <c r="F272" s="188" t="s">
        <v>3311</v>
      </c>
      <c r="G272" s="188" t="s">
        <v>4543</v>
      </c>
      <c r="H272" s="184" t="s">
        <v>14</v>
      </c>
      <c r="I272" s="188" t="s">
        <v>4544</v>
      </c>
      <c r="J272" s="188" t="s">
        <v>4545</v>
      </c>
    </row>
    <row r="273" spans="1:10" ht="23.4">
      <c r="A273" s="166"/>
      <c r="B273" s="166"/>
      <c r="C273" s="188" t="s">
        <v>4546</v>
      </c>
      <c r="D273" s="188" t="s">
        <v>4547</v>
      </c>
      <c r="E273" s="193" t="s">
        <v>242</v>
      </c>
      <c r="F273" s="188" t="s">
        <v>4548</v>
      </c>
      <c r="G273" s="188" t="s">
        <v>4229</v>
      </c>
      <c r="H273" s="184" t="s">
        <v>387</v>
      </c>
      <c r="I273" s="188" t="s">
        <v>3429</v>
      </c>
      <c r="J273" s="188" t="s">
        <v>4549</v>
      </c>
    </row>
    <row r="274" spans="1:10" ht="23.4">
      <c r="A274" s="166"/>
      <c r="B274" s="166"/>
      <c r="C274" s="188" t="s">
        <v>4550</v>
      </c>
      <c r="D274" s="188" t="s">
        <v>4551</v>
      </c>
      <c r="E274" s="193" t="s">
        <v>204</v>
      </c>
      <c r="F274" s="188" t="s">
        <v>4552</v>
      </c>
      <c r="G274" s="188" t="s">
        <v>3041</v>
      </c>
      <c r="H274" s="184" t="s">
        <v>387</v>
      </c>
      <c r="I274" s="188" t="s">
        <v>4122</v>
      </c>
      <c r="J274" s="188" t="s">
        <v>4553</v>
      </c>
    </row>
    <row r="275" spans="1:10" ht="23.4">
      <c r="A275" s="166"/>
      <c r="B275" s="166"/>
      <c r="C275" s="188" t="s">
        <v>4554</v>
      </c>
      <c r="D275" s="188" t="s">
        <v>4555</v>
      </c>
      <c r="E275" s="193" t="s">
        <v>242</v>
      </c>
      <c r="F275" s="188" t="s">
        <v>4556</v>
      </c>
      <c r="G275" s="188" t="s">
        <v>4557</v>
      </c>
      <c r="H275" s="184" t="s">
        <v>14</v>
      </c>
      <c r="I275" s="188" t="s">
        <v>3913</v>
      </c>
      <c r="J275" s="188" t="s">
        <v>4258</v>
      </c>
    </row>
    <row r="276" spans="1:10" ht="23.4">
      <c r="A276" s="166"/>
      <c r="B276" s="166"/>
      <c r="C276" s="188" t="s">
        <v>4558</v>
      </c>
      <c r="D276" s="188" t="s">
        <v>4559</v>
      </c>
      <c r="E276" s="193" t="s">
        <v>242</v>
      </c>
      <c r="F276" s="188" t="s">
        <v>4560</v>
      </c>
      <c r="G276" s="188" t="s">
        <v>3200</v>
      </c>
      <c r="H276" s="184" t="s">
        <v>387</v>
      </c>
      <c r="I276" s="188" t="s">
        <v>4561</v>
      </c>
      <c r="J276" s="188" t="s">
        <v>4562</v>
      </c>
    </row>
    <row r="277" spans="1:10" ht="23.4">
      <c r="A277" s="167" t="s">
        <v>153</v>
      </c>
      <c r="B277" s="167" t="s">
        <v>154</v>
      </c>
      <c r="C277" s="189" t="s">
        <v>4563</v>
      </c>
      <c r="D277" s="189" t="s">
        <v>4564</v>
      </c>
      <c r="E277" s="193" t="s">
        <v>204</v>
      </c>
      <c r="F277" s="189" t="s">
        <v>4565</v>
      </c>
      <c r="G277" s="189" t="s">
        <v>3219</v>
      </c>
      <c r="H277" s="174" t="s">
        <v>387</v>
      </c>
      <c r="I277" s="189" t="s">
        <v>3931</v>
      </c>
      <c r="J277" s="189" t="s">
        <v>4566</v>
      </c>
    </row>
    <row r="278" spans="1:10" ht="23.4">
      <c r="A278" s="167"/>
      <c r="B278" s="167"/>
      <c r="C278" s="189" t="s">
        <v>4567</v>
      </c>
      <c r="D278" s="189" t="s">
        <v>4568</v>
      </c>
      <c r="E278" s="193" t="s">
        <v>209</v>
      </c>
      <c r="F278" s="189" t="s">
        <v>4569</v>
      </c>
      <c r="G278" s="189" t="s">
        <v>4111</v>
      </c>
      <c r="H278" s="174" t="s">
        <v>387</v>
      </c>
      <c r="I278" s="189" t="s">
        <v>4570</v>
      </c>
      <c r="J278" s="189" t="s">
        <v>4571</v>
      </c>
    </row>
    <row r="279" spans="1:10" ht="23.4">
      <c r="A279" s="167"/>
      <c r="B279" s="167"/>
      <c r="C279" s="189" t="s">
        <v>4572</v>
      </c>
      <c r="D279" s="189" t="s">
        <v>4573</v>
      </c>
      <c r="E279" s="193" t="s">
        <v>242</v>
      </c>
      <c r="F279" s="189" t="s">
        <v>4574</v>
      </c>
      <c r="G279" s="189" t="s">
        <v>4575</v>
      </c>
      <c r="H279" s="174" t="s">
        <v>387</v>
      </c>
      <c r="I279" s="189" t="s">
        <v>4576</v>
      </c>
      <c r="J279" s="189" t="s">
        <v>4577</v>
      </c>
    </row>
    <row r="280" spans="1:10" ht="24" thickBot="1">
      <c r="A280" s="167"/>
      <c r="B280" s="167"/>
      <c r="C280" s="189" t="s">
        <v>4578</v>
      </c>
      <c r="D280" s="189" t="s">
        <v>4579</v>
      </c>
      <c r="E280" s="193" t="s">
        <v>209</v>
      </c>
      <c r="F280" s="189" t="s">
        <v>4528</v>
      </c>
      <c r="G280" s="189" t="s">
        <v>3012</v>
      </c>
      <c r="H280" s="195" t="s">
        <v>14</v>
      </c>
      <c r="I280" s="189" t="s">
        <v>4580</v>
      </c>
      <c r="J280" s="189" t="s">
        <v>4581</v>
      </c>
    </row>
    <row r="281" spans="1:10" ht="23.4">
      <c r="A281" s="167"/>
      <c r="B281" s="167"/>
      <c r="C281" s="189" t="s">
        <v>4582</v>
      </c>
      <c r="D281" s="189" t="s">
        <v>4583</v>
      </c>
      <c r="E281" s="193" t="s">
        <v>209</v>
      </c>
      <c r="F281" s="189" t="s">
        <v>3306</v>
      </c>
      <c r="G281" s="189" t="s">
        <v>4584</v>
      </c>
      <c r="H281" s="174" t="s">
        <v>387</v>
      </c>
      <c r="I281" s="189" t="s">
        <v>4585</v>
      </c>
      <c r="J281" s="189" t="s">
        <v>4586</v>
      </c>
    </row>
    <row r="282" spans="1:10" ht="23.4">
      <c r="A282" s="167"/>
      <c r="B282" s="167" t="s">
        <v>155</v>
      </c>
      <c r="C282" s="189" t="s">
        <v>4587</v>
      </c>
      <c r="D282" s="189" t="s">
        <v>4588</v>
      </c>
      <c r="E282" s="193" t="s">
        <v>209</v>
      </c>
      <c r="F282" s="189" t="s">
        <v>4589</v>
      </c>
      <c r="G282" s="189" t="s">
        <v>4590</v>
      </c>
      <c r="H282" s="174" t="s">
        <v>14</v>
      </c>
      <c r="I282" s="189" t="s">
        <v>4591</v>
      </c>
      <c r="J282" s="189" t="s">
        <v>4592</v>
      </c>
    </row>
    <row r="283" spans="1:10" ht="23.4">
      <c r="A283" s="167"/>
      <c r="B283" s="167"/>
      <c r="C283" s="189" t="s">
        <v>4593</v>
      </c>
      <c r="D283" s="189" t="s">
        <v>4594</v>
      </c>
      <c r="E283" s="193" t="s">
        <v>204</v>
      </c>
      <c r="F283" s="189" t="s">
        <v>4595</v>
      </c>
      <c r="G283" s="189" t="s">
        <v>3502</v>
      </c>
      <c r="H283" s="174" t="s">
        <v>14</v>
      </c>
      <c r="I283" s="189" t="s">
        <v>4596</v>
      </c>
      <c r="J283" s="189" t="s">
        <v>4597</v>
      </c>
    </row>
    <row r="284" spans="1:10" ht="23.4">
      <c r="A284" s="167"/>
      <c r="B284" s="167"/>
      <c r="C284" s="189" t="s">
        <v>4598</v>
      </c>
      <c r="D284" s="189" t="s">
        <v>4599</v>
      </c>
      <c r="E284" s="193" t="s">
        <v>209</v>
      </c>
      <c r="F284" s="189" t="s">
        <v>3548</v>
      </c>
      <c r="G284" s="189" t="s">
        <v>4192</v>
      </c>
      <c r="H284" s="174" t="s">
        <v>387</v>
      </c>
      <c r="I284" s="189" t="s">
        <v>4024</v>
      </c>
      <c r="J284" s="189" t="s">
        <v>4600</v>
      </c>
    </row>
    <row r="285" spans="1:10" ht="23.4">
      <c r="A285" s="167"/>
      <c r="B285" s="167"/>
      <c r="C285" s="189" t="s">
        <v>4601</v>
      </c>
      <c r="D285" s="189" t="s">
        <v>4602</v>
      </c>
      <c r="E285" s="193" t="s">
        <v>204</v>
      </c>
      <c r="F285" s="189" t="s">
        <v>4603</v>
      </c>
      <c r="G285" s="189" t="s">
        <v>4088</v>
      </c>
      <c r="H285" s="174" t="s">
        <v>14</v>
      </c>
      <c r="I285" s="189" t="s">
        <v>3529</v>
      </c>
      <c r="J285" s="189" t="s">
        <v>4604</v>
      </c>
    </row>
    <row r="286" spans="1:10" ht="23.4">
      <c r="A286" s="167"/>
      <c r="B286" s="167"/>
      <c r="C286" s="189" t="s">
        <v>4605</v>
      </c>
      <c r="D286" s="189" t="s">
        <v>4606</v>
      </c>
      <c r="E286" s="193" t="s">
        <v>204</v>
      </c>
      <c r="F286" s="189" t="s">
        <v>3491</v>
      </c>
      <c r="G286" s="189" t="s">
        <v>3554</v>
      </c>
      <c r="H286" s="174" t="s">
        <v>387</v>
      </c>
      <c r="I286" s="189" t="s">
        <v>3555</v>
      </c>
      <c r="J286" s="189" t="s">
        <v>4607</v>
      </c>
    </row>
    <row r="287" spans="1:10" ht="23.4" customHeight="1">
      <c r="A287" s="167"/>
      <c r="B287" s="145" t="s">
        <v>4372</v>
      </c>
      <c r="C287" s="189" t="s">
        <v>4608</v>
      </c>
      <c r="D287" s="189" t="s">
        <v>4609</v>
      </c>
      <c r="E287" s="193" t="s">
        <v>204</v>
      </c>
      <c r="F287" s="189" t="s">
        <v>4610</v>
      </c>
      <c r="G287" s="189" t="s">
        <v>4611</v>
      </c>
      <c r="H287" s="174" t="s">
        <v>387</v>
      </c>
      <c r="I287" s="189" t="s">
        <v>3012</v>
      </c>
      <c r="J287" s="189" t="s">
        <v>4612</v>
      </c>
    </row>
    <row r="288" spans="1:10" ht="23.4">
      <c r="A288" s="167"/>
      <c r="B288" s="167"/>
      <c r="C288" s="189" t="s">
        <v>4613</v>
      </c>
      <c r="D288" s="189" t="s">
        <v>4614</v>
      </c>
      <c r="E288" s="193" t="s">
        <v>204</v>
      </c>
      <c r="F288" s="189" t="s">
        <v>4615</v>
      </c>
      <c r="G288" s="189" t="s">
        <v>3339</v>
      </c>
      <c r="H288" s="174" t="s">
        <v>14</v>
      </c>
      <c r="I288" s="189" t="s">
        <v>4616</v>
      </c>
      <c r="J288" s="189" t="s">
        <v>4617</v>
      </c>
    </row>
    <row r="289" spans="1:10" ht="23.4">
      <c r="A289" s="167"/>
      <c r="B289" s="167"/>
      <c r="C289" s="189" t="s">
        <v>4618</v>
      </c>
      <c r="D289" s="189" t="s">
        <v>4619</v>
      </c>
      <c r="E289" s="193" t="s">
        <v>242</v>
      </c>
      <c r="F289" s="189" t="s">
        <v>4213</v>
      </c>
      <c r="G289" s="189" t="s">
        <v>3384</v>
      </c>
      <c r="H289" s="174" t="s">
        <v>387</v>
      </c>
      <c r="I289" s="189" t="s">
        <v>4620</v>
      </c>
      <c r="J289" s="189" t="s">
        <v>4621</v>
      </c>
    </row>
    <row r="290" spans="1:10" ht="23.4">
      <c r="A290" s="167"/>
      <c r="B290" s="167"/>
      <c r="C290" s="189" t="s">
        <v>4622</v>
      </c>
      <c r="D290" s="189" t="s">
        <v>4623</v>
      </c>
      <c r="E290" s="193" t="s">
        <v>204</v>
      </c>
      <c r="F290" s="189" t="s">
        <v>3296</v>
      </c>
      <c r="G290" s="189" t="s">
        <v>3317</v>
      </c>
      <c r="H290" s="174" t="s">
        <v>387</v>
      </c>
      <c r="I290" s="189" t="s">
        <v>4591</v>
      </c>
      <c r="J290" s="189" t="s">
        <v>4624</v>
      </c>
    </row>
    <row r="291" spans="1:10" ht="23.4">
      <c r="A291" s="167"/>
      <c r="B291" s="167"/>
      <c r="C291" s="189" t="s">
        <v>4625</v>
      </c>
      <c r="D291" s="189" t="s">
        <v>4626</v>
      </c>
      <c r="E291" s="193" t="s">
        <v>242</v>
      </c>
      <c r="F291" s="189" t="s">
        <v>4627</v>
      </c>
      <c r="G291" s="189" t="s">
        <v>4628</v>
      </c>
      <c r="H291" s="174" t="s">
        <v>387</v>
      </c>
      <c r="I291" s="189" t="s">
        <v>3292</v>
      </c>
      <c r="J291" s="189" t="s">
        <v>4629</v>
      </c>
    </row>
    <row r="292" spans="1:10" ht="23.4" customHeight="1">
      <c r="A292" s="167"/>
      <c r="B292" s="145" t="s">
        <v>4373</v>
      </c>
      <c r="C292" s="189" t="s">
        <v>4630</v>
      </c>
      <c r="D292" s="189" t="s">
        <v>4631</v>
      </c>
      <c r="E292" s="193" t="s">
        <v>204</v>
      </c>
      <c r="F292" s="189" t="s">
        <v>490</v>
      </c>
      <c r="G292" s="189" t="s">
        <v>4632</v>
      </c>
      <c r="H292" s="174" t="s">
        <v>387</v>
      </c>
      <c r="I292" s="189" t="s">
        <v>4633</v>
      </c>
      <c r="J292" s="189" t="s">
        <v>4431</v>
      </c>
    </row>
    <row r="293" spans="1:10" ht="23.4">
      <c r="A293" s="167"/>
      <c r="B293" s="167"/>
      <c r="C293" s="189" t="s">
        <v>4634</v>
      </c>
      <c r="D293" s="189" t="s">
        <v>4635</v>
      </c>
      <c r="E293" s="193" t="s">
        <v>242</v>
      </c>
      <c r="F293" s="189" t="s">
        <v>4636</v>
      </c>
      <c r="G293" s="189" t="s">
        <v>4637</v>
      </c>
      <c r="H293" s="174" t="s">
        <v>387</v>
      </c>
      <c r="I293" s="189" t="s">
        <v>4638</v>
      </c>
      <c r="J293" s="189" t="s">
        <v>4639</v>
      </c>
    </row>
    <row r="294" spans="1:10" ht="24" thickBot="1">
      <c r="A294" s="167"/>
      <c r="B294" s="167"/>
      <c r="C294" s="189" t="s">
        <v>4640</v>
      </c>
      <c r="D294" s="189" t="s">
        <v>4641</v>
      </c>
      <c r="E294" s="193" t="s">
        <v>242</v>
      </c>
      <c r="F294" s="189" t="s">
        <v>4642</v>
      </c>
      <c r="G294" s="189" t="s">
        <v>3080</v>
      </c>
      <c r="H294" s="195" t="s">
        <v>14</v>
      </c>
      <c r="I294" s="189" t="s">
        <v>4491</v>
      </c>
      <c r="J294" s="189" t="s">
        <v>4643</v>
      </c>
    </row>
    <row r="295" spans="1:10" ht="23.4">
      <c r="A295" s="167"/>
      <c r="B295" s="167"/>
      <c r="C295" s="189" t="s">
        <v>4644</v>
      </c>
      <c r="D295" s="189" t="s">
        <v>4645</v>
      </c>
      <c r="E295" s="193" t="s">
        <v>204</v>
      </c>
      <c r="F295" s="189" t="s">
        <v>4646</v>
      </c>
      <c r="G295" s="189" t="s">
        <v>3842</v>
      </c>
      <c r="H295" s="174" t="s">
        <v>387</v>
      </c>
      <c r="I295" s="189" t="s">
        <v>4647</v>
      </c>
      <c r="J295" s="189" t="s">
        <v>4648</v>
      </c>
    </row>
    <row r="296" spans="1:10" ht="23.4">
      <c r="A296" s="167"/>
      <c r="B296" s="167"/>
      <c r="C296" s="189" t="s">
        <v>4649</v>
      </c>
      <c r="D296" s="189" t="s">
        <v>4650</v>
      </c>
      <c r="E296" s="193" t="s">
        <v>209</v>
      </c>
      <c r="F296" s="189" t="s">
        <v>4651</v>
      </c>
      <c r="G296" s="189" t="s">
        <v>4652</v>
      </c>
      <c r="H296" s="174" t="s">
        <v>14</v>
      </c>
      <c r="I296" s="189" t="s">
        <v>4653</v>
      </c>
      <c r="J296" s="189" t="s">
        <v>4654</v>
      </c>
    </row>
    <row r="297" spans="1:10" ht="23.4" customHeight="1">
      <c r="A297" s="167"/>
      <c r="B297" s="145" t="s">
        <v>4374</v>
      </c>
      <c r="C297" s="189" t="s">
        <v>4655</v>
      </c>
      <c r="D297" s="189" t="s">
        <v>4656</v>
      </c>
      <c r="E297" s="193" t="s">
        <v>242</v>
      </c>
      <c r="F297" s="189" t="s">
        <v>4657</v>
      </c>
      <c r="G297" s="189" t="s">
        <v>3218</v>
      </c>
      <c r="H297" s="174" t="s">
        <v>14</v>
      </c>
      <c r="I297" s="189" t="s">
        <v>3219</v>
      </c>
      <c r="J297" s="189" t="s">
        <v>4658</v>
      </c>
    </row>
    <row r="298" spans="1:10" ht="23.4">
      <c r="A298" s="167"/>
      <c r="B298" s="167"/>
      <c r="C298" s="189" t="s">
        <v>4659</v>
      </c>
      <c r="D298" s="189" t="s">
        <v>4660</v>
      </c>
      <c r="E298" s="193" t="s">
        <v>209</v>
      </c>
      <c r="F298" s="189" t="s">
        <v>3162</v>
      </c>
      <c r="G298" s="189" t="s">
        <v>3384</v>
      </c>
      <c r="H298" s="174" t="s">
        <v>387</v>
      </c>
      <c r="I298" s="189" t="s">
        <v>4661</v>
      </c>
      <c r="J298" s="189" t="s">
        <v>4662</v>
      </c>
    </row>
    <row r="299" spans="1:10" ht="23.4">
      <c r="A299" s="167"/>
      <c r="B299" s="167"/>
      <c r="C299" s="189" t="s">
        <v>4663</v>
      </c>
      <c r="D299" s="189" t="s">
        <v>4664</v>
      </c>
      <c r="E299" s="193" t="s">
        <v>209</v>
      </c>
      <c r="F299" s="189" t="s">
        <v>3548</v>
      </c>
      <c r="G299" s="189" t="s">
        <v>4665</v>
      </c>
      <c r="H299" s="174" t="s">
        <v>14</v>
      </c>
      <c r="I299" s="189" t="s">
        <v>3350</v>
      </c>
      <c r="J299" s="189" t="s">
        <v>4666</v>
      </c>
    </row>
    <row r="300" spans="1:10" ht="23.4">
      <c r="A300" s="167"/>
      <c r="B300" s="167"/>
      <c r="C300" s="189" t="s">
        <v>4667</v>
      </c>
      <c r="D300" s="189" t="s">
        <v>4668</v>
      </c>
      <c r="E300" s="193" t="s">
        <v>209</v>
      </c>
      <c r="F300" s="189" t="s">
        <v>4322</v>
      </c>
      <c r="G300" s="189" t="s">
        <v>3486</v>
      </c>
      <c r="H300" s="174" t="s">
        <v>387</v>
      </c>
      <c r="I300" s="189" t="s">
        <v>4669</v>
      </c>
      <c r="J300" s="189" t="s">
        <v>4670</v>
      </c>
    </row>
    <row r="301" spans="1:10" ht="23.4">
      <c r="A301" s="167"/>
      <c r="B301" s="167"/>
      <c r="C301" s="189" t="s">
        <v>4671</v>
      </c>
      <c r="D301" s="189" t="s">
        <v>4672</v>
      </c>
      <c r="E301" s="193" t="s">
        <v>204</v>
      </c>
      <c r="F301" s="189" t="s">
        <v>4076</v>
      </c>
      <c r="G301" s="189" t="s">
        <v>3453</v>
      </c>
      <c r="H301" s="174" t="s">
        <v>14</v>
      </c>
      <c r="I301" s="189" t="s">
        <v>2930</v>
      </c>
      <c r="J301" s="189" t="s">
        <v>4673</v>
      </c>
    </row>
    <row r="302" spans="1:10" ht="23.4" customHeight="1">
      <c r="A302" s="167"/>
      <c r="B302" s="145" t="s">
        <v>4375</v>
      </c>
      <c r="C302" s="189" t="s">
        <v>4674</v>
      </c>
      <c r="D302" s="189" t="s">
        <v>4675</v>
      </c>
      <c r="E302" s="193" t="s">
        <v>209</v>
      </c>
      <c r="F302" s="189" t="s">
        <v>4676</v>
      </c>
      <c r="G302" s="189" t="s">
        <v>4677</v>
      </c>
      <c r="H302" s="174" t="s">
        <v>14</v>
      </c>
      <c r="I302" s="189" t="s">
        <v>4678</v>
      </c>
      <c r="J302" s="189" t="s">
        <v>4679</v>
      </c>
    </row>
    <row r="303" spans="1:10" ht="23.4">
      <c r="A303" s="167"/>
      <c r="B303" s="167"/>
      <c r="C303" s="189" t="s">
        <v>4680</v>
      </c>
      <c r="D303" s="189" t="s">
        <v>4681</v>
      </c>
      <c r="E303" s="193" t="s">
        <v>204</v>
      </c>
      <c r="F303" s="189" t="s">
        <v>4682</v>
      </c>
      <c r="G303" s="189" t="s">
        <v>4683</v>
      </c>
      <c r="H303" s="174" t="s">
        <v>14</v>
      </c>
      <c r="I303" s="189" t="s">
        <v>3671</v>
      </c>
      <c r="J303" s="189" t="s">
        <v>4684</v>
      </c>
    </row>
    <row r="304" spans="1:10" ht="23.4">
      <c r="A304" s="167"/>
      <c r="B304" s="167"/>
      <c r="C304" s="189" t="s">
        <v>4685</v>
      </c>
      <c r="D304" s="189" t="s">
        <v>4686</v>
      </c>
      <c r="E304" s="193" t="s">
        <v>204</v>
      </c>
      <c r="F304" s="189" t="s">
        <v>4687</v>
      </c>
      <c r="G304" s="189" t="s">
        <v>4688</v>
      </c>
      <c r="H304" s="174" t="s">
        <v>387</v>
      </c>
      <c r="I304" s="189" t="s">
        <v>4689</v>
      </c>
      <c r="J304" s="189" t="s">
        <v>4690</v>
      </c>
    </row>
    <row r="305" spans="1:10" ht="23.4">
      <c r="A305" s="167"/>
      <c r="B305" s="167"/>
      <c r="C305" s="189" t="s">
        <v>4691</v>
      </c>
      <c r="D305" s="189" t="s">
        <v>4692</v>
      </c>
      <c r="E305" s="193" t="s">
        <v>204</v>
      </c>
      <c r="F305" s="189" t="s">
        <v>4693</v>
      </c>
      <c r="G305" s="189" t="s">
        <v>4694</v>
      </c>
      <c r="H305" s="174" t="s">
        <v>14</v>
      </c>
      <c r="I305" s="189" t="s">
        <v>4695</v>
      </c>
      <c r="J305" s="189" t="s">
        <v>4696</v>
      </c>
    </row>
    <row r="306" spans="1:10" ht="23.4">
      <c r="A306" s="167"/>
      <c r="B306" s="167"/>
      <c r="C306" s="189" t="s">
        <v>4697</v>
      </c>
      <c r="D306" s="189" t="s">
        <v>4698</v>
      </c>
      <c r="E306" s="193" t="s">
        <v>204</v>
      </c>
      <c r="F306" s="189" t="s">
        <v>4699</v>
      </c>
      <c r="G306" s="189" t="s">
        <v>3012</v>
      </c>
      <c r="H306" s="174" t="s">
        <v>387</v>
      </c>
      <c r="I306" s="189" t="s">
        <v>4236</v>
      </c>
      <c r="J306" s="189" t="s">
        <v>4700</v>
      </c>
    </row>
    <row r="307" spans="1:10" ht="23.4">
      <c r="A307" s="167"/>
      <c r="B307" s="167" t="s">
        <v>156</v>
      </c>
      <c r="C307" s="189" t="s">
        <v>4701</v>
      </c>
      <c r="D307" s="189" t="s">
        <v>4702</v>
      </c>
      <c r="E307" s="193" t="s">
        <v>242</v>
      </c>
      <c r="F307" s="189" t="s">
        <v>4703</v>
      </c>
      <c r="G307" s="189" t="s">
        <v>3528</v>
      </c>
      <c r="H307" s="174" t="s">
        <v>387</v>
      </c>
      <c r="I307" s="189" t="s">
        <v>4611</v>
      </c>
      <c r="J307" s="189" t="s">
        <v>4704</v>
      </c>
    </row>
    <row r="308" spans="1:10" ht="23.4">
      <c r="A308" s="167"/>
      <c r="B308" s="167"/>
      <c r="C308" s="189" t="s">
        <v>4705</v>
      </c>
      <c r="D308" s="189" t="s">
        <v>4706</v>
      </c>
      <c r="E308" s="193" t="s">
        <v>204</v>
      </c>
      <c r="F308" s="189" t="s">
        <v>3829</v>
      </c>
      <c r="G308" s="189" t="s">
        <v>4112</v>
      </c>
      <c r="H308" s="174" t="s">
        <v>14</v>
      </c>
      <c r="I308" s="189" t="s">
        <v>4707</v>
      </c>
      <c r="J308" s="189" t="s">
        <v>4708</v>
      </c>
    </row>
    <row r="309" spans="1:10" ht="23.4">
      <c r="A309" s="167"/>
      <c r="B309" s="167"/>
      <c r="C309" s="189" t="s">
        <v>4709</v>
      </c>
      <c r="D309" s="189" t="s">
        <v>4710</v>
      </c>
      <c r="E309" s="193" t="s">
        <v>242</v>
      </c>
      <c r="F309" s="189" t="s">
        <v>4711</v>
      </c>
      <c r="G309" s="189" t="s">
        <v>4647</v>
      </c>
      <c r="H309" s="174" t="s">
        <v>387</v>
      </c>
      <c r="I309" s="189" t="s">
        <v>4712</v>
      </c>
      <c r="J309" s="189" t="s">
        <v>4713</v>
      </c>
    </row>
    <row r="310" spans="1:10" ht="23.4">
      <c r="A310" s="167"/>
      <c r="B310" s="167"/>
      <c r="C310" s="189" t="s">
        <v>4714</v>
      </c>
      <c r="D310" s="189" t="s">
        <v>4715</v>
      </c>
      <c r="E310" s="193" t="s">
        <v>204</v>
      </c>
      <c r="F310" s="189" t="s">
        <v>3162</v>
      </c>
      <c r="G310" s="189" t="s">
        <v>3790</v>
      </c>
      <c r="H310" s="174" t="s">
        <v>387</v>
      </c>
      <c r="I310" s="189" t="s">
        <v>4716</v>
      </c>
      <c r="J310" s="189" t="s">
        <v>4717</v>
      </c>
    </row>
    <row r="311" spans="1:10" ht="23.4">
      <c r="A311" s="167"/>
      <c r="B311" s="167"/>
      <c r="C311" s="189" t="s">
        <v>4718</v>
      </c>
      <c r="D311" s="189" t="s">
        <v>4719</v>
      </c>
      <c r="E311" s="193" t="s">
        <v>242</v>
      </c>
      <c r="F311" s="189" t="s">
        <v>4720</v>
      </c>
      <c r="G311" s="189" t="s">
        <v>4721</v>
      </c>
      <c r="H311" s="174" t="s">
        <v>387</v>
      </c>
      <c r="I311" s="189" t="s">
        <v>3012</v>
      </c>
      <c r="J311" s="189" t="s">
        <v>4722</v>
      </c>
    </row>
    <row r="312" spans="1:10" ht="23.4">
      <c r="A312" s="166" t="s">
        <v>157</v>
      </c>
      <c r="B312" s="166" t="s">
        <v>158</v>
      </c>
      <c r="C312" s="188" t="s">
        <v>4723</v>
      </c>
      <c r="D312" s="188" t="s">
        <v>4724</v>
      </c>
      <c r="E312" s="193" t="s">
        <v>242</v>
      </c>
      <c r="F312" s="188" t="s">
        <v>4725</v>
      </c>
      <c r="G312" s="188" t="s">
        <v>3930</v>
      </c>
      <c r="H312" s="184" t="s">
        <v>387</v>
      </c>
      <c r="I312" s="188" t="s">
        <v>4726</v>
      </c>
      <c r="J312" s="188" t="s">
        <v>4727</v>
      </c>
    </row>
    <row r="313" spans="1:10" ht="24" thickBot="1">
      <c r="A313" s="166"/>
      <c r="B313" s="166"/>
      <c r="C313" s="188" t="s">
        <v>4728</v>
      </c>
      <c r="D313" s="188" t="s">
        <v>4729</v>
      </c>
      <c r="E313" s="193" t="s">
        <v>204</v>
      </c>
      <c r="F313" s="188" t="s">
        <v>4730</v>
      </c>
      <c r="G313" s="188" t="s">
        <v>4111</v>
      </c>
      <c r="H313" s="194" t="s">
        <v>14</v>
      </c>
      <c r="I313" s="188" t="s">
        <v>4570</v>
      </c>
      <c r="J313" s="188" t="s">
        <v>4731</v>
      </c>
    </row>
    <row r="314" spans="1:10" ht="23.4">
      <c r="A314" s="166"/>
      <c r="B314" s="166"/>
      <c r="C314" s="188" t="s">
        <v>4732</v>
      </c>
      <c r="D314" s="188" t="s">
        <v>4733</v>
      </c>
      <c r="E314" s="193" t="s">
        <v>209</v>
      </c>
      <c r="F314" s="188" t="s">
        <v>4734</v>
      </c>
      <c r="G314" s="188" t="s">
        <v>3603</v>
      </c>
      <c r="H314" s="184" t="s">
        <v>387</v>
      </c>
      <c r="I314" s="188" t="s">
        <v>4735</v>
      </c>
      <c r="J314" s="188" t="s">
        <v>4736</v>
      </c>
    </row>
    <row r="315" spans="1:10" ht="23.4">
      <c r="A315" s="166"/>
      <c r="B315" s="166"/>
      <c r="C315" s="188" t="s">
        <v>4737</v>
      </c>
      <c r="D315" s="188" t="s">
        <v>4738</v>
      </c>
      <c r="E315" s="193" t="s">
        <v>242</v>
      </c>
      <c r="F315" s="188" t="s">
        <v>4739</v>
      </c>
      <c r="G315" s="188" t="s">
        <v>3012</v>
      </c>
      <c r="H315" s="184" t="s">
        <v>14</v>
      </c>
      <c r="I315" s="188" t="s">
        <v>4740</v>
      </c>
      <c r="J315" s="188" t="s">
        <v>4581</v>
      </c>
    </row>
    <row r="316" spans="1:10" ht="23.4">
      <c r="A316" s="166"/>
      <c r="B316" s="166"/>
      <c r="C316" s="188" t="s">
        <v>4741</v>
      </c>
      <c r="D316" s="188" t="s">
        <v>4742</v>
      </c>
      <c r="E316" s="193" t="s">
        <v>209</v>
      </c>
      <c r="F316" s="188" t="s">
        <v>4059</v>
      </c>
      <c r="G316" s="188" t="s">
        <v>4743</v>
      </c>
      <c r="H316" s="184" t="s">
        <v>14</v>
      </c>
      <c r="I316" s="188" t="s">
        <v>4744</v>
      </c>
      <c r="J316" s="188" t="s">
        <v>4745</v>
      </c>
    </row>
    <row r="317" spans="1:10" ht="23.4">
      <c r="A317" s="166"/>
      <c r="B317" s="166" t="s">
        <v>4376</v>
      </c>
      <c r="C317" s="188" t="s">
        <v>4746</v>
      </c>
      <c r="D317" s="188" t="s">
        <v>4747</v>
      </c>
      <c r="E317" s="193" t="s">
        <v>209</v>
      </c>
      <c r="F317" s="188" t="s">
        <v>3940</v>
      </c>
      <c r="G317" s="188" t="s">
        <v>4748</v>
      </c>
      <c r="H317" s="184" t="s">
        <v>387</v>
      </c>
      <c r="I317" s="188" t="s">
        <v>4019</v>
      </c>
      <c r="J317" s="188" t="s">
        <v>4749</v>
      </c>
    </row>
    <row r="318" spans="1:10" ht="23.4">
      <c r="A318" s="166"/>
      <c r="B318" s="166"/>
      <c r="C318" s="188" t="s">
        <v>4593</v>
      </c>
      <c r="D318" s="188" t="s">
        <v>4750</v>
      </c>
      <c r="E318" s="193" t="s">
        <v>209</v>
      </c>
      <c r="F318" s="188" t="s">
        <v>4595</v>
      </c>
      <c r="G318" s="188" t="s">
        <v>3502</v>
      </c>
      <c r="H318" s="184" t="s">
        <v>14</v>
      </c>
      <c r="I318" s="188" t="s">
        <v>4751</v>
      </c>
      <c r="J318" s="188" t="s">
        <v>4752</v>
      </c>
    </row>
    <row r="319" spans="1:10" ht="23.4">
      <c r="A319" s="166"/>
      <c r="B319" s="166"/>
      <c r="C319" s="188" t="s">
        <v>4753</v>
      </c>
      <c r="D319" s="188" t="s">
        <v>4754</v>
      </c>
      <c r="E319" s="193" t="s">
        <v>204</v>
      </c>
      <c r="F319" s="188" t="s">
        <v>4574</v>
      </c>
      <c r="G319" s="188" t="s">
        <v>4575</v>
      </c>
      <c r="H319" s="184" t="s">
        <v>387</v>
      </c>
      <c r="I319" s="188" t="s">
        <v>4755</v>
      </c>
      <c r="J319" s="188" t="s">
        <v>4756</v>
      </c>
    </row>
    <row r="320" spans="1:10" ht="23.4">
      <c r="A320" s="166"/>
      <c r="B320" s="166"/>
      <c r="C320" s="188" t="s">
        <v>4757</v>
      </c>
      <c r="D320" s="188" t="s">
        <v>4758</v>
      </c>
      <c r="E320" s="193" t="s">
        <v>209</v>
      </c>
      <c r="F320" s="188" t="s">
        <v>4759</v>
      </c>
      <c r="G320" s="188" t="s">
        <v>4760</v>
      </c>
      <c r="H320" s="184" t="s">
        <v>14</v>
      </c>
      <c r="I320" s="188" t="s">
        <v>4761</v>
      </c>
      <c r="J320" s="188" t="s">
        <v>4762</v>
      </c>
    </row>
    <row r="321" spans="1:10" ht="23.4">
      <c r="A321" s="166"/>
      <c r="B321" s="166"/>
      <c r="C321" s="188" t="s">
        <v>4763</v>
      </c>
      <c r="D321" s="188" t="s">
        <v>4764</v>
      </c>
      <c r="E321" s="193" t="s">
        <v>204</v>
      </c>
      <c r="F321" s="188" t="s">
        <v>4234</v>
      </c>
      <c r="G321" s="188" t="s">
        <v>3429</v>
      </c>
      <c r="H321" s="184" t="s">
        <v>14</v>
      </c>
      <c r="I321" s="188" t="s">
        <v>4765</v>
      </c>
      <c r="J321" s="188" t="s">
        <v>4766</v>
      </c>
    </row>
    <row r="322" spans="1:10" ht="23.4" customHeight="1">
      <c r="A322" s="166"/>
      <c r="B322" s="153" t="s">
        <v>4377</v>
      </c>
      <c r="C322" s="188" t="s">
        <v>4767</v>
      </c>
      <c r="D322" s="188" t="s">
        <v>4768</v>
      </c>
      <c r="E322" s="193" t="s">
        <v>204</v>
      </c>
      <c r="F322" s="188" t="s">
        <v>4769</v>
      </c>
      <c r="G322" s="188" t="s">
        <v>3469</v>
      </c>
      <c r="H322" s="184" t="s">
        <v>387</v>
      </c>
      <c r="I322" s="188" t="s">
        <v>3689</v>
      </c>
      <c r="J322" s="188" t="s">
        <v>4770</v>
      </c>
    </row>
    <row r="323" spans="1:10" ht="23.4">
      <c r="A323" s="166"/>
      <c r="B323" s="166"/>
      <c r="C323" s="188" t="s">
        <v>4771</v>
      </c>
      <c r="D323" s="188" t="s">
        <v>4772</v>
      </c>
      <c r="E323" s="193" t="s">
        <v>204</v>
      </c>
      <c r="F323" s="188" t="s">
        <v>4773</v>
      </c>
      <c r="G323" s="188" t="s">
        <v>4774</v>
      </c>
      <c r="H323" s="184" t="s">
        <v>387</v>
      </c>
      <c r="I323" s="188" t="s">
        <v>4775</v>
      </c>
      <c r="J323" s="188" t="s">
        <v>4776</v>
      </c>
    </row>
    <row r="324" spans="1:10" ht="23.4">
      <c r="A324" s="166"/>
      <c r="B324" s="166"/>
      <c r="C324" s="188" t="s">
        <v>4777</v>
      </c>
      <c r="D324" s="188" t="s">
        <v>4778</v>
      </c>
      <c r="E324" s="193" t="s">
        <v>204</v>
      </c>
      <c r="F324" s="188" t="s">
        <v>4779</v>
      </c>
      <c r="G324" s="188" t="s">
        <v>3486</v>
      </c>
      <c r="H324" s="184" t="s">
        <v>14</v>
      </c>
      <c r="I324" s="188" t="s">
        <v>4744</v>
      </c>
      <c r="J324" s="188" t="s">
        <v>4530</v>
      </c>
    </row>
    <row r="325" spans="1:10" ht="23.4">
      <c r="A325" s="166"/>
      <c r="B325" s="166"/>
      <c r="C325" s="188" t="s">
        <v>4780</v>
      </c>
      <c r="D325" s="188" t="s">
        <v>4781</v>
      </c>
      <c r="E325" s="193" t="s">
        <v>242</v>
      </c>
      <c r="F325" s="188" t="s">
        <v>4782</v>
      </c>
      <c r="G325" s="188" t="s">
        <v>4783</v>
      </c>
      <c r="H325" s="184" t="s">
        <v>387</v>
      </c>
      <c r="I325" s="188" t="s">
        <v>4784</v>
      </c>
      <c r="J325" s="188" t="s">
        <v>4785</v>
      </c>
    </row>
    <row r="326" spans="1:10" ht="23.4">
      <c r="A326" s="166"/>
      <c r="B326" s="166"/>
      <c r="C326" s="188" t="s">
        <v>4786</v>
      </c>
      <c r="D326" s="188" t="s">
        <v>4787</v>
      </c>
      <c r="E326" s="193" t="s">
        <v>204</v>
      </c>
      <c r="F326" s="188" t="s">
        <v>3896</v>
      </c>
      <c r="G326" s="188" t="s">
        <v>4788</v>
      </c>
      <c r="H326" s="184" t="s">
        <v>387</v>
      </c>
      <c r="I326" s="188" t="s">
        <v>3470</v>
      </c>
      <c r="J326" s="188" t="s">
        <v>4789</v>
      </c>
    </row>
    <row r="327" spans="1:10" ht="23.4">
      <c r="A327" s="166"/>
      <c r="B327" s="166" t="s">
        <v>159</v>
      </c>
      <c r="C327" s="188" t="s">
        <v>4790</v>
      </c>
      <c r="D327" s="188" t="s">
        <v>4791</v>
      </c>
      <c r="E327" s="193" t="s">
        <v>242</v>
      </c>
      <c r="F327" s="188" t="s">
        <v>3726</v>
      </c>
      <c r="G327" s="188" t="s">
        <v>4792</v>
      </c>
      <c r="H327" s="184" t="s">
        <v>387</v>
      </c>
      <c r="I327" s="188" t="s">
        <v>4793</v>
      </c>
      <c r="J327" s="188" t="s">
        <v>4794</v>
      </c>
    </row>
    <row r="328" spans="1:10" ht="23.4">
      <c r="A328" s="166"/>
      <c r="B328" s="166"/>
      <c r="C328" s="188" t="s">
        <v>4795</v>
      </c>
      <c r="D328" s="188" t="s">
        <v>4796</v>
      </c>
      <c r="E328" s="193" t="s">
        <v>204</v>
      </c>
      <c r="F328" s="188" t="s">
        <v>3311</v>
      </c>
      <c r="G328" s="188" t="s">
        <v>4797</v>
      </c>
      <c r="H328" s="184" t="s">
        <v>387</v>
      </c>
      <c r="I328" s="188" t="s">
        <v>4798</v>
      </c>
      <c r="J328" s="188" t="s">
        <v>4799</v>
      </c>
    </row>
    <row r="329" spans="1:10" ht="24" thickBot="1">
      <c r="A329" s="166"/>
      <c r="B329" s="166"/>
      <c r="C329" s="188" t="s">
        <v>4800</v>
      </c>
      <c r="D329" s="188" t="s">
        <v>4801</v>
      </c>
      <c r="E329" s="193" t="s">
        <v>242</v>
      </c>
      <c r="F329" s="188" t="s">
        <v>2168</v>
      </c>
      <c r="G329" s="188" t="s">
        <v>3329</v>
      </c>
      <c r="H329" s="194" t="s">
        <v>14</v>
      </c>
      <c r="I329" s="188" t="s">
        <v>3952</v>
      </c>
      <c r="J329" s="188" t="s">
        <v>3953</v>
      </c>
    </row>
    <row r="330" spans="1:10" ht="23.4">
      <c r="A330" s="166"/>
      <c r="B330" s="166"/>
      <c r="C330" s="188" t="s">
        <v>4802</v>
      </c>
      <c r="D330" s="188" t="s">
        <v>4803</v>
      </c>
      <c r="E330" s="193" t="s">
        <v>242</v>
      </c>
      <c r="F330" s="188" t="s">
        <v>4076</v>
      </c>
      <c r="G330" s="188" t="s">
        <v>4804</v>
      </c>
      <c r="H330" s="184" t="s">
        <v>387</v>
      </c>
      <c r="I330" s="188" t="s">
        <v>3017</v>
      </c>
      <c r="J330" s="188" t="s">
        <v>4805</v>
      </c>
    </row>
    <row r="331" spans="1:10" ht="23.4">
      <c r="A331" s="166"/>
      <c r="B331" s="166"/>
      <c r="C331" s="188" t="s">
        <v>4806</v>
      </c>
      <c r="D331" s="188" t="s">
        <v>4807</v>
      </c>
      <c r="E331" s="193" t="s">
        <v>204</v>
      </c>
      <c r="F331" s="188" t="s">
        <v>4808</v>
      </c>
      <c r="G331" s="188" t="s">
        <v>4628</v>
      </c>
      <c r="H331" s="184" t="s">
        <v>14</v>
      </c>
      <c r="I331" s="188" t="s">
        <v>3796</v>
      </c>
      <c r="J331" s="188" t="s">
        <v>4809</v>
      </c>
    </row>
    <row r="332" spans="1:10" ht="23.4">
      <c r="A332" s="166"/>
      <c r="B332" s="153" t="s">
        <v>4378</v>
      </c>
      <c r="C332" s="188" t="s">
        <v>4810</v>
      </c>
      <c r="D332" s="188" t="s">
        <v>4811</v>
      </c>
      <c r="E332" s="193" t="s">
        <v>209</v>
      </c>
      <c r="F332" s="188" t="s">
        <v>4812</v>
      </c>
      <c r="G332" s="188" t="s">
        <v>4813</v>
      </c>
      <c r="H332" s="184" t="s">
        <v>14</v>
      </c>
      <c r="I332" s="188" t="s">
        <v>4814</v>
      </c>
      <c r="J332" s="188" t="s">
        <v>4815</v>
      </c>
    </row>
    <row r="333" spans="1:10" ht="23.4">
      <c r="A333" s="166"/>
      <c r="B333" s="166"/>
      <c r="C333" s="188" t="s">
        <v>4816</v>
      </c>
      <c r="D333" s="188" t="s">
        <v>4817</v>
      </c>
      <c r="E333" s="193" t="s">
        <v>242</v>
      </c>
      <c r="F333" s="188" t="s">
        <v>3199</v>
      </c>
      <c r="G333" s="188" t="s">
        <v>4818</v>
      </c>
      <c r="H333" s="184" t="s">
        <v>387</v>
      </c>
      <c r="I333" s="188" t="s">
        <v>4819</v>
      </c>
      <c r="J333" s="188" t="s">
        <v>4820</v>
      </c>
    </row>
    <row r="334" spans="1:10" ht="23.4">
      <c r="A334" s="166"/>
      <c r="B334" s="166"/>
      <c r="C334" s="188" t="s">
        <v>4821</v>
      </c>
      <c r="D334" s="188" t="s">
        <v>4822</v>
      </c>
      <c r="E334" s="193" t="s">
        <v>209</v>
      </c>
      <c r="F334" s="188" t="s">
        <v>4823</v>
      </c>
      <c r="G334" s="188" t="s">
        <v>4824</v>
      </c>
      <c r="H334" s="184" t="s">
        <v>387</v>
      </c>
      <c r="I334" s="188" t="s">
        <v>4825</v>
      </c>
      <c r="J334" s="188" t="s">
        <v>4826</v>
      </c>
    </row>
    <row r="335" spans="1:10" ht="23.4">
      <c r="A335" s="166"/>
      <c r="B335" s="166"/>
      <c r="C335" s="188" t="s">
        <v>4827</v>
      </c>
      <c r="D335" s="188" t="s">
        <v>4828</v>
      </c>
      <c r="E335" s="193" t="s">
        <v>209</v>
      </c>
      <c r="F335" s="188" t="s">
        <v>4829</v>
      </c>
      <c r="G335" s="188" t="s">
        <v>3813</v>
      </c>
      <c r="H335" s="184" t="s">
        <v>14</v>
      </c>
      <c r="I335" s="188" t="s">
        <v>4830</v>
      </c>
      <c r="J335" s="188" t="s">
        <v>4831</v>
      </c>
    </row>
    <row r="336" spans="1:10" ht="23.4">
      <c r="A336" s="166"/>
      <c r="B336" s="166"/>
      <c r="C336" s="188" t="s">
        <v>4832</v>
      </c>
      <c r="D336" s="188" t="s">
        <v>4833</v>
      </c>
      <c r="E336" s="193" t="s">
        <v>209</v>
      </c>
      <c r="F336" s="188" t="s">
        <v>4834</v>
      </c>
      <c r="G336" s="188" t="s">
        <v>4584</v>
      </c>
      <c r="H336" s="184" t="s">
        <v>387</v>
      </c>
      <c r="I336" s="188" t="s">
        <v>4585</v>
      </c>
      <c r="J336" s="188" t="s">
        <v>4835</v>
      </c>
    </row>
    <row r="337" spans="1:10" ht="23.4">
      <c r="A337" s="166"/>
      <c r="B337" s="166" t="s">
        <v>160</v>
      </c>
      <c r="C337" s="188" t="s">
        <v>4836</v>
      </c>
      <c r="D337" s="188" t="s">
        <v>4837</v>
      </c>
      <c r="E337" s="193" t="s">
        <v>204</v>
      </c>
      <c r="F337" s="188" t="s">
        <v>4838</v>
      </c>
      <c r="G337" s="188" t="s">
        <v>4839</v>
      </c>
      <c r="H337" s="184" t="s">
        <v>387</v>
      </c>
      <c r="I337" s="188" t="s">
        <v>3219</v>
      </c>
      <c r="J337" s="188" t="s">
        <v>4840</v>
      </c>
    </row>
    <row r="338" spans="1:10" ht="23.4">
      <c r="A338" s="166"/>
      <c r="B338" s="166"/>
      <c r="C338" s="188" t="s">
        <v>4841</v>
      </c>
      <c r="D338" s="188" t="s">
        <v>4842</v>
      </c>
      <c r="E338" s="193" t="s">
        <v>204</v>
      </c>
      <c r="F338" s="188" t="s">
        <v>4843</v>
      </c>
      <c r="G338" s="188" t="s">
        <v>4844</v>
      </c>
      <c r="H338" s="184" t="s">
        <v>387</v>
      </c>
      <c r="I338" s="188" t="s">
        <v>4845</v>
      </c>
      <c r="J338" s="188" t="s">
        <v>4846</v>
      </c>
    </row>
    <row r="339" spans="1:10" ht="23.4">
      <c r="A339" s="166"/>
      <c r="B339" s="166"/>
      <c r="C339" s="188" t="s">
        <v>4847</v>
      </c>
      <c r="D339" s="188" t="s">
        <v>4848</v>
      </c>
      <c r="E339" s="193" t="s">
        <v>204</v>
      </c>
      <c r="F339" s="188" t="s">
        <v>3311</v>
      </c>
      <c r="G339" s="188" t="s">
        <v>4849</v>
      </c>
      <c r="H339" s="184" t="s">
        <v>387</v>
      </c>
      <c r="I339" s="188" t="s">
        <v>4850</v>
      </c>
      <c r="J339" s="188" t="s">
        <v>4851</v>
      </c>
    </row>
    <row r="340" spans="1:10" ht="24" thickBot="1">
      <c r="A340" s="166"/>
      <c r="B340" s="166"/>
      <c r="C340" s="188" t="s">
        <v>4852</v>
      </c>
      <c r="D340" s="188" t="s">
        <v>4853</v>
      </c>
      <c r="E340" s="193" t="s">
        <v>204</v>
      </c>
      <c r="F340" s="188" t="s">
        <v>4854</v>
      </c>
      <c r="G340" s="188" t="s">
        <v>4855</v>
      </c>
      <c r="H340" s="194" t="s">
        <v>14</v>
      </c>
      <c r="I340" s="188" t="s">
        <v>4856</v>
      </c>
      <c r="J340" s="188" t="s">
        <v>4857</v>
      </c>
    </row>
    <row r="341" spans="1:10" ht="23.4">
      <c r="A341" s="166"/>
      <c r="B341" s="166"/>
      <c r="C341" s="188" t="s">
        <v>4858</v>
      </c>
      <c r="D341" s="188" t="s">
        <v>4859</v>
      </c>
      <c r="E341" s="193" t="s">
        <v>204</v>
      </c>
      <c r="F341" s="188" t="s">
        <v>4860</v>
      </c>
      <c r="G341" s="188" t="s">
        <v>4861</v>
      </c>
      <c r="H341" s="184" t="s">
        <v>387</v>
      </c>
      <c r="I341" s="188" t="s">
        <v>4862</v>
      </c>
      <c r="J341" s="188" t="s">
        <v>4863</v>
      </c>
    </row>
    <row r="342" spans="1:10" ht="23.4" customHeight="1">
      <c r="A342" s="166"/>
      <c r="B342" s="153" t="s">
        <v>4379</v>
      </c>
      <c r="C342" s="188" t="s">
        <v>4864</v>
      </c>
      <c r="D342" s="188" t="s">
        <v>4865</v>
      </c>
      <c r="E342" s="193" t="s">
        <v>242</v>
      </c>
      <c r="F342" s="188" t="s">
        <v>4866</v>
      </c>
      <c r="G342" s="188" t="s">
        <v>3463</v>
      </c>
      <c r="H342" s="184" t="s">
        <v>14</v>
      </c>
      <c r="I342" s="188" t="s">
        <v>3449</v>
      </c>
      <c r="J342" s="188" t="s">
        <v>4867</v>
      </c>
    </row>
    <row r="343" spans="1:10" ht="23.4">
      <c r="A343" s="166"/>
      <c r="B343" s="166"/>
      <c r="C343" s="188" t="s">
        <v>4868</v>
      </c>
      <c r="D343" s="188" t="s">
        <v>4869</v>
      </c>
      <c r="E343" s="193" t="s">
        <v>204</v>
      </c>
      <c r="F343" s="188" t="s">
        <v>3548</v>
      </c>
      <c r="G343" s="188" t="s">
        <v>3080</v>
      </c>
      <c r="H343" s="184" t="s">
        <v>387</v>
      </c>
      <c r="I343" s="188" t="s">
        <v>4870</v>
      </c>
      <c r="J343" s="188" t="s">
        <v>4871</v>
      </c>
    </row>
    <row r="344" spans="1:10" ht="24" thickBot="1">
      <c r="A344" s="166"/>
      <c r="B344" s="166"/>
      <c r="C344" s="188" t="s">
        <v>4709</v>
      </c>
      <c r="D344" s="188" t="s">
        <v>4872</v>
      </c>
      <c r="E344" s="193" t="s">
        <v>242</v>
      </c>
      <c r="F344" s="188" t="s">
        <v>4322</v>
      </c>
      <c r="G344" s="188" t="s">
        <v>4314</v>
      </c>
      <c r="H344" s="194" t="s">
        <v>14</v>
      </c>
      <c r="I344" s="188" t="s">
        <v>4647</v>
      </c>
      <c r="J344" s="188" t="s">
        <v>4873</v>
      </c>
    </row>
    <row r="345" spans="1:10" ht="23.4">
      <c r="A345" s="166"/>
      <c r="B345" s="166"/>
      <c r="C345" s="188" t="s">
        <v>4874</v>
      </c>
      <c r="D345" s="188" t="s">
        <v>4875</v>
      </c>
      <c r="E345" s="193" t="s">
        <v>209</v>
      </c>
      <c r="F345" s="188" t="s">
        <v>4876</v>
      </c>
      <c r="G345" s="188" t="s">
        <v>4877</v>
      </c>
      <c r="H345" s="184" t="s">
        <v>387</v>
      </c>
      <c r="I345" s="188" t="s">
        <v>3671</v>
      </c>
      <c r="J345" s="188" t="s">
        <v>4320</v>
      </c>
    </row>
    <row r="346" spans="1:10" ht="23.4">
      <c r="A346" s="166"/>
      <c r="B346" s="166"/>
      <c r="C346" s="188" t="s">
        <v>4878</v>
      </c>
      <c r="D346" s="188" t="s">
        <v>4879</v>
      </c>
      <c r="E346" s="193" t="s">
        <v>209</v>
      </c>
      <c r="F346" s="188" t="s">
        <v>4880</v>
      </c>
      <c r="G346" s="188" t="s">
        <v>4881</v>
      </c>
      <c r="H346" s="184" t="s">
        <v>14</v>
      </c>
      <c r="I346" s="188" t="s">
        <v>4882</v>
      </c>
      <c r="J346" s="188" t="s">
        <v>4883</v>
      </c>
    </row>
    <row r="347" spans="1:10" ht="23.4">
      <c r="A347" s="166"/>
      <c r="B347" s="166" t="s">
        <v>4380</v>
      </c>
      <c r="C347" s="188" t="s">
        <v>4884</v>
      </c>
      <c r="D347" s="188" t="s">
        <v>4885</v>
      </c>
      <c r="E347" s="193" t="s">
        <v>204</v>
      </c>
      <c r="F347" s="188" t="s">
        <v>3585</v>
      </c>
      <c r="G347" s="188" t="s">
        <v>4886</v>
      </c>
      <c r="H347" s="184" t="s">
        <v>14</v>
      </c>
      <c r="I347" s="188" t="s">
        <v>3587</v>
      </c>
      <c r="J347" s="188" t="s">
        <v>4887</v>
      </c>
    </row>
    <row r="348" spans="1:10" ht="23.4">
      <c r="A348" s="166"/>
      <c r="B348" s="166"/>
      <c r="C348" s="188" t="s">
        <v>4888</v>
      </c>
      <c r="D348" s="188" t="s">
        <v>4889</v>
      </c>
      <c r="E348" s="193" t="s">
        <v>209</v>
      </c>
      <c r="F348" s="188" t="s">
        <v>4890</v>
      </c>
      <c r="G348" s="188" t="s">
        <v>4891</v>
      </c>
      <c r="H348" s="184" t="s">
        <v>387</v>
      </c>
      <c r="I348" s="188" t="s">
        <v>4892</v>
      </c>
      <c r="J348" s="188" t="s">
        <v>4893</v>
      </c>
    </row>
    <row r="349" spans="1:10" ht="23.4">
      <c r="A349" s="166"/>
      <c r="B349" s="166"/>
      <c r="C349" s="188" t="s">
        <v>4894</v>
      </c>
      <c r="D349" s="188" t="s">
        <v>4895</v>
      </c>
      <c r="E349" s="193" t="s">
        <v>204</v>
      </c>
      <c r="F349" s="188" t="s">
        <v>4896</v>
      </c>
      <c r="G349" s="188" t="s">
        <v>4897</v>
      </c>
      <c r="H349" s="184" t="s">
        <v>14</v>
      </c>
      <c r="I349" s="188" t="s">
        <v>4898</v>
      </c>
      <c r="J349" s="188" t="s">
        <v>4899</v>
      </c>
    </row>
    <row r="350" spans="1:10" ht="23.4">
      <c r="A350" s="166"/>
      <c r="B350" s="166"/>
      <c r="C350" s="188" t="s">
        <v>4900</v>
      </c>
      <c r="D350" s="188" t="s">
        <v>4901</v>
      </c>
      <c r="E350" s="193" t="s">
        <v>204</v>
      </c>
      <c r="F350" s="188" t="s">
        <v>4902</v>
      </c>
      <c r="G350" s="188" t="s">
        <v>4903</v>
      </c>
      <c r="H350" s="184" t="s">
        <v>387</v>
      </c>
      <c r="I350" s="188" t="s">
        <v>4712</v>
      </c>
      <c r="J350" s="188" t="s">
        <v>4904</v>
      </c>
    </row>
    <row r="351" spans="1:10" ht="23.4">
      <c r="A351" s="166"/>
      <c r="B351" s="166"/>
      <c r="C351" s="188" t="s">
        <v>4905</v>
      </c>
      <c r="D351" s="188" t="s">
        <v>4906</v>
      </c>
      <c r="E351" s="193" t="s">
        <v>204</v>
      </c>
      <c r="F351" s="188" t="s">
        <v>4907</v>
      </c>
      <c r="G351" s="188" t="s">
        <v>4908</v>
      </c>
      <c r="H351" s="184" t="s">
        <v>387</v>
      </c>
      <c r="I351" s="188" t="s">
        <v>4909</v>
      </c>
      <c r="J351" s="188" t="s">
        <v>4910</v>
      </c>
    </row>
    <row r="352" spans="1:10" ht="23.4">
      <c r="A352" s="167" t="s">
        <v>161</v>
      </c>
      <c r="B352" s="167" t="s">
        <v>162</v>
      </c>
      <c r="C352" s="189" t="s">
        <v>5050</v>
      </c>
      <c r="D352" s="189" t="s">
        <v>4885</v>
      </c>
      <c r="E352" s="193" t="s">
        <v>242</v>
      </c>
      <c r="F352" s="189" t="s">
        <v>5051</v>
      </c>
      <c r="G352" s="189" t="s">
        <v>5052</v>
      </c>
      <c r="H352" s="174" t="s">
        <v>14</v>
      </c>
      <c r="I352" s="189" t="s">
        <v>3586</v>
      </c>
      <c r="J352" s="189" t="s">
        <v>5053</v>
      </c>
    </row>
    <row r="353" spans="1:10" ht="23.4">
      <c r="A353" s="167"/>
      <c r="B353" s="167"/>
      <c r="C353" s="189" t="s">
        <v>5054</v>
      </c>
      <c r="D353" s="189" t="s">
        <v>5055</v>
      </c>
      <c r="E353" s="193" t="s">
        <v>204</v>
      </c>
      <c r="F353" s="189" t="s">
        <v>3983</v>
      </c>
      <c r="G353" s="189" t="s">
        <v>3200</v>
      </c>
      <c r="H353" s="174" t="s">
        <v>387</v>
      </c>
      <c r="I353" s="189" t="s">
        <v>4891</v>
      </c>
      <c r="J353" s="189" t="s">
        <v>5056</v>
      </c>
    </row>
    <row r="354" spans="1:10" ht="23.4">
      <c r="A354" s="167"/>
      <c r="B354" s="167"/>
      <c r="C354" s="189" t="s">
        <v>5057</v>
      </c>
      <c r="D354" s="189" t="s">
        <v>5058</v>
      </c>
      <c r="E354" s="193" t="s">
        <v>209</v>
      </c>
      <c r="F354" s="189" t="s">
        <v>5059</v>
      </c>
      <c r="G354" s="189" t="s">
        <v>5060</v>
      </c>
      <c r="H354" s="174" t="s">
        <v>387</v>
      </c>
      <c r="I354" s="189" t="s">
        <v>5061</v>
      </c>
      <c r="J354" s="189" t="s">
        <v>5062</v>
      </c>
    </row>
    <row r="355" spans="1:10" ht="23.4">
      <c r="A355" s="167"/>
      <c r="B355" s="167"/>
      <c r="C355" s="189" t="s">
        <v>5063</v>
      </c>
      <c r="D355" s="189" t="s">
        <v>5064</v>
      </c>
      <c r="E355" s="193" t="s">
        <v>242</v>
      </c>
      <c r="F355" s="189" t="s">
        <v>5065</v>
      </c>
      <c r="G355" s="189" t="s">
        <v>5066</v>
      </c>
      <c r="H355" s="174" t="s">
        <v>387</v>
      </c>
      <c r="I355" s="189" t="s">
        <v>5067</v>
      </c>
      <c r="J355" s="189" t="s">
        <v>5068</v>
      </c>
    </row>
    <row r="356" spans="1:10" ht="23.4">
      <c r="A356" s="167"/>
      <c r="B356" s="167"/>
      <c r="C356" s="189" t="s">
        <v>5069</v>
      </c>
      <c r="D356" s="189" t="s">
        <v>5070</v>
      </c>
      <c r="E356" s="193" t="s">
        <v>209</v>
      </c>
      <c r="F356" s="189" t="s">
        <v>5071</v>
      </c>
      <c r="G356" s="189" t="s">
        <v>5072</v>
      </c>
      <c r="H356" s="174" t="s">
        <v>387</v>
      </c>
      <c r="I356" s="189" t="s">
        <v>4856</v>
      </c>
      <c r="J356" s="189" t="s">
        <v>5073</v>
      </c>
    </row>
    <row r="357" spans="1:10" ht="23.4" customHeight="1" thickBot="1">
      <c r="A357" s="167"/>
      <c r="B357" s="145" t="s">
        <v>4381</v>
      </c>
      <c r="C357" s="189" t="s">
        <v>5074</v>
      </c>
      <c r="D357" s="189" t="s">
        <v>5075</v>
      </c>
      <c r="E357" s="193" t="s">
        <v>209</v>
      </c>
      <c r="F357" s="189" t="s">
        <v>5076</v>
      </c>
      <c r="G357" s="189" t="s">
        <v>4198</v>
      </c>
      <c r="H357" s="195" t="s">
        <v>14</v>
      </c>
      <c r="I357" s="189" t="s">
        <v>5077</v>
      </c>
      <c r="J357" s="189" t="s">
        <v>5078</v>
      </c>
    </row>
    <row r="358" spans="1:10" ht="23.4">
      <c r="A358" s="167"/>
      <c r="B358" s="167"/>
      <c r="C358" s="189" t="s">
        <v>5079</v>
      </c>
      <c r="D358" s="189" t="s">
        <v>5080</v>
      </c>
      <c r="E358" s="193" t="s">
        <v>209</v>
      </c>
      <c r="F358" s="189" t="s">
        <v>4890</v>
      </c>
      <c r="G358" s="189" t="s">
        <v>3080</v>
      </c>
      <c r="H358" s="174" t="s">
        <v>387</v>
      </c>
      <c r="I358" s="189" t="s">
        <v>4024</v>
      </c>
      <c r="J358" s="189" t="s">
        <v>5081</v>
      </c>
    </row>
    <row r="359" spans="1:10" ht="23.4">
      <c r="A359" s="167"/>
      <c r="B359" s="167"/>
      <c r="C359" s="189" t="s">
        <v>5082</v>
      </c>
      <c r="D359" s="189" t="s">
        <v>5083</v>
      </c>
      <c r="E359" s="193" t="s">
        <v>204</v>
      </c>
      <c r="F359" s="189" t="s">
        <v>5084</v>
      </c>
      <c r="G359" s="189" t="s">
        <v>5085</v>
      </c>
      <c r="H359" s="174" t="s">
        <v>14</v>
      </c>
      <c r="I359" s="189" t="s">
        <v>4760</v>
      </c>
      <c r="J359" s="189" t="s">
        <v>5086</v>
      </c>
    </row>
    <row r="360" spans="1:10" ht="23.4">
      <c r="A360" s="167"/>
      <c r="B360" s="167"/>
      <c r="C360" s="189" t="s">
        <v>5087</v>
      </c>
      <c r="D360" s="189" t="s">
        <v>5088</v>
      </c>
      <c r="E360" s="193" t="s">
        <v>209</v>
      </c>
      <c r="F360" s="189" t="s">
        <v>4902</v>
      </c>
      <c r="G360" s="189" t="s">
        <v>4314</v>
      </c>
      <c r="H360" s="174" t="s">
        <v>14</v>
      </c>
      <c r="I360" s="189" t="s">
        <v>5089</v>
      </c>
      <c r="J360" s="189" t="s">
        <v>5090</v>
      </c>
    </row>
    <row r="361" spans="1:10" ht="23.4">
      <c r="A361" s="167"/>
      <c r="B361" s="167"/>
      <c r="C361" s="189" t="s">
        <v>5091</v>
      </c>
      <c r="D361" s="189" t="s">
        <v>5092</v>
      </c>
      <c r="E361" s="193" t="s">
        <v>209</v>
      </c>
      <c r="F361" s="189" t="s">
        <v>5093</v>
      </c>
      <c r="G361" s="189" t="s">
        <v>5094</v>
      </c>
      <c r="H361" s="174" t="s">
        <v>387</v>
      </c>
      <c r="I361" s="189" t="s">
        <v>3689</v>
      </c>
      <c r="J361" s="189" t="s">
        <v>5095</v>
      </c>
    </row>
    <row r="362" spans="1:10" ht="23.4">
      <c r="A362" s="167"/>
      <c r="B362" s="145" t="s">
        <v>4382</v>
      </c>
      <c r="C362" s="189" t="s">
        <v>5096</v>
      </c>
      <c r="D362" s="189" t="s">
        <v>5097</v>
      </c>
      <c r="E362" s="193" t="s">
        <v>209</v>
      </c>
      <c r="F362" s="189" t="s">
        <v>5098</v>
      </c>
      <c r="G362" s="189" t="s">
        <v>5099</v>
      </c>
      <c r="H362" s="174" t="s">
        <v>14</v>
      </c>
      <c r="I362" s="189" t="s">
        <v>5100</v>
      </c>
      <c r="J362" s="189" t="s">
        <v>5101</v>
      </c>
    </row>
    <row r="363" spans="1:10" ht="23.4">
      <c r="A363" s="167"/>
      <c r="B363" s="167"/>
      <c r="C363" s="189" t="s">
        <v>5102</v>
      </c>
      <c r="D363" s="189" t="s">
        <v>5103</v>
      </c>
      <c r="E363" s="193" t="s">
        <v>209</v>
      </c>
      <c r="F363" s="189" t="s">
        <v>5104</v>
      </c>
      <c r="G363" s="189" t="s">
        <v>5105</v>
      </c>
      <c r="H363" s="174" t="s">
        <v>387</v>
      </c>
      <c r="I363" s="189" t="s">
        <v>4653</v>
      </c>
      <c r="J363" s="189" t="s">
        <v>5106</v>
      </c>
    </row>
    <row r="364" spans="1:10" ht="23.4">
      <c r="A364" s="167"/>
      <c r="B364" s="167"/>
      <c r="C364" s="189" t="s">
        <v>5107</v>
      </c>
      <c r="D364" s="189" t="s">
        <v>5108</v>
      </c>
      <c r="E364" s="193" t="s">
        <v>242</v>
      </c>
      <c r="F364" s="189" t="s">
        <v>5109</v>
      </c>
      <c r="G364" s="189" t="s">
        <v>5110</v>
      </c>
      <c r="H364" s="174" t="s">
        <v>14</v>
      </c>
      <c r="I364" s="189" t="s">
        <v>4539</v>
      </c>
      <c r="J364" s="189" t="s">
        <v>5111</v>
      </c>
    </row>
    <row r="365" spans="1:10" ht="23.4">
      <c r="A365" s="167"/>
      <c r="B365" s="167"/>
      <c r="C365" s="189" t="s">
        <v>5112</v>
      </c>
      <c r="D365" s="189" t="s">
        <v>5113</v>
      </c>
      <c r="E365" s="193" t="s">
        <v>209</v>
      </c>
      <c r="F365" s="189" t="s">
        <v>3166</v>
      </c>
      <c r="G365" s="189" t="s">
        <v>3317</v>
      </c>
      <c r="H365" s="174" t="s">
        <v>14</v>
      </c>
      <c r="I365" s="189" t="s">
        <v>4561</v>
      </c>
      <c r="J365" s="189" t="s">
        <v>5114</v>
      </c>
    </row>
    <row r="366" spans="1:10" ht="23.4">
      <c r="A366" s="167"/>
      <c r="B366" s="167"/>
      <c r="C366" s="189" t="s">
        <v>5115</v>
      </c>
      <c r="D366" s="189" t="s">
        <v>5116</v>
      </c>
      <c r="E366" s="193" t="s">
        <v>209</v>
      </c>
      <c r="F366" s="189" t="s">
        <v>5117</v>
      </c>
      <c r="G366" s="189" t="s">
        <v>5118</v>
      </c>
      <c r="H366" s="174" t="s">
        <v>387</v>
      </c>
      <c r="I366" s="189" t="s">
        <v>3391</v>
      </c>
      <c r="J366" s="189" t="s">
        <v>5119</v>
      </c>
    </row>
    <row r="367" spans="1:10" ht="23.4">
      <c r="A367" s="167"/>
      <c r="B367" s="145" t="s">
        <v>4383</v>
      </c>
      <c r="C367" s="189" t="s">
        <v>5120</v>
      </c>
      <c r="D367" s="189" t="s">
        <v>5121</v>
      </c>
      <c r="E367" s="193" t="s">
        <v>204</v>
      </c>
      <c r="F367" s="189" t="s">
        <v>5122</v>
      </c>
      <c r="G367" s="189" t="s">
        <v>3390</v>
      </c>
      <c r="H367" s="174" t="s">
        <v>387</v>
      </c>
      <c r="I367" s="189" t="s">
        <v>5123</v>
      </c>
      <c r="J367" s="189" t="s">
        <v>5124</v>
      </c>
    </row>
    <row r="368" spans="1:10" ht="23.4">
      <c r="A368" s="167"/>
      <c r="B368" s="167"/>
      <c r="C368" s="189" t="s">
        <v>5125</v>
      </c>
      <c r="D368" s="189" t="s">
        <v>5126</v>
      </c>
      <c r="E368" s="193" t="s">
        <v>209</v>
      </c>
      <c r="F368" s="189" t="s">
        <v>5127</v>
      </c>
      <c r="G368" s="189" t="s">
        <v>5128</v>
      </c>
      <c r="H368" s="174" t="s">
        <v>14</v>
      </c>
      <c r="I368" s="189" t="s">
        <v>1931</v>
      </c>
      <c r="J368" s="189" t="s">
        <v>5129</v>
      </c>
    </row>
    <row r="369" spans="1:10" ht="23.4">
      <c r="A369" s="167"/>
      <c r="B369" s="167"/>
      <c r="C369" s="189" t="s">
        <v>5130</v>
      </c>
      <c r="D369" s="189" t="s">
        <v>5131</v>
      </c>
      <c r="E369" s="193" t="s">
        <v>204</v>
      </c>
      <c r="F369" s="189" t="s">
        <v>5132</v>
      </c>
      <c r="G369" s="189" t="s">
        <v>5133</v>
      </c>
      <c r="H369" s="174" t="s">
        <v>387</v>
      </c>
      <c r="I369" s="189" t="s">
        <v>5134</v>
      </c>
      <c r="J369" s="189" t="s">
        <v>5135</v>
      </c>
    </row>
    <row r="370" spans="1:10" ht="23.4">
      <c r="A370" s="167"/>
      <c r="B370" s="167"/>
      <c r="C370" s="189" t="s">
        <v>5136</v>
      </c>
      <c r="D370" s="189" t="s">
        <v>5137</v>
      </c>
      <c r="E370" s="193" t="s">
        <v>204</v>
      </c>
      <c r="F370" s="189" t="s">
        <v>5138</v>
      </c>
      <c r="G370" s="189" t="s">
        <v>5139</v>
      </c>
      <c r="H370" s="174" t="s">
        <v>387</v>
      </c>
      <c r="I370" s="189" t="s">
        <v>5140</v>
      </c>
      <c r="J370" s="189" t="s">
        <v>5141</v>
      </c>
    </row>
    <row r="371" spans="1:10" ht="23.4">
      <c r="A371" s="167"/>
      <c r="B371" s="167"/>
      <c r="C371" s="189" t="s">
        <v>5142</v>
      </c>
      <c r="D371" s="189" t="s">
        <v>5143</v>
      </c>
      <c r="E371" s="193" t="s">
        <v>204</v>
      </c>
      <c r="F371" s="189" t="s">
        <v>5144</v>
      </c>
      <c r="G371" s="189" t="s">
        <v>5123</v>
      </c>
      <c r="H371" s="174" t="s">
        <v>387</v>
      </c>
      <c r="I371" s="189" t="s">
        <v>3219</v>
      </c>
      <c r="J371" s="189" t="s">
        <v>5145</v>
      </c>
    </row>
    <row r="372" spans="1:10" ht="23.4" customHeight="1">
      <c r="A372" s="167"/>
      <c r="B372" s="167" t="s">
        <v>163</v>
      </c>
      <c r="C372" s="189" t="s">
        <v>5146</v>
      </c>
      <c r="D372" s="189" t="s">
        <v>5147</v>
      </c>
      <c r="E372" s="193" t="s">
        <v>242</v>
      </c>
      <c r="F372" s="189" t="s">
        <v>5148</v>
      </c>
      <c r="G372" s="189" t="s">
        <v>5149</v>
      </c>
      <c r="H372" s="174" t="s">
        <v>387</v>
      </c>
      <c r="I372" s="189" t="s">
        <v>4616</v>
      </c>
      <c r="J372" s="189" t="s">
        <v>5150</v>
      </c>
    </row>
    <row r="373" spans="1:10" ht="24" thickBot="1">
      <c r="A373" s="167"/>
      <c r="B373" s="167"/>
      <c r="C373" s="189" t="s">
        <v>5151</v>
      </c>
      <c r="D373" s="189" t="s">
        <v>5152</v>
      </c>
      <c r="E373" s="193" t="s">
        <v>204</v>
      </c>
      <c r="F373" s="189" t="s">
        <v>5153</v>
      </c>
      <c r="G373" s="189" t="s">
        <v>5154</v>
      </c>
      <c r="H373" s="195" t="s">
        <v>14</v>
      </c>
      <c r="I373" s="189" t="s">
        <v>5155</v>
      </c>
      <c r="J373" s="189" t="s">
        <v>5156</v>
      </c>
    </row>
    <row r="374" spans="1:10" ht="23.4">
      <c r="A374" s="167"/>
      <c r="B374" s="167"/>
      <c r="C374" s="189" t="s">
        <v>5157</v>
      </c>
      <c r="D374" s="189" t="s">
        <v>5158</v>
      </c>
      <c r="E374" s="193" t="s">
        <v>209</v>
      </c>
      <c r="F374" s="189" t="s">
        <v>5159</v>
      </c>
      <c r="G374" s="189" t="s">
        <v>5160</v>
      </c>
      <c r="H374" s="174" t="s">
        <v>387</v>
      </c>
      <c r="I374" s="189" t="s">
        <v>5161</v>
      </c>
      <c r="J374" s="189" t="s">
        <v>5162</v>
      </c>
    </row>
    <row r="375" spans="1:10" ht="23.4">
      <c r="A375" s="167"/>
      <c r="B375" s="167"/>
      <c r="C375" s="189" t="s">
        <v>5163</v>
      </c>
      <c r="D375" s="189" t="s">
        <v>5164</v>
      </c>
      <c r="E375" s="193" t="s">
        <v>242</v>
      </c>
      <c r="F375" s="189" t="s">
        <v>5165</v>
      </c>
      <c r="G375" s="189" t="s">
        <v>3859</v>
      </c>
      <c r="H375" s="174" t="s">
        <v>14</v>
      </c>
      <c r="I375" s="189" t="s">
        <v>5166</v>
      </c>
      <c r="J375" s="189" t="s">
        <v>5167</v>
      </c>
    </row>
    <row r="376" spans="1:10" ht="23.4">
      <c r="A376" s="167"/>
      <c r="B376" s="167"/>
      <c r="C376" s="189" t="s">
        <v>5168</v>
      </c>
      <c r="D376" s="189" t="s">
        <v>5169</v>
      </c>
      <c r="E376" s="193" t="s">
        <v>209</v>
      </c>
      <c r="F376" s="189" t="s">
        <v>4028</v>
      </c>
      <c r="G376" s="189" t="s">
        <v>5170</v>
      </c>
      <c r="H376" s="174" t="s">
        <v>14</v>
      </c>
      <c r="I376" s="189" t="s">
        <v>3587</v>
      </c>
      <c r="J376" s="189" t="s">
        <v>5171</v>
      </c>
    </row>
    <row r="377" spans="1:10" ht="23.4" customHeight="1">
      <c r="A377" s="167"/>
      <c r="B377" s="145" t="s">
        <v>4384</v>
      </c>
      <c r="C377" s="189" t="s">
        <v>5172</v>
      </c>
      <c r="D377" s="189" t="s">
        <v>5173</v>
      </c>
      <c r="E377" s="193" t="s">
        <v>209</v>
      </c>
      <c r="F377" s="189" t="s">
        <v>5174</v>
      </c>
      <c r="G377" s="189" t="s">
        <v>5175</v>
      </c>
      <c r="H377" s="174" t="s">
        <v>387</v>
      </c>
      <c r="I377" s="189" t="s">
        <v>5176</v>
      </c>
      <c r="J377" s="189" t="s">
        <v>5177</v>
      </c>
    </row>
    <row r="378" spans="1:10" ht="23.4">
      <c r="A378" s="167"/>
      <c r="B378" s="167"/>
      <c r="C378" s="189" t="s">
        <v>5178</v>
      </c>
      <c r="D378" s="189" t="s">
        <v>5179</v>
      </c>
      <c r="E378" s="193" t="s">
        <v>209</v>
      </c>
      <c r="F378" s="189" t="s">
        <v>5180</v>
      </c>
      <c r="G378" s="189" t="s">
        <v>5181</v>
      </c>
      <c r="H378" s="174" t="s">
        <v>387</v>
      </c>
      <c r="I378" s="189" t="s">
        <v>5182</v>
      </c>
      <c r="J378" s="189" t="s">
        <v>5183</v>
      </c>
    </row>
    <row r="379" spans="1:10" ht="23.4">
      <c r="A379" s="167"/>
      <c r="B379" s="167"/>
      <c r="C379" s="189" t="s">
        <v>5184</v>
      </c>
      <c r="D379" s="189" t="s">
        <v>5185</v>
      </c>
      <c r="E379" s="193" t="s">
        <v>204</v>
      </c>
      <c r="F379" s="189" t="s">
        <v>5186</v>
      </c>
      <c r="G379" s="189" t="s">
        <v>5187</v>
      </c>
      <c r="H379" s="174" t="s">
        <v>14</v>
      </c>
      <c r="I379" s="189" t="s">
        <v>5188</v>
      </c>
      <c r="J379" s="189" t="s">
        <v>5189</v>
      </c>
    </row>
    <row r="380" spans="1:10" ht="23.4">
      <c r="A380" s="167"/>
      <c r="B380" s="167"/>
      <c r="C380" s="189" t="s">
        <v>5190</v>
      </c>
      <c r="D380" s="189" t="s">
        <v>5191</v>
      </c>
      <c r="E380" s="193" t="s">
        <v>204</v>
      </c>
      <c r="F380" s="189" t="s">
        <v>5192</v>
      </c>
      <c r="G380" s="189" t="s">
        <v>5193</v>
      </c>
      <c r="H380" s="174" t="s">
        <v>387</v>
      </c>
      <c r="I380" s="189" t="s">
        <v>4236</v>
      </c>
      <c r="J380" s="189" t="s">
        <v>5194</v>
      </c>
    </row>
    <row r="381" spans="1:10" ht="23.4">
      <c r="A381" s="167"/>
      <c r="B381" s="167"/>
      <c r="C381" s="189" t="s">
        <v>5195</v>
      </c>
      <c r="D381" s="189" t="s">
        <v>5196</v>
      </c>
      <c r="E381" s="193" t="s">
        <v>204</v>
      </c>
      <c r="F381" s="189" t="s">
        <v>5197</v>
      </c>
      <c r="G381" s="189" t="s">
        <v>5198</v>
      </c>
      <c r="H381" s="174" t="s">
        <v>387</v>
      </c>
      <c r="I381" s="189" t="s">
        <v>4798</v>
      </c>
      <c r="J381" s="189" t="s">
        <v>5199</v>
      </c>
    </row>
    <row r="382" spans="1:10" ht="23.4" customHeight="1">
      <c r="A382" s="167"/>
      <c r="B382" s="167" t="s">
        <v>164</v>
      </c>
      <c r="C382" s="189" t="s">
        <v>5200</v>
      </c>
      <c r="D382" s="189" t="s">
        <v>5201</v>
      </c>
      <c r="E382" s="193" t="s">
        <v>204</v>
      </c>
      <c r="F382" s="189" t="s">
        <v>5202</v>
      </c>
      <c r="G382" s="189" t="s">
        <v>5203</v>
      </c>
      <c r="H382" s="174" t="s">
        <v>387</v>
      </c>
      <c r="I382" s="189" t="s">
        <v>3207</v>
      </c>
      <c r="J382" s="189" t="s">
        <v>5204</v>
      </c>
    </row>
    <row r="383" spans="1:10" ht="23.4">
      <c r="A383" s="167"/>
      <c r="B383" s="167"/>
      <c r="C383" s="189" t="s">
        <v>5205</v>
      </c>
      <c r="D383" s="189" t="s">
        <v>5206</v>
      </c>
      <c r="E383" s="193" t="s">
        <v>204</v>
      </c>
      <c r="F383" s="189" t="s">
        <v>5207</v>
      </c>
      <c r="G383" s="189" t="s">
        <v>4856</v>
      </c>
      <c r="H383" s="174" t="s">
        <v>387</v>
      </c>
      <c r="I383" s="189" t="s">
        <v>3913</v>
      </c>
      <c r="J383" s="189" t="s">
        <v>5208</v>
      </c>
    </row>
    <row r="384" spans="1:10" ht="24" thickBot="1">
      <c r="A384" s="167"/>
      <c r="B384" s="167"/>
      <c r="C384" s="189" t="s">
        <v>5209</v>
      </c>
      <c r="D384" s="189" t="s">
        <v>5210</v>
      </c>
      <c r="E384" s="193" t="s">
        <v>204</v>
      </c>
      <c r="F384" s="189" t="s">
        <v>3152</v>
      </c>
      <c r="G384" s="189" t="s">
        <v>5211</v>
      </c>
      <c r="H384" s="195" t="s">
        <v>14</v>
      </c>
      <c r="I384" s="189" t="s">
        <v>4850</v>
      </c>
      <c r="J384" s="189" t="s">
        <v>5212</v>
      </c>
    </row>
    <row r="385" spans="1:10" ht="23.4">
      <c r="A385" s="167"/>
      <c r="B385" s="167"/>
      <c r="C385" s="189" t="s">
        <v>5213</v>
      </c>
      <c r="D385" s="189" t="s">
        <v>5214</v>
      </c>
      <c r="E385" s="193" t="s">
        <v>204</v>
      </c>
      <c r="F385" s="189" t="s">
        <v>5215</v>
      </c>
      <c r="G385" s="189" t="s">
        <v>3395</v>
      </c>
      <c r="H385" s="174" t="s">
        <v>387</v>
      </c>
      <c r="I385" s="189" t="s">
        <v>4633</v>
      </c>
      <c r="J385" s="189" t="s">
        <v>5216</v>
      </c>
    </row>
    <row r="386" spans="1:10" ht="23.4">
      <c r="A386" s="167"/>
      <c r="B386" s="167"/>
      <c r="C386" s="189" t="s">
        <v>5217</v>
      </c>
      <c r="D386" s="189" t="s">
        <v>5218</v>
      </c>
      <c r="E386" s="193" t="s">
        <v>204</v>
      </c>
      <c r="F386" s="189" t="s">
        <v>5219</v>
      </c>
      <c r="G386" s="189" t="s">
        <v>5220</v>
      </c>
      <c r="H386" s="174" t="s">
        <v>14</v>
      </c>
      <c r="I386" s="189" t="s">
        <v>5221</v>
      </c>
      <c r="J386" s="189" t="s">
        <v>5222</v>
      </c>
    </row>
    <row r="387" spans="1:10" ht="23.4" customHeight="1">
      <c r="A387" s="167"/>
      <c r="B387" s="145" t="s">
        <v>4385</v>
      </c>
      <c r="C387" s="189" t="s">
        <v>5223</v>
      </c>
      <c r="D387" s="189" t="s">
        <v>5224</v>
      </c>
      <c r="E387" s="193" t="s">
        <v>209</v>
      </c>
      <c r="F387" s="189" t="s">
        <v>5225</v>
      </c>
      <c r="G387" s="189" t="s">
        <v>5226</v>
      </c>
      <c r="H387" s="174" t="s">
        <v>14</v>
      </c>
      <c r="I387" s="189" t="s">
        <v>5227</v>
      </c>
      <c r="J387" s="189" t="s">
        <v>5228</v>
      </c>
    </row>
    <row r="388" spans="1:10" ht="23.4">
      <c r="A388" s="167"/>
      <c r="B388" s="167"/>
      <c r="C388" s="189" t="s">
        <v>5229</v>
      </c>
      <c r="D388" s="189" t="s">
        <v>5230</v>
      </c>
      <c r="E388" s="193" t="s">
        <v>209</v>
      </c>
      <c r="F388" s="189" t="s">
        <v>5231</v>
      </c>
      <c r="G388" s="189" t="s">
        <v>5232</v>
      </c>
      <c r="H388" s="174" t="s">
        <v>387</v>
      </c>
      <c r="I388" s="189" t="s">
        <v>5233</v>
      </c>
      <c r="J388" s="189" t="s">
        <v>5234</v>
      </c>
    </row>
    <row r="389" spans="1:10" ht="23.4">
      <c r="A389" s="167"/>
      <c r="B389" s="167"/>
      <c r="C389" s="189" t="s">
        <v>5235</v>
      </c>
      <c r="D389" s="189" t="s">
        <v>5236</v>
      </c>
      <c r="E389" s="193" t="s">
        <v>209</v>
      </c>
      <c r="F389" s="189" t="s">
        <v>5237</v>
      </c>
      <c r="G389" s="189" t="s">
        <v>3190</v>
      </c>
      <c r="H389" s="174" t="s">
        <v>14</v>
      </c>
      <c r="I389" s="189" t="s">
        <v>5238</v>
      </c>
      <c r="J389" s="189" t="s">
        <v>5239</v>
      </c>
    </row>
    <row r="390" spans="1:10" ht="23.4">
      <c r="A390" s="167"/>
      <c r="B390" s="167"/>
      <c r="C390" s="189" t="s">
        <v>5240</v>
      </c>
      <c r="D390" s="189" t="s">
        <v>5241</v>
      </c>
      <c r="E390" s="193" t="s">
        <v>204</v>
      </c>
      <c r="F390" s="189" t="s">
        <v>5242</v>
      </c>
      <c r="G390" s="189" t="s">
        <v>5243</v>
      </c>
      <c r="H390" s="174" t="s">
        <v>387</v>
      </c>
      <c r="I390" s="189" t="s">
        <v>3080</v>
      </c>
      <c r="J390" s="189" t="s">
        <v>5244</v>
      </c>
    </row>
    <row r="391" spans="1:10" ht="23.4">
      <c r="A391" s="167"/>
      <c r="B391" s="167"/>
      <c r="C391" s="189" t="s">
        <v>5245</v>
      </c>
      <c r="D391" s="189" t="s">
        <v>5246</v>
      </c>
      <c r="E391" s="193" t="s">
        <v>204</v>
      </c>
      <c r="F391" s="189" t="s">
        <v>5247</v>
      </c>
      <c r="G391" s="189" t="s">
        <v>5248</v>
      </c>
      <c r="H391" s="174" t="s">
        <v>14</v>
      </c>
      <c r="I391" s="189" t="s">
        <v>4539</v>
      </c>
      <c r="J391" s="189" t="s">
        <v>5249</v>
      </c>
    </row>
    <row r="392" spans="1:10" ht="23.4" customHeight="1">
      <c r="A392" s="166" t="s">
        <v>5250</v>
      </c>
      <c r="B392" s="153" t="s">
        <v>4386</v>
      </c>
      <c r="C392" s="188" t="s">
        <v>5251</v>
      </c>
      <c r="D392" s="188" t="s">
        <v>5252</v>
      </c>
      <c r="E392" s="193" t="s">
        <v>209</v>
      </c>
      <c r="F392" s="188" t="s">
        <v>5253</v>
      </c>
      <c r="G392" s="188" t="s">
        <v>5254</v>
      </c>
      <c r="H392" s="184" t="s">
        <v>14</v>
      </c>
      <c r="I392" s="188" t="s">
        <v>5255</v>
      </c>
      <c r="J392" s="188" t="s">
        <v>5256</v>
      </c>
    </row>
    <row r="393" spans="1:10" ht="23.4">
      <c r="A393" s="166"/>
      <c r="B393" s="166"/>
      <c r="C393" s="188" t="s">
        <v>5257</v>
      </c>
      <c r="D393" s="188" t="s">
        <v>5258</v>
      </c>
      <c r="E393" s="193" t="s">
        <v>204</v>
      </c>
      <c r="F393" s="188" t="s">
        <v>5259</v>
      </c>
      <c r="G393" s="188" t="s">
        <v>5260</v>
      </c>
      <c r="H393" s="184" t="s">
        <v>387</v>
      </c>
      <c r="I393" s="188" t="s">
        <v>5261</v>
      </c>
      <c r="J393" s="188" t="s">
        <v>5262</v>
      </c>
    </row>
    <row r="394" spans="1:10" ht="23.4">
      <c r="A394" s="166"/>
      <c r="B394" s="166"/>
      <c r="C394" s="188" t="s">
        <v>5263</v>
      </c>
      <c r="D394" s="188" t="s">
        <v>5264</v>
      </c>
      <c r="E394" s="193" t="s">
        <v>204</v>
      </c>
      <c r="F394" s="188" t="s">
        <v>5265</v>
      </c>
      <c r="G394" s="188" t="s">
        <v>3486</v>
      </c>
      <c r="H394" s="184" t="s">
        <v>387</v>
      </c>
      <c r="I394" s="188" t="s">
        <v>5161</v>
      </c>
      <c r="J394" s="188" t="s">
        <v>5266</v>
      </c>
    </row>
    <row r="395" spans="1:10" ht="23.4">
      <c r="A395" s="166"/>
      <c r="B395" s="166"/>
      <c r="C395" s="188" t="s">
        <v>5267</v>
      </c>
      <c r="D395" s="188" t="s">
        <v>5268</v>
      </c>
      <c r="E395" s="193" t="s">
        <v>204</v>
      </c>
      <c r="F395" s="188" t="s">
        <v>5269</v>
      </c>
      <c r="G395" s="188" t="s">
        <v>3660</v>
      </c>
      <c r="H395" s="184" t="s">
        <v>14</v>
      </c>
      <c r="I395" s="188" t="s">
        <v>4122</v>
      </c>
      <c r="J395" s="188" t="s">
        <v>5270</v>
      </c>
    </row>
    <row r="396" spans="1:10" ht="23.4">
      <c r="A396" s="166"/>
      <c r="B396" s="166"/>
      <c r="C396" s="188" t="s">
        <v>5271</v>
      </c>
      <c r="D396" s="188" t="s">
        <v>5272</v>
      </c>
      <c r="E396" s="193" t="s">
        <v>204</v>
      </c>
      <c r="F396" s="188" t="s">
        <v>3676</v>
      </c>
      <c r="G396" s="188" t="s">
        <v>5273</v>
      </c>
      <c r="H396" s="184" t="s">
        <v>387</v>
      </c>
      <c r="I396" s="188" t="s">
        <v>5274</v>
      </c>
      <c r="J396" s="188" t="s">
        <v>5275</v>
      </c>
    </row>
    <row r="397" spans="1:10" ht="23.4" customHeight="1">
      <c r="A397" s="166"/>
      <c r="B397" s="166" t="s">
        <v>165</v>
      </c>
      <c r="C397" s="188" t="s">
        <v>5276</v>
      </c>
      <c r="D397" s="188" t="s">
        <v>5277</v>
      </c>
      <c r="E397" s="193" t="s">
        <v>204</v>
      </c>
      <c r="F397" s="188" t="s">
        <v>5278</v>
      </c>
      <c r="G397" s="188" t="s">
        <v>3790</v>
      </c>
      <c r="H397" s="184" t="s">
        <v>387</v>
      </c>
      <c r="I397" s="188" t="s">
        <v>4716</v>
      </c>
      <c r="J397" s="188" t="s">
        <v>4030</v>
      </c>
    </row>
    <row r="398" spans="1:10" ht="23.4">
      <c r="A398" s="166"/>
      <c r="B398" s="166"/>
      <c r="C398" s="188" t="s">
        <v>5279</v>
      </c>
      <c r="D398" s="188" t="s">
        <v>5280</v>
      </c>
      <c r="E398" s="193" t="s">
        <v>209</v>
      </c>
      <c r="F398" s="188" t="s">
        <v>3829</v>
      </c>
      <c r="G398" s="188" t="s">
        <v>5281</v>
      </c>
      <c r="H398" s="184" t="s">
        <v>387</v>
      </c>
      <c r="I398" s="188" t="s">
        <v>3796</v>
      </c>
      <c r="J398" s="188" t="s">
        <v>5282</v>
      </c>
    </row>
    <row r="399" spans="1:10" ht="23.4">
      <c r="A399" s="166"/>
      <c r="B399" s="166"/>
      <c r="C399" s="188" t="s">
        <v>5283</v>
      </c>
      <c r="D399" s="188" t="s">
        <v>5284</v>
      </c>
      <c r="E399" s="193" t="s">
        <v>209</v>
      </c>
      <c r="F399" s="188" t="s">
        <v>3153</v>
      </c>
      <c r="G399" s="188" t="s">
        <v>5285</v>
      </c>
      <c r="H399" s="184" t="s">
        <v>387</v>
      </c>
      <c r="I399" s="188" t="s">
        <v>3423</v>
      </c>
      <c r="J399" s="188" t="s">
        <v>5286</v>
      </c>
    </row>
    <row r="400" spans="1:10" ht="24" thickBot="1">
      <c r="A400" s="166"/>
      <c r="B400" s="166"/>
      <c r="C400" s="188" t="s">
        <v>5287</v>
      </c>
      <c r="D400" s="188" t="s">
        <v>5288</v>
      </c>
      <c r="E400" s="193" t="s">
        <v>242</v>
      </c>
      <c r="F400" s="188" t="s">
        <v>5289</v>
      </c>
      <c r="G400" s="188" t="s">
        <v>2388</v>
      </c>
      <c r="H400" s="194" t="s">
        <v>14</v>
      </c>
      <c r="I400" s="188" t="s">
        <v>3012</v>
      </c>
      <c r="J400" s="188" t="s">
        <v>5290</v>
      </c>
    </row>
    <row r="401" spans="1:10" ht="23.4">
      <c r="A401" s="166"/>
      <c r="B401" s="166"/>
      <c r="C401" s="188" t="s">
        <v>5291</v>
      </c>
      <c r="D401" s="188" t="s">
        <v>5292</v>
      </c>
      <c r="E401" s="193" t="s">
        <v>242</v>
      </c>
      <c r="F401" s="188" t="s">
        <v>3156</v>
      </c>
      <c r="G401" s="188" t="s">
        <v>5293</v>
      </c>
      <c r="H401" s="184" t="s">
        <v>387</v>
      </c>
      <c r="I401" s="188" t="s">
        <v>2320</v>
      </c>
      <c r="J401" s="188" t="s">
        <v>5294</v>
      </c>
    </row>
    <row r="402" spans="1:10" ht="23.4">
      <c r="A402" s="166"/>
      <c r="B402" s="166" t="s">
        <v>4387</v>
      </c>
      <c r="C402" s="188" t="s">
        <v>5295</v>
      </c>
      <c r="D402" s="188" t="s">
        <v>5296</v>
      </c>
      <c r="E402" s="193" t="s">
        <v>209</v>
      </c>
      <c r="F402" s="188" t="s">
        <v>3142</v>
      </c>
      <c r="G402" s="188" t="s">
        <v>3143</v>
      </c>
      <c r="H402" s="184" t="s">
        <v>14</v>
      </c>
      <c r="I402" s="188" t="s">
        <v>5297</v>
      </c>
      <c r="J402" s="188" t="s">
        <v>5298</v>
      </c>
    </row>
    <row r="403" spans="1:10" ht="23.4">
      <c r="A403" s="166"/>
      <c r="B403" s="166"/>
      <c r="C403" s="188" t="s">
        <v>5299</v>
      </c>
      <c r="D403" s="188" t="s">
        <v>5300</v>
      </c>
      <c r="E403" s="193" t="s">
        <v>209</v>
      </c>
      <c r="F403" s="188" t="s">
        <v>5301</v>
      </c>
      <c r="G403" s="188" t="s">
        <v>5302</v>
      </c>
      <c r="H403" s="184" t="s">
        <v>387</v>
      </c>
      <c r="I403" s="188" t="s">
        <v>5303</v>
      </c>
      <c r="J403" s="188" t="s">
        <v>5304</v>
      </c>
    </row>
    <row r="404" spans="1:10" ht="23.4">
      <c r="A404" s="166"/>
      <c r="B404" s="166"/>
      <c r="C404" s="188" t="s">
        <v>5305</v>
      </c>
      <c r="D404" s="188" t="s">
        <v>5306</v>
      </c>
      <c r="E404" s="193" t="s">
        <v>204</v>
      </c>
      <c r="F404" s="188" t="s">
        <v>5307</v>
      </c>
      <c r="G404" s="188" t="s">
        <v>5308</v>
      </c>
      <c r="H404" s="184" t="s">
        <v>14</v>
      </c>
      <c r="I404" s="188" t="s">
        <v>5309</v>
      </c>
      <c r="J404" s="188" t="s">
        <v>5310</v>
      </c>
    </row>
    <row r="405" spans="1:10" ht="23.4">
      <c r="A405" s="166"/>
      <c r="B405" s="166"/>
      <c r="C405" s="188" t="s">
        <v>5311</v>
      </c>
      <c r="D405" s="188" t="s">
        <v>5312</v>
      </c>
      <c r="E405" s="193" t="s">
        <v>204</v>
      </c>
      <c r="F405" s="188" t="s">
        <v>5313</v>
      </c>
      <c r="G405" s="188" t="s">
        <v>5314</v>
      </c>
      <c r="H405" s="184" t="s">
        <v>387</v>
      </c>
      <c r="I405" s="188" t="s">
        <v>5315</v>
      </c>
      <c r="J405" s="188" t="s">
        <v>5316</v>
      </c>
    </row>
    <row r="406" spans="1:10" ht="24" thickBot="1">
      <c r="A406" s="166"/>
      <c r="B406" s="166"/>
      <c r="C406" s="188" t="s">
        <v>5317</v>
      </c>
      <c r="D406" s="188" t="s">
        <v>5318</v>
      </c>
      <c r="E406" s="193" t="s">
        <v>204</v>
      </c>
      <c r="F406" s="188" t="s">
        <v>5319</v>
      </c>
      <c r="G406" s="188" t="s">
        <v>5320</v>
      </c>
      <c r="H406" s="194" t="s">
        <v>14</v>
      </c>
      <c r="I406" s="188" t="s">
        <v>3869</v>
      </c>
      <c r="J406" s="188" t="s">
        <v>5321</v>
      </c>
    </row>
    <row r="407" spans="1:10" ht="23.4" customHeight="1">
      <c r="A407" s="166"/>
      <c r="B407" s="153" t="s">
        <v>4388</v>
      </c>
      <c r="C407" s="188" t="s">
        <v>5322</v>
      </c>
      <c r="D407" s="188" t="s">
        <v>5323</v>
      </c>
      <c r="E407" s="193" t="s">
        <v>204</v>
      </c>
      <c r="F407" s="188" t="s">
        <v>5324</v>
      </c>
      <c r="G407" s="188" t="s">
        <v>3609</v>
      </c>
      <c r="H407" s="184" t="s">
        <v>387</v>
      </c>
      <c r="I407" s="188" t="s">
        <v>5325</v>
      </c>
      <c r="J407" s="188" t="s">
        <v>5326</v>
      </c>
    </row>
    <row r="408" spans="1:10" ht="23.4">
      <c r="A408" s="166"/>
      <c r="B408" s="166"/>
      <c r="C408" s="188" t="s">
        <v>5327</v>
      </c>
      <c r="D408" s="188" t="s">
        <v>5328</v>
      </c>
      <c r="E408" s="193" t="s">
        <v>204</v>
      </c>
      <c r="F408" s="188" t="s">
        <v>5329</v>
      </c>
      <c r="G408" s="188" t="s">
        <v>5330</v>
      </c>
      <c r="H408" s="184" t="s">
        <v>14</v>
      </c>
      <c r="I408" s="188" t="s">
        <v>5149</v>
      </c>
      <c r="J408" s="188" t="s">
        <v>5331</v>
      </c>
    </row>
    <row r="409" spans="1:10" ht="23.4">
      <c r="A409" s="166"/>
      <c r="B409" s="166"/>
      <c r="C409" s="188" t="s">
        <v>5332</v>
      </c>
      <c r="D409" s="188" t="s">
        <v>5333</v>
      </c>
      <c r="E409" s="193" t="s">
        <v>204</v>
      </c>
      <c r="F409" s="188" t="s">
        <v>5334</v>
      </c>
      <c r="G409" s="188" t="s">
        <v>5335</v>
      </c>
      <c r="H409" s="184" t="s">
        <v>14</v>
      </c>
      <c r="I409" s="188" t="s">
        <v>5336</v>
      </c>
      <c r="J409" s="188" t="s">
        <v>5337</v>
      </c>
    </row>
    <row r="410" spans="1:10" ht="23.4">
      <c r="A410" s="166"/>
      <c r="B410" s="166"/>
      <c r="C410" s="188" t="s">
        <v>5338</v>
      </c>
      <c r="D410" s="188" t="s">
        <v>5339</v>
      </c>
      <c r="E410" s="193" t="s">
        <v>204</v>
      </c>
      <c r="F410" s="188" t="s">
        <v>5340</v>
      </c>
      <c r="G410" s="188" t="s">
        <v>3486</v>
      </c>
      <c r="H410" s="184" t="s">
        <v>387</v>
      </c>
      <c r="I410" s="188" t="s">
        <v>3801</v>
      </c>
      <c r="J410" s="188" t="s">
        <v>5341</v>
      </c>
    </row>
    <row r="411" spans="1:10" ht="23.4">
      <c r="A411" s="166"/>
      <c r="B411" s="166"/>
      <c r="C411" s="188" t="s">
        <v>5342</v>
      </c>
      <c r="D411" s="188" t="s">
        <v>5343</v>
      </c>
      <c r="E411" s="193" t="s">
        <v>204</v>
      </c>
      <c r="F411" s="188" t="s">
        <v>5344</v>
      </c>
      <c r="G411" s="188" t="s">
        <v>5345</v>
      </c>
      <c r="H411" s="184" t="s">
        <v>14</v>
      </c>
      <c r="I411" s="188" t="s">
        <v>5346</v>
      </c>
      <c r="J411" s="188" t="s">
        <v>5347</v>
      </c>
    </row>
    <row r="412" spans="1:10" ht="23.4" customHeight="1">
      <c r="A412" s="166"/>
      <c r="B412" s="166" t="s">
        <v>4389</v>
      </c>
      <c r="C412" s="188" t="s">
        <v>5348</v>
      </c>
      <c r="D412" s="188" t="s">
        <v>5349</v>
      </c>
      <c r="E412" s="193" t="s">
        <v>204</v>
      </c>
      <c r="F412" s="188" t="s">
        <v>5350</v>
      </c>
      <c r="G412" s="188" t="s">
        <v>5351</v>
      </c>
      <c r="H412" s="184" t="s">
        <v>387</v>
      </c>
      <c r="I412" s="188" t="s">
        <v>3876</v>
      </c>
      <c r="J412" s="188" t="s">
        <v>5352</v>
      </c>
    </row>
    <row r="413" spans="1:10" ht="23.4">
      <c r="A413" s="166"/>
      <c r="B413" s="166"/>
      <c r="C413" s="188" t="s">
        <v>5353</v>
      </c>
      <c r="D413" s="188" t="s">
        <v>5354</v>
      </c>
      <c r="E413" s="193" t="s">
        <v>204</v>
      </c>
      <c r="F413" s="188" t="s">
        <v>5355</v>
      </c>
      <c r="G413" s="188" t="s">
        <v>5356</v>
      </c>
      <c r="H413" s="184" t="s">
        <v>387</v>
      </c>
      <c r="I413" s="188" t="s">
        <v>4584</v>
      </c>
      <c r="J413" s="188" t="s">
        <v>5357</v>
      </c>
    </row>
    <row r="414" spans="1:10" ht="23.4">
      <c r="A414" s="166"/>
      <c r="B414" s="166"/>
      <c r="C414" s="188" t="s">
        <v>5358</v>
      </c>
      <c r="D414" s="188" t="s">
        <v>5359</v>
      </c>
      <c r="E414" s="193" t="s">
        <v>209</v>
      </c>
      <c r="F414" s="188" t="s">
        <v>5360</v>
      </c>
      <c r="G414" s="188" t="s">
        <v>5361</v>
      </c>
      <c r="H414" s="184" t="s">
        <v>14</v>
      </c>
      <c r="I414" s="188" t="s">
        <v>5362</v>
      </c>
      <c r="J414" s="188" t="s">
        <v>5363</v>
      </c>
    </row>
    <row r="415" spans="1:10" ht="23.4">
      <c r="A415" s="166"/>
      <c r="B415" s="166"/>
      <c r="C415" s="188" t="s">
        <v>5364</v>
      </c>
      <c r="D415" s="188" t="s">
        <v>5365</v>
      </c>
      <c r="E415" s="193" t="s">
        <v>209</v>
      </c>
      <c r="F415" s="188" t="s">
        <v>5366</v>
      </c>
      <c r="G415" s="188" t="s">
        <v>5367</v>
      </c>
      <c r="H415" s="184" t="s">
        <v>387</v>
      </c>
      <c r="I415" s="188" t="s">
        <v>5368</v>
      </c>
      <c r="J415" s="188" t="s">
        <v>5369</v>
      </c>
    </row>
    <row r="416" spans="1:10" ht="23.4">
      <c r="A416" s="166"/>
      <c r="B416" s="166"/>
      <c r="C416" s="188" t="s">
        <v>5370</v>
      </c>
      <c r="D416" s="188" t="s">
        <v>5371</v>
      </c>
      <c r="E416" s="193" t="s">
        <v>209</v>
      </c>
      <c r="F416" s="188" t="s">
        <v>5372</v>
      </c>
      <c r="G416" s="188" t="s">
        <v>5373</v>
      </c>
      <c r="H416" s="184" t="s">
        <v>387</v>
      </c>
      <c r="I416" s="188" t="s">
        <v>3486</v>
      </c>
      <c r="J416" s="188" t="s">
        <v>5374</v>
      </c>
    </row>
    <row r="417" spans="1:10" ht="23.4" customHeight="1">
      <c r="A417" s="166"/>
      <c r="B417" s="166" t="s">
        <v>4390</v>
      </c>
      <c r="C417" s="188" t="s">
        <v>5375</v>
      </c>
      <c r="D417" s="188" t="s">
        <v>5376</v>
      </c>
      <c r="E417" s="193" t="s">
        <v>204</v>
      </c>
      <c r="F417" s="188" t="s">
        <v>4829</v>
      </c>
      <c r="G417" s="188" t="s">
        <v>5377</v>
      </c>
      <c r="H417" s="184" t="s">
        <v>387</v>
      </c>
      <c r="I417" s="188" t="s">
        <v>2225</v>
      </c>
      <c r="J417" s="188" t="s">
        <v>5378</v>
      </c>
    </row>
    <row r="418" spans="1:10" ht="23.4">
      <c r="A418" s="166"/>
      <c r="B418" s="166"/>
      <c r="C418" s="188" t="s">
        <v>5379</v>
      </c>
      <c r="D418" s="188" t="s">
        <v>5380</v>
      </c>
      <c r="E418" s="193" t="s">
        <v>204</v>
      </c>
      <c r="F418" s="188" t="s">
        <v>5381</v>
      </c>
      <c r="G418" s="188" t="s">
        <v>5382</v>
      </c>
      <c r="H418" s="184" t="s">
        <v>387</v>
      </c>
      <c r="I418" s="188" t="s">
        <v>5383</v>
      </c>
      <c r="J418" s="188" t="s">
        <v>5384</v>
      </c>
    </row>
    <row r="419" spans="1:10" ht="24" thickBot="1">
      <c r="A419" s="166"/>
      <c r="B419" s="166"/>
      <c r="C419" s="188" t="s">
        <v>5385</v>
      </c>
      <c r="D419" s="188" t="s">
        <v>5386</v>
      </c>
      <c r="E419" s="193" t="s">
        <v>204</v>
      </c>
      <c r="F419" s="188" t="s">
        <v>5387</v>
      </c>
      <c r="G419" s="188" t="s">
        <v>5388</v>
      </c>
      <c r="H419" s="194" t="s">
        <v>14</v>
      </c>
      <c r="I419" s="188" t="s">
        <v>5309</v>
      </c>
      <c r="J419" s="188" t="s">
        <v>5389</v>
      </c>
    </row>
    <row r="420" spans="1:10" ht="23.4">
      <c r="A420" s="166"/>
      <c r="B420" s="166"/>
      <c r="C420" s="188" t="s">
        <v>5390</v>
      </c>
      <c r="D420" s="188" t="s">
        <v>5391</v>
      </c>
      <c r="E420" s="193" t="s">
        <v>242</v>
      </c>
      <c r="F420" s="188" t="s">
        <v>5392</v>
      </c>
      <c r="G420" s="188" t="s">
        <v>5393</v>
      </c>
      <c r="H420" s="184" t="s">
        <v>387</v>
      </c>
      <c r="I420" s="188" t="s">
        <v>5394</v>
      </c>
      <c r="J420" s="188" t="s">
        <v>5395</v>
      </c>
    </row>
    <row r="421" spans="1:10" ht="23.4">
      <c r="A421" s="166"/>
      <c r="B421" s="166"/>
      <c r="C421" s="188" t="s">
        <v>5396</v>
      </c>
      <c r="D421" s="188" t="s">
        <v>5397</v>
      </c>
      <c r="E421" s="193" t="s">
        <v>204</v>
      </c>
      <c r="F421" s="188" t="s">
        <v>5398</v>
      </c>
      <c r="G421" s="188" t="s">
        <v>5399</v>
      </c>
      <c r="H421" s="184" t="s">
        <v>14</v>
      </c>
      <c r="I421" s="188" t="s">
        <v>2556</v>
      </c>
      <c r="J421" s="188" t="s">
        <v>5400</v>
      </c>
    </row>
    <row r="422" spans="1:10" ht="23.4" customHeight="1">
      <c r="A422" s="166"/>
      <c r="B422" s="153" t="s">
        <v>4391</v>
      </c>
      <c r="C422" s="188" t="s">
        <v>5401</v>
      </c>
      <c r="D422" s="188" t="s">
        <v>5402</v>
      </c>
      <c r="E422" s="193" t="s">
        <v>204</v>
      </c>
      <c r="F422" s="188" t="s">
        <v>5403</v>
      </c>
      <c r="G422" s="188" t="s">
        <v>5404</v>
      </c>
      <c r="H422" s="184" t="s">
        <v>14</v>
      </c>
      <c r="I422" s="188" t="s">
        <v>4584</v>
      </c>
      <c r="J422" s="188" t="s">
        <v>5405</v>
      </c>
    </row>
    <row r="423" spans="1:10" ht="23.4">
      <c r="A423" s="166"/>
      <c r="B423" s="166"/>
      <c r="C423" s="188" t="s">
        <v>5406</v>
      </c>
      <c r="D423" s="188" t="s">
        <v>5407</v>
      </c>
      <c r="E423" s="193" t="s">
        <v>204</v>
      </c>
      <c r="F423" s="188" t="s">
        <v>5408</v>
      </c>
      <c r="G423" s="188" t="s">
        <v>5409</v>
      </c>
      <c r="H423" s="184" t="s">
        <v>387</v>
      </c>
      <c r="I423" s="188" t="s">
        <v>5410</v>
      </c>
      <c r="J423" s="188" t="s">
        <v>5411</v>
      </c>
    </row>
    <row r="424" spans="1:10" ht="23.4">
      <c r="A424" s="166"/>
      <c r="B424" s="166"/>
      <c r="C424" s="188" t="s">
        <v>5412</v>
      </c>
      <c r="D424" s="188" t="s">
        <v>5413</v>
      </c>
      <c r="E424" s="193" t="s">
        <v>204</v>
      </c>
      <c r="F424" s="188" t="s">
        <v>5414</v>
      </c>
      <c r="G424" s="188" t="s">
        <v>5415</v>
      </c>
      <c r="H424" s="184" t="s">
        <v>14</v>
      </c>
      <c r="I424" s="188" t="s">
        <v>5416</v>
      </c>
      <c r="J424" s="188" t="s">
        <v>5417</v>
      </c>
    </row>
    <row r="425" spans="1:10" ht="23.4">
      <c r="A425" s="166"/>
      <c r="B425" s="166"/>
      <c r="C425" s="188" t="s">
        <v>5418</v>
      </c>
      <c r="D425" s="188" t="s">
        <v>5419</v>
      </c>
      <c r="E425" s="193" t="s">
        <v>204</v>
      </c>
      <c r="F425" s="188" t="s">
        <v>5420</v>
      </c>
      <c r="G425" s="188" t="s">
        <v>5421</v>
      </c>
      <c r="H425" s="184" t="s">
        <v>387</v>
      </c>
      <c r="I425" s="188" t="s">
        <v>3801</v>
      </c>
      <c r="J425" s="188" t="s">
        <v>5422</v>
      </c>
    </row>
    <row r="426" spans="1:10" ht="23.4">
      <c r="A426" s="166"/>
      <c r="B426" s="166"/>
      <c r="C426" s="188" t="s">
        <v>5423</v>
      </c>
      <c r="D426" s="188" t="s">
        <v>5424</v>
      </c>
      <c r="E426" s="193" t="s">
        <v>204</v>
      </c>
      <c r="F426" s="188" t="s">
        <v>5425</v>
      </c>
      <c r="G426" s="188" t="s">
        <v>5426</v>
      </c>
      <c r="H426" s="184" t="s">
        <v>14</v>
      </c>
      <c r="I426" s="188" t="s">
        <v>3486</v>
      </c>
      <c r="J426" s="188" t="s">
        <v>5427</v>
      </c>
    </row>
    <row r="427" spans="1:10" ht="23.4" customHeight="1">
      <c r="A427" s="166"/>
      <c r="B427" s="153" t="s">
        <v>4392</v>
      </c>
      <c r="C427" s="188" t="s">
        <v>5428</v>
      </c>
      <c r="D427" s="188" t="s">
        <v>5429</v>
      </c>
      <c r="E427" s="193" t="s">
        <v>209</v>
      </c>
      <c r="F427" s="188" t="s">
        <v>5430</v>
      </c>
      <c r="G427" s="188" t="s">
        <v>5431</v>
      </c>
      <c r="H427" s="184" t="s">
        <v>14</v>
      </c>
      <c r="I427" s="188" t="s">
        <v>5432</v>
      </c>
      <c r="J427" s="188" t="s">
        <v>5433</v>
      </c>
    </row>
    <row r="428" spans="1:10" ht="23.4">
      <c r="A428" s="166"/>
      <c r="B428" s="166"/>
      <c r="C428" s="188" t="s">
        <v>5434</v>
      </c>
      <c r="D428" s="188" t="s">
        <v>5435</v>
      </c>
      <c r="E428" s="193" t="s">
        <v>209</v>
      </c>
      <c r="F428" s="188" t="s">
        <v>5436</v>
      </c>
      <c r="G428" s="188" t="s">
        <v>5437</v>
      </c>
      <c r="H428" s="184" t="s">
        <v>387</v>
      </c>
      <c r="I428" s="188" t="s">
        <v>2885</v>
      </c>
      <c r="J428" s="188" t="s">
        <v>5438</v>
      </c>
    </row>
    <row r="429" spans="1:10" ht="23.4">
      <c r="A429" s="166"/>
      <c r="B429" s="166"/>
      <c r="C429" s="188" t="s">
        <v>5439</v>
      </c>
      <c r="D429" s="188" t="s">
        <v>5440</v>
      </c>
      <c r="E429" s="193" t="s">
        <v>209</v>
      </c>
      <c r="F429" s="188" t="s">
        <v>5441</v>
      </c>
      <c r="G429" s="188" t="s">
        <v>3528</v>
      </c>
      <c r="H429" s="184" t="s">
        <v>387</v>
      </c>
      <c r="I429" s="188" t="s">
        <v>3785</v>
      </c>
      <c r="J429" s="188" t="s">
        <v>5442</v>
      </c>
    </row>
    <row r="430" spans="1:10" ht="23.4">
      <c r="A430" s="166"/>
      <c r="B430" s="166"/>
      <c r="C430" s="188" t="s">
        <v>5443</v>
      </c>
      <c r="D430" s="188" t="s">
        <v>5444</v>
      </c>
      <c r="E430" s="193" t="s">
        <v>204</v>
      </c>
      <c r="F430" s="188" t="s">
        <v>5445</v>
      </c>
      <c r="G430" s="188" t="s">
        <v>5446</v>
      </c>
      <c r="H430" s="184" t="s">
        <v>14</v>
      </c>
      <c r="I430" s="188" t="s">
        <v>5447</v>
      </c>
      <c r="J430" s="188" t="s">
        <v>5448</v>
      </c>
    </row>
    <row r="431" spans="1:10" ht="23.4">
      <c r="A431" s="166"/>
      <c r="B431" s="166"/>
      <c r="C431" s="188" t="s">
        <v>5449</v>
      </c>
      <c r="D431" s="188" t="s">
        <v>5450</v>
      </c>
      <c r="E431" s="193" t="s">
        <v>209</v>
      </c>
      <c r="F431" s="188" t="s">
        <v>5451</v>
      </c>
      <c r="G431" s="188" t="s">
        <v>5452</v>
      </c>
      <c r="H431" s="184" t="s">
        <v>387</v>
      </c>
      <c r="I431" s="188" t="s">
        <v>5453</v>
      </c>
      <c r="J431" s="188" t="s">
        <v>5454</v>
      </c>
    </row>
    <row r="432" spans="1:10" ht="23.4" customHeight="1">
      <c r="A432" s="167" t="s">
        <v>166</v>
      </c>
      <c r="B432" s="167" t="s">
        <v>167</v>
      </c>
      <c r="C432" s="189" t="s">
        <v>5455</v>
      </c>
      <c r="D432" s="189" t="s">
        <v>5456</v>
      </c>
      <c r="E432" s="193" t="s">
        <v>209</v>
      </c>
      <c r="F432" s="189" t="s">
        <v>5457</v>
      </c>
      <c r="G432" s="189" t="s">
        <v>5458</v>
      </c>
      <c r="H432" s="174" t="s">
        <v>387</v>
      </c>
      <c r="I432" s="189" t="s">
        <v>3474</v>
      </c>
      <c r="J432" s="189" t="s">
        <v>5459</v>
      </c>
    </row>
    <row r="433" spans="1:10" ht="23.4">
      <c r="A433" s="167"/>
      <c r="B433" s="167"/>
      <c r="C433" s="189" t="s">
        <v>5460</v>
      </c>
      <c r="D433" s="189" t="s">
        <v>5461</v>
      </c>
      <c r="E433" s="193" t="s">
        <v>209</v>
      </c>
      <c r="F433" s="189" t="s">
        <v>3311</v>
      </c>
      <c r="G433" s="189" t="s">
        <v>5462</v>
      </c>
      <c r="H433" s="174" t="s">
        <v>387</v>
      </c>
      <c r="I433" s="189" t="s">
        <v>4071</v>
      </c>
      <c r="J433" s="189" t="s">
        <v>5463</v>
      </c>
    </row>
    <row r="434" spans="1:10" ht="23.4">
      <c r="A434" s="167"/>
      <c r="B434" s="167"/>
      <c r="C434" s="189" t="s">
        <v>5464</v>
      </c>
      <c r="D434" s="189" t="s">
        <v>5465</v>
      </c>
      <c r="E434" s="193" t="s">
        <v>209</v>
      </c>
      <c r="F434" s="189" t="s">
        <v>3162</v>
      </c>
      <c r="G434" s="189" t="s">
        <v>5466</v>
      </c>
      <c r="H434" s="174" t="s">
        <v>387</v>
      </c>
      <c r="I434" s="189" t="s">
        <v>4850</v>
      </c>
      <c r="J434" s="189" t="s">
        <v>5467</v>
      </c>
    </row>
    <row r="435" spans="1:10" ht="24" thickBot="1">
      <c r="A435" s="167"/>
      <c r="B435" s="167"/>
      <c r="C435" s="189" t="s">
        <v>5468</v>
      </c>
      <c r="D435" s="189" t="s">
        <v>5469</v>
      </c>
      <c r="E435" s="193" t="s">
        <v>242</v>
      </c>
      <c r="F435" s="189" t="s">
        <v>5470</v>
      </c>
      <c r="G435" s="189" t="s">
        <v>5471</v>
      </c>
      <c r="H435" s="195" t="s">
        <v>14</v>
      </c>
      <c r="I435" s="189" t="s">
        <v>5315</v>
      </c>
      <c r="J435" s="189" t="s">
        <v>5472</v>
      </c>
    </row>
    <row r="436" spans="1:10" ht="23.4">
      <c r="A436" s="167"/>
      <c r="B436" s="167"/>
      <c r="C436" s="189" t="s">
        <v>5473</v>
      </c>
      <c r="D436" s="189" t="s">
        <v>5474</v>
      </c>
      <c r="E436" s="193" t="s">
        <v>209</v>
      </c>
      <c r="F436" s="189" t="s">
        <v>5475</v>
      </c>
      <c r="G436" s="189" t="s">
        <v>5476</v>
      </c>
      <c r="H436" s="174" t="s">
        <v>387</v>
      </c>
      <c r="I436" s="189" t="s">
        <v>5477</v>
      </c>
      <c r="J436" s="189" t="s">
        <v>5478</v>
      </c>
    </row>
    <row r="437" spans="1:10" ht="23.4" customHeight="1">
      <c r="A437" s="167"/>
      <c r="B437" s="145" t="s">
        <v>4393</v>
      </c>
      <c r="C437" s="189" t="s">
        <v>5479</v>
      </c>
      <c r="D437" s="189" t="s">
        <v>5480</v>
      </c>
      <c r="E437" s="193" t="s">
        <v>209</v>
      </c>
      <c r="F437" s="189" t="s">
        <v>4528</v>
      </c>
      <c r="G437" s="189" t="s">
        <v>3012</v>
      </c>
      <c r="H437" s="174" t="s">
        <v>14</v>
      </c>
      <c r="I437" s="189" t="s">
        <v>4580</v>
      </c>
      <c r="J437" s="189" t="s">
        <v>5481</v>
      </c>
    </row>
    <row r="438" spans="1:10" ht="23.4">
      <c r="A438" s="167"/>
      <c r="B438" s="167"/>
      <c r="C438" s="189" t="s">
        <v>5482</v>
      </c>
      <c r="D438" s="189" t="s">
        <v>5483</v>
      </c>
      <c r="E438" s="193" t="s">
        <v>204</v>
      </c>
      <c r="F438" s="189" t="s">
        <v>5484</v>
      </c>
      <c r="G438" s="189" t="s">
        <v>3219</v>
      </c>
      <c r="H438" s="174" t="s">
        <v>14</v>
      </c>
      <c r="I438" s="189" t="s">
        <v>4584</v>
      </c>
      <c r="J438" s="189" t="s">
        <v>5485</v>
      </c>
    </row>
    <row r="439" spans="1:10" ht="23.4">
      <c r="A439" s="167"/>
      <c r="B439" s="167"/>
      <c r="C439" s="189" t="s">
        <v>5486</v>
      </c>
      <c r="D439" s="189" t="s">
        <v>5487</v>
      </c>
      <c r="E439" s="193" t="s">
        <v>209</v>
      </c>
      <c r="F439" s="189" t="s">
        <v>5488</v>
      </c>
      <c r="G439" s="189" t="s">
        <v>5489</v>
      </c>
      <c r="H439" s="174" t="s">
        <v>387</v>
      </c>
      <c r="I439" s="189" t="s">
        <v>5490</v>
      </c>
      <c r="J439" s="189" t="s">
        <v>5491</v>
      </c>
    </row>
    <row r="440" spans="1:10" ht="23.4">
      <c r="A440" s="167"/>
      <c r="B440" s="167"/>
      <c r="C440" s="189" t="s">
        <v>5492</v>
      </c>
      <c r="D440" s="189" t="s">
        <v>5493</v>
      </c>
      <c r="E440" s="193" t="s">
        <v>204</v>
      </c>
      <c r="F440" s="189" t="s">
        <v>5494</v>
      </c>
      <c r="G440" s="189" t="s">
        <v>5495</v>
      </c>
      <c r="H440" s="174" t="s">
        <v>387</v>
      </c>
      <c r="I440" s="189" t="s">
        <v>2556</v>
      </c>
      <c r="J440" s="189" t="s">
        <v>5496</v>
      </c>
    </row>
    <row r="441" spans="1:10" ht="23.4">
      <c r="A441" s="167"/>
      <c r="B441" s="167"/>
      <c r="C441" s="189" t="s">
        <v>5497</v>
      </c>
      <c r="D441" s="189" t="s">
        <v>5498</v>
      </c>
      <c r="E441" s="193" t="s">
        <v>204</v>
      </c>
      <c r="F441" s="189" t="s">
        <v>5192</v>
      </c>
      <c r="G441" s="189" t="s">
        <v>5499</v>
      </c>
      <c r="H441" s="174" t="s">
        <v>14</v>
      </c>
      <c r="I441" s="189" t="s">
        <v>5500</v>
      </c>
      <c r="J441" s="189" t="s">
        <v>5501</v>
      </c>
    </row>
    <row r="442" spans="1:10" ht="23.4">
      <c r="A442" s="167"/>
      <c r="B442" s="145" t="s">
        <v>4394</v>
      </c>
      <c r="C442" s="189" t="s">
        <v>5502</v>
      </c>
      <c r="D442" s="189" t="s">
        <v>5503</v>
      </c>
      <c r="E442" s="193" t="s">
        <v>204</v>
      </c>
      <c r="F442" s="189" t="s">
        <v>5387</v>
      </c>
      <c r="G442" s="189" t="s">
        <v>5504</v>
      </c>
      <c r="H442" s="174" t="s">
        <v>387</v>
      </c>
      <c r="I442" s="189" t="s">
        <v>5505</v>
      </c>
      <c r="J442" s="189" t="s">
        <v>5506</v>
      </c>
    </row>
    <row r="443" spans="1:10" ht="23.4">
      <c r="A443" s="167"/>
      <c r="B443" s="167"/>
      <c r="C443" s="189" t="s">
        <v>5507</v>
      </c>
      <c r="D443" s="189" t="s">
        <v>5508</v>
      </c>
      <c r="E443" s="193" t="s">
        <v>242</v>
      </c>
      <c r="F443" s="189" t="s">
        <v>5509</v>
      </c>
      <c r="G443" s="189" t="s">
        <v>5510</v>
      </c>
      <c r="H443" s="174" t="s">
        <v>387</v>
      </c>
      <c r="I443" s="189" t="s">
        <v>5511</v>
      </c>
      <c r="J443" s="189" t="s">
        <v>5512</v>
      </c>
    </row>
    <row r="444" spans="1:10" ht="23.4">
      <c r="A444" s="167"/>
      <c r="B444" s="167"/>
      <c r="C444" s="189" t="s">
        <v>5513</v>
      </c>
      <c r="D444" s="189" t="s">
        <v>5514</v>
      </c>
      <c r="E444" s="193" t="s">
        <v>204</v>
      </c>
      <c r="F444" s="189" t="s">
        <v>5515</v>
      </c>
      <c r="G444" s="189" t="s">
        <v>5516</v>
      </c>
      <c r="H444" s="174" t="s">
        <v>387</v>
      </c>
      <c r="I444" s="189" t="s">
        <v>5517</v>
      </c>
      <c r="J444" s="189" t="s">
        <v>5518</v>
      </c>
    </row>
    <row r="445" spans="1:10" ht="23.4">
      <c r="A445" s="167"/>
      <c r="B445" s="167"/>
      <c r="C445" s="189" t="s">
        <v>5519</v>
      </c>
      <c r="D445" s="189" t="s">
        <v>5520</v>
      </c>
      <c r="E445" s="193" t="s">
        <v>209</v>
      </c>
      <c r="F445" s="189" t="s">
        <v>5521</v>
      </c>
      <c r="G445" s="189" t="s">
        <v>5522</v>
      </c>
      <c r="H445" s="174" t="s">
        <v>387</v>
      </c>
      <c r="I445" s="189" t="s">
        <v>5523</v>
      </c>
      <c r="J445" s="189" t="s">
        <v>5524</v>
      </c>
    </row>
    <row r="446" spans="1:10" ht="24" thickBot="1">
      <c r="A446" s="167"/>
      <c r="B446" s="167"/>
      <c r="C446" s="189" t="s">
        <v>5525</v>
      </c>
      <c r="D446" s="189" t="s">
        <v>5526</v>
      </c>
      <c r="E446" s="193" t="s">
        <v>242</v>
      </c>
      <c r="F446" s="189" t="s">
        <v>5527</v>
      </c>
      <c r="G446" s="189" t="s">
        <v>5528</v>
      </c>
      <c r="H446" s="195" t="s">
        <v>14</v>
      </c>
      <c r="I446" s="189" t="s">
        <v>4584</v>
      </c>
      <c r="J446" s="189" t="s">
        <v>5529</v>
      </c>
    </row>
    <row r="447" spans="1:10" ht="16.5" customHeight="1">
      <c r="A447" s="167"/>
      <c r="B447" s="145" t="s">
        <v>4395</v>
      </c>
      <c r="C447" s="189" t="s">
        <v>5530</v>
      </c>
      <c r="D447" s="189" t="s">
        <v>5531</v>
      </c>
      <c r="E447" s="193" t="s">
        <v>209</v>
      </c>
      <c r="F447" s="189" t="s">
        <v>5532</v>
      </c>
      <c r="G447" s="189" t="s">
        <v>5533</v>
      </c>
      <c r="H447" s="174" t="s">
        <v>387</v>
      </c>
      <c r="I447" s="189" t="s">
        <v>5534</v>
      </c>
      <c r="J447" s="189" t="s">
        <v>5535</v>
      </c>
    </row>
    <row r="448" spans="1:10" ht="23.4">
      <c r="A448" s="167"/>
      <c r="B448" s="167"/>
      <c r="C448" s="189" t="s">
        <v>5536</v>
      </c>
      <c r="D448" s="189" t="s">
        <v>5537</v>
      </c>
      <c r="E448" s="193" t="s">
        <v>209</v>
      </c>
      <c r="F448" s="189" t="s">
        <v>5538</v>
      </c>
      <c r="G448" s="189" t="s">
        <v>5539</v>
      </c>
      <c r="H448" s="174" t="s">
        <v>14</v>
      </c>
      <c r="I448" s="189" t="s">
        <v>3391</v>
      </c>
      <c r="J448" s="189" t="s">
        <v>5540</v>
      </c>
    </row>
    <row r="449" spans="1:10" ht="23.4">
      <c r="A449" s="167"/>
      <c r="B449" s="167"/>
      <c r="C449" s="189" t="s">
        <v>5541</v>
      </c>
      <c r="D449" s="189" t="s">
        <v>5542</v>
      </c>
      <c r="E449" s="193" t="s">
        <v>209</v>
      </c>
      <c r="F449" s="189" t="s">
        <v>5543</v>
      </c>
      <c r="G449" s="189" t="s">
        <v>5544</v>
      </c>
      <c r="H449" s="174" t="s">
        <v>14</v>
      </c>
      <c r="I449" s="189" t="s">
        <v>5545</v>
      </c>
      <c r="J449" s="189" t="s">
        <v>5546</v>
      </c>
    </row>
    <row r="450" spans="1:10" ht="23.4">
      <c r="A450" s="167"/>
      <c r="B450" s="167"/>
      <c r="C450" s="189" t="s">
        <v>5547</v>
      </c>
      <c r="D450" s="189" t="s">
        <v>5548</v>
      </c>
      <c r="E450" s="193" t="s">
        <v>204</v>
      </c>
      <c r="F450" s="189" t="s">
        <v>5549</v>
      </c>
      <c r="G450" s="189" t="s">
        <v>5550</v>
      </c>
      <c r="H450" s="174" t="s">
        <v>387</v>
      </c>
      <c r="I450" s="189" t="s">
        <v>5551</v>
      </c>
      <c r="J450" s="189" t="s">
        <v>5552</v>
      </c>
    </row>
    <row r="451" spans="1:10" ht="23.4">
      <c r="A451" s="167"/>
      <c r="B451" s="167"/>
      <c r="C451" s="189" t="s">
        <v>5553</v>
      </c>
      <c r="D451" s="189" t="s">
        <v>5554</v>
      </c>
      <c r="E451" s="193" t="s">
        <v>204</v>
      </c>
      <c r="F451" s="189" t="s">
        <v>5555</v>
      </c>
      <c r="G451" s="189" t="s">
        <v>5556</v>
      </c>
      <c r="H451" s="174" t="s">
        <v>14</v>
      </c>
      <c r="I451" s="189" t="s">
        <v>5557</v>
      </c>
      <c r="J451" s="189" t="s">
        <v>5558</v>
      </c>
    </row>
    <row r="452" spans="1:10" ht="23.4" customHeight="1">
      <c r="A452" s="167"/>
      <c r="B452" s="145" t="s">
        <v>4396</v>
      </c>
      <c r="C452" s="189" t="s">
        <v>5559</v>
      </c>
      <c r="D452" s="189" t="s">
        <v>5560</v>
      </c>
      <c r="E452" s="193" t="s">
        <v>204</v>
      </c>
      <c r="F452" s="189" t="s">
        <v>5561</v>
      </c>
      <c r="G452" s="189" t="s">
        <v>3808</v>
      </c>
      <c r="H452" s="174" t="s">
        <v>387</v>
      </c>
      <c r="I452" s="189" t="s">
        <v>5562</v>
      </c>
      <c r="J452" s="189" t="s">
        <v>5563</v>
      </c>
    </row>
    <row r="453" spans="1:10" ht="23.4">
      <c r="A453" s="167"/>
      <c r="B453" s="167"/>
      <c r="C453" s="189" t="s">
        <v>5564</v>
      </c>
      <c r="D453" s="189" t="s">
        <v>5565</v>
      </c>
      <c r="E453" s="193" t="s">
        <v>204</v>
      </c>
      <c r="F453" s="189" t="s">
        <v>5566</v>
      </c>
      <c r="G453" s="189" t="s">
        <v>5567</v>
      </c>
      <c r="H453" s="174" t="s">
        <v>14</v>
      </c>
      <c r="I453" s="189" t="s">
        <v>5568</v>
      </c>
      <c r="J453" s="189" t="s">
        <v>5569</v>
      </c>
    </row>
    <row r="454" spans="1:10" ht="23.4">
      <c r="A454" s="167"/>
      <c r="B454" s="167"/>
      <c r="C454" s="189" t="s">
        <v>5570</v>
      </c>
      <c r="D454" s="189" t="s">
        <v>5571</v>
      </c>
      <c r="E454" s="193" t="s">
        <v>204</v>
      </c>
      <c r="F454" s="189" t="s">
        <v>5572</v>
      </c>
      <c r="G454" s="189" t="s">
        <v>5573</v>
      </c>
      <c r="H454" s="174" t="s">
        <v>14</v>
      </c>
      <c r="I454" s="189" t="s">
        <v>3463</v>
      </c>
      <c r="J454" s="189" t="s">
        <v>5574</v>
      </c>
    </row>
    <row r="455" spans="1:10" ht="23.4">
      <c r="A455" s="167"/>
      <c r="B455" s="167"/>
      <c r="C455" s="189" t="s">
        <v>5575</v>
      </c>
      <c r="D455" s="189" t="s">
        <v>5576</v>
      </c>
      <c r="E455" s="193" t="s">
        <v>204</v>
      </c>
      <c r="F455" s="189" t="s">
        <v>5577</v>
      </c>
      <c r="G455" s="189" t="s">
        <v>5578</v>
      </c>
      <c r="H455" s="174" t="s">
        <v>387</v>
      </c>
      <c r="I455" s="189" t="s">
        <v>3913</v>
      </c>
      <c r="J455" s="189" t="s">
        <v>5579</v>
      </c>
    </row>
    <row r="456" spans="1:10" ht="23.4">
      <c r="A456" s="167"/>
      <c r="B456" s="167"/>
      <c r="C456" s="189" t="s">
        <v>5580</v>
      </c>
      <c r="D456" s="189" t="s">
        <v>5581</v>
      </c>
      <c r="E456" s="193" t="s">
        <v>204</v>
      </c>
      <c r="F456" s="189" t="s">
        <v>5582</v>
      </c>
      <c r="G456" s="189" t="s">
        <v>3423</v>
      </c>
      <c r="H456" s="174" t="s">
        <v>387</v>
      </c>
      <c r="I456" s="189" t="s">
        <v>3859</v>
      </c>
      <c r="J456" s="189" t="s">
        <v>5583</v>
      </c>
    </row>
    <row r="457" spans="1:10" ht="23.4" customHeight="1">
      <c r="A457" s="167"/>
      <c r="B457" s="145" t="s">
        <v>4397</v>
      </c>
      <c r="C457" s="189" t="s">
        <v>5584</v>
      </c>
      <c r="D457" s="189" t="s">
        <v>5585</v>
      </c>
      <c r="E457" s="193" t="s">
        <v>204</v>
      </c>
      <c r="F457" s="189" t="s">
        <v>5586</v>
      </c>
      <c r="G457" s="189" t="s">
        <v>5587</v>
      </c>
      <c r="H457" s="174" t="s">
        <v>14</v>
      </c>
      <c r="I457" s="189" t="s">
        <v>5588</v>
      </c>
      <c r="J457" s="189" t="s">
        <v>5589</v>
      </c>
    </row>
    <row r="458" spans="1:10" ht="23.4">
      <c r="A458" s="167"/>
      <c r="B458" s="167"/>
      <c r="C458" s="189" t="s">
        <v>5590</v>
      </c>
      <c r="D458" s="189" t="s">
        <v>5591</v>
      </c>
      <c r="E458" s="193" t="s">
        <v>209</v>
      </c>
      <c r="F458" s="189" t="s">
        <v>5592</v>
      </c>
      <c r="G458" s="189" t="s">
        <v>5593</v>
      </c>
      <c r="H458" s="174" t="s">
        <v>387</v>
      </c>
      <c r="I458" s="189" t="s">
        <v>2434</v>
      </c>
      <c r="J458" s="189" t="s">
        <v>5594</v>
      </c>
    </row>
    <row r="459" spans="1:10" ht="23.4">
      <c r="A459" s="167"/>
      <c r="B459" s="167"/>
      <c r="C459" s="189" t="s">
        <v>5595</v>
      </c>
      <c r="D459" s="189" t="s">
        <v>5596</v>
      </c>
      <c r="E459" s="193" t="s">
        <v>209</v>
      </c>
      <c r="F459" s="189" t="s">
        <v>5597</v>
      </c>
      <c r="G459" s="189" t="s">
        <v>5598</v>
      </c>
      <c r="H459" s="174" t="s">
        <v>387</v>
      </c>
      <c r="I459" s="189" t="s">
        <v>5599</v>
      </c>
      <c r="J459" s="189" t="s">
        <v>5600</v>
      </c>
    </row>
    <row r="460" spans="1:10" ht="23.4">
      <c r="A460" s="167"/>
      <c r="B460" s="167"/>
      <c r="C460" s="189" t="s">
        <v>5601</v>
      </c>
      <c r="D460" s="189" t="s">
        <v>5602</v>
      </c>
      <c r="E460" s="193" t="s">
        <v>209</v>
      </c>
      <c r="F460" s="189" t="s">
        <v>5603</v>
      </c>
      <c r="G460" s="189" t="s">
        <v>3012</v>
      </c>
      <c r="H460" s="174" t="s">
        <v>387</v>
      </c>
      <c r="I460" s="189" t="s">
        <v>4236</v>
      </c>
      <c r="J460" s="189" t="s">
        <v>5604</v>
      </c>
    </row>
    <row r="461" spans="1:10" ht="23.4">
      <c r="A461" s="167"/>
      <c r="B461" s="167"/>
      <c r="C461" s="189" t="s">
        <v>5605</v>
      </c>
      <c r="D461" s="189" t="s">
        <v>5606</v>
      </c>
      <c r="E461" s="193" t="s">
        <v>204</v>
      </c>
      <c r="F461" s="189" t="s">
        <v>5607</v>
      </c>
      <c r="G461" s="189" t="s">
        <v>4040</v>
      </c>
      <c r="H461" s="174" t="s">
        <v>387</v>
      </c>
      <c r="I461" s="189" t="s">
        <v>5608</v>
      </c>
      <c r="J461" s="189" t="s">
        <v>5609</v>
      </c>
    </row>
    <row r="462" spans="1:10" ht="23.4" customHeight="1" thickBot="1">
      <c r="A462" s="167"/>
      <c r="B462" s="145" t="s">
        <v>4398</v>
      </c>
      <c r="C462" s="189" t="s">
        <v>5610</v>
      </c>
      <c r="D462" s="189" t="s">
        <v>5611</v>
      </c>
      <c r="E462" s="193" t="s">
        <v>204</v>
      </c>
      <c r="F462" s="189" t="s">
        <v>5612</v>
      </c>
      <c r="G462" s="189" t="s">
        <v>4678</v>
      </c>
      <c r="H462" s="195" t="s">
        <v>14</v>
      </c>
      <c r="I462" s="189" t="s">
        <v>4856</v>
      </c>
      <c r="J462" s="189" t="s">
        <v>5613</v>
      </c>
    </row>
    <row r="463" spans="1:10" ht="23.4">
      <c r="A463" s="167"/>
      <c r="B463" s="167"/>
      <c r="C463" s="189" t="s">
        <v>5614</v>
      </c>
      <c r="D463" s="189" t="s">
        <v>5615</v>
      </c>
      <c r="E463" s="193" t="s">
        <v>209</v>
      </c>
      <c r="F463" s="189" t="s">
        <v>5616</v>
      </c>
      <c r="G463" s="189" t="s">
        <v>5617</v>
      </c>
      <c r="H463" s="174" t="s">
        <v>14</v>
      </c>
      <c r="I463" s="189" t="s">
        <v>5618</v>
      </c>
      <c r="J463" s="189" t="s">
        <v>5619</v>
      </c>
    </row>
    <row r="464" spans="1:10" ht="23.4">
      <c r="A464" s="167"/>
      <c r="B464" s="167"/>
      <c r="C464" s="189" t="s">
        <v>5620</v>
      </c>
      <c r="D464" s="189" t="s">
        <v>5621</v>
      </c>
      <c r="E464" s="193" t="s">
        <v>204</v>
      </c>
      <c r="F464" s="189" t="s">
        <v>3199</v>
      </c>
      <c r="G464" s="189" t="s">
        <v>5622</v>
      </c>
      <c r="H464" s="174" t="s">
        <v>387</v>
      </c>
      <c r="I464" s="189" t="s">
        <v>5623</v>
      </c>
      <c r="J464" s="189" t="s">
        <v>5624</v>
      </c>
    </row>
    <row r="465" spans="1:10" ht="23.4">
      <c r="A465" s="167"/>
      <c r="B465" s="167"/>
      <c r="C465" s="189" t="s">
        <v>5625</v>
      </c>
      <c r="D465" s="189" t="s">
        <v>5626</v>
      </c>
      <c r="E465" s="193" t="s">
        <v>204</v>
      </c>
      <c r="F465" s="189" t="s">
        <v>5627</v>
      </c>
      <c r="G465" s="189" t="s">
        <v>5628</v>
      </c>
      <c r="H465" s="174" t="s">
        <v>387</v>
      </c>
      <c r="I465" s="189" t="s">
        <v>5629</v>
      </c>
      <c r="J465" s="189" t="s">
        <v>5630</v>
      </c>
    </row>
    <row r="466" spans="1:10" ht="23.4">
      <c r="A466" s="167"/>
      <c r="B466" s="167"/>
      <c r="C466" s="189" t="s">
        <v>5631</v>
      </c>
      <c r="D466" s="189" t="s">
        <v>5632</v>
      </c>
      <c r="E466" s="193" t="s">
        <v>204</v>
      </c>
      <c r="F466" s="189" t="s">
        <v>5633</v>
      </c>
      <c r="G466" s="189" t="s">
        <v>3012</v>
      </c>
      <c r="H466" s="174" t="s">
        <v>387</v>
      </c>
      <c r="I466" s="189" t="s">
        <v>4580</v>
      </c>
      <c r="J466" s="189" t="s">
        <v>5634</v>
      </c>
    </row>
    <row r="467" spans="1:10" ht="23.4" customHeight="1">
      <c r="A467" s="167"/>
      <c r="B467" s="145" t="s">
        <v>4399</v>
      </c>
      <c r="C467" s="189" t="s">
        <v>5635</v>
      </c>
      <c r="D467" s="189" t="s">
        <v>5636</v>
      </c>
      <c r="E467" s="193" t="s">
        <v>204</v>
      </c>
      <c r="F467" s="189" t="s">
        <v>5637</v>
      </c>
      <c r="G467" s="189" t="s">
        <v>5638</v>
      </c>
      <c r="H467" s="174" t="s">
        <v>387</v>
      </c>
      <c r="I467" s="189" t="s">
        <v>5639</v>
      </c>
      <c r="J467" s="189" t="s">
        <v>5640</v>
      </c>
    </row>
    <row r="468" spans="1:10" ht="24" thickBot="1">
      <c r="A468" s="167"/>
      <c r="B468" s="167"/>
      <c r="C468" s="189" t="s">
        <v>5641</v>
      </c>
      <c r="D468" s="189" t="s">
        <v>5642</v>
      </c>
      <c r="E468" s="193" t="s">
        <v>204</v>
      </c>
      <c r="F468" s="189" t="s">
        <v>5643</v>
      </c>
      <c r="G468" s="189" t="s">
        <v>5644</v>
      </c>
      <c r="H468" s="195" t="s">
        <v>14</v>
      </c>
      <c r="I468" s="189" t="s">
        <v>3219</v>
      </c>
      <c r="J468" s="189" t="s">
        <v>5529</v>
      </c>
    </row>
    <row r="469" spans="1:10" ht="23.4">
      <c r="A469" s="167"/>
      <c r="B469" s="167"/>
      <c r="C469" s="189" t="s">
        <v>5645</v>
      </c>
      <c r="D469" s="189" t="s">
        <v>5646</v>
      </c>
      <c r="E469" s="193" t="s">
        <v>209</v>
      </c>
      <c r="F469" s="189" t="s">
        <v>4866</v>
      </c>
      <c r="G469" s="189" t="s">
        <v>5647</v>
      </c>
      <c r="H469" s="174" t="s">
        <v>387</v>
      </c>
      <c r="I469" s="189" t="s">
        <v>2885</v>
      </c>
      <c r="J469" s="189" t="s">
        <v>5648</v>
      </c>
    </row>
    <row r="470" spans="1:10" ht="23.4">
      <c r="A470" s="167"/>
      <c r="B470" s="167"/>
      <c r="C470" s="189" t="s">
        <v>5649</v>
      </c>
      <c r="D470" s="189" t="s">
        <v>5650</v>
      </c>
      <c r="E470" s="193" t="s">
        <v>209</v>
      </c>
      <c r="F470" s="189" t="s">
        <v>4834</v>
      </c>
      <c r="G470" s="189" t="s">
        <v>4584</v>
      </c>
      <c r="H470" s="174" t="s">
        <v>14</v>
      </c>
      <c r="I470" s="189" t="s">
        <v>3075</v>
      </c>
      <c r="J470" s="189" t="s">
        <v>5651</v>
      </c>
    </row>
    <row r="471" spans="1:10" ht="23.4">
      <c r="A471" s="167"/>
      <c r="B471" s="167"/>
      <c r="C471" s="189" t="s">
        <v>5652</v>
      </c>
      <c r="D471" s="189" t="s">
        <v>5653</v>
      </c>
      <c r="E471" s="193" t="s">
        <v>242</v>
      </c>
      <c r="F471" s="189" t="s">
        <v>3156</v>
      </c>
      <c r="G471" s="189" t="s">
        <v>5654</v>
      </c>
      <c r="H471" s="174" t="s">
        <v>14</v>
      </c>
      <c r="I471" s="189" t="s">
        <v>4071</v>
      </c>
      <c r="J471" s="189" t="s">
        <v>5655</v>
      </c>
    </row>
    <row r="472" spans="1:10" ht="18" customHeight="1">
      <c r="A472" s="166" t="s">
        <v>168</v>
      </c>
      <c r="B472" s="153" t="s">
        <v>4400</v>
      </c>
      <c r="C472" s="188" t="s">
        <v>5656</v>
      </c>
      <c r="D472" s="188" t="s">
        <v>5657</v>
      </c>
      <c r="E472" s="193" t="s">
        <v>242</v>
      </c>
      <c r="F472" s="188" t="s">
        <v>5658</v>
      </c>
      <c r="G472" s="188" t="s">
        <v>227</v>
      </c>
      <c r="H472" s="184" t="s">
        <v>387</v>
      </c>
      <c r="I472" s="188" t="s">
        <v>5659</v>
      </c>
      <c r="J472" s="188" t="s">
        <v>5660</v>
      </c>
    </row>
    <row r="473" spans="1:10" ht="23.4">
      <c r="A473" s="166"/>
      <c r="B473" s="166"/>
      <c r="C473" s="188" t="s">
        <v>5661</v>
      </c>
      <c r="D473" s="188" t="s">
        <v>5662</v>
      </c>
      <c r="E473" s="193" t="s">
        <v>242</v>
      </c>
      <c r="F473" s="188" t="s">
        <v>5663</v>
      </c>
      <c r="G473" s="188" t="s">
        <v>5664</v>
      </c>
      <c r="H473" s="184" t="s">
        <v>14</v>
      </c>
      <c r="I473" s="188" t="s">
        <v>5665</v>
      </c>
      <c r="J473" s="188" t="s">
        <v>5666</v>
      </c>
    </row>
    <row r="474" spans="1:10" ht="23.4">
      <c r="A474" s="166"/>
      <c r="B474" s="166"/>
      <c r="C474" s="188" t="s">
        <v>5667</v>
      </c>
      <c r="D474" s="188" t="s">
        <v>5668</v>
      </c>
      <c r="E474" s="193" t="s">
        <v>209</v>
      </c>
      <c r="F474" s="188" t="s">
        <v>5669</v>
      </c>
      <c r="G474" s="188" t="s">
        <v>3637</v>
      </c>
      <c r="H474" s="184" t="s">
        <v>387</v>
      </c>
      <c r="I474" s="188" t="s">
        <v>5670</v>
      </c>
      <c r="J474" s="188" t="s">
        <v>5671</v>
      </c>
    </row>
    <row r="475" spans="1:10" ht="23.4">
      <c r="A475" s="166"/>
      <c r="B475" s="166"/>
      <c r="C475" s="188" t="s">
        <v>5672</v>
      </c>
      <c r="D475" s="188" t="s">
        <v>5673</v>
      </c>
      <c r="E475" s="193" t="s">
        <v>204</v>
      </c>
      <c r="F475" s="188" t="s">
        <v>4337</v>
      </c>
      <c r="G475" s="188" t="s">
        <v>3433</v>
      </c>
      <c r="H475" s="184" t="s">
        <v>14</v>
      </c>
      <c r="I475" s="188" t="s">
        <v>3213</v>
      </c>
      <c r="J475" s="188" t="s">
        <v>5674</v>
      </c>
    </row>
    <row r="476" spans="1:10" ht="23.4">
      <c r="A476" s="166"/>
      <c r="B476" s="166"/>
      <c r="C476" s="188" t="s">
        <v>5675</v>
      </c>
      <c r="D476" s="188" t="s">
        <v>5676</v>
      </c>
      <c r="E476" s="193" t="s">
        <v>204</v>
      </c>
      <c r="F476" s="188" t="s">
        <v>4363</v>
      </c>
      <c r="G476" s="188" t="s">
        <v>5677</v>
      </c>
      <c r="H476" s="184" t="s">
        <v>14</v>
      </c>
      <c r="I476" s="188" t="s">
        <v>3486</v>
      </c>
      <c r="J476" s="188" t="s">
        <v>5678</v>
      </c>
    </row>
    <row r="477" spans="1:10" ht="23.4" customHeight="1">
      <c r="A477" s="166"/>
      <c r="B477" s="153" t="s">
        <v>4401</v>
      </c>
      <c r="C477" s="188" t="s">
        <v>5679</v>
      </c>
      <c r="D477" s="188" t="s">
        <v>5680</v>
      </c>
      <c r="E477" s="193" t="s">
        <v>204</v>
      </c>
      <c r="F477" s="188" t="s">
        <v>3818</v>
      </c>
      <c r="G477" s="188" t="s">
        <v>3790</v>
      </c>
      <c r="H477" s="184" t="s">
        <v>387</v>
      </c>
      <c r="I477" s="188" t="s">
        <v>5681</v>
      </c>
      <c r="J477" s="188" t="s">
        <v>5682</v>
      </c>
    </row>
    <row r="478" spans="1:10" ht="23.4">
      <c r="A478" s="166"/>
      <c r="B478" s="166"/>
      <c r="C478" s="188" t="s">
        <v>5683</v>
      </c>
      <c r="D478" s="188" t="s">
        <v>5684</v>
      </c>
      <c r="E478" s="193" t="s">
        <v>209</v>
      </c>
      <c r="F478" s="188" t="s">
        <v>5685</v>
      </c>
      <c r="G478" s="188" t="s">
        <v>3654</v>
      </c>
      <c r="H478" s="184" t="s">
        <v>387</v>
      </c>
      <c r="I478" s="188" t="s">
        <v>3160</v>
      </c>
      <c r="J478" s="188" t="s">
        <v>5686</v>
      </c>
    </row>
    <row r="479" spans="1:10" ht="23.4">
      <c r="A479" s="166"/>
      <c r="B479" s="166"/>
      <c r="C479" s="188" t="s">
        <v>5687</v>
      </c>
      <c r="D479" s="188" t="s">
        <v>5688</v>
      </c>
      <c r="E479" s="193" t="s">
        <v>204</v>
      </c>
      <c r="F479" s="188" t="s">
        <v>5689</v>
      </c>
      <c r="G479" s="188" t="s">
        <v>5690</v>
      </c>
      <c r="H479" s="184" t="s">
        <v>14</v>
      </c>
      <c r="I479" s="188" t="s">
        <v>5691</v>
      </c>
      <c r="J479" s="188" t="s">
        <v>5692</v>
      </c>
    </row>
    <row r="480" spans="1:10" ht="23.4">
      <c r="A480" s="166"/>
      <c r="B480" s="166"/>
      <c r="C480" s="188" t="s">
        <v>5693</v>
      </c>
      <c r="D480" s="188" t="s">
        <v>5694</v>
      </c>
      <c r="E480" s="193" t="s">
        <v>204</v>
      </c>
      <c r="F480" s="188" t="s">
        <v>5695</v>
      </c>
      <c r="G480" s="188" t="s">
        <v>4274</v>
      </c>
      <c r="H480" s="184" t="s">
        <v>387</v>
      </c>
      <c r="I480" s="188" t="s">
        <v>5696</v>
      </c>
      <c r="J480" s="188" t="s">
        <v>5697</v>
      </c>
    </row>
    <row r="481" spans="1:10" ht="24" thickBot="1">
      <c r="A481" s="166"/>
      <c r="B481" s="166"/>
      <c r="C481" s="188" t="s">
        <v>5698</v>
      </c>
      <c r="D481" s="188" t="s">
        <v>5699</v>
      </c>
      <c r="E481" s="193" t="s">
        <v>204</v>
      </c>
      <c r="F481" s="188" t="s">
        <v>5700</v>
      </c>
      <c r="G481" s="188" t="s">
        <v>5701</v>
      </c>
      <c r="H481" s="194" t="s">
        <v>14</v>
      </c>
      <c r="I481" s="188" t="s">
        <v>5702</v>
      </c>
      <c r="J481" s="188" t="s">
        <v>5703</v>
      </c>
    </row>
    <row r="482" spans="1:10" ht="23.4" customHeight="1">
      <c r="A482" s="166"/>
      <c r="B482" s="153" t="s">
        <v>4402</v>
      </c>
      <c r="C482" s="188" t="s">
        <v>5704</v>
      </c>
      <c r="D482" s="188" t="s">
        <v>5705</v>
      </c>
      <c r="E482" s="193" t="s">
        <v>204</v>
      </c>
      <c r="F482" s="188" t="s">
        <v>5706</v>
      </c>
      <c r="G482" s="188" t="s">
        <v>5707</v>
      </c>
      <c r="H482" s="184" t="s">
        <v>14</v>
      </c>
      <c r="I482" s="188" t="s">
        <v>5708</v>
      </c>
      <c r="J482" s="188" t="s">
        <v>5709</v>
      </c>
    </row>
    <row r="483" spans="1:10" ht="23.4">
      <c r="A483" s="166"/>
      <c r="B483" s="166"/>
      <c r="C483" s="188" t="s">
        <v>5710</v>
      </c>
      <c r="D483" s="188" t="s">
        <v>5711</v>
      </c>
      <c r="E483" s="193" t="s">
        <v>204</v>
      </c>
      <c r="F483" s="188" t="s">
        <v>5712</v>
      </c>
      <c r="G483" s="188" t="s">
        <v>5713</v>
      </c>
      <c r="H483" s="184" t="s">
        <v>387</v>
      </c>
      <c r="I483" s="188" t="s">
        <v>5681</v>
      </c>
      <c r="J483" s="188" t="s">
        <v>5714</v>
      </c>
    </row>
    <row r="484" spans="1:10" ht="23.4">
      <c r="A484" s="166"/>
      <c r="B484" s="166"/>
      <c r="C484" s="188" t="s">
        <v>5715</v>
      </c>
      <c r="D484" s="188" t="s">
        <v>5716</v>
      </c>
      <c r="E484" s="193" t="s">
        <v>204</v>
      </c>
      <c r="F484" s="188" t="s">
        <v>3812</v>
      </c>
      <c r="G484" s="188" t="s">
        <v>2388</v>
      </c>
      <c r="H484" s="184" t="s">
        <v>387</v>
      </c>
      <c r="I484" s="188" t="s">
        <v>5717</v>
      </c>
      <c r="J484" s="188" t="s">
        <v>5718</v>
      </c>
    </row>
    <row r="485" spans="1:10" ht="23.4">
      <c r="A485" s="166"/>
      <c r="B485" s="166"/>
      <c r="C485" s="188" t="s">
        <v>5719</v>
      </c>
      <c r="D485" s="188" t="s">
        <v>5720</v>
      </c>
      <c r="E485" s="193" t="s">
        <v>209</v>
      </c>
      <c r="F485" s="188" t="s">
        <v>3157</v>
      </c>
      <c r="G485" s="188" t="s">
        <v>3892</v>
      </c>
      <c r="H485" s="184" t="s">
        <v>387</v>
      </c>
      <c r="I485" s="188" t="s">
        <v>3748</v>
      </c>
      <c r="J485" s="188" t="s">
        <v>5721</v>
      </c>
    </row>
    <row r="486" spans="1:10" ht="23.4">
      <c r="A486" s="166"/>
      <c r="B486" s="166"/>
      <c r="C486" s="188" t="s">
        <v>5722</v>
      </c>
      <c r="D486" s="188" t="s">
        <v>5723</v>
      </c>
      <c r="E486" s="193" t="s">
        <v>209</v>
      </c>
      <c r="F486" s="188" t="s">
        <v>5724</v>
      </c>
      <c r="G486" s="188" t="s">
        <v>5725</v>
      </c>
      <c r="H486" s="184" t="s">
        <v>387</v>
      </c>
      <c r="I486" s="188" t="s">
        <v>5726</v>
      </c>
      <c r="J486" s="188" t="s">
        <v>5727</v>
      </c>
    </row>
    <row r="487" spans="1:10" ht="23.4" customHeight="1" thickBot="1">
      <c r="A487" s="166"/>
      <c r="B487" s="153" t="s">
        <v>4403</v>
      </c>
      <c r="C487" s="188" t="s">
        <v>5728</v>
      </c>
      <c r="D487" s="188" t="s">
        <v>5729</v>
      </c>
      <c r="E487" s="193" t="s">
        <v>209</v>
      </c>
      <c r="F487" s="188" t="s">
        <v>5730</v>
      </c>
      <c r="G487" s="188" t="s">
        <v>5731</v>
      </c>
      <c r="H487" s="194" t="s">
        <v>14</v>
      </c>
      <c r="I487" s="188" t="s">
        <v>4984</v>
      </c>
      <c r="J487" s="188" t="s">
        <v>5732</v>
      </c>
    </row>
    <row r="488" spans="1:10" ht="23.4">
      <c r="A488" s="166"/>
      <c r="B488" s="166"/>
      <c r="C488" s="188" t="s">
        <v>5733</v>
      </c>
      <c r="D488" s="188" t="s">
        <v>5734</v>
      </c>
      <c r="E488" s="193" t="s">
        <v>204</v>
      </c>
      <c r="F488" s="188" t="s">
        <v>5735</v>
      </c>
      <c r="G488" s="188" t="s">
        <v>5736</v>
      </c>
      <c r="H488" s="184" t="s">
        <v>387</v>
      </c>
      <c r="I488" s="188" t="s">
        <v>4591</v>
      </c>
      <c r="J488" s="188" t="s">
        <v>5737</v>
      </c>
    </row>
    <row r="489" spans="1:10" ht="23.4">
      <c r="A489" s="166"/>
      <c r="B489" s="166"/>
      <c r="C489" s="188" t="s">
        <v>5738</v>
      </c>
      <c r="D489" s="188" t="s">
        <v>5739</v>
      </c>
      <c r="E489" s="193" t="s">
        <v>204</v>
      </c>
      <c r="F489" s="188" t="s">
        <v>5740</v>
      </c>
      <c r="G489" s="188" t="s">
        <v>5741</v>
      </c>
      <c r="H489" s="184" t="s">
        <v>14</v>
      </c>
      <c r="I489" s="188" t="s">
        <v>3213</v>
      </c>
      <c r="J489" s="188" t="s">
        <v>5742</v>
      </c>
    </row>
    <row r="490" spans="1:10" ht="23.4">
      <c r="A490" s="166"/>
      <c r="B490" s="166"/>
      <c r="C490" s="188" t="s">
        <v>5743</v>
      </c>
      <c r="D490" s="188" t="s">
        <v>5744</v>
      </c>
      <c r="E490" s="193" t="s">
        <v>204</v>
      </c>
      <c r="F490" s="188" t="s">
        <v>5745</v>
      </c>
      <c r="G490" s="188" t="s">
        <v>5746</v>
      </c>
      <c r="H490" s="184" t="s">
        <v>14</v>
      </c>
      <c r="I490" s="188" t="s">
        <v>3464</v>
      </c>
      <c r="J490" s="188" t="s">
        <v>5747</v>
      </c>
    </row>
    <row r="491" spans="1:10" ht="23.4">
      <c r="A491" s="166"/>
      <c r="B491" s="166"/>
      <c r="C491" s="188" t="s">
        <v>5748</v>
      </c>
      <c r="D491" s="188" t="s">
        <v>5749</v>
      </c>
      <c r="E491" s="193" t="s">
        <v>242</v>
      </c>
      <c r="F491" s="188" t="s">
        <v>5750</v>
      </c>
      <c r="G491" s="188" t="s">
        <v>2560</v>
      </c>
      <c r="H491" s="184" t="s">
        <v>387</v>
      </c>
      <c r="I491" s="188" t="s">
        <v>5751</v>
      </c>
      <c r="J491" s="188" t="s">
        <v>5752</v>
      </c>
    </row>
    <row r="492" spans="1:10" ht="23.4" customHeight="1">
      <c r="A492" s="166"/>
      <c r="B492" s="153" t="s">
        <v>4404</v>
      </c>
      <c r="C492" s="188" t="s">
        <v>5753</v>
      </c>
      <c r="D492" s="188" t="s">
        <v>5754</v>
      </c>
      <c r="E492" s="193" t="s">
        <v>204</v>
      </c>
      <c r="F492" s="188" t="s">
        <v>5755</v>
      </c>
      <c r="G492" s="188" t="s">
        <v>3714</v>
      </c>
      <c r="H492" s="184" t="s">
        <v>14</v>
      </c>
      <c r="I492" s="188" t="s">
        <v>5756</v>
      </c>
      <c r="J492" s="188" t="s">
        <v>5757</v>
      </c>
    </row>
    <row r="493" spans="1:10" ht="23.4">
      <c r="A493" s="166"/>
      <c r="B493" s="166"/>
      <c r="C493" s="188" t="s">
        <v>5758</v>
      </c>
      <c r="D493" s="188" t="s">
        <v>5759</v>
      </c>
      <c r="E493" s="193" t="s">
        <v>204</v>
      </c>
      <c r="F493" s="188" t="s">
        <v>5760</v>
      </c>
      <c r="G493" s="188" t="s">
        <v>3660</v>
      </c>
      <c r="H493" s="184" t="s">
        <v>387</v>
      </c>
      <c r="I493" s="188" t="s">
        <v>5761</v>
      </c>
      <c r="J493" s="188" t="s">
        <v>5762</v>
      </c>
    </row>
    <row r="494" spans="1:10" ht="23.4">
      <c r="A494" s="166"/>
      <c r="B494" s="166"/>
      <c r="C494" s="188" t="s">
        <v>5763</v>
      </c>
      <c r="D494" s="188" t="s">
        <v>5764</v>
      </c>
      <c r="E494" s="193" t="s">
        <v>204</v>
      </c>
      <c r="F494" s="188" t="s">
        <v>4273</v>
      </c>
      <c r="G494" s="188" t="s">
        <v>3813</v>
      </c>
      <c r="H494" s="184" t="s">
        <v>14</v>
      </c>
      <c r="I494" s="188" t="s">
        <v>5765</v>
      </c>
      <c r="J494" s="188" t="s">
        <v>5766</v>
      </c>
    </row>
    <row r="495" spans="1:10" ht="23.4">
      <c r="A495" s="166"/>
      <c r="B495" s="166"/>
      <c r="C495" s="188" t="s">
        <v>5767</v>
      </c>
      <c r="D495" s="188" t="s">
        <v>5768</v>
      </c>
      <c r="E495" s="193" t="s">
        <v>209</v>
      </c>
      <c r="F495" s="188" t="s">
        <v>5769</v>
      </c>
      <c r="G495" s="188" t="s">
        <v>3767</v>
      </c>
      <c r="H495" s="184" t="s">
        <v>14</v>
      </c>
      <c r="I495" s="188" t="s">
        <v>3486</v>
      </c>
      <c r="J495" s="188" t="s">
        <v>5770</v>
      </c>
    </row>
    <row r="496" spans="1:10" ht="23.4">
      <c r="A496" s="166"/>
      <c r="B496" s="166"/>
      <c r="C496" s="188" t="s">
        <v>5771</v>
      </c>
      <c r="D496" s="188" t="s">
        <v>5772</v>
      </c>
      <c r="E496" s="193" t="s">
        <v>204</v>
      </c>
      <c r="F496" s="188" t="s">
        <v>3491</v>
      </c>
      <c r="G496" s="188" t="s">
        <v>3554</v>
      </c>
      <c r="H496" s="184" t="s">
        <v>387</v>
      </c>
      <c r="I496" s="188" t="s">
        <v>3555</v>
      </c>
      <c r="J496" s="188" t="s">
        <v>5773</v>
      </c>
    </row>
    <row r="497" spans="1:10" ht="23.4" customHeight="1">
      <c r="A497" s="166"/>
      <c r="B497" s="153" t="s">
        <v>4405</v>
      </c>
      <c r="C497" s="188" t="s">
        <v>5774</v>
      </c>
      <c r="D497" s="188" t="s">
        <v>5775</v>
      </c>
      <c r="E497" s="193" t="s">
        <v>204</v>
      </c>
      <c r="F497" s="188" t="s">
        <v>5776</v>
      </c>
      <c r="G497" s="188" t="s">
        <v>5777</v>
      </c>
      <c r="H497" s="184" t="s">
        <v>14</v>
      </c>
      <c r="I497" s="188" t="s">
        <v>5778</v>
      </c>
      <c r="J497" s="188" t="s">
        <v>5779</v>
      </c>
    </row>
    <row r="498" spans="1:10" ht="23.4">
      <c r="A498" s="166"/>
      <c r="B498" s="166"/>
      <c r="C498" s="188" t="s">
        <v>5780</v>
      </c>
      <c r="D498" s="188" t="s">
        <v>5781</v>
      </c>
      <c r="E498" s="193" t="s">
        <v>209</v>
      </c>
      <c r="F498" s="188" t="s">
        <v>5782</v>
      </c>
      <c r="G498" s="188" t="s">
        <v>4570</v>
      </c>
      <c r="H498" s="184" t="s">
        <v>14</v>
      </c>
      <c r="I498" s="188" t="s">
        <v>5783</v>
      </c>
      <c r="J498" s="188" t="s">
        <v>5784</v>
      </c>
    </row>
    <row r="499" spans="1:10" ht="23.4">
      <c r="A499" s="166"/>
      <c r="B499" s="166"/>
      <c r="C499" s="188" t="s">
        <v>5785</v>
      </c>
      <c r="D499" s="188" t="s">
        <v>5786</v>
      </c>
      <c r="E499" s="193" t="s">
        <v>209</v>
      </c>
      <c r="F499" s="188" t="s">
        <v>5787</v>
      </c>
      <c r="G499" s="188" t="s">
        <v>5788</v>
      </c>
      <c r="H499" s="184" t="s">
        <v>387</v>
      </c>
      <c r="I499" s="188" t="s">
        <v>5789</v>
      </c>
      <c r="J499" s="188" t="s">
        <v>5790</v>
      </c>
    </row>
    <row r="500" spans="1:10" ht="23.4">
      <c r="A500" s="166"/>
      <c r="B500" s="166"/>
      <c r="C500" s="188" t="s">
        <v>5791</v>
      </c>
      <c r="D500" s="188" t="s">
        <v>5792</v>
      </c>
      <c r="E500" s="193" t="s">
        <v>242</v>
      </c>
      <c r="F500" s="188" t="s">
        <v>5793</v>
      </c>
      <c r="G500" s="188" t="s">
        <v>5794</v>
      </c>
      <c r="H500" s="184" t="s">
        <v>387</v>
      </c>
      <c r="I500" s="188" t="s">
        <v>5795</v>
      </c>
      <c r="J500" s="188" t="s">
        <v>5796</v>
      </c>
    </row>
    <row r="501" spans="1:10" ht="23.4">
      <c r="A501" s="166"/>
      <c r="B501" s="166"/>
      <c r="C501" s="188" t="s">
        <v>5797</v>
      </c>
      <c r="D501" s="188" t="s">
        <v>5798</v>
      </c>
      <c r="E501" s="193" t="s">
        <v>242</v>
      </c>
      <c r="F501" s="188" t="s">
        <v>5799</v>
      </c>
      <c r="G501" s="188" t="s">
        <v>3708</v>
      </c>
      <c r="H501" s="184" t="s">
        <v>14</v>
      </c>
      <c r="I501" s="188" t="s">
        <v>5800</v>
      </c>
      <c r="J501" s="188" t="s">
        <v>5801</v>
      </c>
    </row>
    <row r="502" spans="1:10" ht="23.4" customHeight="1">
      <c r="A502" s="166"/>
      <c r="B502" s="153" t="s">
        <v>4406</v>
      </c>
      <c r="C502" s="188" t="s">
        <v>5802</v>
      </c>
      <c r="D502" s="188" t="s">
        <v>5803</v>
      </c>
      <c r="E502" s="193" t="s">
        <v>209</v>
      </c>
      <c r="F502" s="188" t="s">
        <v>5804</v>
      </c>
      <c r="G502" s="188" t="s">
        <v>3292</v>
      </c>
      <c r="H502" s="184" t="s">
        <v>387</v>
      </c>
      <c r="I502" s="188" t="s">
        <v>4616</v>
      </c>
      <c r="J502" s="188" t="s">
        <v>5805</v>
      </c>
    </row>
    <row r="503" spans="1:10" ht="23.4">
      <c r="A503" s="166"/>
      <c r="B503" s="166"/>
      <c r="C503" s="188" t="s">
        <v>5806</v>
      </c>
      <c r="D503" s="188" t="s">
        <v>5807</v>
      </c>
      <c r="E503" s="193" t="s">
        <v>209</v>
      </c>
      <c r="F503" s="188" t="s">
        <v>3142</v>
      </c>
      <c r="G503" s="188" t="s">
        <v>4111</v>
      </c>
      <c r="H503" s="184" t="s">
        <v>387</v>
      </c>
      <c r="I503" s="188" t="s">
        <v>5808</v>
      </c>
      <c r="J503" s="188" t="s">
        <v>5809</v>
      </c>
    </row>
    <row r="504" spans="1:10" ht="23.4">
      <c r="A504" s="166"/>
      <c r="B504" s="166"/>
      <c r="C504" s="188" t="s">
        <v>5810</v>
      </c>
      <c r="D504" s="188" t="s">
        <v>5811</v>
      </c>
      <c r="E504" s="193" t="s">
        <v>204</v>
      </c>
      <c r="F504" s="188" t="s">
        <v>5812</v>
      </c>
      <c r="G504" s="188" t="s">
        <v>3869</v>
      </c>
      <c r="H504" s="184" t="s">
        <v>387</v>
      </c>
      <c r="I504" s="188" t="s">
        <v>3486</v>
      </c>
      <c r="J504" s="188" t="s">
        <v>5813</v>
      </c>
    </row>
    <row r="505" spans="1:10" ht="23.4">
      <c r="A505" s="166"/>
      <c r="B505" s="166"/>
      <c r="C505" s="188" t="s">
        <v>5814</v>
      </c>
      <c r="D505" s="188" t="s">
        <v>5815</v>
      </c>
      <c r="E505" s="193" t="s">
        <v>204</v>
      </c>
      <c r="F505" s="188" t="s">
        <v>5816</v>
      </c>
      <c r="G505" s="188" t="s">
        <v>3801</v>
      </c>
      <c r="H505" s="184" t="s">
        <v>387</v>
      </c>
      <c r="I505" s="188" t="s">
        <v>3340</v>
      </c>
      <c r="J505" s="188" t="s">
        <v>5817</v>
      </c>
    </row>
    <row r="506" spans="1:10" ht="24" thickBot="1">
      <c r="A506" s="166"/>
      <c r="B506" s="166"/>
      <c r="C506" s="188" t="s">
        <v>5818</v>
      </c>
      <c r="D506" s="188" t="s">
        <v>5819</v>
      </c>
      <c r="E506" s="193" t="s">
        <v>204</v>
      </c>
      <c r="F506" s="188" t="s">
        <v>5344</v>
      </c>
      <c r="G506" s="188" t="s">
        <v>5345</v>
      </c>
      <c r="H506" s="194" t="s">
        <v>14</v>
      </c>
      <c r="I506" s="188" t="s">
        <v>5346</v>
      </c>
      <c r="J506" s="188" t="s">
        <v>5820</v>
      </c>
    </row>
    <row r="507" spans="1:10" ht="23.4" customHeight="1">
      <c r="A507" s="166"/>
      <c r="B507" s="166" t="s">
        <v>169</v>
      </c>
      <c r="C507" s="188" t="s">
        <v>5821</v>
      </c>
      <c r="D507" s="188" t="s">
        <v>5822</v>
      </c>
      <c r="E507" s="193" t="s">
        <v>204</v>
      </c>
      <c r="F507" s="188" t="s">
        <v>5823</v>
      </c>
      <c r="G507" s="188" t="s">
        <v>3301</v>
      </c>
      <c r="H507" s="184" t="s">
        <v>387</v>
      </c>
      <c r="I507" s="188" t="s">
        <v>2434</v>
      </c>
      <c r="J507" s="188" t="s">
        <v>5824</v>
      </c>
    </row>
    <row r="508" spans="1:10" ht="23.4">
      <c r="A508" s="166"/>
      <c r="B508" s="166"/>
      <c r="C508" s="188" t="s">
        <v>5825</v>
      </c>
      <c r="D508" s="188" t="s">
        <v>5826</v>
      </c>
      <c r="E508" s="193" t="s">
        <v>204</v>
      </c>
      <c r="F508" s="188" t="s">
        <v>3896</v>
      </c>
      <c r="G508" s="188" t="s">
        <v>5827</v>
      </c>
      <c r="H508" s="184" t="s">
        <v>14</v>
      </c>
      <c r="I508" s="188" t="s">
        <v>5828</v>
      </c>
      <c r="J508" s="188" t="s">
        <v>5829</v>
      </c>
    </row>
    <row r="509" spans="1:10" ht="23.4">
      <c r="A509" s="166"/>
      <c r="B509" s="166"/>
      <c r="C509" s="188" t="s">
        <v>5830</v>
      </c>
      <c r="D509" s="188" t="s">
        <v>5831</v>
      </c>
      <c r="E509" s="193" t="s">
        <v>204</v>
      </c>
      <c r="F509" s="188" t="s">
        <v>3249</v>
      </c>
      <c r="G509" s="188" t="s">
        <v>5832</v>
      </c>
      <c r="H509" s="184" t="s">
        <v>14</v>
      </c>
      <c r="I509" s="188" t="s">
        <v>5833</v>
      </c>
      <c r="J509" s="188" t="s">
        <v>5834</v>
      </c>
    </row>
    <row r="510" spans="1:10" ht="23.4">
      <c r="A510" s="166"/>
      <c r="B510" s="166"/>
      <c r="C510" s="188" t="s">
        <v>5835</v>
      </c>
      <c r="D510" s="188" t="s">
        <v>5836</v>
      </c>
      <c r="E510" s="193" t="s">
        <v>204</v>
      </c>
      <c r="F510" s="188" t="s">
        <v>5837</v>
      </c>
      <c r="G510" s="188" t="s">
        <v>5006</v>
      </c>
      <c r="H510" s="184" t="s">
        <v>387</v>
      </c>
      <c r="I510" s="188" t="s">
        <v>3988</v>
      </c>
      <c r="J510" s="188" t="s">
        <v>5838</v>
      </c>
    </row>
    <row r="511" spans="1:10" ht="23.4">
      <c r="A511" s="166"/>
      <c r="B511" s="166"/>
      <c r="C511" s="188" t="s">
        <v>5839</v>
      </c>
      <c r="D511" s="188" t="s">
        <v>5840</v>
      </c>
      <c r="E511" s="193" t="s">
        <v>204</v>
      </c>
      <c r="F511" s="188" t="s">
        <v>3548</v>
      </c>
      <c r="G511" s="188" t="s">
        <v>5841</v>
      </c>
      <c r="H511" s="184" t="s">
        <v>387</v>
      </c>
      <c r="I511" s="188" t="s">
        <v>5842</v>
      </c>
      <c r="J511" s="188" t="s">
        <v>5843</v>
      </c>
    </row>
    <row r="512" spans="1:10" ht="23.4" customHeight="1">
      <c r="A512" s="167" t="s">
        <v>170</v>
      </c>
      <c r="B512" s="145" t="s">
        <v>4407</v>
      </c>
      <c r="C512" s="189" t="s">
        <v>5844</v>
      </c>
      <c r="D512" s="189" t="s">
        <v>5845</v>
      </c>
      <c r="E512" s="193" t="s">
        <v>204</v>
      </c>
      <c r="F512" s="189" t="s">
        <v>5846</v>
      </c>
      <c r="G512" s="189" t="s">
        <v>5847</v>
      </c>
      <c r="H512" s="174" t="s">
        <v>14</v>
      </c>
      <c r="I512" s="189" t="s">
        <v>5848</v>
      </c>
      <c r="J512" s="189" t="s">
        <v>5849</v>
      </c>
    </row>
    <row r="513" spans="1:10" ht="23.4">
      <c r="A513" s="167"/>
      <c r="B513" s="167"/>
      <c r="C513" s="189" t="s">
        <v>5850</v>
      </c>
      <c r="D513" s="189" t="s">
        <v>5851</v>
      </c>
      <c r="E513" s="193" t="s">
        <v>204</v>
      </c>
      <c r="F513" s="189" t="s">
        <v>5852</v>
      </c>
      <c r="G513" s="189" t="s">
        <v>5853</v>
      </c>
      <c r="H513" s="174" t="s">
        <v>387</v>
      </c>
      <c r="I513" s="189" t="s">
        <v>5854</v>
      </c>
      <c r="J513" s="189" t="s">
        <v>5855</v>
      </c>
    </row>
    <row r="514" spans="1:10" ht="23.4">
      <c r="A514" s="167"/>
      <c r="B514" s="167"/>
      <c r="C514" s="189" t="s">
        <v>5856</v>
      </c>
      <c r="D514" s="189" t="s">
        <v>5857</v>
      </c>
      <c r="E514" s="193" t="s">
        <v>209</v>
      </c>
      <c r="F514" s="189" t="s">
        <v>5858</v>
      </c>
      <c r="G514" s="189" t="s">
        <v>5859</v>
      </c>
      <c r="H514" s="174" t="s">
        <v>387</v>
      </c>
      <c r="I514" s="189" t="s">
        <v>5860</v>
      </c>
      <c r="J514" s="189" t="s">
        <v>5861</v>
      </c>
    </row>
    <row r="515" spans="1:10" ht="23.4">
      <c r="A515" s="167"/>
      <c r="B515" s="167"/>
      <c r="C515" s="189" t="s">
        <v>5862</v>
      </c>
      <c r="D515" s="189" t="s">
        <v>5863</v>
      </c>
      <c r="E515" s="193" t="s">
        <v>242</v>
      </c>
      <c r="F515" s="189" t="s">
        <v>5864</v>
      </c>
      <c r="G515" s="189" t="s">
        <v>5865</v>
      </c>
      <c r="H515" s="174" t="s">
        <v>387</v>
      </c>
      <c r="I515" s="189" t="s">
        <v>5866</v>
      </c>
      <c r="J515" s="189" t="s">
        <v>5867</v>
      </c>
    </row>
    <row r="516" spans="1:10" ht="23.4">
      <c r="A516" s="167"/>
      <c r="B516" s="167"/>
      <c r="C516" s="189" t="s">
        <v>5868</v>
      </c>
      <c r="D516" s="189" t="s">
        <v>5869</v>
      </c>
      <c r="E516" s="193" t="s">
        <v>242</v>
      </c>
      <c r="F516" s="189" t="s">
        <v>5870</v>
      </c>
      <c r="G516" s="189" t="s">
        <v>5871</v>
      </c>
      <c r="H516" s="174" t="s">
        <v>387</v>
      </c>
      <c r="I516" s="189" t="s">
        <v>5545</v>
      </c>
      <c r="J516" s="189" t="s">
        <v>5872</v>
      </c>
    </row>
    <row r="517" spans="1:10" ht="23.4" customHeight="1" thickBot="1">
      <c r="A517" s="167"/>
      <c r="B517" s="167" t="s">
        <v>4408</v>
      </c>
      <c r="C517" s="189" t="s">
        <v>5873</v>
      </c>
      <c r="D517" s="189" t="s">
        <v>5874</v>
      </c>
      <c r="E517" s="193" t="s">
        <v>209</v>
      </c>
      <c r="F517" s="189" t="s">
        <v>5875</v>
      </c>
      <c r="G517" s="189" t="s">
        <v>5876</v>
      </c>
      <c r="H517" s="195" t="s">
        <v>14</v>
      </c>
      <c r="I517" s="189" t="s">
        <v>5877</v>
      </c>
      <c r="J517" s="189" t="s">
        <v>5878</v>
      </c>
    </row>
    <row r="518" spans="1:10" ht="23.4">
      <c r="A518" s="167"/>
      <c r="B518" s="167"/>
      <c r="C518" s="189" t="s">
        <v>5879</v>
      </c>
      <c r="D518" s="189" t="s">
        <v>5880</v>
      </c>
      <c r="E518" s="193" t="s">
        <v>204</v>
      </c>
      <c r="F518" s="189" t="s">
        <v>5881</v>
      </c>
      <c r="G518" s="189" t="s">
        <v>5882</v>
      </c>
      <c r="H518" s="174" t="s">
        <v>387</v>
      </c>
      <c r="I518" s="189" t="s">
        <v>5883</v>
      </c>
      <c r="J518" s="189" t="s">
        <v>5884</v>
      </c>
    </row>
    <row r="519" spans="1:10" ht="23.4">
      <c r="A519" s="167"/>
      <c r="B519" s="167"/>
      <c r="C519" s="189" t="s">
        <v>5885</v>
      </c>
      <c r="D519" s="189" t="s">
        <v>5886</v>
      </c>
      <c r="E519" s="193" t="s">
        <v>204</v>
      </c>
      <c r="F519" s="189" t="s">
        <v>5887</v>
      </c>
      <c r="G519" s="189" t="s">
        <v>2388</v>
      </c>
      <c r="H519" s="174" t="s">
        <v>14</v>
      </c>
      <c r="I519" s="189" t="s">
        <v>5888</v>
      </c>
      <c r="J519" s="189" t="s">
        <v>5889</v>
      </c>
    </row>
    <row r="520" spans="1:10" ht="23.4">
      <c r="A520" s="167"/>
      <c r="B520" s="167"/>
      <c r="C520" s="189" t="s">
        <v>5890</v>
      </c>
      <c r="D520" s="189" t="s">
        <v>5891</v>
      </c>
      <c r="E520" s="193" t="s">
        <v>204</v>
      </c>
      <c r="F520" s="189" t="s">
        <v>5892</v>
      </c>
      <c r="G520" s="189" t="s">
        <v>5893</v>
      </c>
      <c r="H520" s="174" t="s">
        <v>14</v>
      </c>
      <c r="I520" s="189" t="s">
        <v>5894</v>
      </c>
      <c r="J520" s="189" t="s">
        <v>5895</v>
      </c>
    </row>
    <row r="521" spans="1:10" ht="23.4">
      <c r="A521" s="167"/>
      <c r="B521" s="167"/>
      <c r="C521" s="189" t="s">
        <v>5896</v>
      </c>
      <c r="D521" s="189" t="s">
        <v>5897</v>
      </c>
      <c r="E521" s="193" t="s">
        <v>209</v>
      </c>
      <c r="F521" s="189" t="s">
        <v>5898</v>
      </c>
      <c r="G521" s="189" t="s">
        <v>5899</v>
      </c>
      <c r="H521" s="174" t="s">
        <v>387</v>
      </c>
      <c r="I521" s="189" t="s">
        <v>5900</v>
      </c>
      <c r="J521" s="189" t="s">
        <v>5901</v>
      </c>
    </row>
    <row r="522" spans="1:10" ht="23.4" customHeight="1">
      <c r="A522" s="167"/>
      <c r="B522" s="145" t="s">
        <v>4409</v>
      </c>
      <c r="C522" s="189" t="s">
        <v>5902</v>
      </c>
      <c r="D522" s="189" t="s">
        <v>5903</v>
      </c>
      <c r="E522" s="193" t="s">
        <v>204</v>
      </c>
      <c r="F522" s="189" t="s">
        <v>526</v>
      </c>
      <c r="G522" s="189" t="s">
        <v>5904</v>
      </c>
      <c r="H522" s="174" t="s">
        <v>14</v>
      </c>
      <c r="I522" s="189" t="s">
        <v>3012</v>
      </c>
      <c r="J522" s="189" t="s">
        <v>5905</v>
      </c>
    </row>
    <row r="523" spans="1:10" ht="23.4">
      <c r="A523" s="167"/>
      <c r="B523" s="167"/>
      <c r="C523" s="189" t="s">
        <v>5906</v>
      </c>
      <c r="D523" s="189" t="s">
        <v>5907</v>
      </c>
      <c r="E523" s="193" t="s">
        <v>204</v>
      </c>
      <c r="F523" s="189" t="s">
        <v>5908</v>
      </c>
      <c r="G523" s="189" t="s">
        <v>5909</v>
      </c>
      <c r="H523" s="174" t="s">
        <v>387</v>
      </c>
      <c r="I523" s="189" t="s">
        <v>5910</v>
      </c>
      <c r="J523" s="189" t="s">
        <v>5911</v>
      </c>
    </row>
    <row r="524" spans="1:10" ht="23.4">
      <c r="A524" s="167"/>
      <c r="B524" s="167"/>
      <c r="C524" s="189" t="s">
        <v>5912</v>
      </c>
      <c r="D524" s="189" t="s">
        <v>5913</v>
      </c>
      <c r="E524" s="193" t="s">
        <v>204</v>
      </c>
      <c r="F524" s="189" t="s">
        <v>5914</v>
      </c>
      <c r="G524" s="189" t="s">
        <v>5915</v>
      </c>
      <c r="H524" s="174" t="s">
        <v>14</v>
      </c>
      <c r="I524" s="189" t="s">
        <v>4962</v>
      </c>
      <c r="J524" s="189" t="s">
        <v>5916</v>
      </c>
    </row>
    <row r="525" spans="1:10" ht="23.4">
      <c r="A525" s="167"/>
      <c r="B525" s="167"/>
      <c r="C525" s="189" t="s">
        <v>5917</v>
      </c>
      <c r="D525" s="189" t="s">
        <v>5918</v>
      </c>
      <c r="E525" s="193" t="s">
        <v>204</v>
      </c>
      <c r="F525" s="189" t="s">
        <v>5919</v>
      </c>
      <c r="G525" s="189" t="s">
        <v>5920</v>
      </c>
      <c r="H525" s="174" t="s">
        <v>14</v>
      </c>
      <c r="I525" s="189" t="s">
        <v>5921</v>
      </c>
      <c r="J525" s="189" t="s">
        <v>5922</v>
      </c>
    </row>
    <row r="526" spans="1:10" ht="23.4">
      <c r="A526" s="167"/>
      <c r="B526" s="167"/>
      <c r="C526" s="189" t="s">
        <v>5923</v>
      </c>
      <c r="D526" s="189" t="s">
        <v>5924</v>
      </c>
      <c r="E526" s="193" t="s">
        <v>204</v>
      </c>
      <c r="F526" s="189" t="s">
        <v>5925</v>
      </c>
      <c r="G526" s="189" t="s">
        <v>5926</v>
      </c>
      <c r="H526" s="174" t="s">
        <v>387</v>
      </c>
      <c r="I526" s="189" t="s">
        <v>5927</v>
      </c>
      <c r="J526" s="189" t="s">
        <v>5928</v>
      </c>
    </row>
    <row r="527" spans="1:10" ht="23.4">
      <c r="A527" s="167"/>
      <c r="B527" s="145" t="s">
        <v>4409</v>
      </c>
      <c r="C527" s="189" t="s">
        <v>5929</v>
      </c>
      <c r="D527" s="189" t="s">
        <v>5930</v>
      </c>
      <c r="E527" s="193" t="s">
        <v>204</v>
      </c>
      <c r="F527" s="189" t="s">
        <v>5931</v>
      </c>
      <c r="G527" s="189" t="s">
        <v>5932</v>
      </c>
      <c r="H527" s="174" t="s">
        <v>387</v>
      </c>
      <c r="I527" s="189" t="s">
        <v>5933</v>
      </c>
      <c r="J527" s="189" t="s">
        <v>5934</v>
      </c>
    </row>
    <row r="528" spans="1:10" ht="23.4">
      <c r="A528" s="167"/>
      <c r="B528" s="167"/>
      <c r="C528" s="189" t="s">
        <v>5935</v>
      </c>
      <c r="D528" s="189" t="s">
        <v>5936</v>
      </c>
      <c r="E528" s="193" t="s">
        <v>209</v>
      </c>
      <c r="F528" s="189" t="s">
        <v>5937</v>
      </c>
      <c r="G528" s="189" t="s">
        <v>5938</v>
      </c>
      <c r="H528" s="174" t="s">
        <v>14</v>
      </c>
      <c r="I528" s="189" t="s">
        <v>5939</v>
      </c>
      <c r="J528" s="189" t="s">
        <v>5940</v>
      </c>
    </row>
    <row r="529" spans="1:10" ht="23.4">
      <c r="A529" s="167"/>
      <c r="B529" s="167"/>
      <c r="C529" s="189" t="s">
        <v>5941</v>
      </c>
      <c r="D529" s="189" t="s">
        <v>5942</v>
      </c>
      <c r="E529" s="193" t="s">
        <v>209</v>
      </c>
      <c r="F529" s="189" t="s">
        <v>5943</v>
      </c>
      <c r="G529" s="189" t="s">
        <v>5944</v>
      </c>
      <c r="H529" s="174" t="s">
        <v>387</v>
      </c>
      <c r="I529" s="189" t="s">
        <v>5945</v>
      </c>
      <c r="J529" s="189" t="s">
        <v>5946</v>
      </c>
    </row>
    <row r="530" spans="1:10" ht="23.4">
      <c r="A530" s="167"/>
      <c r="B530" s="167"/>
      <c r="C530" s="189" t="s">
        <v>5947</v>
      </c>
      <c r="D530" s="189" t="s">
        <v>5948</v>
      </c>
      <c r="E530" s="193" t="s">
        <v>209</v>
      </c>
      <c r="F530" s="189" t="s">
        <v>5949</v>
      </c>
      <c r="G530" s="189" t="s">
        <v>5950</v>
      </c>
      <c r="H530" s="174" t="s">
        <v>387</v>
      </c>
      <c r="I530" s="189" t="s">
        <v>5951</v>
      </c>
      <c r="J530" s="189" t="s">
        <v>5952</v>
      </c>
    </row>
    <row r="531" spans="1:10" ht="23.4">
      <c r="A531" s="167"/>
      <c r="B531" s="167"/>
      <c r="C531" s="189" t="s">
        <v>5953</v>
      </c>
      <c r="D531" s="189" t="s">
        <v>5954</v>
      </c>
      <c r="E531" s="193" t="s">
        <v>204</v>
      </c>
      <c r="F531" s="189" t="s">
        <v>3156</v>
      </c>
      <c r="G531" s="189" t="s">
        <v>5955</v>
      </c>
      <c r="H531" s="174" t="s">
        <v>387</v>
      </c>
      <c r="I531" s="189" t="s">
        <v>1555</v>
      </c>
      <c r="J531" s="189" t="s">
        <v>5956</v>
      </c>
    </row>
    <row r="532" spans="1:10" ht="23.4" customHeight="1">
      <c r="A532" s="167"/>
      <c r="B532" s="167" t="s">
        <v>4410</v>
      </c>
      <c r="C532" s="189" t="s">
        <v>5957</v>
      </c>
      <c r="D532" s="189" t="s">
        <v>5958</v>
      </c>
      <c r="E532" s="193" t="s">
        <v>204</v>
      </c>
      <c r="F532" s="189" t="s">
        <v>5959</v>
      </c>
      <c r="G532" s="189" t="s">
        <v>5960</v>
      </c>
      <c r="H532" s="174" t="s">
        <v>387</v>
      </c>
      <c r="I532" s="189" t="s">
        <v>5961</v>
      </c>
      <c r="J532" s="189" t="s">
        <v>5962</v>
      </c>
    </row>
    <row r="533" spans="1:10" ht="24" thickBot="1">
      <c r="A533" s="167"/>
      <c r="B533" s="167"/>
      <c r="C533" s="189" t="s">
        <v>5963</v>
      </c>
      <c r="D533" s="189" t="s">
        <v>5964</v>
      </c>
      <c r="E533" s="193" t="s">
        <v>204</v>
      </c>
      <c r="F533" s="189" t="s">
        <v>5965</v>
      </c>
      <c r="G533" s="189" t="s">
        <v>5966</v>
      </c>
      <c r="H533" s="195" t="s">
        <v>14</v>
      </c>
      <c r="I533" s="189" t="s">
        <v>3843</v>
      </c>
      <c r="J533" s="189" t="s">
        <v>5967</v>
      </c>
    </row>
    <row r="534" spans="1:10" ht="23.4">
      <c r="A534" s="167"/>
      <c r="B534" s="167"/>
      <c r="C534" s="189" t="s">
        <v>5968</v>
      </c>
      <c r="D534" s="189" t="s">
        <v>5969</v>
      </c>
      <c r="E534" s="193" t="s">
        <v>242</v>
      </c>
      <c r="F534" s="189" t="s">
        <v>5970</v>
      </c>
      <c r="G534" s="189" t="s">
        <v>5971</v>
      </c>
      <c r="H534" s="174" t="s">
        <v>387</v>
      </c>
      <c r="I534" s="189" t="s">
        <v>5972</v>
      </c>
      <c r="J534" s="189" t="s">
        <v>5973</v>
      </c>
    </row>
    <row r="535" spans="1:10" ht="23.4">
      <c r="A535" s="167"/>
      <c r="B535" s="167"/>
      <c r="C535" s="189" t="s">
        <v>5974</v>
      </c>
      <c r="D535" s="189" t="s">
        <v>5975</v>
      </c>
      <c r="E535" s="193" t="s">
        <v>204</v>
      </c>
      <c r="F535" s="189" t="s">
        <v>5976</v>
      </c>
      <c r="G535" s="189" t="s">
        <v>5977</v>
      </c>
      <c r="H535" s="174" t="s">
        <v>14</v>
      </c>
      <c r="I535" s="189" t="s">
        <v>5978</v>
      </c>
      <c r="J535" s="189" t="s">
        <v>5979</v>
      </c>
    </row>
    <row r="536" spans="1:10" ht="23.4">
      <c r="A536" s="167"/>
      <c r="B536" s="167"/>
      <c r="C536" s="189" t="s">
        <v>5980</v>
      </c>
      <c r="D536" s="189" t="s">
        <v>5981</v>
      </c>
      <c r="E536" s="193" t="s">
        <v>204</v>
      </c>
      <c r="F536" s="189" t="s">
        <v>5982</v>
      </c>
      <c r="G536" s="189" t="s">
        <v>5983</v>
      </c>
      <c r="H536" s="174" t="s">
        <v>14</v>
      </c>
      <c r="I536" s="189" t="s">
        <v>5984</v>
      </c>
      <c r="J536" s="189" t="s">
        <v>5985</v>
      </c>
    </row>
    <row r="537" spans="1:10" ht="23.4">
      <c r="A537" s="167"/>
      <c r="B537" s="145" t="s">
        <v>4411</v>
      </c>
      <c r="C537" s="189" t="s">
        <v>5986</v>
      </c>
      <c r="D537" s="189" t="s">
        <v>5987</v>
      </c>
      <c r="E537" s="193" t="s">
        <v>204</v>
      </c>
      <c r="F537" s="189" t="s">
        <v>5988</v>
      </c>
      <c r="G537" s="189" t="s">
        <v>5989</v>
      </c>
      <c r="H537" s="174" t="s">
        <v>387</v>
      </c>
      <c r="I537" s="189" t="s">
        <v>5990</v>
      </c>
      <c r="J537" s="189" t="s">
        <v>5991</v>
      </c>
    </row>
    <row r="538" spans="1:10" ht="23.4">
      <c r="A538" s="167"/>
      <c r="B538" s="167"/>
      <c r="C538" s="189" t="s">
        <v>5992</v>
      </c>
      <c r="D538" s="189" t="s">
        <v>5993</v>
      </c>
      <c r="E538" s="193" t="s">
        <v>209</v>
      </c>
      <c r="F538" s="189" t="s">
        <v>5994</v>
      </c>
      <c r="G538" s="189" t="s">
        <v>5995</v>
      </c>
      <c r="H538" s="174" t="s">
        <v>387</v>
      </c>
      <c r="I538" s="189" t="s">
        <v>3796</v>
      </c>
      <c r="J538" s="189" t="s">
        <v>5996</v>
      </c>
    </row>
    <row r="539" spans="1:10" ht="23.4">
      <c r="A539" s="167"/>
      <c r="B539" s="167"/>
      <c r="C539" s="189" t="s">
        <v>5997</v>
      </c>
      <c r="D539" s="189" t="s">
        <v>5998</v>
      </c>
      <c r="E539" s="193" t="s">
        <v>204</v>
      </c>
      <c r="F539" s="189" t="s">
        <v>5999</v>
      </c>
      <c r="G539" s="189" t="s">
        <v>6000</v>
      </c>
      <c r="H539" s="174" t="s">
        <v>14</v>
      </c>
      <c r="I539" s="189" t="s">
        <v>2862</v>
      </c>
      <c r="J539" s="189" t="s">
        <v>6001</v>
      </c>
    </row>
    <row r="540" spans="1:10" ht="23.4">
      <c r="A540" s="167"/>
      <c r="B540" s="167"/>
      <c r="C540" s="189" t="s">
        <v>6002</v>
      </c>
      <c r="D540" s="189" t="s">
        <v>6003</v>
      </c>
      <c r="E540" s="193" t="s">
        <v>204</v>
      </c>
      <c r="F540" s="189" t="s">
        <v>6004</v>
      </c>
      <c r="G540" s="189" t="s">
        <v>3096</v>
      </c>
      <c r="H540" s="174" t="s">
        <v>387</v>
      </c>
      <c r="I540" s="189" t="s">
        <v>6005</v>
      </c>
      <c r="J540" s="189" t="s">
        <v>6006</v>
      </c>
    </row>
    <row r="541" spans="1:10" ht="23.4">
      <c r="A541" s="167"/>
      <c r="B541" s="167"/>
      <c r="C541" s="189" t="s">
        <v>6007</v>
      </c>
      <c r="D541" s="189" t="s">
        <v>6008</v>
      </c>
      <c r="E541" s="193" t="s">
        <v>204</v>
      </c>
      <c r="F541" s="189" t="s">
        <v>6009</v>
      </c>
      <c r="G541" s="189" t="s">
        <v>6010</v>
      </c>
      <c r="H541" s="174" t="s">
        <v>387</v>
      </c>
      <c r="I541" s="189" t="s">
        <v>2885</v>
      </c>
      <c r="J541" s="189" t="s">
        <v>6011</v>
      </c>
    </row>
    <row r="542" spans="1:10" ht="23.4" customHeight="1">
      <c r="A542" s="167"/>
      <c r="B542" s="145" t="s">
        <v>4412</v>
      </c>
      <c r="C542" s="189" t="s">
        <v>6012</v>
      </c>
      <c r="D542" s="189" t="s">
        <v>6013</v>
      </c>
      <c r="E542" s="193" t="s">
        <v>242</v>
      </c>
      <c r="F542" s="189" t="s">
        <v>6014</v>
      </c>
      <c r="G542" s="189" t="s">
        <v>3924</v>
      </c>
      <c r="H542" s="174" t="s">
        <v>387</v>
      </c>
      <c r="I542" s="189" t="s">
        <v>6015</v>
      </c>
      <c r="J542" s="189" t="s">
        <v>6016</v>
      </c>
    </row>
    <row r="543" spans="1:10" ht="23.4">
      <c r="A543" s="167"/>
      <c r="B543" s="167"/>
      <c r="C543" s="189" t="s">
        <v>4294</v>
      </c>
      <c r="D543" s="189" t="s">
        <v>6017</v>
      </c>
      <c r="E543" s="193" t="s">
        <v>204</v>
      </c>
      <c r="F543" s="189" t="s">
        <v>6018</v>
      </c>
      <c r="G543" s="189" t="s">
        <v>6019</v>
      </c>
      <c r="H543" s="174" t="s">
        <v>387</v>
      </c>
      <c r="I543" s="189" t="s">
        <v>479</v>
      </c>
      <c r="J543" s="189" t="s">
        <v>6020</v>
      </c>
    </row>
    <row r="544" spans="1:10" ht="24" thickBot="1">
      <c r="A544" s="167"/>
      <c r="B544" s="167"/>
      <c r="C544" s="189" t="s">
        <v>6021</v>
      </c>
      <c r="D544" s="189" t="s">
        <v>6022</v>
      </c>
      <c r="E544" s="193" t="s">
        <v>209</v>
      </c>
      <c r="F544" s="189" t="s">
        <v>6023</v>
      </c>
      <c r="G544" s="189" t="s">
        <v>6024</v>
      </c>
      <c r="H544" s="195" t="s">
        <v>14</v>
      </c>
      <c r="I544" s="189" t="s">
        <v>6025</v>
      </c>
      <c r="J544" s="189" t="s">
        <v>6026</v>
      </c>
    </row>
    <row r="545" spans="1:10" ht="23.4">
      <c r="A545" s="167"/>
      <c r="B545" s="167"/>
      <c r="C545" s="189" t="s">
        <v>6027</v>
      </c>
      <c r="D545" s="189" t="s">
        <v>6028</v>
      </c>
      <c r="E545" s="193" t="s">
        <v>242</v>
      </c>
      <c r="F545" s="189" t="s">
        <v>6029</v>
      </c>
      <c r="G545" s="189" t="s">
        <v>6030</v>
      </c>
      <c r="H545" s="174" t="s">
        <v>387</v>
      </c>
      <c r="I545" s="189" t="s">
        <v>3219</v>
      </c>
      <c r="J545" s="189" t="s">
        <v>6031</v>
      </c>
    </row>
    <row r="546" spans="1:10" ht="23.4">
      <c r="A546" s="167"/>
      <c r="B546" s="167"/>
      <c r="C546" s="189" t="s">
        <v>6032</v>
      </c>
      <c r="D546" s="189" t="s">
        <v>6033</v>
      </c>
      <c r="E546" s="193" t="s">
        <v>209</v>
      </c>
      <c r="F546" s="189" t="s">
        <v>6034</v>
      </c>
      <c r="G546" s="189" t="s">
        <v>6035</v>
      </c>
      <c r="H546" s="174" t="s">
        <v>14</v>
      </c>
      <c r="I546" s="189" t="s">
        <v>6036</v>
      </c>
      <c r="J546" s="189" t="s">
        <v>6037</v>
      </c>
    </row>
    <row r="547" spans="1:10" ht="23.4">
      <c r="A547" s="167"/>
      <c r="B547" s="145" t="s">
        <v>4413</v>
      </c>
      <c r="C547" s="189" t="s">
        <v>6038</v>
      </c>
      <c r="D547" s="189" t="s">
        <v>6039</v>
      </c>
      <c r="E547" s="193" t="s">
        <v>209</v>
      </c>
      <c r="F547" s="189"/>
      <c r="G547" s="189"/>
      <c r="H547" s="174" t="s">
        <v>14</v>
      </c>
      <c r="I547" s="189"/>
      <c r="J547" s="189"/>
    </row>
    <row r="548" spans="1:10" ht="23.4">
      <c r="A548" s="167"/>
      <c r="B548" s="167"/>
      <c r="C548" s="189" t="s">
        <v>6040</v>
      </c>
      <c r="D548" s="189" t="s">
        <v>6041</v>
      </c>
      <c r="E548" s="193" t="s">
        <v>209</v>
      </c>
      <c r="F548" s="189"/>
      <c r="G548" s="189"/>
      <c r="H548" s="174" t="s">
        <v>387</v>
      </c>
      <c r="I548" s="189"/>
      <c r="J548" s="189"/>
    </row>
    <row r="549" spans="1:10" ht="23.4">
      <c r="A549" s="167"/>
      <c r="B549" s="167"/>
      <c r="C549" s="189" t="s">
        <v>6042</v>
      </c>
      <c r="D549" s="189" t="s">
        <v>6043</v>
      </c>
      <c r="E549" s="193" t="s">
        <v>204</v>
      </c>
      <c r="F549" s="189"/>
      <c r="G549" s="189"/>
      <c r="H549" s="174" t="s">
        <v>14</v>
      </c>
      <c r="I549" s="189"/>
      <c r="J549" s="189"/>
    </row>
    <row r="550" spans="1:10" ht="23.4">
      <c r="A550" s="167"/>
      <c r="B550" s="167"/>
      <c r="C550" s="189" t="s">
        <v>6044</v>
      </c>
      <c r="D550" s="189" t="s">
        <v>6045</v>
      </c>
      <c r="E550" s="193" t="s">
        <v>204</v>
      </c>
      <c r="F550" s="189"/>
      <c r="G550" s="189"/>
      <c r="H550" s="174" t="s">
        <v>14</v>
      </c>
      <c r="I550" s="189"/>
      <c r="J550" s="189"/>
    </row>
    <row r="551" spans="1:10" ht="23.4">
      <c r="A551" s="167"/>
      <c r="B551" s="167"/>
      <c r="C551" s="189" t="s">
        <v>6046</v>
      </c>
      <c r="D551" s="189" t="s">
        <v>6047</v>
      </c>
      <c r="E551" s="193" t="s">
        <v>204</v>
      </c>
      <c r="F551" s="189"/>
      <c r="G551" s="189"/>
      <c r="H551" s="174" t="s">
        <v>14</v>
      </c>
      <c r="I551" s="189"/>
      <c r="J551" s="189"/>
    </row>
    <row r="552" spans="1:10" ht="23.4" customHeight="1">
      <c r="A552" s="166" t="s">
        <v>171</v>
      </c>
      <c r="B552" s="153" t="s">
        <v>4414</v>
      </c>
      <c r="C552" s="188" t="s">
        <v>6048</v>
      </c>
      <c r="D552" s="188" t="s">
        <v>6049</v>
      </c>
      <c r="E552" s="193" t="s">
        <v>242</v>
      </c>
      <c r="F552" s="188" t="s">
        <v>6050</v>
      </c>
      <c r="G552" s="188" t="s">
        <v>6051</v>
      </c>
      <c r="H552" s="184" t="s">
        <v>387</v>
      </c>
      <c r="I552" s="188" t="s">
        <v>6052</v>
      </c>
      <c r="J552" s="188" t="s">
        <v>6053</v>
      </c>
    </row>
    <row r="553" spans="1:10" ht="23.4">
      <c r="A553" s="166"/>
      <c r="B553" s="166"/>
      <c r="C553" s="188" t="s">
        <v>6054</v>
      </c>
      <c r="D553" s="188" t="s">
        <v>6055</v>
      </c>
      <c r="E553" s="193" t="s">
        <v>242</v>
      </c>
      <c r="F553" s="188" t="s">
        <v>6056</v>
      </c>
      <c r="G553" s="188" t="s">
        <v>6057</v>
      </c>
      <c r="H553" s="184" t="s">
        <v>14</v>
      </c>
      <c r="I553" s="188" t="s">
        <v>3155</v>
      </c>
      <c r="J553" s="188" t="s">
        <v>6058</v>
      </c>
    </row>
    <row r="554" spans="1:10" ht="23.4">
      <c r="A554" s="166"/>
      <c r="B554" s="166"/>
      <c r="C554" s="188" t="s">
        <v>6059</v>
      </c>
      <c r="D554" s="188" t="s">
        <v>6060</v>
      </c>
      <c r="E554" s="193" t="s">
        <v>209</v>
      </c>
      <c r="F554" s="188" t="s">
        <v>6061</v>
      </c>
      <c r="G554" s="188" t="s">
        <v>6062</v>
      </c>
      <c r="H554" s="184" t="s">
        <v>387</v>
      </c>
      <c r="I554" s="188" t="s">
        <v>4534</v>
      </c>
      <c r="J554" s="188" t="s">
        <v>6063</v>
      </c>
    </row>
    <row r="555" spans="1:10" ht="23.4">
      <c r="A555" s="166"/>
      <c r="B555" s="166"/>
      <c r="C555" s="188" t="s">
        <v>6064</v>
      </c>
      <c r="D555" s="188" t="s">
        <v>6065</v>
      </c>
      <c r="E555" s="193" t="s">
        <v>204</v>
      </c>
      <c r="F555" s="188" t="s">
        <v>6066</v>
      </c>
      <c r="G555" s="188" t="s">
        <v>6067</v>
      </c>
      <c r="H555" s="184" t="s">
        <v>14</v>
      </c>
      <c r="I555" s="188" t="s">
        <v>3141</v>
      </c>
      <c r="J555" s="188" t="s">
        <v>6068</v>
      </c>
    </row>
    <row r="556" spans="1:10" ht="23.4">
      <c r="A556" s="166"/>
      <c r="B556" s="166"/>
      <c r="C556" s="188" t="s">
        <v>6069</v>
      </c>
      <c r="D556" s="188" t="s">
        <v>6070</v>
      </c>
      <c r="E556" s="193" t="s">
        <v>204</v>
      </c>
      <c r="F556" s="188" t="s">
        <v>6071</v>
      </c>
      <c r="G556" s="188" t="s">
        <v>6072</v>
      </c>
      <c r="H556" s="184" t="s">
        <v>14</v>
      </c>
      <c r="I556" s="188" t="s">
        <v>6073</v>
      </c>
      <c r="J556" s="188" t="s">
        <v>6074</v>
      </c>
    </row>
    <row r="557" spans="1:10" ht="23.4" customHeight="1">
      <c r="A557" s="166"/>
      <c r="B557" s="153" t="s">
        <v>4415</v>
      </c>
      <c r="C557" s="188" t="s">
        <v>6075</v>
      </c>
      <c r="D557" s="188" t="s">
        <v>6076</v>
      </c>
      <c r="E557" s="193" t="s">
        <v>204</v>
      </c>
      <c r="F557" s="188" t="s">
        <v>6077</v>
      </c>
      <c r="G557" s="188" t="s">
        <v>6078</v>
      </c>
      <c r="H557" s="184" t="s">
        <v>387</v>
      </c>
      <c r="I557" s="188" t="s">
        <v>5534</v>
      </c>
      <c r="J557" s="188" t="s">
        <v>6079</v>
      </c>
    </row>
    <row r="558" spans="1:10" ht="23.4">
      <c r="A558" s="166"/>
      <c r="B558" s="166"/>
      <c r="C558" s="188" t="s">
        <v>6080</v>
      </c>
      <c r="D558" s="188" t="s">
        <v>6081</v>
      </c>
      <c r="E558" s="193" t="s">
        <v>209</v>
      </c>
      <c r="F558" s="188" t="s">
        <v>6082</v>
      </c>
      <c r="G558" s="188" t="s">
        <v>6083</v>
      </c>
      <c r="H558" s="184" t="s">
        <v>387</v>
      </c>
      <c r="I558" s="188" t="s">
        <v>6084</v>
      </c>
      <c r="J558" s="188" t="s">
        <v>6085</v>
      </c>
    </row>
    <row r="559" spans="1:10" ht="23.4">
      <c r="A559" s="166"/>
      <c r="B559" s="166"/>
      <c r="C559" s="188" t="s">
        <v>6086</v>
      </c>
      <c r="D559" s="188" t="s">
        <v>6087</v>
      </c>
      <c r="E559" s="193" t="s">
        <v>204</v>
      </c>
      <c r="F559" s="188" t="s">
        <v>6088</v>
      </c>
      <c r="G559" s="188" t="s">
        <v>6089</v>
      </c>
      <c r="H559" s="184" t="s">
        <v>14</v>
      </c>
      <c r="I559" s="188" t="s">
        <v>6025</v>
      </c>
      <c r="J559" s="188" t="s">
        <v>6090</v>
      </c>
    </row>
    <row r="560" spans="1:10" ht="23.4">
      <c r="A560" s="166"/>
      <c r="B560" s="166"/>
      <c r="C560" s="188" t="s">
        <v>6091</v>
      </c>
      <c r="D560" s="188" t="s">
        <v>6092</v>
      </c>
      <c r="E560" s="193" t="s">
        <v>204</v>
      </c>
      <c r="F560" s="188" t="s">
        <v>6093</v>
      </c>
      <c r="G560" s="188" t="s">
        <v>3429</v>
      </c>
      <c r="H560" s="184" t="s">
        <v>387</v>
      </c>
      <c r="I560" s="188" t="s">
        <v>3013</v>
      </c>
      <c r="J560" s="188" t="s">
        <v>6094</v>
      </c>
    </row>
    <row r="561" spans="1:10" ht="23.4">
      <c r="A561" s="166"/>
      <c r="B561" s="166"/>
      <c r="C561" s="188" t="s">
        <v>6095</v>
      </c>
      <c r="D561" s="188" t="s">
        <v>6096</v>
      </c>
      <c r="E561" s="193" t="s">
        <v>204</v>
      </c>
      <c r="F561" s="188" t="s">
        <v>6097</v>
      </c>
      <c r="G561" s="188" t="s">
        <v>6098</v>
      </c>
      <c r="H561" s="184" t="s">
        <v>387</v>
      </c>
      <c r="I561" s="188" t="s">
        <v>6099</v>
      </c>
      <c r="J561" s="188" t="s">
        <v>6100</v>
      </c>
    </row>
    <row r="562" spans="1:10" ht="23.4" customHeight="1">
      <c r="A562" s="166"/>
      <c r="B562" s="153" t="s">
        <v>4415</v>
      </c>
      <c r="C562" s="188" t="s">
        <v>6038</v>
      </c>
      <c r="D562" s="188" t="s">
        <v>6039</v>
      </c>
      <c r="E562" s="193" t="s">
        <v>204</v>
      </c>
      <c r="F562" s="188" t="s">
        <v>6101</v>
      </c>
      <c r="G562" s="188" t="s">
        <v>6102</v>
      </c>
      <c r="H562" s="184" t="s">
        <v>387</v>
      </c>
      <c r="I562" s="188" t="s">
        <v>5945</v>
      </c>
      <c r="J562" s="188" t="s">
        <v>6103</v>
      </c>
    </row>
    <row r="563" spans="1:10" ht="23.4">
      <c r="A563" s="166"/>
      <c r="B563" s="166"/>
      <c r="C563" s="188" t="s">
        <v>6040</v>
      </c>
      <c r="D563" s="188" t="s">
        <v>6041</v>
      </c>
      <c r="E563" s="193" t="s">
        <v>204</v>
      </c>
      <c r="F563" s="188" t="s">
        <v>6104</v>
      </c>
      <c r="G563" s="188" t="s">
        <v>6105</v>
      </c>
      <c r="H563" s="184" t="s">
        <v>387</v>
      </c>
      <c r="I563" s="188" t="s">
        <v>3145</v>
      </c>
      <c r="J563" s="188" t="s">
        <v>6106</v>
      </c>
    </row>
    <row r="564" spans="1:10" ht="24" thickBot="1">
      <c r="A564" s="166"/>
      <c r="B564" s="166"/>
      <c r="C564" s="188" t="s">
        <v>6042</v>
      </c>
      <c r="D564" s="188" t="s">
        <v>6043</v>
      </c>
      <c r="E564" s="193" t="s">
        <v>204</v>
      </c>
      <c r="F564" s="188" t="s">
        <v>6107</v>
      </c>
      <c r="G564" s="188" t="s">
        <v>6108</v>
      </c>
      <c r="H564" s="194" t="s">
        <v>14</v>
      </c>
      <c r="I564" s="188" t="s">
        <v>2941</v>
      </c>
      <c r="J564" s="188" t="s">
        <v>6109</v>
      </c>
    </row>
    <row r="565" spans="1:10" ht="23.4">
      <c r="A565" s="166"/>
      <c r="B565" s="166"/>
      <c r="C565" s="188" t="s">
        <v>6044</v>
      </c>
      <c r="D565" s="188" t="s">
        <v>6045</v>
      </c>
      <c r="E565" s="193" t="s">
        <v>209</v>
      </c>
      <c r="F565" s="188" t="s">
        <v>6110</v>
      </c>
      <c r="G565" s="188" t="s">
        <v>6111</v>
      </c>
      <c r="H565" s="184" t="s">
        <v>387</v>
      </c>
      <c r="I565" s="188" t="s">
        <v>3780</v>
      </c>
      <c r="J565" s="188" t="s">
        <v>6112</v>
      </c>
    </row>
    <row r="566" spans="1:10" ht="23.4">
      <c r="A566" s="166"/>
      <c r="B566" s="166"/>
      <c r="C566" s="188" t="s">
        <v>6046</v>
      </c>
      <c r="D566" s="188" t="s">
        <v>6047</v>
      </c>
      <c r="E566" s="193" t="s">
        <v>209</v>
      </c>
      <c r="F566" s="188" t="s">
        <v>6113</v>
      </c>
      <c r="G566" s="188" t="s">
        <v>6114</v>
      </c>
      <c r="H566" s="184" t="s">
        <v>14</v>
      </c>
      <c r="I566" s="188" t="s">
        <v>4072</v>
      </c>
      <c r="J566" s="188" t="s">
        <v>6115</v>
      </c>
    </row>
    <row r="567" spans="1:10" ht="23.4">
      <c r="A567" s="166"/>
      <c r="B567" s="153" t="s">
        <v>4415</v>
      </c>
      <c r="C567" s="188" t="s">
        <v>6116</v>
      </c>
      <c r="D567" s="188" t="s">
        <v>6117</v>
      </c>
      <c r="E567" s="193" t="s">
        <v>209</v>
      </c>
      <c r="F567" s="188" t="s">
        <v>6118</v>
      </c>
      <c r="G567" s="188" t="s">
        <v>6119</v>
      </c>
      <c r="H567" s="184" t="s">
        <v>14</v>
      </c>
      <c r="I567" s="188" t="s">
        <v>6120</v>
      </c>
      <c r="J567" s="188" t="s">
        <v>6121</v>
      </c>
    </row>
    <row r="568" spans="1:10" ht="23.4">
      <c r="A568" s="166"/>
      <c r="B568" s="166"/>
      <c r="C568" s="188" t="s">
        <v>6122</v>
      </c>
      <c r="D568" s="188" t="s">
        <v>6123</v>
      </c>
      <c r="E568" s="193" t="s">
        <v>204</v>
      </c>
      <c r="F568" s="188" t="s">
        <v>6124</v>
      </c>
      <c r="G568" s="188" t="s">
        <v>6125</v>
      </c>
      <c r="H568" s="184" t="s">
        <v>387</v>
      </c>
      <c r="I568" s="188" t="s">
        <v>6126</v>
      </c>
      <c r="J568" s="188" t="s">
        <v>6127</v>
      </c>
    </row>
    <row r="569" spans="1:10" ht="23.4">
      <c r="A569" s="166"/>
      <c r="B569" s="166"/>
      <c r="C569" s="188" t="s">
        <v>6128</v>
      </c>
      <c r="D569" s="188" t="s">
        <v>6129</v>
      </c>
      <c r="E569" s="193" t="s">
        <v>204</v>
      </c>
      <c r="F569" s="188" t="s">
        <v>6130</v>
      </c>
      <c r="G569" s="188" t="s">
        <v>6131</v>
      </c>
      <c r="H569" s="184" t="s">
        <v>387</v>
      </c>
      <c r="I569" s="188" t="s">
        <v>3913</v>
      </c>
      <c r="J569" s="188" t="s">
        <v>6132</v>
      </c>
    </row>
    <row r="570" spans="1:10" ht="23.4">
      <c r="A570" s="166"/>
      <c r="B570" s="166"/>
      <c r="C570" s="188" t="s">
        <v>6133</v>
      </c>
      <c r="D570" s="188" t="s">
        <v>6134</v>
      </c>
      <c r="E570" s="193" t="s">
        <v>204</v>
      </c>
      <c r="F570" s="188" t="s">
        <v>6135</v>
      </c>
      <c r="G570" s="188" t="s">
        <v>6136</v>
      </c>
      <c r="H570" s="184" t="s">
        <v>14</v>
      </c>
      <c r="I570" s="188" t="s">
        <v>6137</v>
      </c>
      <c r="J570" s="188" t="s">
        <v>6138</v>
      </c>
    </row>
    <row r="571" spans="1:10" ht="23.4">
      <c r="A571" s="166"/>
      <c r="B571" s="166"/>
      <c r="C571" s="188" t="s">
        <v>6139</v>
      </c>
      <c r="D571" s="188" t="s">
        <v>6140</v>
      </c>
      <c r="E571" s="193" t="s">
        <v>242</v>
      </c>
      <c r="F571" s="188" t="s">
        <v>6141</v>
      </c>
      <c r="G571" s="188" t="s">
        <v>6142</v>
      </c>
      <c r="H571" s="184" t="s">
        <v>387</v>
      </c>
      <c r="I571" s="188" t="s">
        <v>6143</v>
      </c>
      <c r="J571" s="188" t="s">
        <v>6144</v>
      </c>
    </row>
    <row r="572" spans="1:10" ht="23.4">
      <c r="A572" s="166"/>
      <c r="B572" s="153" t="s">
        <v>4416</v>
      </c>
      <c r="C572" s="188" t="s">
        <v>6145</v>
      </c>
      <c r="D572" s="188" t="s">
        <v>6146</v>
      </c>
      <c r="E572" s="193" t="s">
        <v>204</v>
      </c>
      <c r="F572" s="188" t="s">
        <v>6147</v>
      </c>
      <c r="G572" s="188" t="s">
        <v>6148</v>
      </c>
      <c r="H572" s="184" t="s">
        <v>387</v>
      </c>
      <c r="I572" s="188" t="s">
        <v>4045</v>
      </c>
      <c r="J572" s="188" t="s">
        <v>6149</v>
      </c>
    </row>
    <row r="573" spans="1:10" ht="23.4">
      <c r="A573" s="166"/>
      <c r="B573" s="166"/>
      <c r="C573" s="188" t="s">
        <v>6150</v>
      </c>
      <c r="D573" s="188" t="s">
        <v>6151</v>
      </c>
      <c r="E573" s="193" t="s">
        <v>204</v>
      </c>
      <c r="F573" s="188" t="s">
        <v>6152</v>
      </c>
      <c r="G573" s="188" t="s">
        <v>6153</v>
      </c>
      <c r="H573" s="184" t="s">
        <v>387</v>
      </c>
      <c r="I573" s="188" t="s">
        <v>6154</v>
      </c>
      <c r="J573" s="188" t="s">
        <v>6155</v>
      </c>
    </row>
    <row r="574" spans="1:10" ht="23.4">
      <c r="A574" s="166"/>
      <c r="B574" s="166"/>
      <c r="C574" s="188" t="s">
        <v>6156</v>
      </c>
      <c r="D574" s="188" t="s">
        <v>6157</v>
      </c>
      <c r="E574" s="193" t="s">
        <v>204</v>
      </c>
      <c r="F574" s="188" t="s">
        <v>6158</v>
      </c>
      <c r="G574" s="188" t="s">
        <v>2388</v>
      </c>
      <c r="H574" s="184" t="s">
        <v>387</v>
      </c>
      <c r="I574" s="188" t="s">
        <v>6159</v>
      </c>
      <c r="J574" s="188" t="s">
        <v>6160</v>
      </c>
    </row>
    <row r="575" spans="1:10" ht="24" thickBot="1">
      <c r="A575" s="166"/>
      <c r="B575" s="166"/>
      <c r="C575" s="188" t="s">
        <v>6161</v>
      </c>
      <c r="D575" s="188" t="s">
        <v>6162</v>
      </c>
      <c r="E575" s="193" t="s">
        <v>242</v>
      </c>
      <c r="F575" s="188" t="s">
        <v>6163</v>
      </c>
      <c r="G575" s="188" t="s">
        <v>6164</v>
      </c>
      <c r="H575" s="194" t="s">
        <v>14</v>
      </c>
      <c r="I575" s="188" t="s">
        <v>6165</v>
      </c>
      <c r="J575" s="188" t="s">
        <v>6166</v>
      </c>
    </row>
    <row r="576" spans="1:10" ht="23.4">
      <c r="A576" s="166"/>
      <c r="B576" s="166"/>
      <c r="C576" s="188" t="s">
        <v>6167</v>
      </c>
      <c r="D576" s="188" t="s">
        <v>6168</v>
      </c>
      <c r="E576" s="193" t="s">
        <v>204</v>
      </c>
      <c r="F576" s="188" t="s">
        <v>6169</v>
      </c>
      <c r="G576" s="188" t="s">
        <v>6019</v>
      </c>
      <c r="H576" s="184" t="s">
        <v>387</v>
      </c>
      <c r="I576" s="188" t="s">
        <v>3012</v>
      </c>
      <c r="J576" s="188" t="s">
        <v>6170</v>
      </c>
    </row>
    <row r="577" spans="1:10" ht="23.4">
      <c r="A577" s="166"/>
      <c r="B577" s="153" t="s">
        <v>4417</v>
      </c>
      <c r="C577" s="188" t="s">
        <v>6171</v>
      </c>
      <c r="D577" s="188" t="s">
        <v>6172</v>
      </c>
      <c r="E577" s="193" t="s">
        <v>209</v>
      </c>
      <c r="F577" s="188" t="s">
        <v>6173</v>
      </c>
      <c r="G577" s="188" t="s">
        <v>6174</v>
      </c>
      <c r="H577" s="184" t="s">
        <v>14</v>
      </c>
      <c r="I577" s="188" t="s">
        <v>6175</v>
      </c>
      <c r="J577" s="188" t="s">
        <v>6176</v>
      </c>
    </row>
    <row r="578" spans="1:10" ht="23.4">
      <c r="A578" s="166"/>
      <c r="B578" s="166"/>
      <c r="C578" s="188" t="s">
        <v>6177</v>
      </c>
      <c r="D578" s="188" t="s">
        <v>6178</v>
      </c>
      <c r="E578" s="193" t="s">
        <v>242</v>
      </c>
      <c r="F578" s="188" t="s">
        <v>6179</v>
      </c>
      <c r="G578" s="188" t="s">
        <v>6180</v>
      </c>
      <c r="H578" s="184" t="s">
        <v>14</v>
      </c>
      <c r="I578" s="188" t="s">
        <v>6181</v>
      </c>
      <c r="J578" s="188" t="s">
        <v>6182</v>
      </c>
    </row>
    <row r="579" spans="1:10" ht="23.4">
      <c r="A579" s="166"/>
      <c r="B579" s="166"/>
      <c r="C579" s="188" t="s">
        <v>6183</v>
      </c>
      <c r="D579" s="188" t="s">
        <v>6184</v>
      </c>
      <c r="E579" s="193" t="s">
        <v>209</v>
      </c>
      <c r="F579" s="188" t="s">
        <v>6185</v>
      </c>
      <c r="G579" s="188" t="s">
        <v>6186</v>
      </c>
      <c r="H579" s="184" t="s">
        <v>387</v>
      </c>
      <c r="I579" s="188" t="s">
        <v>6187</v>
      </c>
      <c r="J579" s="188" t="s">
        <v>6188</v>
      </c>
    </row>
    <row r="580" spans="1:10" ht="23.4">
      <c r="A580" s="166"/>
      <c r="B580" s="166"/>
      <c r="C580" s="188" t="s">
        <v>6189</v>
      </c>
      <c r="D580" s="188" t="s">
        <v>6190</v>
      </c>
      <c r="E580" s="193" t="s">
        <v>209</v>
      </c>
      <c r="F580" s="188" t="s">
        <v>6191</v>
      </c>
      <c r="G580" s="188" t="s">
        <v>5638</v>
      </c>
      <c r="H580" s="184" t="s">
        <v>14</v>
      </c>
      <c r="I580" s="188" t="s">
        <v>6192</v>
      </c>
      <c r="J580" s="188" t="s">
        <v>6193</v>
      </c>
    </row>
    <row r="581" spans="1:10" ht="23.4">
      <c r="A581" s="166"/>
      <c r="B581" s="166"/>
      <c r="C581" s="188" t="s">
        <v>6194</v>
      </c>
      <c r="D581" s="188" t="s">
        <v>6195</v>
      </c>
      <c r="E581" s="193" t="s">
        <v>209</v>
      </c>
      <c r="F581" s="188" t="s">
        <v>6196</v>
      </c>
      <c r="G581" s="188" t="s">
        <v>6197</v>
      </c>
      <c r="H581" s="184" t="s">
        <v>387</v>
      </c>
      <c r="I581" s="188" t="s">
        <v>3012</v>
      </c>
      <c r="J581" s="188" t="s">
        <v>6198</v>
      </c>
    </row>
    <row r="582" spans="1:10" ht="23.4">
      <c r="A582" s="166"/>
      <c r="B582" s="153" t="s">
        <v>4418</v>
      </c>
      <c r="C582" s="188" t="s">
        <v>6199</v>
      </c>
      <c r="D582" s="188" t="s">
        <v>6200</v>
      </c>
      <c r="E582" s="193" t="s">
        <v>204</v>
      </c>
      <c r="F582" s="188" t="s">
        <v>486</v>
      </c>
      <c r="G582" s="188" t="s">
        <v>6201</v>
      </c>
      <c r="H582" s="184" t="s">
        <v>14</v>
      </c>
      <c r="I582" s="188" t="s">
        <v>6202</v>
      </c>
      <c r="J582" s="188" t="s">
        <v>6203</v>
      </c>
    </row>
    <row r="583" spans="1:10" ht="23.4">
      <c r="A583" s="166"/>
      <c r="B583" s="166"/>
      <c r="C583" s="188" t="s">
        <v>6204</v>
      </c>
      <c r="D583" s="188" t="s">
        <v>6205</v>
      </c>
      <c r="E583" s="193" t="s">
        <v>204</v>
      </c>
      <c r="F583" s="188" t="s">
        <v>6206</v>
      </c>
      <c r="G583" s="188" t="s">
        <v>6207</v>
      </c>
      <c r="H583" s="184" t="s">
        <v>14</v>
      </c>
      <c r="I583" s="188" t="s">
        <v>6208</v>
      </c>
      <c r="J583" s="188" t="s">
        <v>6209</v>
      </c>
    </row>
    <row r="584" spans="1:10" ht="23.4">
      <c r="A584" s="166"/>
      <c r="B584" s="166"/>
      <c r="C584" s="188" t="s">
        <v>6210</v>
      </c>
      <c r="D584" s="188" t="s">
        <v>6211</v>
      </c>
      <c r="E584" s="193" t="s">
        <v>204</v>
      </c>
      <c r="F584" s="188" t="s">
        <v>6212</v>
      </c>
      <c r="G584" s="188" t="s">
        <v>6213</v>
      </c>
      <c r="H584" s="184" t="s">
        <v>387</v>
      </c>
      <c r="I584" s="188" t="s">
        <v>5233</v>
      </c>
      <c r="J584" s="188" t="s">
        <v>6214</v>
      </c>
    </row>
    <row r="585" spans="1:10" ht="23.4">
      <c r="A585" s="166"/>
      <c r="B585" s="166"/>
      <c r="C585" s="188" t="s">
        <v>6215</v>
      </c>
      <c r="D585" s="188" t="s">
        <v>6216</v>
      </c>
      <c r="E585" s="193" t="s">
        <v>204</v>
      </c>
      <c r="F585" s="188" t="s">
        <v>6217</v>
      </c>
      <c r="G585" s="188" t="s">
        <v>6218</v>
      </c>
      <c r="H585" s="184" t="s">
        <v>387</v>
      </c>
      <c r="I585" s="188" t="s">
        <v>6219</v>
      </c>
      <c r="J585" s="188" t="s">
        <v>6220</v>
      </c>
    </row>
    <row r="586" spans="1:10" ht="23.4">
      <c r="A586" s="166"/>
      <c r="B586" s="166"/>
      <c r="C586" s="188" t="s">
        <v>6221</v>
      </c>
      <c r="D586" s="188" t="s">
        <v>6222</v>
      </c>
      <c r="E586" s="193" t="s">
        <v>204</v>
      </c>
      <c r="F586" s="188" t="s">
        <v>6223</v>
      </c>
      <c r="G586" s="188" t="s">
        <v>6224</v>
      </c>
      <c r="H586" s="184" t="s">
        <v>14</v>
      </c>
      <c r="I586" s="188" t="s">
        <v>6225</v>
      </c>
      <c r="J586" s="188" t="s">
        <v>6226</v>
      </c>
    </row>
    <row r="587" spans="1:10">
      <c r="C587" s="190"/>
    </row>
    <row r="588" spans="1:10">
      <c r="C588" s="190"/>
    </row>
    <row r="589" spans="1:10">
      <c r="C589" s="190"/>
    </row>
    <row r="590" spans="1:10">
      <c r="C590" s="190"/>
    </row>
    <row r="591" spans="1:10">
      <c r="C591" s="190"/>
    </row>
    <row r="592" spans="1:10">
      <c r="C592" s="190"/>
    </row>
    <row r="593" spans="3:3">
      <c r="C593" s="190"/>
    </row>
    <row r="594" spans="3:3">
      <c r="C594" s="190"/>
    </row>
    <row r="595" spans="3:3">
      <c r="C595" s="190"/>
    </row>
    <row r="596" spans="3:3">
      <c r="C596" s="190"/>
    </row>
    <row r="597" spans="3:3">
      <c r="C597" s="190"/>
    </row>
    <row r="598" spans="3:3">
      <c r="C598" s="190"/>
    </row>
    <row r="599" spans="3:3">
      <c r="C599" s="190"/>
    </row>
    <row r="600" spans="3:3">
      <c r="C600" s="190"/>
    </row>
    <row r="601" spans="3:3">
      <c r="C601" s="190"/>
    </row>
    <row r="602" spans="3:3">
      <c r="C602" s="190"/>
    </row>
    <row r="603" spans="3:3">
      <c r="C603" s="190"/>
    </row>
    <row r="604" spans="3:3">
      <c r="C604" s="190"/>
    </row>
    <row r="605" spans="3:3">
      <c r="C605" s="190"/>
    </row>
    <row r="606" spans="3:3">
      <c r="C606" s="190"/>
    </row>
  </sheetData>
  <mergeCells count="132">
    <mergeCell ref="A552:A586"/>
    <mergeCell ref="B552:B556"/>
    <mergeCell ref="B557:B561"/>
    <mergeCell ref="B562:B566"/>
    <mergeCell ref="B567:B571"/>
    <mergeCell ref="B572:B576"/>
    <mergeCell ref="B577:B581"/>
    <mergeCell ref="B582:B586"/>
    <mergeCell ref="A512:A551"/>
    <mergeCell ref="B512:B516"/>
    <mergeCell ref="B517:B521"/>
    <mergeCell ref="B522:B526"/>
    <mergeCell ref="B527:B531"/>
    <mergeCell ref="B532:B536"/>
    <mergeCell ref="B537:B541"/>
    <mergeCell ref="B542:B546"/>
    <mergeCell ref="B547:B551"/>
    <mergeCell ref="A472:A511"/>
    <mergeCell ref="B472:B476"/>
    <mergeCell ref="B477:B481"/>
    <mergeCell ref="B482:B486"/>
    <mergeCell ref="B487:B491"/>
    <mergeCell ref="B492:B496"/>
    <mergeCell ref="B497:B501"/>
    <mergeCell ref="B502:B506"/>
    <mergeCell ref="B507:B511"/>
    <mergeCell ref="A432:A471"/>
    <mergeCell ref="B432:B436"/>
    <mergeCell ref="B437:B441"/>
    <mergeCell ref="B442:B446"/>
    <mergeCell ref="B447:B451"/>
    <mergeCell ref="B452:B456"/>
    <mergeCell ref="B457:B461"/>
    <mergeCell ref="B462:B466"/>
    <mergeCell ref="B467:B471"/>
    <mergeCell ref="A392:A431"/>
    <mergeCell ref="B392:B396"/>
    <mergeCell ref="B397:B401"/>
    <mergeCell ref="B402:B406"/>
    <mergeCell ref="B407:B411"/>
    <mergeCell ref="B412:B416"/>
    <mergeCell ref="B417:B421"/>
    <mergeCell ref="B422:B426"/>
    <mergeCell ref="B427:B431"/>
    <mergeCell ref="A352:A391"/>
    <mergeCell ref="B352:B356"/>
    <mergeCell ref="B357:B361"/>
    <mergeCell ref="B362:B366"/>
    <mergeCell ref="B367:B371"/>
    <mergeCell ref="B372:B376"/>
    <mergeCell ref="B377:B381"/>
    <mergeCell ref="B382:B386"/>
    <mergeCell ref="B387:B391"/>
    <mergeCell ref="A312:A351"/>
    <mergeCell ref="B312:B316"/>
    <mergeCell ref="B317:B321"/>
    <mergeCell ref="B322:B326"/>
    <mergeCell ref="B327:B331"/>
    <mergeCell ref="B332:B336"/>
    <mergeCell ref="B337:B341"/>
    <mergeCell ref="B342:B346"/>
    <mergeCell ref="B347:B351"/>
    <mergeCell ref="A242:A276"/>
    <mergeCell ref="B242:B246"/>
    <mergeCell ref="B247:B251"/>
    <mergeCell ref="B252:B256"/>
    <mergeCell ref="B257:B261"/>
    <mergeCell ref="B262:B266"/>
    <mergeCell ref="B267:B271"/>
    <mergeCell ref="B272:B276"/>
    <mergeCell ref="A277:A311"/>
    <mergeCell ref="B277:B281"/>
    <mergeCell ref="B282:B286"/>
    <mergeCell ref="B287:B291"/>
    <mergeCell ref="B292:B296"/>
    <mergeCell ref="B297:B301"/>
    <mergeCell ref="B302:B306"/>
    <mergeCell ref="B307:B311"/>
    <mergeCell ref="A202:A241"/>
    <mergeCell ref="B202:B206"/>
    <mergeCell ref="B207:B211"/>
    <mergeCell ref="B212:B216"/>
    <mergeCell ref="B217:B221"/>
    <mergeCell ref="B222:B226"/>
    <mergeCell ref="B227:B231"/>
    <mergeCell ref="B232:B236"/>
    <mergeCell ref="B237:B241"/>
    <mergeCell ref="A162:A201"/>
    <mergeCell ref="B162:B166"/>
    <mergeCell ref="B167:B171"/>
    <mergeCell ref="B172:B176"/>
    <mergeCell ref="B177:B181"/>
    <mergeCell ref="B182:B186"/>
    <mergeCell ref="B187:B191"/>
    <mergeCell ref="B192:B196"/>
    <mergeCell ref="B197:B201"/>
    <mergeCell ref="A122:A161"/>
    <mergeCell ref="B122:B126"/>
    <mergeCell ref="B127:B131"/>
    <mergeCell ref="B132:B136"/>
    <mergeCell ref="B137:B141"/>
    <mergeCell ref="B142:B146"/>
    <mergeCell ref="B147:B151"/>
    <mergeCell ref="B152:B156"/>
    <mergeCell ref="B157:B161"/>
    <mergeCell ref="B72:B76"/>
    <mergeCell ref="B77:B81"/>
    <mergeCell ref="A82:A121"/>
    <mergeCell ref="B82:B86"/>
    <mergeCell ref="B87:B91"/>
    <mergeCell ref="B92:B96"/>
    <mergeCell ref="B97:B101"/>
    <mergeCell ref="B102:B106"/>
    <mergeCell ref="B107:B111"/>
    <mergeCell ref="B112:B116"/>
    <mergeCell ref="B117:B121"/>
    <mergeCell ref="A2:A41"/>
    <mergeCell ref="B2:B6"/>
    <mergeCell ref="B7:B11"/>
    <mergeCell ref="B12:B16"/>
    <mergeCell ref="B17:B21"/>
    <mergeCell ref="B22:B26"/>
    <mergeCell ref="B27:B31"/>
    <mergeCell ref="B32:B36"/>
    <mergeCell ref="B37:B41"/>
    <mergeCell ref="A42:A81"/>
    <mergeCell ref="B42:B46"/>
    <mergeCell ref="B47:B51"/>
    <mergeCell ref="B52:B56"/>
    <mergeCell ref="B57:B61"/>
    <mergeCell ref="B62:B66"/>
    <mergeCell ref="B67:B71"/>
  </mergeCells>
  <conditionalFormatting sqref="H2:H25 H252:H255 H286:H287">
    <cfRule type="containsText" dxfId="525" priority="313" operator="containsText" text="Faible">
      <formula>NOT(ISERROR(SEARCH("Faible",H2)))</formula>
    </cfRule>
    <cfRule type="containsText" dxfId="524" priority="314" operator="containsText" text="Elevée">
      <formula>NOT(ISERROR(SEARCH("Elevée",H2)))</formula>
    </cfRule>
    <cfRule type="containsText" dxfId="523" priority="315" operator="containsText" text="Moyenne">
      <formula>NOT(ISERROR(SEARCH("Moyenne",H2)))</formula>
    </cfRule>
  </conditionalFormatting>
  <conditionalFormatting sqref="H26:H40">
    <cfRule type="containsText" dxfId="522" priority="310" operator="containsText" text="Faible">
      <formula>NOT(ISERROR(SEARCH("Faible",H26)))</formula>
    </cfRule>
    <cfRule type="containsText" dxfId="521" priority="311" operator="containsText" text="Elevée">
      <formula>NOT(ISERROR(SEARCH("Elevée",H26)))</formula>
    </cfRule>
    <cfRule type="containsText" dxfId="520" priority="312" operator="containsText" text="Moyenne">
      <formula>NOT(ISERROR(SEARCH("Moyenne",H26)))</formula>
    </cfRule>
  </conditionalFormatting>
  <conditionalFormatting sqref="H41:H49">
    <cfRule type="containsText" dxfId="519" priority="307" operator="containsText" text="Faible">
      <formula>NOT(ISERROR(SEARCH("Faible",H41)))</formula>
    </cfRule>
    <cfRule type="containsText" dxfId="518" priority="308" operator="containsText" text="Elevée">
      <formula>NOT(ISERROR(SEARCH("Elevée",H41)))</formula>
    </cfRule>
    <cfRule type="containsText" dxfId="517" priority="309" operator="containsText" text="Moyenne">
      <formula>NOT(ISERROR(SEARCH("Moyenne",H41)))</formula>
    </cfRule>
  </conditionalFormatting>
  <conditionalFormatting sqref="H50:H54">
    <cfRule type="containsText" dxfId="516" priority="304" operator="containsText" text="Faible">
      <formula>NOT(ISERROR(SEARCH("Faible",H50)))</formula>
    </cfRule>
    <cfRule type="containsText" dxfId="515" priority="305" operator="containsText" text="Elevée">
      <formula>NOT(ISERROR(SEARCH("Elevée",H50)))</formula>
    </cfRule>
    <cfRule type="containsText" dxfId="514" priority="306" operator="containsText" text="Moyenne">
      <formula>NOT(ISERROR(SEARCH("Moyenne",H50)))</formula>
    </cfRule>
  </conditionalFormatting>
  <conditionalFormatting sqref="H55:H61">
    <cfRule type="containsText" dxfId="513" priority="301" operator="containsText" text="Faible">
      <formula>NOT(ISERROR(SEARCH("Faible",H55)))</formula>
    </cfRule>
    <cfRule type="containsText" dxfId="512" priority="302" operator="containsText" text="Elevée">
      <formula>NOT(ISERROR(SEARCH("Elevée",H55)))</formula>
    </cfRule>
    <cfRule type="containsText" dxfId="511" priority="303" operator="containsText" text="Moyenne">
      <formula>NOT(ISERROR(SEARCH("Moyenne",H55)))</formula>
    </cfRule>
  </conditionalFormatting>
  <conditionalFormatting sqref="H62:H70">
    <cfRule type="containsText" dxfId="510" priority="298" operator="containsText" text="Faible">
      <formula>NOT(ISERROR(SEARCH("Faible",H62)))</formula>
    </cfRule>
    <cfRule type="containsText" dxfId="509" priority="299" operator="containsText" text="Elevée">
      <formula>NOT(ISERROR(SEARCH("Elevée",H62)))</formula>
    </cfRule>
    <cfRule type="containsText" dxfId="508" priority="300" operator="containsText" text="Moyenne">
      <formula>NOT(ISERROR(SEARCH("Moyenne",H62)))</formula>
    </cfRule>
  </conditionalFormatting>
  <conditionalFormatting sqref="H71:H92">
    <cfRule type="containsText" dxfId="507" priority="295" operator="containsText" text="Faible">
      <formula>NOT(ISERROR(SEARCH("Faible",H71)))</formula>
    </cfRule>
    <cfRule type="containsText" dxfId="506" priority="296" operator="containsText" text="Elevée">
      <formula>NOT(ISERROR(SEARCH("Elevée",H71)))</formula>
    </cfRule>
    <cfRule type="containsText" dxfId="505" priority="297" operator="containsText" text="Moyenne">
      <formula>NOT(ISERROR(SEARCH("Moyenne",H71)))</formula>
    </cfRule>
  </conditionalFormatting>
  <conditionalFormatting sqref="H93:H98">
    <cfRule type="containsText" dxfId="504" priority="292" operator="containsText" text="Faible">
      <formula>NOT(ISERROR(SEARCH("Faible",H93)))</formula>
    </cfRule>
    <cfRule type="containsText" dxfId="503" priority="293" operator="containsText" text="Elevée">
      <formula>NOT(ISERROR(SEARCH("Elevée",H93)))</formula>
    </cfRule>
    <cfRule type="containsText" dxfId="502" priority="294" operator="containsText" text="Moyenne">
      <formula>NOT(ISERROR(SEARCH("Moyenne",H93)))</formula>
    </cfRule>
  </conditionalFormatting>
  <conditionalFormatting sqref="H99">
    <cfRule type="containsText" dxfId="501" priority="289" operator="containsText" text="Faible">
      <formula>NOT(ISERROR(SEARCH("Faible",H99)))</formula>
    </cfRule>
    <cfRule type="containsText" dxfId="500" priority="290" operator="containsText" text="Elevée">
      <formula>NOT(ISERROR(SEARCH("Elevée",H99)))</formula>
    </cfRule>
    <cfRule type="containsText" dxfId="499" priority="291" operator="containsText" text="Moyenne">
      <formula>NOT(ISERROR(SEARCH("Moyenne",H99)))</formula>
    </cfRule>
  </conditionalFormatting>
  <conditionalFormatting sqref="H100:H109">
    <cfRule type="containsText" dxfId="498" priority="286" operator="containsText" text="Faible">
      <formula>NOT(ISERROR(SEARCH("Faible",H100)))</formula>
    </cfRule>
    <cfRule type="containsText" dxfId="497" priority="287" operator="containsText" text="Elevée">
      <formula>NOT(ISERROR(SEARCH("Elevée",H100)))</formula>
    </cfRule>
    <cfRule type="containsText" dxfId="496" priority="288" operator="containsText" text="Moyenne">
      <formula>NOT(ISERROR(SEARCH("Moyenne",H100)))</formula>
    </cfRule>
  </conditionalFormatting>
  <conditionalFormatting sqref="H110:H120">
    <cfRule type="containsText" dxfId="495" priority="283" operator="containsText" text="Faible">
      <formula>NOT(ISERROR(SEARCH("Faible",H110)))</formula>
    </cfRule>
    <cfRule type="containsText" dxfId="494" priority="284" operator="containsText" text="Elevée">
      <formula>NOT(ISERROR(SEARCH("Elevée",H110)))</formula>
    </cfRule>
    <cfRule type="containsText" dxfId="493" priority="285" operator="containsText" text="Moyenne">
      <formula>NOT(ISERROR(SEARCH("Moyenne",H110)))</formula>
    </cfRule>
  </conditionalFormatting>
  <conditionalFormatting sqref="H121:H126">
    <cfRule type="containsText" dxfId="492" priority="280" operator="containsText" text="Faible">
      <formula>NOT(ISERROR(SEARCH("Faible",H121)))</formula>
    </cfRule>
    <cfRule type="containsText" dxfId="491" priority="281" operator="containsText" text="Elevée">
      <formula>NOT(ISERROR(SEARCH("Elevée",H121)))</formula>
    </cfRule>
    <cfRule type="containsText" dxfId="490" priority="282" operator="containsText" text="Moyenne">
      <formula>NOT(ISERROR(SEARCH("Moyenne",H121)))</formula>
    </cfRule>
  </conditionalFormatting>
  <conditionalFormatting sqref="H127">
    <cfRule type="containsText" dxfId="489" priority="277" operator="containsText" text="Faible">
      <formula>NOT(ISERROR(SEARCH("Faible",H127)))</formula>
    </cfRule>
    <cfRule type="containsText" dxfId="488" priority="278" operator="containsText" text="Elevée">
      <formula>NOT(ISERROR(SEARCH("Elevée",H127)))</formula>
    </cfRule>
    <cfRule type="containsText" dxfId="487" priority="279" operator="containsText" text="Moyenne">
      <formula>NOT(ISERROR(SEARCH("Moyenne",H127)))</formula>
    </cfRule>
  </conditionalFormatting>
  <conditionalFormatting sqref="H128:H133">
    <cfRule type="containsText" dxfId="486" priority="274" operator="containsText" text="Faible">
      <formula>NOT(ISERROR(SEARCH("Faible",H128)))</formula>
    </cfRule>
    <cfRule type="containsText" dxfId="485" priority="275" operator="containsText" text="Elevée">
      <formula>NOT(ISERROR(SEARCH("Elevée",H128)))</formula>
    </cfRule>
    <cfRule type="containsText" dxfId="484" priority="276" operator="containsText" text="Moyenne">
      <formula>NOT(ISERROR(SEARCH("Moyenne",H128)))</formula>
    </cfRule>
  </conditionalFormatting>
  <conditionalFormatting sqref="H134:H155">
    <cfRule type="containsText" dxfId="483" priority="271" operator="containsText" text="Faible">
      <formula>NOT(ISERROR(SEARCH("Faible",H134)))</formula>
    </cfRule>
    <cfRule type="containsText" dxfId="482" priority="272" operator="containsText" text="Elevée">
      <formula>NOT(ISERROR(SEARCH("Elevée",H134)))</formula>
    </cfRule>
    <cfRule type="containsText" dxfId="481" priority="273" operator="containsText" text="Moyenne">
      <formula>NOT(ISERROR(SEARCH("Moyenne",H134)))</formula>
    </cfRule>
  </conditionalFormatting>
  <conditionalFormatting sqref="H156:H170">
    <cfRule type="containsText" dxfId="480" priority="268" operator="containsText" text="Faible">
      <formula>NOT(ISERROR(SEARCH("Faible",H156)))</formula>
    </cfRule>
    <cfRule type="containsText" dxfId="479" priority="269" operator="containsText" text="Elevée">
      <formula>NOT(ISERROR(SEARCH("Elevée",H156)))</formula>
    </cfRule>
    <cfRule type="containsText" dxfId="478" priority="270" operator="containsText" text="Moyenne">
      <formula>NOT(ISERROR(SEARCH("Moyenne",H156)))</formula>
    </cfRule>
  </conditionalFormatting>
  <conditionalFormatting sqref="H171:H179">
    <cfRule type="containsText" dxfId="477" priority="265" operator="containsText" text="Faible">
      <formula>NOT(ISERROR(SEARCH("Faible",H171)))</formula>
    </cfRule>
    <cfRule type="containsText" dxfId="476" priority="266" operator="containsText" text="Elevée">
      <formula>NOT(ISERROR(SEARCH("Elevée",H171)))</formula>
    </cfRule>
    <cfRule type="containsText" dxfId="475" priority="267" operator="containsText" text="Moyenne">
      <formula>NOT(ISERROR(SEARCH("Moyenne",H171)))</formula>
    </cfRule>
  </conditionalFormatting>
  <conditionalFormatting sqref="H180:H184">
    <cfRule type="containsText" dxfId="474" priority="262" operator="containsText" text="Faible">
      <formula>NOT(ISERROR(SEARCH("Faible",H180)))</formula>
    </cfRule>
    <cfRule type="containsText" dxfId="473" priority="263" operator="containsText" text="Elevée">
      <formula>NOT(ISERROR(SEARCH("Elevée",H180)))</formula>
    </cfRule>
    <cfRule type="containsText" dxfId="472" priority="264" operator="containsText" text="Moyenne">
      <formula>NOT(ISERROR(SEARCH("Moyenne",H180)))</formula>
    </cfRule>
  </conditionalFormatting>
  <conditionalFormatting sqref="H185:H191">
    <cfRule type="containsText" dxfId="471" priority="259" operator="containsText" text="Faible">
      <formula>NOT(ISERROR(SEARCH("Faible",H185)))</formula>
    </cfRule>
    <cfRule type="containsText" dxfId="470" priority="260" operator="containsText" text="Elevée">
      <formula>NOT(ISERROR(SEARCH("Elevée",H185)))</formula>
    </cfRule>
    <cfRule type="containsText" dxfId="469" priority="261" operator="containsText" text="Moyenne">
      <formula>NOT(ISERROR(SEARCH("Moyenne",H185)))</formula>
    </cfRule>
  </conditionalFormatting>
  <conditionalFormatting sqref="H192:H196">
    <cfRule type="containsText" dxfId="468" priority="256" operator="containsText" text="Faible">
      <formula>NOT(ISERROR(SEARCH("Faible",H192)))</formula>
    </cfRule>
    <cfRule type="containsText" dxfId="467" priority="257" operator="containsText" text="Elevée">
      <formula>NOT(ISERROR(SEARCH("Elevée",H192)))</formula>
    </cfRule>
    <cfRule type="containsText" dxfId="466" priority="258" operator="containsText" text="Moyenne">
      <formula>NOT(ISERROR(SEARCH("Moyenne",H192)))</formula>
    </cfRule>
  </conditionalFormatting>
  <conditionalFormatting sqref="H197:H203">
    <cfRule type="containsText" dxfId="465" priority="253" operator="containsText" text="Faible">
      <formula>NOT(ISERROR(SEARCH("Faible",H197)))</formula>
    </cfRule>
    <cfRule type="containsText" dxfId="464" priority="254" operator="containsText" text="Elevée">
      <formula>NOT(ISERROR(SEARCH("Elevée",H197)))</formula>
    </cfRule>
    <cfRule type="containsText" dxfId="463" priority="255" operator="containsText" text="Moyenne">
      <formula>NOT(ISERROR(SEARCH("Moyenne",H197)))</formula>
    </cfRule>
  </conditionalFormatting>
  <conditionalFormatting sqref="H204:H212">
    <cfRule type="containsText" dxfId="462" priority="250" operator="containsText" text="Faible">
      <formula>NOT(ISERROR(SEARCH("Faible",H204)))</formula>
    </cfRule>
    <cfRule type="containsText" dxfId="461" priority="251" operator="containsText" text="Elevée">
      <formula>NOT(ISERROR(SEARCH("Elevée",H204)))</formula>
    </cfRule>
    <cfRule type="containsText" dxfId="460" priority="252" operator="containsText" text="Moyenne">
      <formula>NOT(ISERROR(SEARCH("Moyenne",H204)))</formula>
    </cfRule>
  </conditionalFormatting>
  <conditionalFormatting sqref="H213:H217">
    <cfRule type="containsText" dxfId="459" priority="247" operator="containsText" text="Faible">
      <formula>NOT(ISERROR(SEARCH("Faible",H213)))</formula>
    </cfRule>
    <cfRule type="containsText" dxfId="458" priority="248" operator="containsText" text="Elevée">
      <formula>NOT(ISERROR(SEARCH("Elevée",H213)))</formula>
    </cfRule>
    <cfRule type="containsText" dxfId="457" priority="249" operator="containsText" text="Moyenne">
      <formula>NOT(ISERROR(SEARCH("Moyenne",H213)))</formula>
    </cfRule>
  </conditionalFormatting>
  <conditionalFormatting sqref="H218:H224">
    <cfRule type="containsText" dxfId="456" priority="244" operator="containsText" text="Faible">
      <formula>NOT(ISERROR(SEARCH("Faible",H218)))</formula>
    </cfRule>
    <cfRule type="containsText" dxfId="455" priority="245" operator="containsText" text="Elevée">
      <formula>NOT(ISERROR(SEARCH("Elevée",H218)))</formula>
    </cfRule>
    <cfRule type="containsText" dxfId="454" priority="246" operator="containsText" text="Moyenne">
      <formula>NOT(ISERROR(SEARCH("Moyenne",H218)))</formula>
    </cfRule>
  </conditionalFormatting>
  <conditionalFormatting sqref="H225:H231">
    <cfRule type="containsText" dxfId="453" priority="241" operator="containsText" text="Faible">
      <formula>NOT(ISERROR(SEARCH("Faible",H225)))</formula>
    </cfRule>
    <cfRule type="containsText" dxfId="452" priority="242" operator="containsText" text="Elevée">
      <formula>NOT(ISERROR(SEARCH("Elevée",H225)))</formula>
    </cfRule>
    <cfRule type="containsText" dxfId="451" priority="243" operator="containsText" text="Moyenne">
      <formula>NOT(ISERROR(SEARCH("Moyenne",H225)))</formula>
    </cfRule>
  </conditionalFormatting>
  <conditionalFormatting sqref="H232:H240">
    <cfRule type="containsText" dxfId="450" priority="238" operator="containsText" text="Faible">
      <formula>NOT(ISERROR(SEARCH("Faible",H232)))</formula>
    </cfRule>
    <cfRule type="containsText" dxfId="449" priority="239" operator="containsText" text="Elevée">
      <formula>NOT(ISERROR(SEARCH("Elevée",H232)))</formula>
    </cfRule>
    <cfRule type="containsText" dxfId="448" priority="240" operator="containsText" text="Moyenne">
      <formula>NOT(ISERROR(SEARCH("Moyenne",H232)))</formula>
    </cfRule>
  </conditionalFormatting>
  <conditionalFormatting sqref="H241:H245">
    <cfRule type="containsText" dxfId="447" priority="235" operator="containsText" text="Faible">
      <formula>NOT(ISERROR(SEARCH("Faible",H241)))</formula>
    </cfRule>
    <cfRule type="containsText" dxfId="446" priority="236" operator="containsText" text="Elevée">
      <formula>NOT(ISERROR(SEARCH("Elevée",H241)))</formula>
    </cfRule>
    <cfRule type="containsText" dxfId="445" priority="237" operator="containsText" text="Moyenne">
      <formula>NOT(ISERROR(SEARCH("Moyenne",H241)))</formula>
    </cfRule>
  </conditionalFormatting>
  <conditionalFormatting sqref="H246:H251">
    <cfRule type="containsText" dxfId="444" priority="232" operator="containsText" text="Faible">
      <formula>NOT(ISERROR(SEARCH("Faible",H246)))</formula>
    </cfRule>
    <cfRule type="containsText" dxfId="443" priority="233" operator="containsText" text="Elevée">
      <formula>NOT(ISERROR(SEARCH("Elevée",H246)))</formula>
    </cfRule>
    <cfRule type="containsText" dxfId="442" priority="234" operator="containsText" text="Moyenne">
      <formula>NOT(ISERROR(SEARCH("Moyenne",H246)))</formula>
    </cfRule>
  </conditionalFormatting>
  <conditionalFormatting sqref="H256:H264">
    <cfRule type="containsText" dxfId="441" priority="229" operator="containsText" text="Faible">
      <formula>NOT(ISERROR(SEARCH("Faible",H256)))</formula>
    </cfRule>
    <cfRule type="containsText" dxfId="440" priority="230" operator="containsText" text="Elevée">
      <formula>NOT(ISERROR(SEARCH("Elevée",H256)))</formula>
    </cfRule>
    <cfRule type="containsText" dxfId="439" priority="231" operator="containsText" text="Moyenne">
      <formula>NOT(ISERROR(SEARCH("Moyenne",H256)))</formula>
    </cfRule>
  </conditionalFormatting>
  <conditionalFormatting sqref="H265:H269">
    <cfRule type="containsText" dxfId="438" priority="226" operator="containsText" text="Faible">
      <formula>NOT(ISERROR(SEARCH("Faible",H265)))</formula>
    </cfRule>
    <cfRule type="containsText" dxfId="437" priority="227" operator="containsText" text="Elevée">
      <formula>NOT(ISERROR(SEARCH("Elevée",H265)))</formula>
    </cfRule>
    <cfRule type="containsText" dxfId="436" priority="228" operator="containsText" text="Moyenne">
      <formula>NOT(ISERROR(SEARCH("Moyenne",H265)))</formula>
    </cfRule>
  </conditionalFormatting>
  <conditionalFormatting sqref="H270:H274">
    <cfRule type="containsText" dxfId="435" priority="223" operator="containsText" text="Faible">
      <formula>NOT(ISERROR(SEARCH("Faible",H270)))</formula>
    </cfRule>
    <cfRule type="containsText" dxfId="434" priority="224" operator="containsText" text="Elevée">
      <formula>NOT(ISERROR(SEARCH("Elevée",H270)))</formula>
    </cfRule>
    <cfRule type="containsText" dxfId="433" priority="225" operator="containsText" text="Moyenne">
      <formula>NOT(ISERROR(SEARCH("Moyenne",H270)))</formula>
    </cfRule>
  </conditionalFormatting>
  <conditionalFormatting sqref="H275:H280">
    <cfRule type="containsText" dxfId="432" priority="220" operator="containsText" text="Faible">
      <formula>NOT(ISERROR(SEARCH("Faible",H275)))</formula>
    </cfRule>
    <cfRule type="containsText" dxfId="431" priority="221" operator="containsText" text="Elevée">
      <formula>NOT(ISERROR(SEARCH("Elevée",H275)))</formula>
    </cfRule>
    <cfRule type="containsText" dxfId="430" priority="222" operator="containsText" text="Moyenne">
      <formula>NOT(ISERROR(SEARCH("Moyenne",H275)))</formula>
    </cfRule>
  </conditionalFormatting>
  <conditionalFormatting sqref="H281:H285">
    <cfRule type="containsText" dxfId="429" priority="217" operator="containsText" text="Faible">
      <formula>NOT(ISERROR(SEARCH("Faible",H281)))</formula>
    </cfRule>
    <cfRule type="containsText" dxfId="428" priority="218" operator="containsText" text="Elevée">
      <formula>NOT(ISERROR(SEARCH("Elevée",H281)))</formula>
    </cfRule>
    <cfRule type="containsText" dxfId="427" priority="219" operator="containsText" text="Moyenne">
      <formula>NOT(ISERROR(SEARCH("Moyenne",H281)))</formula>
    </cfRule>
  </conditionalFormatting>
  <conditionalFormatting sqref="H288">
    <cfRule type="containsText" dxfId="426" priority="214" operator="containsText" text="Faible">
      <formula>NOT(ISERROR(SEARCH("Faible",H288)))</formula>
    </cfRule>
    <cfRule type="containsText" dxfId="425" priority="215" operator="containsText" text="Elevée">
      <formula>NOT(ISERROR(SEARCH("Elevée",H288)))</formula>
    </cfRule>
    <cfRule type="containsText" dxfId="424" priority="216" operator="containsText" text="Moyenne">
      <formula>NOT(ISERROR(SEARCH("Moyenne",H288)))</formula>
    </cfRule>
  </conditionalFormatting>
  <conditionalFormatting sqref="H289">
    <cfRule type="containsText" dxfId="423" priority="211" operator="containsText" text="Faible">
      <formula>NOT(ISERROR(SEARCH("Faible",H289)))</formula>
    </cfRule>
    <cfRule type="containsText" dxfId="422" priority="212" operator="containsText" text="Elevée">
      <formula>NOT(ISERROR(SEARCH("Elevée",H289)))</formula>
    </cfRule>
    <cfRule type="containsText" dxfId="421" priority="213" operator="containsText" text="Moyenne">
      <formula>NOT(ISERROR(SEARCH("Moyenne",H289)))</formula>
    </cfRule>
  </conditionalFormatting>
  <conditionalFormatting sqref="H290:H294">
    <cfRule type="containsText" dxfId="420" priority="208" operator="containsText" text="Faible">
      <formula>NOT(ISERROR(SEARCH("Faible",H290)))</formula>
    </cfRule>
    <cfRule type="containsText" dxfId="419" priority="209" operator="containsText" text="Elevée">
      <formula>NOT(ISERROR(SEARCH("Elevée",H290)))</formula>
    </cfRule>
    <cfRule type="containsText" dxfId="418" priority="210" operator="containsText" text="Moyenne">
      <formula>NOT(ISERROR(SEARCH("Moyenne",H290)))</formula>
    </cfRule>
  </conditionalFormatting>
  <conditionalFormatting sqref="H295:H299">
    <cfRule type="containsText" dxfId="417" priority="205" operator="containsText" text="Faible">
      <formula>NOT(ISERROR(SEARCH("Faible",H295)))</formula>
    </cfRule>
    <cfRule type="containsText" dxfId="416" priority="206" operator="containsText" text="Elevée">
      <formula>NOT(ISERROR(SEARCH("Elevée",H295)))</formula>
    </cfRule>
    <cfRule type="containsText" dxfId="415" priority="207" operator="containsText" text="Moyenne">
      <formula>NOT(ISERROR(SEARCH("Moyenne",H295)))</formula>
    </cfRule>
  </conditionalFormatting>
  <conditionalFormatting sqref="H300:H302">
    <cfRule type="containsText" dxfId="414" priority="202" operator="containsText" text="Faible">
      <formula>NOT(ISERROR(SEARCH("Faible",H300)))</formula>
    </cfRule>
    <cfRule type="containsText" dxfId="413" priority="203" operator="containsText" text="Elevée">
      <formula>NOT(ISERROR(SEARCH("Elevée",H300)))</formula>
    </cfRule>
    <cfRule type="containsText" dxfId="412" priority="204" operator="containsText" text="Moyenne">
      <formula>NOT(ISERROR(SEARCH("Moyenne",H300)))</formula>
    </cfRule>
  </conditionalFormatting>
  <conditionalFormatting sqref="H303:H304">
    <cfRule type="containsText" dxfId="411" priority="199" operator="containsText" text="Faible">
      <formula>NOT(ISERROR(SEARCH("Faible",H303)))</formula>
    </cfRule>
    <cfRule type="containsText" dxfId="410" priority="200" operator="containsText" text="Elevée">
      <formula>NOT(ISERROR(SEARCH("Elevée",H303)))</formula>
    </cfRule>
    <cfRule type="containsText" dxfId="409" priority="201" operator="containsText" text="Moyenne">
      <formula>NOT(ISERROR(SEARCH("Moyenne",H303)))</formula>
    </cfRule>
  </conditionalFormatting>
  <conditionalFormatting sqref="H305:H313">
    <cfRule type="containsText" dxfId="408" priority="196" operator="containsText" text="Faible">
      <formula>NOT(ISERROR(SEARCH("Faible",H305)))</formula>
    </cfRule>
    <cfRule type="containsText" dxfId="407" priority="197" operator="containsText" text="Elevée">
      <formula>NOT(ISERROR(SEARCH("Elevée",H305)))</formula>
    </cfRule>
    <cfRule type="containsText" dxfId="406" priority="198" operator="containsText" text="Moyenne">
      <formula>NOT(ISERROR(SEARCH("Moyenne",H305)))</formula>
    </cfRule>
  </conditionalFormatting>
  <conditionalFormatting sqref="H314:H318">
    <cfRule type="containsText" dxfId="405" priority="193" operator="containsText" text="Faible">
      <formula>NOT(ISERROR(SEARCH("Faible",H314)))</formula>
    </cfRule>
    <cfRule type="containsText" dxfId="404" priority="194" operator="containsText" text="Elevée">
      <formula>NOT(ISERROR(SEARCH("Elevée",H314)))</formula>
    </cfRule>
    <cfRule type="containsText" dxfId="403" priority="195" operator="containsText" text="Moyenne">
      <formula>NOT(ISERROR(SEARCH("Moyenne",H314)))</formula>
    </cfRule>
  </conditionalFormatting>
  <conditionalFormatting sqref="H319:H323">
    <cfRule type="containsText" dxfId="402" priority="190" operator="containsText" text="Faible">
      <formula>NOT(ISERROR(SEARCH("Faible",H319)))</formula>
    </cfRule>
    <cfRule type="containsText" dxfId="401" priority="191" operator="containsText" text="Elevée">
      <formula>NOT(ISERROR(SEARCH("Elevée",H319)))</formula>
    </cfRule>
    <cfRule type="containsText" dxfId="400" priority="192" operator="containsText" text="Moyenne">
      <formula>NOT(ISERROR(SEARCH("Moyenne",H319)))</formula>
    </cfRule>
  </conditionalFormatting>
  <conditionalFormatting sqref="H324:H329">
    <cfRule type="containsText" dxfId="399" priority="187" operator="containsText" text="Faible">
      <formula>NOT(ISERROR(SEARCH("Faible",H324)))</formula>
    </cfRule>
    <cfRule type="containsText" dxfId="398" priority="188" operator="containsText" text="Elevée">
      <formula>NOT(ISERROR(SEARCH("Elevée",H324)))</formula>
    </cfRule>
    <cfRule type="containsText" dxfId="397" priority="189" operator="containsText" text="Moyenne">
      <formula>NOT(ISERROR(SEARCH("Moyenne",H324)))</formula>
    </cfRule>
  </conditionalFormatting>
  <conditionalFormatting sqref="H330:H333">
    <cfRule type="containsText" dxfId="396" priority="184" operator="containsText" text="Faible">
      <formula>NOT(ISERROR(SEARCH("Faible",H330)))</formula>
    </cfRule>
    <cfRule type="containsText" dxfId="395" priority="185" operator="containsText" text="Elevée">
      <formula>NOT(ISERROR(SEARCH("Elevée",H330)))</formula>
    </cfRule>
    <cfRule type="containsText" dxfId="394" priority="186" operator="containsText" text="Moyenne">
      <formula>NOT(ISERROR(SEARCH("Moyenne",H330)))</formula>
    </cfRule>
  </conditionalFormatting>
  <conditionalFormatting sqref="H347:H348">
    <cfRule type="containsText" dxfId="393" priority="181" operator="containsText" text="Faible">
      <formula>NOT(ISERROR(SEARCH("Faible",H347)))</formula>
    </cfRule>
    <cfRule type="containsText" dxfId="392" priority="182" operator="containsText" text="Elevée">
      <formula>NOT(ISERROR(SEARCH("Elevée",H347)))</formula>
    </cfRule>
    <cfRule type="containsText" dxfId="391" priority="183" operator="containsText" text="Moyenne">
      <formula>NOT(ISERROR(SEARCH("Moyenne",H347)))</formula>
    </cfRule>
  </conditionalFormatting>
  <conditionalFormatting sqref="H349:H357">
    <cfRule type="containsText" dxfId="390" priority="178" operator="containsText" text="Faible">
      <formula>NOT(ISERROR(SEARCH("Faible",H349)))</formula>
    </cfRule>
    <cfRule type="containsText" dxfId="389" priority="179" operator="containsText" text="Elevée">
      <formula>NOT(ISERROR(SEARCH("Elevée",H349)))</formula>
    </cfRule>
    <cfRule type="containsText" dxfId="388" priority="180" operator="containsText" text="Moyenne">
      <formula>NOT(ISERROR(SEARCH("Moyenne",H349)))</formula>
    </cfRule>
  </conditionalFormatting>
  <conditionalFormatting sqref="H358:H362">
    <cfRule type="containsText" dxfId="387" priority="175" operator="containsText" text="Faible">
      <formula>NOT(ISERROR(SEARCH("Faible",H358)))</formula>
    </cfRule>
    <cfRule type="containsText" dxfId="386" priority="176" operator="containsText" text="Elevée">
      <formula>NOT(ISERROR(SEARCH("Elevée",H358)))</formula>
    </cfRule>
    <cfRule type="containsText" dxfId="385" priority="177" operator="containsText" text="Moyenne">
      <formula>NOT(ISERROR(SEARCH("Moyenne",H358)))</formula>
    </cfRule>
  </conditionalFormatting>
  <conditionalFormatting sqref="H363:H367">
    <cfRule type="containsText" dxfId="384" priority="172" operator="containsText" text="Faible">
      <formula>NOT(ISERROR(SEARCH("Faible",H363)))</formula>
    </cfRule>
    <cfRule type="containsText" dxfId="383" priority="173" operator="containsText" text="Elevée">
      <formula>NOT(ISERROR(SEARCH("Elevée",H363)))</formula>
    </cfRule>
    <cfRule type="containsText" dxfId="382" priority="174" operator="containsText" text="Moyenne">
      <formula>NOT(ISERROR(SEARCH("Moyenne",H363)))</formula>
    </cfRule>
  </conditionalFormatting>
  <conditionalFormatting sqref="H368:H373">
    <cfRule type="containsText" dxfId="381" priority="169" operator="containsText" text="Faible">
      <formula>NOT(ISERROR(SEARCH("Faible",H368)))</formula>
    </cfRule>
    <cfRule type="containsText" dxfId="380" priority="170" operator="containsText" text="Elevée">
      <formula>NOT(ISERROR(SEARCH("Elevée",H368)))</formula>
    </cfRule>
    <cfRule type="containsText" dxfId="379" priority="171" operator="containsText" text="Moyenne">
      <formula>NOT(ISERROR(SEARCH("Moyenne",H368)))</formula>
    </cfRule>
  </conditionalFormatting>
  <conditionalFormatting sqref="H374:H377">
    <cfRule type="containsText" dxfId="378" priority="166" operator="containsText" text="Faible">
      <formula>NOT(ISERROR(SEARCH("Faible",H374)))</formula>
    </cfRule>
    <cfRule type="containsText" dxfId="377" priority="167" operator="containsText" text="Elevée">
      <formula>NOT(ISERROR(SEARCH("Elevée",H374)))</formula>
    </cfRule>
    <cfRule type="containsText" dxfId="376" priority="168" operator="containsText" text="Moyenne">
      <formula>NOT(ISERROR(SEARCH("Moyenne",H374)))</formula>
    </cfRule>
  </conditionalFormatting>
  <conditionalFormatting sqref="H334">
    <cfRule type="containsText" dxfId="375" priority="163" operator="containsText" text="Faible">
      <formula>NOT(ISERROR(SEARCH("Faible",H334)))</formula>
    </cfRule>
    <cfRule type="containsText" dxfId="374" priority="164" operator="containsText" text="Elevée">
      <formula>NOT(ISERROR(SEARCH("Elevée",H334)))</formula>
    </cfRule>
    <cfRule type="containsText" dxfId="373" priority="165" operator="containsText" text="Moyenne">
      <formula>NOT(ISERROR(SEARCH("Moyenne",H334)))</formula>
    </cfRule>
  </conditionalFormatting>
  <conditionalFormatting sqref="H335:H340">
    <cfRule type="containsText" dxfId="372" priority="160" operator="containsText" text="Faible">
      <formula>NOT(ISERROR(SEARCH("Faible",H335)))</formula>
    </cfRule>
    <cfRule type="containsText" dxfId="371" priority="161" operator="containsText" text="Elevée">
      <formula>NOT(ISERROR(SEARCH("Elevée",H335)))</formula>
    </cfRule>
    <cfRule type="containsText" dxfId="370" priority="162" operator="containsText" text="Moyenne">
      <formula>NOT(ISERROR(SEARCH("Moyenne",H335)))</formula>
    </cfRule>
  </conditionalFormatting>
  <conditionalFormatting sqref="H341:H344">
    <cfRule type="containsText" dxfId="369" priority="157" operator="containsText" text="Faible">
      <formula>NOT(ISERROR(SEARCH("Faible",H341)))</formula>
    </cfRule>
    <cfRule type="containsText" dxfId="368" priority="158" operator="containsText" text="Elevée">
      <formula>NOT(ISERROR(SEARCH("Elevée",H341)))</formula>
    </cfRule>
    <cfRule type="containsText" dxfId="367" priority="159" operator="containsText" text="Moyenne">
      <formula>NOT(ISERROR(SEARCH("Moyenne",H341)))</formula>
    </cfRule>
  </conditionalFormatting>
  <conditionalFormatting sqref="H343:H344">
    <cfRule type="containsText" dxfId="366" priority="154" operator="containsText" text="Faible">
      <formula>NOT(ISERROR(SEARCH("Faible",H343)))</formula>
    </cfRule>
    <cfRule type="containsText" dxfId="365" priority="155" operator="containsText" text="Elevée">
      <formula>NOT(ISERROR(SEARCH("Elevée",H343)))</formula>
    </cfRule>
    <cfRule type="containsText" dxfId="364" priority="156" operator="containsText" text="Moyenne">
      <formula>NOT(ISERROR(SEARCH("Moyenne",H343)))</formula>
    </cfRule>
  </conditionalFormatting>
  <conditionalFormatting sqref="H345:H347">
    <cfRule type="containsText" dxfId="363" priority="151" operator="containsText" text="Faible">
      <formula>NOT(ISERROR(SEARCH("Faible",H345)))</formula>
    </cfRule>
    <cfRule type="containsText" dxfId="362" priority="152" operator="containsText" text="Elevée">
      <formula>NOT(ISERROR(SEARCH("Elevée",H345)))</formula>
    </cfRule>
    <cfRule type="containsText" dxfId="361" priority="153" operator="containsText" text="Moyenne">
      <formula>NOT(ISERROR(SEARCH("Moyenne",H345)))</formula>
    </cfRule>
  </conditionalFormatting>
  <conditionalFormatting sqref="H379:H384">
    <cfRule type="containsText" dxfId="360" priority="148" operator="containsText" text="Faible">
      <formula>NOT(ISERROR(SEARCH("Faible",H379)))</formula>
    </cfRule>
    <cfRule type="containsText" dxfId="359" priority="149" operator="containsText" text="Elevée">
      <formula>NOT(ISERROR(SEARCH("Elevée",H379)))</formula>
    </cfRule>
    <cfRule type="containsText" dxfId="358" priority="150" operator="containsText" text="Moyenne">
      <formula>NOT(ISERROR(SEARCH("Moyenne",H379)))</formula>
    </cfRule>
  </conditionalFormatting>
  <conditionalFormatting sqref="H385:H389">
    <cfRule type="containsText" dxfId="357" priority="145" operator="containsText" text="Faible">
      <formula>NOT(ISERROR(SEARCH("Faible",H385)))</formula>
    </cfRule>
    <cfRule type="containsText" dxfId="356" priority="146" operator="containsText" text="Elevée">
      <formula>NOT(ISERROR(SEARCH("Elevée",H385)))</formula>
    </cfRule>
    <cfRule type="containsText" dxfId="355" priority="147" operator="containsText" text="Moyenne">
      <formula>NOT(ISERROR(SEARCH("Moyenne",H385)))</formula>
    </cfRule>
  </conditionalFormatting>
  <conditionalFormatting sqref="H390:H394">
    <cfRule type="containsText" dxfId="354" priority="142" operator="containsText" text="Faible">
      <formula>NOT(ISERROR(SEARCH("Faible",H390)))</formula>
    </cfRule>
    <cfRule type="containsText" dxfId="353" priority="143" operator="containsText" text="Elevée">
      <formula>NOT(ISERROR(SEARCH("Elevée",H390)))</formula>
    </cfRule>
    <cfRule type="containsText" dxfId="352" priority="144" operator="containsText" text="Moyenne">
      <formula>NOT(ISERROR(SEARCH("Moyenne",H390)))</formula>
    </cfRule>
  </conditionalFormatting>
  <conditionalFormatting sqref="H395:H400">
    <cfRule type="containsText" dxfId="351" priority="139" operator="containsText" text="Faible">
      <formula>NOT(ISERROR(SEARCH("Faible",H395)))</formula>
    </cfRule>
    <cfRule type="containsText" dxfId="350" priority="140" operator="containsText" text="Elevée">
      <formula>NOT(ISERROR(SEARCH("Elevée",H395)))</formula>
    </cfRule>
    <cfRule type="containsText" dxfId="349" priority="141" operator="containsText" text="Moyenne">
      <formula>NOT(ISERROR(SEARCH("Moyenne",H395)))</formula>
    </cfRule>
  </conditionalFormatting>
  <conditionalFormatting sqref="H401:H402">
    <cfRule type="containsText" dxfId="348" priority="136" operator="containsText" text="Faible">
      <formula>NOT(ISERROR(SEARCH("Faible",H401)))</formula>
    </cfRule>
    <cfRule type="containsText" dxfId="347" priority="137" operator="containsText" text="Elevée">
      <formula>NOT(ISERROR(SEARCH("Elevée",H401)))</formula>
    </cfRule>
    <cfRule type="containsText" dxfId="346" priority="138" operator="containsText" text="Moyenne">
      <formula>NOT(ISERROR(SEARCH("Moyenne",H401)))</formula>
    </cfRule>
  </conditionalFormatting>
  <conditionalFormatting sqref="H378">
    <cfRule type="containsText" dxfId="345" priority="133" operator="containsText" text="Faible">
      <formula>NOT(ISERROR(SEARCH("Faible",H378)))</formula>
    </cfRule>
    <cfRule type="containsText" dxfId="344" priority="134" operator="containsText" text="Elevée">
      <formula>NOT(ISERROR(SEARCH("Elevée",H378)))</formula>
    </cfRule>
    <cfRule type="containsText" dxfId="343" priority="135" operator="containsText" text="Moyenne">
      <formula>NOT(ISERROR(SEARCH("Moyenne",H378)))</formula>
    </cfRule>
  </conditionalFormatting>
  <conditionalFormatting sqref="H409:H410">
    <cfRule type="containsText" dxfId="342" priority="130" operator="containsText" text="Faible">
      <formula>NOT(ISERROR(SEARCH("Faible",H409)))</formula>
    </cfRule>
    <cfRule type="containsText" dxfId="341" priority="131" operator="containsText" text="Elevée">
      <formula>NOT(ISERROR(SEARCH("Elevée",H409)))</formula>
    </cfRule>
    <cfRule type="containsText" dxfId="340" priority="132" operator="containsText" text="Moyenne">
      <formula>NOT(ISERROR(SEARCH("Moyenne",H409)))</formula>
    </cfRule>
  </conditionalFormatting>
  <conditionalFormatting sqref="H411:H419">
    <cfRule type="containsText" dxfId="339" priority="127" operator="containsText" text="Faible">
      <formula>NOT(ISERROR(SEARCH("Faible",H411)))</formula>
    </cfRule>
    <cfRule type="containsText" dxfId="338" priority="128" operator="containsText" text="Elevée">
      <formula>NOT(ISERROR(SEARCH("Elevée",H411)))</formula>
    </cfRule>
    <cfRule type="containsText" dxfId="337" priority="129" operator="containsText" text="Moyenne">
      <formula>NOT(ISERROR(SEARCH("Moyenne",H411)))</formula>
    </cfRule>
  </conditionalFormatting>
  <conditionalFormatting sqref="H420:H424">
    <cfRule type="containsText" dxfId="336" priority="124" operator="containsText" text="Faible">
      <formula>NOT(ISERROR(SEARCH("Faible",H420)))</formula>
    </cfRule>
    <cfRule type="containsText" dxfId="335" priority="125" operator="containsText" text="Elevée">
      <formula>NOT(ISERROR(SEARCH("Elevée",H420)))</formula>
    </cfRule>
    <cfRule type="containsText" dxfId="334" priority="126" operator="containsText" text="Moyenne">
      <formula>NOT(ISERROR(SEARCH("Moyenne",H420)))</formula>
    </cfRule>
  </conditionalFormatting>
  <conditionalFormatting sqref="H425:H429">
    <cfRule type="containsText" dxfId="333" priority="121" operator="containsText" text="Faible">
      <formula>NOT(ISERROR(SEARCH("Faible",H425)))</formula>
    </cfRule>
    <cfRule type="containsText" dxfId="332" priority="122" operator="containsText" text="Elevée">
      <formula>NOT(ISERROR(SEARCH("Elevée",H425)))</formula>
    </cfRule>
    <cfRule type="containsText" dxfId="331" priority="123" operator="containsText" text="Moyenne">
      <formula>NOT(ISERROR(SEARCH("Moyenne",H425)))</formula>
    </cfRule>
  </conditionalFormatting>
  <conditionalFormatting sqref="H430:H435">
    <cfRule type="containsText" dxfId="330" priority="118" operator="containsText" text="Faible">
      <formula>NOT(ISERROR(SEARCH("Faible",H430)))</formula>
    </cfRule>
    <cfRule type="containsText" dxfId="329" priority="119" operator="containsText" text="Elevée">
      <formula>NOT(ISERROR(SEARCH("Elevée",H430)))</formula>
    </cfRule>
    <cfRule type="containsText" dxfId="328" priority="120" operator="containsText" text="Moyenne">
      <formula>NOT(ISERROR(SEARCH("Moyenne",H430)))</formula>
    </cfRule>
  </conditionalFormatting>
  <conditionalFormatting sqref="H436:H439">
    <cfRule type="containsText" dxfId="327" priority="115" operator="containsText" text="Faible">
      <formula>NOT(ISERROR(SEARCH("Faible",H436)))</formula>
    </cfRule>
    <cfRule type="containsText" dxfId="326" priority="116" operator="containsText" text="Elevée">
      <formula>NOT(ISERROR(SEARCH("Elevée",H436)))</formula>
    </cfRule>
    <cfRule type="containsText" dxfId="325" priority="117" operator="containsText" text="Moyenne">
      <formula>NOT(ISERROR(SEARCH("Moyenne",H436)))</formula>
    </cfRule>
  </conditionalFormatting>
  <conditionalFormatting sqref="H403:H406">
    <cfRule type="containsText" dxfId="324" priority="112" operator="containsText" text="Faible">
      <formula>NOT(ISERROR(SEARCH("Faible",H403)))</formula>
    </cfRule>
    <cfRule type="containsText" dxfId="323" priority="113" operator="containsText" text="Elevée">
      <formula>NOT(ISERROR(SEARCH("Elevée",H403)))</formula>
    </cfRule>
    <cfRule type="containsText" dxfId="322" priority="114" operator="containsText" text="Moyenne">
      <formula>NOT(ISERROR(SEARCH("Moyenne",H403)))</formula>
    </cfRule>
  </conditionalFormatting>
  <conditionalFormatting sqref="H405:H406">
    <cfRule type="containsText" dxfId="321" priority="109" operator="containsText" text="Faible">
      <formula>NOT(ISERROR(SEARCH("Faible",H405)))</formula>
    </cfRule>
    <cfRule type="containsText" dxfId="320" priority="110" operator="containsText" text="Elevée">
      <formula>NOT(ISERROR(SEARCH("Elevée",H405)))</formula>
    </cfRule>
    <cfRule type="containsText" dxfId="319" priority="111" operator="containsText" text="Moyenne">
      <formula>NOT(ISERROR(SEARCH("Moyenne",H405)))</formula>
    </cfRule>
  </conditionalFormatting>
  <conditionalFormatting sqref="H407:H409">
    <cfRule type="containsText" dxfId="318" priority="106" operator="containsText" text="Faible">
      <formula>NOT(ISERROR(SEARCH("Faible",H407)))</formula>
    </cfRule>
    <cfRule type="containsText" dxfId="317" priority="107" operator="containsText" text="Elevée">
      <formula>NOT(ISERROR(SEARCH("Elevée",H407)))</formula>
    </cfRule>
    <cfRule type="containsText" dxfId="316" priority="108" operator="containsText" text="Moyenne">
      <formula>NOT(ISERROR(SEARCH("Moyenne",H407)))</formula>
    </cfRule>
  </conditionalFormatting>
  <conditionalFormatting sqref="H441:H446">
    <cfRule type="containsText" dxfId="315" priority="103" operator="containsText" text="Faible">
      <formula>NOT(ISERROR(SEARCH("Faible",H441)))</formula>
    </cfRule>
    <cfRule type="containsText" dxfId="314" priority="104" operator="containsText" text="Elevée">
      <formula>NOT(ISERROR(SEARCH("Elevée",H441)))</formula>
    </cfRule>
    <cfRule type="containsText" dxfId="313" priority="105" operator="containsText" text="Moyenne">
      <formula>NOT(ISERROR(SEARCH("Moyenne",H441)))</formula>
    </cfRule>
  </conditionalFormatting>
  <conditionalFormatting sqref="H447:H451">
    <cfRule type="containsText" dxfId="312" priority="100" operator="containsText" text="Faible">
      <formula>NOT(ISERROR(SEARCH("Faible",H447)))</formula>
    </cfRule>
    <cfRule type="containsText" dxfId="311" priority="101" operator="containsText" text="Elevée">
      <formula>NOT(ISERROR(SEARCH("Elevée",H447)))</formula>
    </cfRule>
    <cfRule type="containsText" dxfId="310" priority="102" operator="containsText" text="Moyenne">
      <formula>NOT(ISERROR(SEARCH("Moyenne",H447)))</formula>
    </cfRule>
  </conditionalFormatting>
  <conditionalFormatting sqref="H452:H456">
    <cfRule type="containsText" dxfId="309" priority="97" operator="containsText" text="Faible">
      <formula>NOT(ISERROR(SEARCH("Faible",H452)))</formula>
    </cfRule>
    <cfRule type="containsText" dxfId="308" priority="98" operator="containsText" text="Elevée">
      <formula>NOT(ISERROR(SEARCH("Elevée",H452)))</formula>
    </cfRule>
    <cfRule type="containsText" dxfId="307" priority="99" operator="containsText" text="Moyenne">
      <formula>NOT(ISERROR(SEARCH("Moyenne",H452)))</formula>
    </cfRule>
  </conditionalFormatting>
  <conditionalFormatting sqref="H457:H462">
    <cfRule type="containsText" dxfId="306" priority="94" operator="containsText" text="Faible">
      <formula>NOT(ISERROR(SEARCH("Faible",H457)))</formula>
    </cfRule>
    <cfRule type="containsText" dxfId="305" priority="95" operator="containsText" text="Elevée">
      <formula>NOT(ISERROR(SEARCH("Elevée",H457)))</formula>
    </cfRule>
    <cfRule type="containsText" dxfId="304" priority="96" operator="containsText" text="Moyenne">
      <formula>NOT(ISERROR(SEARCH("Moyenne",H457)))</formula>
    </cfRule>
  </conditionalFormatting>
  <conditionalFormatting sqref="H440">
    <cfRule type="containsText" dxfId="303" priority="91" operator="containsText" text="Faible">
      <formula>NOT(ISERROR(SEARCH("Faible",H440)))</formula>
    </cfRule>
    <cfRule type="containsText" dxfId="302" priority="92" operator="containsText" text="Elevée">
      <formula>NOT(ISERROR(SEARCH("Elevée",H440)))</formula>
    </cfRule>
    <cfRule type="containsText" dxfId="301" priority="93" operator="containsText" text="Moyenne">
      <formula>NOT(ISERROR(SEARCH("Moyenne",H440)))</formula>
    </cfRule>
  </conditionalFormatting>
  <conditionalFormatting sqref="H463:H468">
    <cfRule type="containsText" dxfId="300" priority="88" operator="containsText" text="Faible">
      <formula>NOT(ISERROR(SEARCH("Faible",H463)))</formula>
    </cfRule>
    <cfRule type="containsText" dxfId="299" priority="89" operator="containsText" text="Elevée">
      <formula>NOT(ISERROR(SEARCH("Elevée",H463)))</formula>
    </cfRule>
    <cfRule type="containsText" dxfId="298" priority="90" operator="containsText" text="Moyenne">
      <formula>NOT(ISERROR(SEARCH("Moyenne",H463)))</formula>
    </cfRule>
  </conditionalFormatting>
  <conditionalFormatting sqref="H469:H473">
    <cfRule type="containsText" dxfId="297" priority="85" operator="containsText" text="Faible">
      <formula>NOT(ISERROR(SEARCH("Faible",H469)))</formula>
    </cfRule>
    <cfRule type="containsText" dxfId="296" priority="86" operator="containsText" text="Elevée">
      <formula>NOT(ISERROR(SEARCH("Elevée",H469)))</formula>
    </cfRule>
    <cfRule type="containsText" dxfId="295" priority="87" operator="containsText" text="Moyenne">
      <formula>NOT(ISERROR(SEARCH("Moyenne",H469)))</formula>
    </cfRule>
  </conditionalFormatting>
  <conditionalFormatting sqref="H474:H478">
    <cfRule type="containsText" dxfId="294" priority="82" operator="containsText" text="Faible">
      <formula>NOT(ISERROR(SEARCH("Faible",H474)))</formula>
    </cfRule>
    <cfRule type="containsText" dxfId="293" priority="83" operator="containsText" text="Elevée">
      <formula>NOT(ISERROR(SEARCH("Elevée",H474)))</formula>
    </cfRule>
    <cfRule type="containsText" dxfId="292" priority="84" operator="containsText" text="Moyenne">
      <formula>NOT(ISERROR(SEARCH("Moyenne",H474)))</formula>
    </cfRule>
  </conditionalFormatting>
  <conditionalFormatting sqref="H479:H480">
    <cfRule type="containsText" dxfId="291" priority="79" operator="containsText" text="Faible">
      <formula>NOT(ISERROR(SEARCH("Faible",H479)))</formula>
    </cfRule>
    <cfRule type="containsText" dxfId="290" priority="80" operator="containsText" text="Elevée">
      <formula>NOT(ISERROR(SEARCH("Elevée",H479)))</formula>
    </cfRule>
    <cfRule type="containsText" dxfId="289" priority="81" operator="containsText" text="Moyenne">
      <formula>NOT(ISERROR(SEARCH("Moyenne",H479)))</formula>
    </cfRule>
  </conditionalFormatting>
  <conditionalFormatting sqref="H481">
    <cfRule type="containsText" dxfId="288" priority="76" operator="containsText" text="Faible">
      <formula>NOT(ISERROR(SEARCH("Faible",H481)))</formula>
    </cfRule>
    <cfRule type="containsText" dxfId="287" priority="77" operator="containsText" text="Elevée">
      <formula>NOT(ISERROR(SEARCH("Elevée",H481)))</formula>
    </cfRule>
    <cfRule type="containsText" dxfId="286" priority="78" operator="containsText" text="Moyenne">
      <formula>NOT(ISERROR(SEARCH("Moyenne",H481)))</formula>
    </cfRule>
  </conditionalFormatting>
  <conditionalFormatting sqref="H482:H487">
    <cfRule type="containsText" dxfId="285" priority="73" operator="containsText" text="Faible">
      <formula>NOT(ISERROR(SEARCH("Faible",H482)))</formula>
    </cfRule>
    <cfRule type="containsText" dxfId="284" priority="74" operator="containsText" text="Elevée">
      <formula>NOT(ISERROR(SEARCH("Elevée",H482)))</formula>
    </cfRule>
    <cfRule type="containsText" dxfId="283" priority="75" operator="containsText" text="Moyenne">
      <formula>NOT(ISERROR(SEARCH("Moyenne",H482)))</formula>
    </cfRule>
  </conditionalFormatting>
  <conditionalFormatting sqref="H488:H492">
    <cfRule type="containsText" dxfId="282" priority="70" operator="containsText" text="Faible">
      <formula>NOT(ISERROR(SEARCH("Faible",H488)))</formula>
    </cfRule>
    <cfRule type="containsText" dxfId="281" priority="71" operator="containsText" text="Elevée">
      <formula>NOT(ISERROR(SEARCH("Elevée",H488)))</formula>
    </cfRule>
    <cfRule type="containsText" dxfId="280" priority="72" operator="containsText" text="Moyenne">
      <formula>NOT(ISERROR(SEARCH("Moyenne",H488)))</formula>
    </cfRule>
  </conditionalFormatting>
  <conditionalFormatting sqref="H493:H495">
    <cfRule type="containsText" dxfId="279" priority="67" operator="containsText" text="Faible">
      <formula>NOT(ISERROR(SEARCH("Faible",H493)))</formula>
    </cfRule>
    <cfRule type="containsText" dxfId="278" priority="68" operator="containsText" text="Elevée">
      <formula>NOT(ISERROR(SEARCH("Elevée",H493)))</formula>
    </cfRule>
    <cfRule type="containsText" dxfId="277" priority="69" operator="containsText" text="Moyenne">
      <formula>NOT(ISERROR(SEARCH("Moyenne",H493)))</formula>
    </cfRule>
  </conditionalFormatting>
  <conditionalFormatting sqref="H496:H500">
    <cfRule type="containsText" dxfId="276" priority="64" operator="containsText" text="Faible">
      <formula>NOT(ISERROR(SEARCH("Faible",H496)))</formula>
    </cfRule>
    <cfRule type="containsText" dxfId="275" priority="65" operator="containsText" text="Elevée">
      <formula>NOT(ISERROR(SEARCH("Elevée",H496)))</formula>
    </cfRule>
    <cfRule type="containsText" dxfId="274" priority="66" operator="containsText" text="Moyenne">
      <formula>NOT(ISERROR(SEARCH("Moyenne",H496)))</formula>
    </cfRule>
  </conditionalFormatting>
  <conditionalFormatting sqref="H501:H506">
    <cfRule type="containsText" dxfId="273" priority="61" operator="containsText" text="Faible">
      <formula>NOT(ISERROR(SEARCH("Faible",H501)))</formula>
    </cfRule>
    <cfRule type="containsText" dxfId="272" priority="62" operator="containsText" text="Elevée">
      <formula>NOT(ISERROR(SEARCH("Elevée",H501)))</formula>
    </cfRule>
    <cfRule type="containsText" dxfId="271" priority="63" operator="containsText" text="Moyenne">
      <formula>NOT(ISERROR(SEARCH("Moyenne",H501)))</formula>
    </cfRule>
  </conditionalFormatting>
  <conditionalFormatting sqref="H507:H510">
    <cfRule type="containsText" dxfId="270" priority="58" operator="containsText" text="Faible">
      <formula>NOT(ISERROR(SEARCH("Faible",H507)))</formula>
    </cfRule>
    <cfRule type="containsText" dxfId="269" priority="59" operator="containsText" text="Elevée">
      <formula>NOT(ISERROR(SEARCH("Elevée",H507)))</formula>
    </cfRule>
    <cfRule type="containsText" dxfId="268" priority="60" operator="containsText" text="Moyenne">
      <formula>NOT(ISERROR(SEARCH("Moyenne",H507)))</formula>
    </cfRule>
  </conditionalFormatting>
  <conditionalFormatting sqref="H512:H517">
    <cfRule type="containsText" dxfId="267" priority="55" operator="containsText" text="Faible">
      <formula>NOT(ISERROR(SEARCH("Faible",H512)))</formula>
    </cfRule>
    <cfRule type="containsText" dxfId="266" priority="56" operator="containsText" text="Elevée">
      <formula>NOT(ISERROR(SEARCH("Elevée",H512)))</formula>
    </cfRule>
    <cfRule type="containsText" dxfId="265" priority="57" operator="containsText" text="Moyenne">
      <formula>NOT(ISERROR(SEARCH("Moyenne",H512)))</formula>
    </cfRule>
  </conditionalFormatting>
  <conditionalFormatting sqref="H518:H522">
    <cfRule type="containsText" dxfId="264" priority="52" operator="containsText" text="Faible">
      <formula>NOT(ISERROR(SEARCH("Faible",H518)))</formula>
    </cfRule>
    <cfRule type="containsText" dxfId="263" priority="53" operator="containsText" text="Elevée">
      <formula>NOT(ISERROR(SEARCH("Elevée",H518)))</formula>
    </cfRule>
    <cfRule type="containsText" dxfId="262" priority="54" operator="containsText" text="Moyenne">
      <formula>NOT(ISERROR(SEARCH("Moyenne",H518)))</formula>
    </cfRule>
  </conditionalFormatting>
  <conditionalFormatting sqref="H511">
    <cfRule type="containsText" dxfId="261" priority="49" operator="containsText" text="Faible">
      <formula>NOT(ISERROR(SEARCH("Faible",H511)))</formula>
    </cfRule>
    <cfRule type="containsText" dxfId="260" priority="50" operator="containsText" text="Elevée">
      <formula>NOT(ISERROR(SEARCH("Elevée",H511)))</formula>
    </cfRule>
    <cfRule type="containsText" dxfId="259" priority="51" operator="containsText" text="Moyenne">
      <formula>NOT(ISERROR(SEARCH("Moyenne",H511)))</formula>
    </cfRule>
  </conditionalFormatting>
  <conditionalFormatting sqref="H581:H585">
    <cfRule type="containsText" dxfId="258" priority="7" operator="containsText" text="Faible">
      <formula>NOT(ISERROR(SEARCH("Faible",H581)))</formula>
    </cfRule>
    <cfRule type="containsText" dxfId="257" priority="8" operator="containsText" text="Elevée">
      <formula>NOT(ISERROR(SEARCH("Elevée",H581)))</formula>
    </cfRule>
    <cfRule type="containsText" dxfId="256" priority="9" operator="containsText" text="Moyenne">
      <formula>NOT(ISERROR(SEARCH("Moyenne",H581)))</formula>
    </cfRule>
  </conditionalFormatting>
  <conditionalFormatting sqref="H586">
    <cfRule type="containsText" dxfId="255" priority="4" operator="containsText" text="Faible">
      <formula>NOT(ISERROR(SEARCH("Faible",H586)))</formula>
    </cfRule>
    <cfRule type="containsText" dxfId="254" priority="5" operator="containsText" text="Elevée">
      <formula>NOT(ISERROR(SEARCH("Elevée",H586)))</formula>
    </cfRule>
    <cfRule type="containsText" dxfId="253" priority="6" operator="containsText" text="Moyenne">
      <formula>NOT(ISERROR(SEARCH("Moyenne",H586)))</formula>
    </cfRule>
  </conditionalFormatting>
  <conditionalFormatting sqref="H550:H553">
    <cfRule type="containsText" dxfId="252" priority="46" operator="containsText" text="Faible">
      <formula>NOT(ISERROR(SEARCH("Faible",H550)))</formula>
    </cfRule>
    <cfRule type="containsText" dxfId="251" priority="47" operator="containsText" text="Elevée">
      <formula>NOT(ISERROR(SEARCH("Elevée",H550)))</formula>
    </cfRule>
    <cfRule type="containsText" dxfId="250" priority="48" operator="containsText" text="Moyenne">
      <formula>NOT(ISERROR(SEARCH("Moyenne",H550)))</formula>
    </cfRule>
  </conditionalFormatting>
  <conditionalFormatting sqref="H523:H527">
    <cfRule type="containsText" dxfId="249" priority="43" operator="containsText" text="Faible">
      <formula>NOT(ISERROR(SEARCH("Faible",H523)))</formula>
    </cfRule>
    <cfRule type="containsText" dxfId="248" priority="44" operator="containsText" text="Elevée">
      <formula>NOT(ISERROR(SEARCH("Elevée",H523)))</formula>
    </cfRule>
    <cfRule type="containsText" dxfId="247" priority="45" operator="containsText" text="Moyenne">
      <formula>NOT(ISERROR(SEARCH("Moyenne",H523)))</formula>
    </cfRule>
  </conditionalFormatting>
  <conditionalFormatting sqref="H528:H533">
    <cfRule type="containsText" dxfId="246" priority="40" operator="containsText" text="Faible">
      <formula>NOT(ISERROR(SEARCH("Faible",H528)))</formula>
    </cfRule>
    <cfRule type="containsText" dxfId="245" priority="41" operator="containsText" text="Elevée">
      <formula>NOT(ISERROR(SEARCH("Elevée",H528)))</formula>
    </cfRule>
    <cfRule type="containsText" dxfId="244" priority="42" operator="containsText" text="Moyenne">
      <formula>NOT(ISERROR(SEARCH("Moyenne",H528)))</formula>
    </cfRule>
  </conditionalFormatting>
  <conditionalFormatting sqref="H534:H537">
    <cfRule type="containsText" dxfId="243" priority="37" operator="containsText" text="Faible">
      <formula>NOT(ISERROR(SEARCH("Faible",H534)))</formula>
    </cfRule>
    <cfRule type="containsText" dxfId="242" priority="38" operator="containsText" text="Elevée">
      <formula>NOT(ISERROR(SEARCH("Elevée",H534)))</formula>
    </cfRule>
    <cfRule type="containsText" dxfId="241" priority="39" operator="containsText" text="Moyenne">
      <formula>NOT(ISERROR(SEARCH("Moyenne",H534)))</formula>
    </cfRule>
  </conditionalFormatting>
  <conditionalFormatting sqref="H539:H544">
    <cfRule type="containsText" dxfId="240" priority="34" operator="containsText" text="Faible">
      <formula>NOT(ISERROR(SEARCH("Faible",H539)))</formula>
    </cfRule>
    <cfRule type="containsText" dxfId="239" priority="35" operator="containsText" text="Elevée">
      <formula>NOT(ISERROR(SEARCH("Elevée",H539)))</formula>
    </cfRule>
    <cfRule type="containsText" dxfId="238" priority="36" operator="containsText" text="Moyenne">
      <formula>NOT(ISERROR(SEARCH("Moyenne",H539)))</formula>
    </cfRule>
  </conditionalFormatting>
  <conditionalFormatting sqref="H545:H549">
    <cfRule type="containsText" dxfId="237" priority="31" operator="containsText" text="Faible">
      <formula>NOT(ISERROR(SEARCH("Faible",H545)))</formula>
    </cfRule>
    <cfRule type="containsText" dxfId="236" priority="32" operator="containsText" text="Elevée">
      <formula>NOT(ISERROR(SEARCH("Elevée",H545)))</formula>
    </cfRule>
    <cfRule type="containsText" dxfId="235" priority="33" operator="containsText" text="Moyenne">
      <formula>NOT(ISERROR(SEARCH("Moyenne",H545)))</formula>
    </cfRule>
  </conditionalFormatting>
  <conditionalFormatting sqref="H538">
    <cfRule type="containsText" dxfId="234" priority="28" operator="containsText" text="Faible">
      <formula>NOT(ISERROR(SEARCH("Faible",H538)))</formula>
    </cfRule>
    <cfRule type="containsText" dxfId="233" priority="29" operator="containsText" text="Elevée">
      <formula>NOT(ISERROR(SEARCH("Elevée",H538)))</formula>
    </cfRule>
    <cfRule type="containsText" dxfId="232" priority="30" operator="containsText" text="Moyenne">
      <formula>NOT(ISERROR(SEARCH("Moyenne",H538)))</formula>
    </cfRule>
  </conditionalFormatting>
  <conditionalFormatting sqref="H554:H558">
    <cfRule type="containsText" dxfId="231" priority="25" operator="containsText" text="Faible">
      <formula>NOT(ISERROR(SEARCH("Faible",H554)))</formula>
    </cfRule>
    <cfRule type="containsText" dxfId="230" priority="26" operator="containsText" text="Elevée">
      <formula>NOT(ISERROR(SEARCH("Elevée",H554)))</formula>
    </cfRule>
    <cfRule type="containsText" dxfId="229" priority="27" operator="containsText" text="Moyenne">
      <formula>NOT(ISERROR(SEARCH("Moyenne",H554)))</formula>
    </cfRule>
  </conditionalFormatting>
  <conditionalFormatting sqref="H559:H564">
    <cfRule type="containsText" dxfId="228" priority="22" operator="containsText" text="Faible">
      <formula>NOT(ISERROR(SEARCH("Faible",H559)))</formula>
    </cfRule>
    <cfRule type="containsText" dxfId="227" priority="23" operator="containsText" text="Elevée">
      <formula>NOT(ISERROR(SEARCH("Elevée",H559)))</formula>
    </cfRule>
    <cfRule type="containsText" dxfId="226" priority="24" operator="containsText" text="Moyenne">
      <formula>NOT(ISERROR(SEARCH("Moyenne",H559)))</formula>
    </cfRule>
  </conditionalFormatting>
  <conditionalFormatting sqref="H565:H568">
    <cfRule type="containsText" dxfId="225" priority="19" operator="containsText" text="Faible">
      <formula>NOT(ISERROR(SEARCH("Faible",H565)))</formula>
    </cfRule>
    <cfRule type="containsText" dxfId="224" priority="20" operator="containsText" text="Elevée">
      <formula>NOT(ISERROR(SEARCH("Elevée",H565)))</formula>
    </cfRule>
    <cfRule type="containsText" dxfId="223" priority="21" operator="containsText" text="Moyenne">
      <formula>NOT(ISERROR(SEARCH("Moyenne",H565)))</formula>
    </cfRule>
  </conditionalFormatting>
  <conditionalFormatting sqref="H570:H575">
    <cfRule type="containsText" dxfId="222" priority="16" operator="containsText" text="Faible">
      <formula>NOT(ISERROR(SEARCH("Faible",H570)))</formula>
    </cfRule>
    <cfRule type="containsText" dxfId="221" priority="17" operator="containsText" text="Elevée">
      <formula>NOT(ISERROR(SEARCH("Elevée",H570)))</formula>
    </cfRule>
    <cfRule type="containsText" dxfId="220" priority="18" operator="containsText" text="Moyenne">
      <formula>NOT(ISERROR(SEARCH("Moyenne",H570)))</formula>
    </cfRule>
  </conditionalFormatting>
  <conditionalFormatting sqref="H576:H580">
    <cfRule type="containsText" dxfId="219" priority="13" operator="containsText" text="Faible">
      <formula>NOT(ISERROR(SEARCH("Faible",H576)))</formula>
    </cfRule>
    <cfRule type="containsText" dxfId="218" priority="14" operator="containsText" text="Elevée">
      <formula>NOT(ISERROR(SEARCH("Elevée",H576)))</formula>
    </cfRule>
    <cfRule type="containsText" dxfId="217" priority="15" operator="containsText" text="Moyenne">
      <formula>NOT(ISERROR(SEARCH("Moyenne",H576)))</formula>
    </cfRule>
  </conditionalFormatting>
  <conditionalFormatting sqref="H569">
    <cfRule type="containsText" dxfId="216" priority="10" operator="containsText" text="Faible">
      <formula>NOT(ISERROR(SEARCH("Faible",H569)))</formula>
    </cfRule>
    <cfRule type="containsText" dxfId="215" priority="11" operator="containsText" text="Elevée">
      <formula>NOT(ISERROR(SEARCH("Elevée",H569)))</formula>
    </cfRule>
    <cfRule type="containsText" dxfId="214" priority="12" operator="containsText" text="Moyenne">
      <formula>NOT(ISERROR(SEARCH("Moyenne",H569)))</formula>
    </cfRule>
  </conditionalFormatting>
  <conditionalFormatting sqref="E2:E586">
    <cfRule type="cellIs" dxfId="213" priority="1" operator="equal">
      <formula>$E$563</formula>
    </cfRule>
    <cfRule type="cellIs" dxfId="212" priority="2" operator="equal">
      <formula>$E$575</formula>
    </cfRule>
    <cfRule type="cellIs" dxfId="211" priority="3" operator="equal">
      <formula>$E$565</formula>
    </cfRule>
  </conditionalFormatting>
  <dataValidations count="1">
    <dataValidation type="list" allowBlank="1" showInputMessage="1" showErrorMessage="1" sqref="H2:H586" xr:uid="{93EA26DF-1D25-49A1-97E6-E6E503147681}">
      <formula1>"Elevée,Moyenne,Faible"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32"/>
  <sheetViews>
    <sheetView topLeftCell="C124" zoomScale="53" zoomScaleNormal="53" workbookViewId="0">
      <selection activeCell="C17" sqref="C17"/>
    </sheetView>
  </sheetViews>
  <sheetFormatPr baseColWidth="10" defaultRowHeight="14.4"/>
  <cols>
    <col min="1" max="1" width="34.44140625" customWidth="1"/>
    <col min="2" max="2" width="69.21875" customWidth="1"/>
    <col min="3" max="3" width="110.77734375" style="165" customWidth="1"/>
    <col min="4" max="5" width="69.44140625" customWidth="1"/>
    <col min="6" max="6" width="22.44140625" customWidth="1"/>
    <col min="7" max="7" width="87.44140625" customWidth="1"/>
    <col min="8" max="8" width="46.44140625" customWidth="1"/>
    <col min="9" max="9" width="58.5546875" customWidth="1"/>
    <col min="10" max="11" width="87.44140625" customWidth="1"/>
  </cols>
  <sheetData>
    <row r="1" spans="1:11" s="3" customFormat="1" ht="23.4">
      <c r="A1" s="198" t="s">
        <v>4911</v>
      </c>
      <c r="B1" s="185" t="s">
        <v>4912</v>
      </c>
      <c r="C1" s="198" t="s">
        <v>4913</v>
      </c>
      <c r="D1" s="198" t="s">
        <v>4914</v>
      </c>
      <c r="E1" s="199" t="s">
        <v>4916</v>
      </c>
      <c r="F1" s="196" t="s">
        <v>4915</v>
      </c>
      <c r="G1" s="197" t="s">
        <v>1472</v>
      </c>
      <c r="H1" s="196" t="s">
        <v>8</v>
      </c>
      <c r="I1" s="197" t="s">
        <v>1473</v>
      </c>
      <c r="J1" s="197" t="s">
        <v>10</v>
      </c>
      <c r="K1" s="4"/>
    </row>
    <row r="2" spans="1:11" ht="23.4">
      <c r="A2" s="166" t="s">
        <v>172</v>
      </c>
      <c r="B2" s="153" t="s">
        <v>6227</v>
      </c>
      <c r="C2" s="154" t="s">
        <v>6228</v>
      </c>
      <c r="D2" s="154" t="s">
        <v>6229</v>
      </c>
      <c r="E2" s="154" t="s">
        <v>6230</v>
      </c>
      <c r="F2" s="184" t="s">
        <v>209</v>
      </c>
      <c r="G2" s="154" t="s">
        <v>6084</v>
      </c>
      <c r="H2" s="184" t="s">
        <v>387</v>
      </c>
      <c r="I2" s="154" t="s">
        <v>6231</v>
      </c>
      <c r="J2" s="154" t="s">
        <v>6232</v>
      </c>
    </row>
    <row r="3" spans="1:11" ht="23.4">
      <c r="A3" s="166"/>
      <c r="B3" s="153"/>
      <c r="C3" s="154" t="s">
        <v>6233</v>
      </c>
      <c r="D3" s="154" t="s">
        <v>6234</v>
      </c>
      <c r="E3" s="154" t="s">
        <v>6235</v>
      </c>
      <c r="F3" s="184" t="s">
        <v>204</v>
      </c>
      <c r="G3" s="154" t="s">
        <v>6236</v>
      </c>
      <c r="H3" s="184" t="s">
        <v>14</v>
      </c>
      <c r="I3" s="154" t="s">
        <v>5854</v>
      </c>
      <c r="J3" s="154" t="s">
        <v>6237</v>
      </c>
    </row>
    <row r="4" spans="1:11" ht="23.4">
      <c r="A4" s="166"/>
      <c r="B4" s="153"/>
      <c r="C4" s="154" t="s">
        <v>6238</v>
      </c>
      <c r="D4" s="154" t="s">
        <v>6239</v>
      </c>
      <c r="E4" s="154" t="s">
        <v>6240</v>
      </c>
      <c r="F4" s="184" t="s">
        <v>204</v>
      </c>
      <c r="G4" s="154" t="s">
        <v>6241</v>
      </c>
      <c r="H4" s="184" t="s">
        <v>14</v>
      </c>
      <c r="I4" s="154" t="s">
        <v>6242</v>
      </c>
      <c r="J4" s="154" t="s">
        <v>6243</v>
      </c>
    </row>
    <row r="5" spans="1:11" ht="23.4">
      <c r="A5" s="166"/>
      <c r="B5" s="153"/>
      <c r="C5" s="154" t="s">
        <v>6244</v>
      </c>
      <c r="D5" s="154" t="s">
        <v>6245</v>
      </c>
      <c r="E5" s="154" t="s">
        <v>6246</v>
      </c>
      <c r="F5" s="184" t="s">
        <v>204</v>
      </c>
      <c r="G5" s="154" t="s">
        <v>6247</v>
      </c>
      <c r="H5" s="184" t="s">
        <v>387</v>
      </c>
      <c r="I5" s="154" t="s">
        <v>5708</v>
      </c>
      <c r="J5" s="154" t="s">
        <v>6248</v>
      </c>
    </row>
    <row r="6" spans="1:11" ht="23.4">
      <c r="A6" s="166"/>
      <c r="B6" s="153"/>
      <c r="C6" s="154" t="s">
        <v>6249</v>
      </c>
      <c r="D6" s="154" t="s">
        <v>6250</v>
      </c>
      <c r="E6" s="154" t="s">
        <v>6251</v>
      </c>
      <c r="F6" s="184" t="s">
        <v>209</v>
      </c>
      <c r="G6" s="154" t="s">
        <v>6252</v>
      </c>
      <c r="H6" s="184" t="s">
        <v>14</v>
      </c>
      <c r="I6" s="154" t="s">
        <v>3738</v>
      </c>
      <c r="J6" s="154" t="s">
        <v>6253</v>
      </c>
    </row>
    <row r="7" spans="1:11" ht="23.4">
      <c r="A7" s="166"/>
      <c r="B7" s="153" t="s">
        <v>6254</v>
      </c>
      <c r="C7" s="154" t="s">
        <v>6255</v>
      </c>
      <c r="D7" s="154" t="s">
        <v>6256</v>
      </c>
      <c r="E7" s="154" t="s">
        <v>6257</v>
      </c>
      <c r="F7" s="184" t="s">
        <v>209</v>
      </c>
      <c r="G7" s="154" t="s">
        <v>6258</v>
      </c>
      <c r="H7" s="184" t="s">
        <v>387</v>
      </c>
      <c r="I7" s="154" t="s">
        <v>6259</v>
      </c>
      <c r="J7" s="154" t="s">
        <v>6260</v>
      </c>
    </row>
    <row r="8" spans="1:11" ht="23.4">
      <c r="A8" s="166"/>
      <c r="B8" s="153"/>
      <c r="C8" s="154" t="s">
        <v>6261</v>
      </c>
      <c r="D8" s="154" t="s">
        <v>6262</v>
      </c>
      <c r="E8" s="154" t="s">
        <v>6263</v>
      </c>
      <c r="F8" s="184" t="s">
        <v>209</v>
      </c>
      <c r="G8" s="154" t="s">
        <v>6264</v>
      </c>
      <c r="H8" s="184" t="s">
        <v>14</v>
      </c>
      <c r="I8" s="154" t="s">
        <v>4862</v>
      </c>
      <c r="J8" s="154" t="s">
        <v>6265</v>
      </c>
    </row>
    <row r="9" spans="1:11" ht="23.4">
      <c r="A9" s="166"/>
      <c r="B9" s="153"/>
      <c r="C9" s="154" t="s">
        <v>6266</v>
      </c>
      <c r="D9" s="154" t="s">
        <v>6267</v>
      </c>
      <c r="E9" s="154" t="s">
        <v>518</v>
      </c>
      <c r="F9" s="184" t="s">
        <v>209</v>
      </c>
      <c r="G9" s="154" t="s">
        <v>2852</v>
      </c>
      <c r="H9" s="184" t="s">
        <v>14</v>
      </c>
      <c r="I9" s="154" t="s">
        <v>6268</v>
      </c>
      <c r="J9" s="154" t="s">
        <v>6269</v>
      </c>
    </row>
    <row r="10" spans="1:11" ht="23.4">
      <c r="A10" s="166"/>
      <c r="B10" s="153"/>
      <c r="C10" s="154" t="s">
        <v>6270</v>
      </c>
      <c r="D10" s="154" t="s">
        <v>6271</v>
      </c>
      <c r="E10" s="154" t="s">
        <v>6272</v>
      </c>
      <c r="F10" s="184" t="s">
        <v>242</v>
      </c>
      <c r="G10" s="154" t="s">
        <v>5567</v>
      </c>
      <c r="H10" s="184" t="s">
        <v>387</v>
      </c>
      <c r="I10" s="154" t="s">
        <v>6273</v>
      </c>
      <c r="J10" s="154" t="s">
        <v>6274</v>
      </c>
    </row>
    <row r="11" spans="1:11" ht="23.4">
      <c r="A11" s="166"/>
      <c r="B11" s="153"/>
      <c r="C11" s="154" t="s">
        <v>6275</v>
      </c>
      <c r="D11" s="154" t="s">
        <v>6276</v>
      </c>
      <c r="E11" s="154" t="s">
        <v>6277</v>
      </c>
      <c r="F11" s="184" t="s">
        <v>209</v>
      </c>
      <c r="G11" s="154" t="s">
        <v>6278</v>
      </c>
      <c r="H11" s="184" t="s">
        <v>14</v>
      </c>
      <c r="I11" s="154" t="s">
        <v>3796</v>
      </c>
      <c r="J11" s="154" t="s">
        <v>6279</v>
      </c>
    </row>
    <row r="12" spans="1:11" ht="23.4">
      <c r="A12" s="166"/>
      <c r="B12" s="153" t="s">
        <v>6280</v>
      </c>
      <c r="C12" s="154" t="s">
        <v>6281</v>
      </c>
      <c r="D12" s="154" t="s">
        <v>6282</v>
      </c>
      <c r="E12" s="154" t="s">
        <v>3157</v>
      </c>
      <c r="F12" s="184" t="s">
        <v>209</v>
      </c>
      <c r="G12" s="154" t="s">
        <v>6283</v>
      </c>
      <c r="H12" s="184" t="s">
        <v>14</v>
      </c>
      <c r="I12" s="154" t="s">
        <v>6284</v>
      </c>
      <c r="J12" s="154" t="s">
        <v>6285</v>
      </c>
    </row>
    <row r="13" spans="1:11" ht="23.4">
      <c r="A13" s="166"/>
      <c r="B13" s="153"/>
      <c r="C13" s="154" t="s">
        <v>6286</v>
      </c>
      <c r="D13" s="154" t="s">
        <v>6287</v>
      </c>
      <c r="E13" s="154" t="s">
        <v>6288</v>
      </c>
      <c r="F13" s="184" t="s">
        <v>209</v>
      </c>
      <c r="G13" s="154" t="s">
        <v>6289</v>
      </c>
      <c r="H13" s="184" t="s">
        <v>14</v>
      </c>
      <c r="I13" s="154" t="s">
        <v>3661</v>
      </c>
      <c r="J13" s="154" t="s">
        <v>6290</v>
      </c>
    </row>
    <row r="14" spans="1:11" ht="23.4">
      <c r="A14" s="166"/>
      <c r="B14" s="153"/>
      <c r="C14" s="154" t="s">
        <v>6291</v>
      </c>
      <c r="D14" s="154" t="s">
        <v>6292</v>
      </c>
      <c r="E14" s="154" t="s">
        <v>6293</v>
      </c>
      <c r="F14" s="184" t="s">
        <v>209</v>
      </c>
      <c r="G14" s="154" t="s">
        <v>6294</v>
      </c>
      <c r="H14" s="184" t="s">
        <v>387</v>
      </c>
      <c r="I14" s="154" t="s">
        <v>6295</v>
      </c>
      <c r="J14" s="154" t="s">
        <v>6296</v>
      </c>
    </row>
    <row r="15" spans="1:11" ht="23.4">
      <c r="A15" s="166"/>
      <c r="B15" s="153"/>
      <c r="C15" s="154" t="s">
        <v>6297</v>
      </c>
      <c r="D15" s="154" t="s">
        <v>6298</v>
      </c>
      <c r="E15" s="154" t="s">
        <v>6299</v>
      </c>
      <c r="F15" s="184" t="s">
        <v>204</v>
      </c>
      <c r="G15" s="154" t="s">
        <v>2714</v>
      </c>
      <c r="H15" s="184" t="s">
        <v>387</v>
      </c>
      <c r="I15" s="154" t="s">
        <v>6300</v>
      </c>
      <c r="J15" s="154" t="s">
        <v>6301</v>
      </c>
    </row>
    <row r="16" spans="1:11" ht="23.4">
      <c r="A16" s="166"/>
      <c r="B16" s="153"/>
      <c r="C16" s="154" t="s">
        <v>6302</v>
      </c>
      <c r="D16" s="154" t="s">
        <v>6303</v>
      </c>
      <c r="E16" s="154" t="s">
        <v>6304</v>
      </c>
      <c r="F16" s="184" t="s">
        <v>204</v>
      </c>
      <c r="G16" s="154" t="s">
        <v>2547</v>
      </c>
      <c r="H16" s="184" t="s">
        <v>14</v>
      </c>
      <c r="I16" s="154" t="s">
        <v>6305</v>
      </c>
      <c r="J16" s="154" t="s">
        <v>6306</v>
      </c>
    </row>
    <row r="17" spans="1:10" ht="23.4">
      <c r="A17" s="166"/>
      <c r="B17" s="153" t="s">
        <v>173</v>
      </c>
      <c r="C17" s="154" t="s">
        <v>6307</v>
      </c>
      <c r="D17" s="154" t="s">
        <v>6308</v>
      </c>
      <c r="E17" s="154" t="s">
        <v>6309</v>
      </c>
      <c r="F17" s="184" t="s">
        <v>204</v>
      </c>
      <c r="G17" s="154" t="s">
        <v>6310</v>
      </c>
      <c r="H17" s="184" t="s">
        <v>14</v>
      </c>
      <c r="I17" s="154" t="s">
        <v>6311</v>
      </c>
      <c r="J17" s="154" t="s">
        <v>6312</v>
      </c>
    </row>
    <row r="18" spans="1:10" ht="23.4">
      <c r="A18" s="166"/>
      <c r="B18" s="153"/>
      <c r="C18" s="154" t="s">
        <v>6313</v>
      </c>
      <c r="D18" s="154" t="s">
        <v>6314</v>
      </c>
      <c r="E18" s="154" t="s">
        <v>6315</v>
      </c>
      <c r="F18" s="184" t="s">
        <v>242</v>
      </c>
      <c r="G18" s="154" t="s">
        <v>6316</v>
      </c>
      <c r="H18" s="184" t="s">
        <v>387</v>
      </c>
      <c r="I18" s="154" t="s">
        <v>4247</v>
      </c>
      <c r="J18" s="154" t="s">
        <v>6317</v>
      </c>
    </row>
    <row r="19" spans="1:10" ht="23.4">
      <c r="A19" s="166"/>
      <c r="B19" s="153"/>
      <c r="C19" s="154" t="s">
        <v>6318</v>
      </c>
      <c r="D19" s="154" t="s">
        <v>6319</v>
      </c>
      <c r="E19" s="154" t="s">
        <v>6320</v>
      </c>
      <c r="F19" s="184" t="s">
        <v>204</v>
      </c>
      <c r="G19" s="154" t="s">
        <v>6321</v>
      </c>
      <c r="H19" s="184" t="s">
        <v>387</v>
      </c>
      <c r="I19" s="154" t="s">
        <v>3291</v>
      </c>
      <c r="J19" s="154" t="s">
        <v>6322</v>
      </c>
    </row>
    <row r="20" spans="1:10" ht="23.4">
      <c r="A20" s="166"/>
      <c r="B20" s="153"/>
      <c r="C20" s="154" t="s">
        <v>6323</v>
      </c>
      <c r="D20" s="154" t="s">
        <v>6324</v>
      </c>
      <c r="E20" s="154" t="s">
        <v>6325</v>
      </c>
      <c r="F20" s="184" t="s">
        <v>209</v>
      </c>
      <c r="G20" s="154" t="s">
        <v>6326</v>
      </c>
      <c r="H20" s="184" t="s">
        <v>14</v>
      </c>
      <c r="I20" s="154" t="s">
        <v>6327</v>
      </c>
      <c r="J20" s="154" t="s">
        <v>6328</v>
      </c>
    </row>
    <row r="21" spans="1:10" ht="23.4">
      <c r="A21" s="166"/>
      <c r="B21" s="153"/>
      <c r="C21" s="154" t="s">
        <v>6329</v>
      </c>
      <c r="D21" s="154" t="s">
        <v>6330</v>
      </c>
      <c r="E21" s="154" t="s">
        <v>6331</v>
      </c>
      <c r="F21" s="184" t="s">
        <v>242</v>
      </c>
      <c r="G21" s="154" t="s">
        <v>6332</v>
      </c>
      <c r="H21" s="184" t="s">
        <v>387</v>
      </c>
      <c r="I21" s="154" t="s">
        <v>6333</v>
      </c>
      <c r="J21" s="154" t="s">
        <v>6334</v>
      </c>
    </row>
    <row r="22" spans="1:10" ht="23.4">
      <c r="A22" s="166"/>
      <c r="B22" s="153" t="s">
        <v>6335</v>
      </c>
      <c r="C22" s="154" t="s">
        <v>6336</v>
      </c>
      <c r="D22" s="154" t="s">
        <v>6337</v>
      </c>
      <c r="E22" s="154" t="s">
        <v>6338</v>
      </c>
      <c r="F22" s="184" t="s">
        <v>209</v>
      </c>
      <c r="G22" s="154" t="s">
        <v>6339</v>
      </c>
      <c r="H22" s="184" t="s">
        <v>387</v>
      </c>
      <c r="I22" s="154" t="s">
        <v>5545</v>
      </c>
      <c r="J22" s="154" t="s">
        <v>6340</v>
      </c>
    </row>
    <row r="23" spans="1:10" ht="23.4">
      <c r="A23" s="166"/>
      <c r="B23" s="153"/>
      <c r="C23" s="154" t="s">
        <v>6341</v>
      </c>
      <c r="D23" s="154" t="s">
        <v>6342</v>
      </c>
      <c r="E23" s="154" t="s">
        <v>6343</v>
      </c>
      <c r="F23" s="184" t="s">
        <v>209</v>
      </c>
      <c r="G23" s="154" t="s">
        <v>5006</v>
      </c>
      <c r="H23" s="184" t="s">
        <v>387</v>
      </c>
      <c r="I23" s="154" t="s">
        <v>6344</v>
      </c>
      <c r="J23" s="154" t="s">
        <v>6345</v>
      </c>
    </row>
    <row r="24" spans="1:10" ht="23.4">
      <c r="A24" s="166"/>
      <c r="B24" s="153"/>
      <c r="C24" s="154" t="s">
        <v>6346</v>
      </c>
      <c r="D24" s="154" t="s">
        <v>6347</v>
      </c>
      <c r="E24" s="154" t="s">
        <v>6348</v>
      </c>
      <c r="F24" s="184" t="s">
        <v>209</v>
      </c>
      <c r="G24" s="154" t="s">
        <v>6349</v>
      </c>
      <c r="H24" s="184" t="s">
        <v>387</v>
      </c>
      <c r="I24" s="154" t="s">
        <v>3444</v>
      </c>
      <c r="J24" s="154" t="s">
        <v>6350</v>
      </c>
    </row>
    <row r="25" spans="1:10" ht="23.4">
      <c r="A25" s="166"/>
      <c r="B25" s="153"/>
      <c r="C25" s="154" t="s">
        <v>6351</v>
      </c>
      <c r="D25" s="154" t="s">
        <v>6352</v>
      </c>
      <c r="E25" s="154" t="s">
        <v>6353</v>
      </c>
      <c r="F25" s="184" t="s">
        <v>204</v>
      </c>
      <c r="G25" s="154" t="s">
        <v>6354</v>
      </c>
      <c r="H25" s="184" t="s">
        <v>14</v>
      </c>
      <c r="I25" s="154" t="s">
        <v>6355</v>
      </c>
      <c r="J25" s="154" t="s">
        <v>6356</v>
      </c>
    </row>
    <row r="26" spans="1:10" ht="23.4">
      <c r="A26" s="166"/>
      <c r="B26" s="153"/>
      <c r="C26" s="154" t="s">
        <v>6357</v>
      </c>
      <c r="D26" s="154" t="s">
        <v>6358</v>
      </c>
      <c r="E26" s="154" t="s">
        <v>6359</v>
      </c>
      <c r="F26" s="184" t="s">
        <v>204</v>
      </c>
      <c r="G26" s="154" t="s">
        <v>6360</v>
      </c>
      <c r="H26" s="184" t="s">
        <v>387</v>
      </c>
      <c r="I26" s="154" t="s">
        <v>6361</v>
      </c>
      <c r="J26" s="154" t="s">
        <v>6362</v>
      </c>
    </row>
    <row r="27" spans="1:10" ht="23.4">
      <c r="A27" s="166"/>
      <c r="B27" s="153" t="s">
        <v>6363</v>
      </c>
      <c r="C27" s="154" t="s">
        <v>6364</v>
      </c>
      <c r="D27" s="154" t="s">
        <v>6365</v>
      </c>
      <c r="E27" s="154" t="s">
        <v>6366</v>
      </c>
      <c r="F27" s="184" t="s">
        <v>204</v>
      </c>
      <c r="G27" s="154" t="s">
        <v>6367</v>
      </c>
      <c r="H27" s="184" t="s">
        <v>14</v>
      </c>
      <c r="I27" s="154" t="s">
        <v>4066</v>
      </c>
      <c r="J27" s="154" t="s">
        <v>6368</v>
      </c>
    </row>
    <row r="28" spans="1:10" ht="23.4">
      <c r="A28" s="166"/>
      <c r="B28" s="153"/>
      <c r="C28" s="154" t="s">
        <v>6369</v>
      </c>
      <c r="D28" s="154" t="s">
        <v>6370</v>
      </c>
      <c r="E28" s="154" t="s">
        <v>6371</v>
      </c>
      <c r="F28" s="184" t="s">
        <v>204</v>
      </c>
      <c r="G28" s="154" t="s">
        <v>3621</v>
      </c>
      <c r="H28" s="184" t="s">
        <v>14</v>
      </c>
      <c r="I28" s="154" t="s">
        <v>6372</v>
      </c>
      <c r="J28" s="154" t="s">
        <v>6373</v>
      </c>
    </row>
    <row r="29" spans="1:10" ht="23.4">
      <c r="A29" s="166"/>
      <c r="B29" s="153"/>
      <c r="C29" s="154" t="s">
        <v>6374</v>
      </c>
      <c r="D29" s="154" t="s">
        <v>6375</v>
      </c>
      <c r="E29" s="154" t="s">
        <v>6376</v>
      </c>
      <c r="F29" s="184" t="s">
        <v>204</v>
      </c>
      <c r="G29" s="154" t="s">
        <v>5893</v>
      </c>
      <c r="H29" s="184" t="s">
        <v>387</v>
      </c>
      <c r="I29" s="154" t="s">
        <v>6377</v>
      </c>
      <c r="J29" s="154" t="s">
        <v>6378</v>
      </c>
    </row>
    <row r="30" spans="1:10" ht="23.4">
      <c r="A30" s="166"/>
      <c r="B30" s="153"/>
      <c r="C30" s="154" t="s">
        <v>6379</v>
      </c>
      <c r="D30" s="154" t="s">
        <v>6380</v>
      </c>
      <c r="E30" s="154" t="s">
        <v>6381</v>
      </c>
      <c r="F30" s="184" t="s">
        <v>209</v>
      </c>
      <c r="G30" s="154" t="s">
        <v>6164</v>
      </c>
      <c r="H30" s="184" t="s">
        <v>14</v>
      </c>
      <c r="I30" s="154" t="s">
        <v>4524</v>
      </c>
      <c r="J30" s="154" t="s">
        <v>6203</v>
      </c>
    </row>
    <row r="31" spans="1:10" ht="23.4">
      <c r="A31" s="166"/>
      <c r="B31" s="153"/>
      <c r="C31" s="154" t="s">
        <v>6382</v>
      </c>
      <c r="D31" s="154" t="s">
        <v>6383</v>
      </c>
      <c r="E31" s="154" t="s">
        <v>6384</v>
      </c>
      <c r="F31" s="184" t="s">
        <v>209</v>
      </c>
      <c r="G31" s="154" t="s">
        <v>4678</v>
      </c>
      <c r="H31" s="184" t="s">
        <v>14</v>
      </c>
      <c r="I31" s="154" t="s">
        <v>6385</v>
      </c>
      <c r="J31" s="154" t="s">
        <v>6386</v>
      </c>
    </row>
    <row r="32" spans="1:10" ht="23.4">
      <c r="A32" s="166"/>
      <c r="B32" s="153" t="s">
        <v>6387</v>
      </c>
      <c r="C32" s="154" t="s">
        <v>6388</v>
      </c>
      <c r="D32" s="154" t="s">
        <v>6389</v>
      </c>
      <c r="E32" s="154" t="s">
        <v>6390</v>
      </c>
      <c r="F32" s="184" t="s">
        <v>209</v>
      </c>
      <c r="G32" s="154" t="s">
        <v>6391</v>
      </c>
      <c r="H32" s="184" t="s">
        <v>14</v>
      </c>
      <c r="I32" s="154" t="s">
        <v>5854</v>
      </c>
      <c r="J32" s="154" t="s">
        <v>6392</v>
      </c>
    </row>
    <row r="33" spans="1:10" ht="23.4">
      <c r="A33" s="166"/>
      <c r="B33" s="153"/>
      <c r="C33" s="154" t="s">
        <v>6393</v>
      </c>
      <c r="D33" s="154" t="s">
        <v>6394</v>
      </c>
      <c r="E33" s="154" t="s">
        <v>6395</v>
      </c>
      <c r="F33" s="184" t="s">
        <v>209</v>
      </c>
      <c r="G33" s="154" t="s">
        <v>6396</v>
      </c>
      <c r="H33" s="184" t="s">
        <v>387</v>
      </c>
      <c r="I33" s="154" t="s">
        <v>5921</v>
      </c>
      <c r="J33" s="154" t="s">
        <v>6397</v>
      </c>
    </row>
    <row r="34" spans="1:10" ht="23.4">
      <c r="A34" s="166"/>
      <c r="B34" s="153"/>
      <c r="C34" s="154" t="s">
        <v>6398</v>
      </c>
      <c r="D34" s="154" t="s">
        <v>6399</v>
      </c>
      <c r="E34" s="154" t="s">
        <v>6400</v>
      </c>
      <c r="F34" s="184" t="s">
        <v>242</v>
      </c>
      <c r="G34" s="154" t="s">
        <v>6401</v>
      </c>
      <c r="H34" s="184" t="s">
        <v>387</v>
      </c>
      <c r="I34" s="154" t="s">
        <v>6402</v>
      </c>
      <c r="J34" s="154" t="s">
        <v>6403</v>
      </c>
    </row>
    <row r="35" spans="1:10" ht="23.4">
      <c r="A35" s="166"/>
      <c r="B35" s="153"/>
      <c r="C35" s="154" t="s">
        <v>6404</v>
      </c>
      <c r="D35" s="154" t="s">
        <v>6405</v>
      </c>
      <c r="E35" s="154" t="s">
        <v>6406</v>
      </c>
      <c r="F35" s="184" t="s">
        <v>209</v>
      </c>
      <c r="G35" s="154" t="s">
        <v>6407</v>
      </c>
      <c r="H35" s="184" t="s">
        <v>14</v>
      </c>
      <c r="I35" s="154" t="s">
        <v>6408</v>
      </c>
      <c r="J35" s="154" t="s">
        <v>6409</v>
      </c>
    </row>
    <row r="36" spans="1:10" ht="23.4">
      <c r="A36" s="166"/>
      <c r="B36" s="153"/>
      <c r="C36" s="154" t="s">
        <v>6410</v>
      </c>
      <c r="D36" s="154" t="s">
        <v>6411</v>
      </c>
      <c r="E36" s="154" t="s">
        <v>6412</v>
      </c>
      <c r="F36" s="184" t="s">
        <v>209</v>
      </c>
      <c r="G36" s="154" t="s">
        <v>5534</v>
      </c>
      <c r="H36" s="184" t="s">
        <v>14</v>
      </c>
      <c r="I36" s="154" t="s">
        <v>6413</v>
      </c>
      <c r="J36" s="154" t="s">
        <v>6414</v>
      </c>
    </row>
    <row r="37" spans="1:10" ht="23.4">
      <c r="A37" s="166"/>
      <c r="B37" s="153" t="s">
        <v>6415</v>
      </c>
      <c r="C37" s="154" t="s">
        <v>6416</v>
      </c>
      <c r="D37" s="154" t="s">
        <v>6417</v>
      </c>
      <c r="E37" s="154" t="s">
        <v>6418</v>
      </c>
      <c r="F37" s="184" t="s">
        <v>209</v>
      </c>
      <c r="G37" s="154" t="s">
        <v>6419</v>
      </c>
      <c r="H37" s="184" t="s">
        <v>387</v>
      </c>
      <c r="I37" s="154" t="s">
        <v>4308</v>
      </c>
      <c r="J37" s="154" t="s">
        <v>6420</v>
      </c>
    </row>
    <row r="38" spans="1:10" ht="23.4">
      <c r="A38" s="166"/>
      <c r="B38" s="153"/>
      <c r="C38" s="154" t="s">
        <v>6421</v>
      </c>
      <c r="D38" s="154" t="s">
        <v>6422</v>
      </c>
      <c r="E38" s="154" t="s">
        <v>6423</v>
      </c>
      <c r="F38" s="184" t="s">
        <v>209</v>
      </c>
      <c r="G38" s="154" t="s">
        <v>6424</v>
      </c>
      <c r="H38" s="184" t="s">
        <v>387</v>
      </c>
      <c r="I38" s="154" t="s">
        <v>6425</v>
      </c>
      <c r="J38" s="154" t="s">
        <v>6426</v>
      </c>
    </row>
    <row r="39" spans="1:10" ht="23.4">
      <c r="A39" s="166"/>
      <c r="B39" s="153"/>
      <c r="C39" s="154" t="s">
        <v>6427</v>
      </c>
      <c r="D39" s="154" t="s">
        <v>4175</v>
      </c>
      <c r="E39" s="154" t="s">
        <v>6428</v>
      </c>
      <c r="F39" s="184" t="s">
        <v>204</v>
      </c>
      <c r="G39" s="154" t="s">
        <v>6429</v>
      </c>
      <c r="H39" s="184" t="s">
        <v>14</v>
      </c>
      <c r="I39" s="154" t="s">
        <v>6430</v>
      </c>
      <c r="J39" s="154" t="s">
        <v>6431</v>
      </c>
    </row>
    <row r="40" spans="1:10" ht="23.4">
      <c r="A40" s="166"/>
      <c r="B40" s="153"/>
      <c r="C40" s="154" t="s">
        <v>6432</v>
      </c>
      <c r="D40" s="154" t="s">
        <v>6433</v>
      </c>
      <c r="E40" s="154" t="s">
        <v>6434</v>
      </c>
      <c r="F40" s="184" t="s">
        <v>204</v>
      </c>
      <c r="G40" s="154" t="s">
        <v>6435</v>
      </c>
      <c r="H40" s="184" t="s">
        <v>387</v>
      </c>
      <c r="I40" s="154" t="s">
        <v>6436</v>
      </c>
      <c r="J40" s="154" t="s">
        <v>6437</v>
      </c>
    </row>
    <row r="41" spans="1:10" ht="23.4">
      <c r="A41" s="166"/>
      <c r="B41" s="153"/>
      <c r="C41" s="154" t="s">
        <v>6438</v>
      </c>
      <c r="D41" s="154" t="s">
        <v>6439</v>
      </c>
      <c r="E41" s="154" t="s">
        <v>6440</v>
      </c>
      <c r="F41" s="184" t="s">
        <v>204</v>
      </c>
      <c r="G41" s="154" t="s">
        <v>6441</v>
      </c>
      <c r="H41" s="184" t="s">
        <v>14</v>
      </c>
      <c r="I41" s="154" t="s">
        <v>4019</v>
      </c>
      <c r="J41" s="154" t="s">
        <v>6442</v>
      </c>
    </row>
    <row r="42" spans="1:10" ht="23.4">
      <c r="A42" s="167" t="s">
        <v>174</v>
      </c>
      <c r="B42" s="145" t="s">
        <v>6443</v>
      </c>
      <c r="C42" s="146" t="s">
        <v>6444</v>
      </c>
      <c r="D42" s="146" t="s">
        <v>6445</v>
      </c>
      <c r="E42" s="146" t="s">
        <v>6446</v>
      </c>
      <c r="F42" s="174" t="s">
        <v>242</v>
      </c>
      <c r="G42" s="146" t="s">
        <v>6447</v>
      </c>
      <c r="H42" s="174" t="s">
        <v>387</v>
      </c>
      <c r="I42" s="146" t="s">
        <v>6448</v>
      </c>
      <c r="J42" s="146" t="s">
        <v>6449</v>
      </c>
    </row>
    <row r="43" spans="1:10" ht="23.4">
      <c r="A43" s="167"/>
      <c r="B43" s="145"/>
      <c r="C43" s="146" t="s">
        <v>6450</v>
      </c>
      <c r="D43" s="146" t="s">
        <v>6451</v>
      </c>
      <c r="E43" s="146" t="s">
        <v>6452</v>
      </c>
      <c r="F43" s="174" t="s">
        <v>204</v>
      </c>
      <c r="G43" s="146" t="s">
        <v>6453</v>
      </c>
      <c r="H43" s="174" t="s">
        <v>387</v>
      </c>
      <c r="I43" s="146" t="s">
        <v>6454</v>
      </c>
      <c r="J43" s="146" t="s">
        <v>6455</v>
      </c>
    </row>
    <row r="44" spans="1:10" ht="23.4">
      <c r="A44" s="167"/>
      <c r="B44" s="145"/>
      <c r="C44" s="146" t="s">
        <v>6456</v>
      </c>
      <c r="D44" s="146" t="s">
        <v>6457</v>
      </c>
      <c r="E44" s="146" t="s">
        <v>6458</v>
      </c>
      <c r="F44" s="174" t="s">
        <v>209</v>
      </c>
      <c r="G44" s="146" t="s">
        <v>6459</v>
      </c>
      <c r="H44" s="174" t="s">
        <v>14</v>
      </c>
      <c r="I44" s="146" t="s">
        <v>6460</v>
      </c>
      <c r="J44" s="146" t="s">
        <v>6461</v>
      </c>
    </row>
    <row r="45" spans="1:10" ht="23.4">
      <c r="A45" s="167"/>
      <c r="B45" s="145"/>
      <c r="C45" s="146" t="s">
        <v>6462</v>
      </c>
      <c r="D45" s="146" t="s">
        <v>6463</v>
      </c>
      <c r="E45" s="146" t="s">
        <v>6464</v>
      </c>
      <c r="F45" s="174" t="s">
        <v>242</v>
      </c>
      <c r="G45" s="146" t="s">
        <v>6465</v>
      </c>
      <c r="H45" s="174" t="s">
        <v>387</v>
      </c>
      <c r="I45" s="146" t="s">
        <v>6466</v>
      </c>
      <c r="J45" s="146" t="s">
        <v>6467</v>
      </c>
    </row>
    <row r="46" spans="1:10" ht="23.4">
      <c r="A46" s="167"/>
      <c r="B46" s="145"/>
      <c r="C46" s="146" t="s">
        <v>6468</v>
      </c>
      <c r="D46" s="146" t="s">
        <v>6469</v>
      </c>
      <c r="E46" s="146" t="s">
        <v>6470</v>
      </c>
      <c r="F46" s="174" t="s">
        <v>242</v>
      </c>
      <c r="G46" s="146" t="s">
        <v>6471</v>
      </c>
      <c r="H46" s="174" t="s">
        <v>387</v>
      </c>
      <c r="I46" s="146" t="s">
        <v>6472</v>
      </c>
      <c r="J46" s="146" t="s">
        <v>6473</v>
      </c>
    </row>
    <row r="47" spans="1:10" ht="23.4">
      <c r="A47" s="167"/>
      <c r="B47" s="145" t="s">
        <v>6474</v>
      </c>
      <c r="C47" s="146" t="s">
        <v>6475</v>
      </c>
      <c r="D47" s="146" t="s">
        <v>6476</v>
      </c>
      <c r="E47" s="146" t="s">
        <v>6477</v>
      </c>
      <c r="F47" s="174" t="s">
        <v>242</v>
      </c>
      <c r="G47" s="146" t="s">
        <v>6478</v>
      </c>
      <c r="H47" s="174" t="s">
        <v>387</v>
      </c>
      <c r="I47" s="146" t="s">
        <v>6479</v>
      </c>
      <c r="J47" s="146" t="s">
        <v>6480</v>
      </c>
    </row>
    <row r="48" spans="1:10" ht="23.4">
      <c r="A48" s="167"/>
      <c r="B48" s="145"/>
      <c r="C48" s="146" t="s">
        <v>6481</v>
      </c>
      <c r="D48" s="146" t="s">
        <v>6482</v>
      </c>
      <c r="E48" s="146" t="s">
        <v>6483</v>
      </c>
      <c r="F48" s="174" t="s">
        <v>209</v>
      </c>
      <c r="G48" s="146" t="s">
        <v>6484</v>
      </c>
      <c r="H48" s="174" t="s">
        <v>387</v>
      </c>
      <c r="I48" s="146" t="s">
        <v>6485</v>
      </c>
      <c r="J48" s="146" t="s">
        <v>6486</v>
      </c>
    </row>
    <row r="49" spans="1:10" ht="23.4">
      <c r="A49" s="167"/>
      <c r="B49" s="145"/>
      <c r="C49" s="146" t="s">
        <v>6487</v>
      </c>
      <c r="D49" s="146" t="s">
        <v>6488</v>
      </c>
      <c r="E49" s="146" t="s">
        <v>6489</v>
      </c>
      <c r="F49" s="174" t="s">
        <v>209</v>
      </c>
      <c r="G49" s="146" t="s">
        <v>6490</v>
      </c>
      <c r="H49" s="174" t="s">
        <v>14</v>
      </c>
      <c r="I49" s="146" t="s">
        <v>6491</v>
      </c>
      <c r="J49" s="146" t="s">
        <v>6492</v>
      </c>
    </row>
    <row r="50" spans="1:10" ht="23.4">
      <c r="A50" s="167"/>
      <c r="B50" s="145"/>
      <c r="C50" s="146" t="s">
        <v>6493</v>
      </c>
      <c r="D50" s="146" t="s">
        <v>6494</v>
      </c>
      <c r="E50" s="146" t="s">
        <v>6495</v>
      </c>
      <c r="F50" s="174" t="s">
        <v>204</v>
      </c>
      <c r="G50" s="146" t="s">
        <v>6496</v>
      </c>
      <c r="H50" s="174" t="s">
        <v>387</v>
      </c>
      <c r="I50" s="146" t="s">
        <v>6497</v>
      </c>
      <c r="J50" s="146" t="s">
        <v>6498</v>
      </c>
    </row>
    <row r="51" spans="1:10" ht="23.4">
      <c r="A51" s="167"/>
      <c r="B51" s="145"/>
      <c r="C51" s="146" t="s">
        <v>6499</v>
      </c>
      <c r="D51" s="146" t="s">
        <v>6500</v>
      </c>
      <c r="E51" s="146" t="s">
        <v>6501</v>
      </c>
      <c r="F51" s="174" t="s">
        <v>204</v>
      </c>
      <c r="G51" s="146" t="s">
        <v>6502</v>
      </c>
      <c r="H51" s="174" t="s">
        <v>14</v>
      </c>
      <c r="I51" s="146" t="s">
        <v>6503</v>
      </c>
      <c r="J51" s="146" t="s">
        <v>6504</v>
      </c>
    </row>
    <row r="52" spans="1:10" ht="23.4">
      <c r="A52" s="167"/>
      <c r="B52" s="145" t="s">
        <v>175</v>
      </c>
      <c r="C52" s="146" t="s">
        <v>6505</v>
      </c>
      <c r="D52" s="146" t="s">
        <v>6506</v>
      </c>
      <c r="E52" s="146" t="s">
        <v>6507</v>
      </c>
      <c r="F52" s="174" t="s">
        <v>204</v>
      </c>
      <c r="G52" s="146" t="s">
        <v>6508</v>
      </c>
      <c r="H52" s="174" t="s">
        <v>14</v>
      </c>
      <c r="I52" s="146" t="s">
        <v>6509</v>
      </c>
      <c r="J52" s="146" t="s">
        <v>6510</v>
      </c>
    </row>
    <row r="53" spans="1:10" ht="23.4">
      <c r="A53" s="167"/>
      <c r="B53" s="145"/>
      <c r="C53" s="146" t="s">
        <v>6511</v>
      </c>
      <c r="D53" s="146" t="s">
        <v>6512</v>
      </c>
      <c r="E53" s="146" t="s">
        <v>6513</v>
      </c>
      <c r="F53" s="174" t="s">
        <v>204</v>
      </c>
      <c r="G53" s="146" t="s">
        <v>6514</v>
      </c>
      <c r="H53" s="174" t="s">
        <v>387</v>
      </c>
      <c r="I53" s="146" t="s">
        <v>6515</v>
      </c>
      <c r="J53" s="146" t="s">
        <v>6516</v>
      </c>
    </row>
    <row r="54" spans="1:10" ht="23.4">
      <c r="A54" s="167"/>
      <c r="B54" s="145"/>
      <c r="C54" s="146" t="s">
        <v>6517</v>
      </c>
      <c r="D54" s="146" t="s">
        <v>6518</v>
      </c>
      <c r="E54" s="146" t="s">
        <v>6519</v>
      </c>
      <c r="F54" s="174" t="s">
        <v>204</v>
      </c>
      <c r="G54" s="146" t="s">
        <v>6520</v>
      </c>
      <c r="H54" s="174" t="s">
        <v>14</v>
      </c>
      <c r="I54" s="146" t="s">
        <v>6521</v>
      </c>
      <c r="J54" s="146" t="s">
        <v>6522</v>
      </c>
    </row>
    <row r="55" spans="1:10" ht="23.4">
      <c r="A55" s="167"/>
      <c r="B55" s="145"/>
      <c r="C55" s="146" t="s">
        <v>6523</v>
      </c>
      <c r="D55" s="146" t="s">
        <v>6524</v>
      </c>
      <c r="E55" s="146" t="s">
        <v>6525</v>
      </c>
      <c r="F55" s="174" t="s">
        <v>204</v>
      </c>
      <c r="G55" s="146" t="s">
        <v>6526</v>
      </c>
      <c r="H55" s="174" t="s">
        <v>387</v>
      </c>
      <c r="I55" s="146" t="s">
        <v>6527</v>
      </c>
      <c r="J55" s="146" t="s">
        <v>6528</v>
      </c>
    </row>
    <row r="56" spans="1:10" ht="23.4">
      <c r="A56" s="167"/>
      <c r="B56" s="145"/>
      <c r="C56" s="146" t="s">
        <v>6529</v>
      </c>
      <c r="D56" s="146" t="s">
        <v>6530</v>
      </c>
      <c r="E56" s="146" t="s">
        <v>6531</v>
      </c>
      <c r="F56" s="174" t="s">
        <v>204</v>
      </c>
      <c r="G56" s="146" t="s">
        <v>6532</v>
      </c>
      <c r="H56" s="174" t="s">
        <v>14</v>
      </c>
      <c r="I56" s="146" t="s">
        <v>6533</v>
      </c>
      <c r="J56" s="146" t="s">
        <v>6534</v>
      </c>
    </row>
    <row r="57" spans="1:10" ht="23.4">
      <c r="A57" s="167"/>
      <c r="B57" s="145" t="s">
        <v>6535</v>
      </c>
      <c r="C57" s="146" t="s">
        <v>6536</v>
      </c>
      <c r="D57" s="146" t="s">
        <v>6537</v>
      </c>
      <c r="E57" s="146" t="s">
        <v>6538</v>
      </c>
      <c r="F57" s="174" t="s">
        <v>204</v>
      </c>
      <c r="G57" s="146" t="s">
        <v>6539</v>
      </c>
      <c r="H57" s="174" t="s">
        <v>14</v>
      </c>
      <c r="I57" s="146" t="s">
        <v>6479</v>
      </c>
      <c r="J57" s="146" t="s">
        <v>6540</v>
      </c>
    </row>
    <row r="58" spans="1:10" ht="23.4">
      <c r="A58" s="167"/>
      <c r="B58" s="145"/>
      <c r="C58" s="146" t="s">
        <v>6541</v>
      </c>
      <c r="D58" s="146" t="s">
        <v>6542</v>
      </c>
      <c r="E58" s="146" t="s">
        <v>6543</v>
      </c>
      <c r="F58" s="174" t="s">
        <v>204</v>
      </c>
      <c r="G58" s="146" t="s">
        <v>6544</v>
      </c>
      <c r="H58" s="174" t="s">
        <v>387</v>
      </c>
      <c r="I58" s="146" t="s">
        <v>6545</v>
      </c>
      <c r="J58" s="146" t="s">
        <v>6546</v>
      </c>
    </row>
    <row r="59" spans="1:10" ht="23.4">
      <c r="A59" s="167"/>
      <c r="B59" s="145"/>
      <c r="C59" s="146" t="s">
        <v>6547</v>
      </c>
      <c r="D59" s="146" t="s">
        <v>6548</v>
      </c>
      <c r="E59" s="146" t="s">
        <v>6549</v>
      </c>
      <c r="F59" s="174" t="s">
        <v>204</v>
      </c>
      <c r="G59" s="146" t="s">
        <v>6550</v>
      </c>
      <c r="H59" s="174" t="s">
        <v>387</v>
      </c>
      <c r="I59" s="146" t="s">
        <v>6551</v>
      </c>
      <c r="J59" s="146" t="s">
        <v>6552</v>
      </c>
    </row>
    <row r="60" spans="1:10" ht="23.4">
      <c r="A60" s="167"/>
      <c r="B60" s="145"/>
      <c r="C60" s="146" t="s">
        <v>6553</v>
      </c>
      <c r="D60" s="146" t="s">
        <v>6554</v>
      </c>
      <c r="E60" s="146" t="s">
        <v>6555</v>
      </c>
      <c r="F60" s="174" t="s">
        <v>209</v>
      </c>
      <c r="G60" s="146" t="s">
        <v>6556</v>
      </c>
      <c r="H60" s="174" t="s">
        <v>14</v>
      </c>
      <c r="I60" s="146" t="s">
        <v>6557</v>
      </c>
      <c r="J60" s="146" t="s">
        <v>6558</v>
      </c>
    </row>
    <row r="61" spans="1:10" ht="23.4">
      <c r="A61" s="167"/>
      <c r="B61" s="145"/>
      <c r="C61" s="146" t="s">
        <v>6559</v>
      </c>
      <c r="D61" s="146" t="s">
        <v>6560</v>
      </c>
      <c r="E61" s="146" t="s">
        <v>6561</v>
      </c>
      <c r="F61" s="174" t="s">
        <v>209</v>
      </c>
      <c r="G61" s="146" t="s">
        <v>6562</v>
      </c>
      <c r="H61" s="174" t="s">
        <v>387</v>
      </c>
      <c r="I61" s="146" t="s">
        <v>6563</v>
      </c>
      <c r="J61" s="146" t="s">
        <v>6564</v>
      </c>
    </row>
    <row r="62" spans="1:10" ht="23.4">
      <c r="A62" s="167"/>
      <c r="B62" s="145" t="s">
        <v>176</v>
      </c>
      <c r="C62" s="146" t="s">
        <v>6565</v>
      </c>
      <c r="D62" s="146" t="s">
        <v>6566</v>
      </c>
      <c r="E62" s="146"/>
      <c r="F62" s="174" t="s">
        <v>209</v>
      </c>
      <c r="G62" s="146"/>
      <c r="H62" s="174" t="s">
        <v>14</v>
      </c>
      <c r="I62" s="146"/>
      <c r="J62" s="146"/>
    </row>
    <row r="63" spans="1:10" ht="23.4">
      <c r="A63" s="167"/>
      <c r="B63" s="145"/>
      <c r="C63" s="146" t="s">
        <v>6567</v>
      </c>
      <c r="D63" s="146" t="s">
        <v>6568</v>
      </c>
      <c r="E63" s="146"/>
      <c r="F63" s="174" t="s">
        <v>204</v>
      </c>
      <c r="G63" s="146"/>
      <c r="H63" s="174" t="s">
        <v>387</v>
      </c>
      <c r="I63" s="146"/>
      <c r="J63" s="146"/>
    </row>
    <row r="64" spans="1:10" ht="23.4">
      <c r="A64" s="167"/>
      <c r="B64" s="145"/>
      <c r="C64" s="146" t="s">
        <v>6569</v>
      </c>
      <c r="D64" s="146" t="s">
        <v>6570</v>
      </c>
      <c r="E64" s="146"/>
      <c r="F64" s="174" t="s">
        <v>204</v>
      </c>
      <c r="G64" s="146"/>
      <c r="H64" s="174" t="s">
        <v>387</v>
      </c>
      <c r="I64" s="146"/>
      <c r="J64" s="146"/>
    </row>
    <row r="65" spans="1:10" ht="23.4">
      <c r="A65" s="167"/>
      <c r="B65" s="145"/>
      <c r="C65" s="146" t="s">
        <v>6571</v>
      </c>
      <c r="D65" s="146" t="s">
        <v>6572</v>
      </c>
      <c r="E65" s="146"/>
      <c r="F65" s="174" t="s">
        <v>204</v>
      </c>
      <c r="G65" s="146"/>
      <c r="H65" s="174" t="s">
        <v>14</v>
      </c>
      <c r="I65" s="146"/>
      <c r="J65" s="146"/>
    </row>
    <row r="66" spans="1:10" ht="23.4">
      <c r="A66" s="167"/>
      <c r="B66" s="145"/>
      <c r="C66" s="146" t="s">
        <v>6573</v>
      </c>
      <c r="D66" s="146" t="s">
        <v>6574</v>
      </c>
      <c r="E66" s="146"/>
      <c r="F66" s="174" t="s">
        <v>204</v>
      </c>
      <c r="G66" s="146"/>
      <c r="H66" s="174" t="s">
        <v>387</v>
      </c>
      <c r="I66" s="146"/>
      <c r="J66" s="146"/>
    </row>
    <row r="67" spans="1:10" ht="23.4">
      <c r="A67" s="167"/>
      <c r="B67" s="145" t="s">
        <v>6575</v>
      </c>
      <c r="C67" s="146" t="s">
        <v>6576</v>
      </c>
      <c r="D67" s="146" t="s">
        <v>6577</v>
      </c>
      <c r="E67" s="146" t="s">
        <v>6578</v>
      </c>
      <c r="F67" s="174" t="s">
        <v>209</v>
      </c>
      <c r="G67" s="146" t="s">
        <v>6579</v>
      </c>
      <c r="H67" s="174" t="s">
        <v>387</v>
      </c>
      <c r="I67" s="146" t="s">
        <v>6580</v>
      </c>
      <c r="J67" s="146" t="s">
        <v>6581</v>
      </c>
    </row>
    <row r="68" spans="1:10" ht="23.4">
      <c r="A68" s="167"/>
      <c r="B68" s="145"/>
      <c r="C68" s="146" t="s">
        <v>6582</v>
      </c>
      <c r="D68" s="146" t="s">
        <v>6583</v>
      </c>
      <c r="E68" s="146" t="s">
        <v>6584</v>
      </c>
      <c r="F68" s="174" t="s">
        <v>209</v>
      </c>
      <c r="G68" s="146" t="s">
        <v>6585</v>
      </c>
      <c r="H68" s="174" t="s">
        <v>387</v>
      </c>
      <c r="I68" s="146" t="s">
        <v>6586</v>
      </c>
      <c r="J68" s="146" t="s">
        <v>6587</v>
      </c>
    </row>
    <row r="69" spans="1:10" ht="23.4">
      <c r="A69" s="167"/>
      <c r="B69" s="145"/>
      <c r="C69" s="146" t="s">
        <v>6588</v>
      </c>
      <c r="D69" s="146" t="s">
        <v>6589</v>
      </c>
      <c r="E69" s="146" t="s">
        <v>6590</v>
      </c>
      <c r="F69" s="174" t="s">
        <v>209</v>
      </c>
      <c r="G69" s="146" t="s">
        <v>6591</v>
      </c>
      <c r="H69" s="174" t="s">
        <v>387</v>
      </c>
      <c r="I69" s="146" t="s">
        <v>6592</v>
      </c>
      <c r="J69" s="146" t="s">
        <v>6593</v>
      </c>
    </row>
    <row r="70" spans="1:10" ht="23.4">
      <c r="A70" s="167"/>
      <c r="B70" s="145"/>
      <c r="C70" s="146" t="s">
        <v>6594</v>
      </c>
      <c r="D70" s="146" t="s">
        <v>6595</v>
      </c>
      <c r="E70" s="146" t="s">
        <v>6596</v>
      </c>
      <c r="F70" s="174" t="s">
        <v>209</v>
      </c>
      <c r="G70" s="146" t="s">
        <v>6484</v>
      </c>
      <c r="H70" s="174" t="s">
        <v>14</v>
      </c>
      <c r="I70" s="146" t="s">
        <v>6597</v>
      </c>
      <c r="J70" s="146" t="s">
        <v>6598</v>
      </c>
    </row>
    <row r="71" spans="1:10" ht="23.4">
      <c r="A71" s="167"/>
      <c r="B71" s="145"/>
      <c r="C71" s="146" t="s">
        <v>6599</v>
      </c>
      <c r="D71" s="146" t="s">
        <v>6600</v>
      </c>
      <c r="E71" s="146" t="s">
        <v>6601</v>
      </c>
      <c r="F71" s="174" t="s">
        <v>242</v>
      </c>
      <c r="G71" s="146" t="s">
        <v>6602</v>
      </c>
      <c r="H71" s="174" t="s">
        <v>14</v>
      </c>
      <c r="I71" s="146" t="s">
        <v>6527</v>
      </c>
      <c r="J71" s="146" t="s">
        <v>6603</v>
      </c>
    </row>
    <row r="72" spans="1:10" ht="23.4">
      <c r="A72" s="167"/>
      <c r="B72" s="145" t="s">
        <v>6604</v>
      </c>
      <c r="C72" s="146" t="s">
        <v>6605</v>
      </c>
      <c r="D72" s="146" t="s">
        <v>6606</v>
      </c>
      <c r="E72" s="146" t="s">
        <v>6607</v>
      </c>
      <c r="F72" s="174" t="s">
        <v>209</v>
      </c>
      <c r="G72" s="146" t="s">
        <v>6608</v>
      </c>
      <c r="H72" s="174" t="s">
        <v>387</v>
      </c>
      <c r="I72" s="146" t="s">
        <v>6609</v>
      </c>
      <c r="J72" s="146" t="s">
        <v>6610</v>
      </c>
    </row>
    <row r="73" spans="1:10" ht="23.4">
      <c r="A73" s="167"/>
      <c r="B73" s="145"/>
      <c r="C73" s="146" t="s">
        <v>6611</v>
      </c>
      <c r="D73" s="146" t="s">
        <v>6612</v>
      </c>
      <c r="E73" s="146" t="s">
        <v>6613</v>
      </c>
      <c r="F73" s="174" t="s">
        <v>209</v>
      </c>
      <c r="G73" s="146" t="s">
        <v>6614</v>
      </c>
      <c r="H73" s="174" t="s">
        <v>14</v>
      </c>
      <c r="I73" s="146" t="s">
        <v>6615</v>
      </c>
      <c r="J73" s="146" t="s">
        <v>6616</v>
      </c>
    </row>
    <row r="74" spans="1:10" ht="23.4">
      <c r="A74" s="167"/>
      <c r="B74" s="145"/>
      <c r="C74" s="146" t="s">
        <v>6617</v>
      </c>
      <c r="D74" s="146" t="s">
        <v>6618</v>
      </c>
      <c r="E74" s="146" t="s">
        <v>6619</v>
      </c>
      <c r="F74" s="174" t="s">
        <v>209</v>
      </c>
      <c r="G74" s="146" t="s">
        <v>6620</v>
      </c>
      <c r="H74" s="174" t="s">
        <v>387</v>
      </c>
      <c r="I74" s="146" t="s">
        <v>6621</v>
      </c>
      <c r="J74" s="146" t="s">
        <v>6622</v>
      </c>
    </row>
    <row r="75" spans="1:10" ht="23.4">
      <c r="A75" s="167"/>
      <c r="B75" s="145"/>
      <c r="C75" s="146" t="s">
        <v>6623</v>
      </c>
      <c r="D75" s="146" t="s">
        <v>6624</v>
      </c>
      <c r="E75" s="146" t="s">
        <v>6625</v>
      </c>
      <c r="F75" s="174" t="s">
        <v>209</v>
      </c>
      <c r="G75" s="146" t="s">
        <v>6626</v>
      </c>
      <c r="H75" s="174" t="s">
        <v>14</v>
      </c>
      <c r="I75" s="146" t="s">
        <v>6627</v>
      </c>
      <c r="J75" s="146" t="s">
        <v>6628</v>
      </c>
    </row>
    <row r="76" spans="1:10" ht="23.4">
      <c r="A76" s="167"/>
      <c r="B76" s="145"/>
      <c r="C76" s="146" t="s">
        <v>6629</v>
      </c>
      <c r="D76" s="146" t="s">
        <v>6630</v>
      </c>
      <c r="E76" s="146" t="s">
        <v>6631</v>
      </c>
      <c r="F76" s="174" t="s">
        <v>204</v>
      </c>
      <c r="G76" s="146" t="s">
        <v>6632</v>
      </c>
      <c r="H76" s="174" t="s">
        <v>14</v>
      </c>
      <c r="I76" s="146" t="s">
        <v>6633</v>
      </c>
      <c r="J76" s="146" t="s">
        <v>6634</v>
      </c>
    </row>
    <row r="77" spans="1:10" ht="23.4">
      <c r="A77" s="167"/>
      <c r="B77" s="145" t="s">
        <v>6635</v>
      </c>
      <c r="C77" s="146" t="s">
        <v>6636</v>
      </c>
      <c r="D77" s="146" t="s">
        <v>6637</v>
      </c>
      <c r="E77" s="146" t="s">
        <v>6638</v>
      </c>
      <c r="F77" s="174" t="s">
        <v>204</v>
      </c>
      <c r="G77" s="146" t="s">
        <v>6639</v>
      </c>
      <c r="H77" s="174" t="s">
        <v>387</v>
      </c>
      <c r="I77" s="146" t="s">
        <v>6640</v>
      </c>
      <c r="J77" s="146" t="s">
        <v>6641</v>
      </c>
    </row>
    <row r="78" spans="1:10" ht="23.4">
      <c r="A78" s="167"/>
      <c r="B78" s="145"/>
      <c r="C78" s="146" t="s">
        <v>6642</v>
      </c>
      <c r="D78" s="146" t="s">
        <v>6643</v>
      </c>
      <c r="E78" s="146" t="s">
        <v>6644</v>
      </c>
      <c r="F78" s="174" t="s">
        <v>204</v>
      </c>
      <c r="G78" s="146" t="s">
        <v>6645</v>
      </c>
      <c r="H78" s="174" t="s">
        <v>14</v>
      </c>
      <c r="I78" s="146" t="s">
        <v>6646</v>
      </c>
      <c r="J78" s="146" t="s">
        <v>6647</v>
      </c>
    </row>
    <row r="79" spans="1:10" ht="23.4">
      <c r="A79" s="167"/>
      <c r="B79" s="145"/>
      <c r="C79" s="146" t="s">
        <v>6648</v>
      </c>
      <c r="D79" s="146" t="s">
        <v>6649</v>
      </c>
      <c r="E79" s="146" t="s">
        <v>6650</v>
      </c>
      <c r="F79" s="174" t="s">
        <v>242</v>
      </c>
      <c r="G79" s="146" t="s">
        <v>6651</v>
      </c>
      <c r="H79" s="174" t="s">
        <v>14</v>
      </c>
      <c r="I79" s="146" t="s">
        <v>6615</v>
      </c>
      <c r="J79" s="146" t="s">
        <v>6652</v>
      </c>
    </row>
    <row r="80" spans="1:10" ht="23.4">
      <c r="A80" s="167"/>
      <c r="B80" s="145"/>
      <c r="C80" s="146" t="s">
        <v>6653</v>
      </c>
      <c r="D80" s="146" t="s">
        <v>6654</v>
      </c>
      <c r="E80" s="146" t="s">
        <v>6655</v>
      </c>
      <c r="F80" s="174" t="s">
        <v>204</v>
      </c>
      <c r="G80" s="146" t="s">
        <v>6656</v>
      </c>
      <c r="H80" s="174" t="s">
        <v>14</v>
      </c>
      <c r="I80" s="146" t="s">
        <v>6657</v>
      </c>
      <c r="J80" s="146" t="s">
        <v>6658</v>
      </c>
    </row>
    <row r="81" spans="1:10" ht="23.4">
      <c r="A81" s="167"/>
      <c r="B81" s="145"/>
      <c r="C81" s="146" t="s">
        <v>6659</v>
      </c>
      <c r="D81" s="146" t="s">
        <v>6660</v>
      </c>
      <c r="E81" s="146" t="s">
        <v>6661</v>
      </c>
      <c r="F81" s="174" t="s">
        <v>209</v>
      </c>
      <c r="G81" s="146" t="s">
        <v>6662</v>
      </c>
      <c r="H81" s="174" t="s">
        <v>387</v>
      </c>
      <c r="I81" s="146" t="s">
        <v>6478</v>
      </c>
      <c r="J81" s="146" t="s">
        <v>6663</v>
      </c>
    </row>
    <row r="82" spans="1:10" ht="23.4">
      <c r="A82" s="166" t="s">
        <v>177</v>
      </c>
      <c r="B82" s="153" t="s">
        <v>6664</v>
      </c>
      <c r="C82" s="154" t="s">
        <v>6665</v>
      </c>
      <c r="D82" s="154" t="s">
        <v>6666</v>
      </c>
      <c r="E82" s="154" t="s">
        <v>6667</v>
      </c>
      <c r="F82" s="184" t="s">
        <v>242</v>
      </c>
      <c r="G82" s="154" t="s">
        <v>6668</v>
      </c>
      <c r="H82" s="184" t="s">
        <v>387</v>
      </c>
      <c r="I82" s="154" t="s">
        <v>6669</v>
      </c>
      <c r="J82" s="154" t="s">
        <v>6670</v>
      </c>
    </row>
    <row r="83" spans="1:10" ht="23.4">
      <c r="A83" s="166"/>
      <c r="B83" s="153"/>
      <c r="C83" s="154" t="s">
        <v>2444</v>
      </c>
      <c r="D83" s="154" t="s">
        <v>6671</v>
      </c>
      <c r="E83" s="154" t="s">
        <v>6672</v>
      </c>
      <c r="F83" s="184" t="s">
        <v>204</v>
      </c>
      <c r="G83" s="154" t="s">
        <v>6673</v>
      </c>
      <c r="H83" s="184" t="s">
        <v>14</v>
      </c>
      <c r="I83" s="154" t="s">
        <v>6674</v>
      </c>
      <c r="J83" s="154" t="s">
        <v>6675</v>
      </c>
    </row>
    <row r="84" spans="1:10" ht="23.4">
      <c r="A84" s="166"/>
      <c r="B84" s="153"/>
      <c r="C84" s="154" t="s">
        <v>6676</v>
      </c>
      <c r="D84" s="154" t="s">
        <v>6677</v>
      </c>
      <c r="E84" s="154" t="s">
        <v>6678</v>
      </c>
      <c r="F84" s="184" t="s">
        <v>242</v>
      </c>
      <c r="G84" s="154" t="s">
        <v>6679</v>
      </c>
      <c r="H84" s="184" t="s">
        <v>14</v>
      </c>
      <c r="I84" s="154" t="s">
        <v>6680</v>
      </c>
      <c r="J84" s="154" t="s">
        <v>6681</v>
      </c>
    </row>
    <row r="85" spans="1:10" ht="23.4">
      <c r="A85" s="166"/>
      <c r="B85" s="153"/>
      <c r="C85" s="154" t="s">
        <v>6682</v>
      </c>
      <c r="D85" s="154" t="s">
        <v>6683</v>
      </c>
      <c r="E85" s="154" t="s">
        <v>6684</v>
      </c>
      <c r="F85" s="184" t="s">
        <v>204</v>
      </c>
      <c r="G85" s="154" t="s">
        <v>6685</v>
      </c>
      <c r="H85" s="184" t="s">
        <v>387</v>
      </c>
      <c r="I85" s="154" t="s">
        <v>6686</v>
      </c>
      <c r="J85" s="154" t="s">
        <v>6687</v>
      </c>
    </row>
    <row r="86" spans="1:10" ht="23.4">
      <c r="A86" s="166"/>
      <c r="B86" s="153"/>
      <c r="C86" s="154" t="s">
        <v>6688</v>
      </c>
      <c r="D86" s="154" t="s">
        <v>6689</v>
      </c>
      <c r="E86" s="154" t="s">
        <v>6690</v>
      </c>
      <c r="F86" s="184" t="s">
        <v>209</v>
      </c>
      <c r="G86" s="154" t="s">
        <v>6691</v>
      </c>
      <c r="H86" s="184" t="s">
        <v>387</v>
      </c>
      <c r="I86" s="154" t="s">
        <v>6692</v>
      </c>
      <c r="J86" s="154" t="s">
        <v>6693</v>
      </c>
    </row>
    <row r="87" spans="1:10" ht="23.4">
      <c r="A87" s="166"/>
      <c r="B87" s="153" t="s">
        <v>6694</v>
      </c>
      <c r="C87" s="154" t="s">
        <v>6695</v>
      </c>
      <c r="D87" s="154" t="s">
        <v>6696</v>
      </c>
      <c r="E87" s="154" t="s">
        <v>6697</v>
      </c>
      <c r="F87" s="184" t="s">
        <v>204</v>
      </c>
      <c r="G87" s="154" t="s">
        <v>6698</v>
      </c>
      <c r="H87" s="184" t="s">
        <v>14</v>
      </c>
      <c r="I87" s="154" t="s">
        <v>6669</v>
      </c>
      <c r="J87" s="154" t="s">
        <v>6699</v>
      </c>
    </row>
    <row r="88" spans="1:10" ht="23.4">
      <c r="A88" s="166"/>
      <c r="B88" s="153"/>
      <c r="C88" s="154" t="s">
        <v>6700</v>
      </c>
      <c r="D88" s="154" t="s">
        <v>6701</v>
      </c>
      <c r="E88" s="154" t="s">
        <v>6702</v>
      </c>
      <c r="F88" s="184" t="s">
        <v>204</v>
      </c>
      <c r="G88" s="154" t="s">
        <v>6703</v>
      </c>
      <c r="H88" s="184" t="s">
        <v>387</v>
      </c>
      <c r="I88" s="154" t="s">
        <v>6704</v>
      </c>
      <c r="J88" s="154" t="s">
        <v>6705</v>
      </c>
    </row>
    <row r="89" spans="1:10" ht="23.4">
      <c r="A89" s="166"/>
      <c r="B89" s="153"/>
      <c r="C89" s="154" t="s">
        <v>6706</v>
      </c>
      <c r="D89" s="154" t="s">
        <v>6707</v>
      </c>
      <c r="E89" s="154" t="s">
        <v>6708</v>
      </c>
      <c r="F89" s="184" t="s">
        <v>209</v>
      </c>
      <c r="G89" s="154" t="s">
        <v>6709</v>
      </c>
      <c r="H89" s="184" t="s">
        <v>387</v>
      </c>
      <c r="I89" s="154" t="s">
        <v>6710</v>
      </c>
      <c r="J89" s="154" t="s">
        <v>6711</v>
      </c>
    </row>
    <row r="90" spans="1:10" ht="23.4">
      <c r="A90" s="166"/>
      <c r="B90" s="153"/>
      <c r="C90" s="154" t="s">
        <v>6712</v>
      </c>
      <c r="D90" s="154" t="s">
        <v>6713</v>
      </c>
      <c r="E90" s="154" t="s">
        <v>6714</v>
      </c>
      <c r="F90" s="184" t="s">
        <v>204</v>
      </c>
      <c r="G90" s="154" t="s">
        <v>6715</v>
      </c>
      <c r="H90" s="184" t="s">
        <v>387</v>
      </c>
      <c r="I90" s="154" t="s">
        <v>6716</v>
      </c>
      <c r="J90" s="154" t="s">
        <v>6717</v>
      </c>
    </row>
    <row r="91" spans="1:10" ht="23.4">
      <c r="A91" s="166"/>
      <c r="B91" s="153"/>
      <c r="C91" s="154" t="s">
        <v>6718</v>
      </c>
      <c r="D91" s="154" t="s">
        <v>6719</v>
      </c>
      <c r="E91" s="154" t="s">
        <v>6720</v>
      </c>
      <c r="F91" s="184" t="s">
        <v>242</v>
      </c>
      <c r="G91" s="154" t="s">
        <v>6721</v>
      </c>
      <c r="H91" s="184" t="s">
        <v>387</v>
      </c>
      <c r="I91" s="154" t="s">
        <v>6722</v>
      </c>
      <c r="J91" s="154" t="s">
        <v>6723</v>
      </c>
    </row>
    <row r="92" spans="1:10" ht="23.4">
      <c r="A92" s="166"/>
      <c r="B92" s="153" t="s">
        <v>6724</v>
      </c>
      <c r="C92" s="154" t="s">
        <v>6725</v>
      </c>
      <c r="D92" s="154" t="s">
        <v>6726</v>
      </c>
      <c r="E92" s="154" t="s">
        <v>6727</v>
      </c>
      <c r="F92" s="184" t="s">
        <v>204</v>
      </c>
      <c r="G92" s="154" t="s">
        <v>6728</v>
      </c>
      <c r="H92" s="184" t="s">
        <v>14</v>
      </c>
      <c r="I92" s="154" t="s">
        <v>6729</v>
      </c>
      <c r="J92" s="154" t="s">
        <v>6730</v>
      </c>
    </row>
    <row r="93" spans="1:10" ht="23.4">
      <c r="A93" s="166"/>
      <c r="B93" s="153"/>
      <c r="C93" s="154" t="s">
        <v>6731</v>
      </c>
      <c r="D93" s="154" t="s">
        <v>6732</v>
      </c>
      <c r="E93" s="154" t="s">
        <v>6733</v>
      </c>
      <c r="F93" s="184" t="s">
        <v>242</v>
      </c>
      <c r="G93" s="154" t="s">
        <v>6734</v>
      </c>
      <c r="H93" s="184" t="s">
        <v>387</v>
      </c>
      <c r="I93" s="154" t="s">
        <v>6735</v>
      </c>
      <c r="J93" s="154" t="s">
        <v>6736</v>
      </c>
    </row>
    <row r="94" spans="1:10" ht="23.4">
      <c r="A94" s="166"/>
      <c r="B94" s="153"/>
      <c r="C94" s="154" t="s">
        <v>6737</v>
      </c>
      <c r="D94" s="154" t="s">
        <v>6738</v>
      </c>
      <c r="E94" s="154" t="s">
        <v>6739</v>
      </c>
      <c r="F94" s="184" t="s">
        <v>204</v>
      </c>
      <c r="G94" s="154" t="s">
        <v>6740</v>
      </c>
      <c r="H94" s="184" t="s">
        <v>14</v>
      </c>
      <c r="I94" s="154" t="s">
        <v>6741</v>
      </c>
      <c r="J94" s="154" t="s">
        <v>6742</v>
      </c>
    </row>
    <row r="95" spans="1:10" ht="23.4">
      <c r="A95" s="166"/>
      <c r="B95" s="153"/>
      <c r="C95" s="154" t="s">
        <v>6743</v>
      </c>
      <c r="D95" s="154" t="s">
        <v>6744</v>
      </c>
      <c r="E95" s="154" t="s">
        <v>6745</v>
      </c>
      <c r="F95" s="184" t="s">
        <v>242</v>
      </c>
      <c r="G95" s="154" t="s">
        <v>6746</v>
      </c>
      <c r="H95" s="184" t="s">
        <v>14</v>
      </c>
      <c r="I95" s="154" t="s">
        <v>6747</v>
      </c>
      <c r="J95" s="154" t="s">
        <v>6748</v>
      </c>
    </row>
    <row r="96" spans="1:10" ht="23.4">
      <c r="A96" s="166"/>
      <c r="B96" s="153"/>
      <c r="C96" s="154" t="s">
        <v>6749</v>
      </c>
      <c r="D96" s="154" t="s">
        <v>6750</v>
      </c>
      <c r="E96" s="154" t="s">
        <v>6751</v>
      </c>
      <c r="F96" s="184" t="s">
        <v>204</v>
      </c>
      <c r="G96" s="154" t="s">
        <v>6752</v>
      </c>
      <c r="H96" s="184" t="s">
        <v>387</v>
      </c>
      <c r="I96" s="154" t="s">
        <v>6753</v>
      </c>
      <c r="J96" s="154" t="s">
        <v>6754</v>
      </c>
    </row>
    <row r="97" spans="1:10" ht="23.4">
      <c r="A97" s="166"/>
      <c r="B97" s="153" t="s">
        <v>6755</v>
      </c>
      <c r="C97" s="154" t="s">
        <v>6565</v>
      </c>
      <c r="D97" s="154" t="s">
        <v>6566</v>
      </c>
      <c r="E97" s="154" t="s">
        <v>6756</v>
      </c>
      <c r="F97" s="184" t="s">
        <v>204</v>
      </c>
      <c r="G97" s="154" t="s">
        <v>6757</v>
      </c>
      <c r="H97" s="184" t="s">
        <v>14</v>
      </c>
      <c r="I97" s="154" t="s">
        <v>6758</v>
      </c>
      <c r="J97" s="154" t="s">
        <v>6759</v>
      </c>
    </row>
    <row r="98" spans="1:10" ht="23.4">
      <c r="A98" s="166"/>
      <c r="B98" s="153"/>
      <c r="C98" s="154" t="s">
        <v>6567</v>
      </c>
      <c r="D98" s="154" t="s">
        <v>6568</v>
      </c>
      <c r="E98" s="154" t="s">
        <v>6760</v>
      </c>
      <c r="F98" s="184" t="s">
        <v>242</v>
      </c>
      <c r="G98" s="154" t="s">
        <v>6761</v>
      </c>
      <c r="H98" s="184" t="s">
        <v>14</v>
      </c>
      <c r="I98" s="154" t="s">
        <v>6762</v>
      </c>
      <c r="J98" s="154" t="s">
        <v>6763</v>
      </c>
    </row>
    <row r="99" spans="1:10" ht="23.4">
      <c r="A99" s="166"/>
      <c r="B99" s="153"/>
      <c r="C99" s="154" t="s">
        <v>6569</v>
      </c>
      <c r="D99" s="154" t="s">
        <v>6570</v>
      </c>
      <c r="E99" s="154" t="s">
        <v>6764</v>
      </c>
      <c r="F99" s="184" t="s">
        <v>204</v>
      </c>
      <c r="G99" s="154" t="s">
        <v>6765</v>
      </c>
      <c r="H99" s="184" t="s">
        <v>14</v>
      </c>
      <c r="I99" s="154" t="s">
        <v>6766</v>
      </c>
      <c r="J99" s="154" t="s">
        <v>6767</v>
      </c>
    </row>
    <row r="100" spans="1:10" ht="23.4">
      <c r="A100" s="166"/>
      <c r="B100" s="153"/>
      <c r="C100" s="154" t="s">
        <v>6571</v>
      </c>
      <c r="D100" s="154" t="s">
        <v>6572</v>
      </c>
      <c r="E100" s="154" t="s">
        <v>6768</v>
      </c>
      <c r="F100" s="184" t="s">
        <v>204</v>
      </c>
      <c r="G100" s="154" t="s">
        <v>6769</v>
      </c>
      <c r="H100" s="184" t="s">
        <v>14</v>
      </c>
      <c r="I100" s="154" t="s">
        <v>6770</v>
      </c>
      <c r="J100" s="154" t="s">
        <v>6771</v>
      </c>
    </row>
    <row r="101" spans="1:10" ht="23.4">
      <c r="A101" s="166"/>
      <c r="B101" s="153"/>
      <c r="C101" s="154" t="s">
        <v>6573</v>
      </c>
      <c r="D101" s="154" t="s">
        <v>6574</v>
      </c>
      <c r="E101" s="154" t="s">
        <v>6772</v>
      </c>
      <c r="F101" s="184" t="s">
        <v>204</v>
      </c>
      <c r="G101" s="154" t="s">
        <v>6773</v>
      </c>
      <c r="H101" s="184" t="s">
        <v>387</v>
      </c>
      <c r="I101" s="154" t="s">
        <v>6774</v>
      </c>
      <c r="J101" s="154" t="s">
        <v>6775</v>
      </c>
    </row>
    <row r="102" spans="1:10" ht="23.4">
      <c r="A102" s="166"/>
      <c r="B102" s="153" t="s">
        <v>6776</v>
      </c>
      <c r="C102" s="154" t="s">
        <v>6777</v>
      </c>
      <c r="D102" s="154" t="s">
        <v>6778</v>
      </c>
      <c r="E102" s="154" t="s">
        <v>6779</v>
      </c>
      <c r="F102" s="184" t="s">
        <v>209</v>
      </c>
      <c r="G102" s="154" t="s">
        <v>6780</v>
      </c>
      <c r="H102" s="184" t="s">
        <v>14</v>
      </c>
      <c r="I102" s="154" t="s">
        <v>6544</v>
      </c>
      <c r="J102" s="154" t="s">
        <v>6781</v>
      </c>
    </row>
    <row r="103" spans="1:10" ht="23.4">
      <c r="A103" s="166"/>
      <c r="B103" s="153"/>
      <c r="C103" s="154" t="s">
        <v>6782</v>
      </c>
      <c r="D103" s="154" t="s">
        <v>6783</v>
      </c>
      <c r="E103" s="154" t="s">
        <v>6784</v>
      </c>
      <c r="F103" s="184" t="s">
        <v>242</v>
      </c>
      <c r="G103" s="154" t="s">
        <v>6785</v>
      </c>
      <c r="H103" s="184" t="s">
        <v>387</v>
      </c>
      <c r="I103" s="154" t="s">
        <v>6786</v>
      </c>
      <c r="J103" s="154" t="s">
        <v>6787</v>
      </c>
    </row>
    <row r="104" spans="1:10" ht="23.4">
      <c r="A104" s="166"/>
      <c r="B104" s="153"/>
      <c r="C104" s="154" t="s">
        <v>6788</v>
      </c>
      <c r="D104" s="154" t="s">
        <v>6789</v>
      </c>
      <c r="E104" s="154" t="s">
        <v>6790</v>
      </c>
      <c r="F104" s="184" t="s">
        <v>204</v>
      </c>
      <c r="G104" s="154" t="s">
        <v>6774</v>
      </c>
      <c r="H104" s="184" t="s">
        <v>14</v>
      </c>
      <c r="I104" s="154" t="s">
        <v>6791</v>
      </c>
      <c r="J104" s="154" t="s">
        <v>6792</v>
      </c>
    </row>
    <row r="105" spans="1:10" ht="23.4">
      <c r="A105" s="166"/>
      <c r="B105" s="153"/>
      <c r="C105" s="154" t="s">
        <v>6793</v>
      </c>
      <c r="D105" s="154" t="s">
        <v>6794</v>
      </c>
      <c r="E105" s="154" t="s">
        <v>6795</v>
      </c>
      <c r="F105" s="184" t="s">
        <v>204</v>
      </c>
      <c r="G105" s="154" t="s">
        <v>6796</v>
      </c>
      <c r="H105" s="184" t="s">
        <v>14</v>
      </c>
      <c r="I105" s="154" t="s">
        <v>6797</v>
      </c>
      <c r="J105" s="154" t="s">
        <v>6798</v>
      </c>
    </row>
    <row r="106" spans="1:10" ht="23.4">
      <c r="A106" s="166"/>
      <c r="B106" s="153"/>
      <c r="C106" s="154" t="s">
        <v>6799</v>
      </c>
      <c r="D106" s="154" t="s">
        <v>6800</v>
      </c>
      <c r="E106" s="154" t="s">
        <v>6801</v>
      </c>
      <c r="F106" s="184" t="s">
        <v>204</v>
      </c>
      <c r="G106" s="154" t="s">
        <v>6802</v>
      </c>
      <c r="H106" s="184" t="s">
        <v>387</v>
      </c>
      <c r="I106" s="154" t="s">
        <v>6803</v>
      </c>
      <c r="J106" s="154" t="s">
        <v>6804</v>
      </c>
    </row>
    <row r="107" spans="1:10" ht="23.4">
      <c r="A107" s="166"/>
      <c r="B107" s="153" t="s">
        <v>6805</v>
      </c>
      <c r="C107" s="154" t="s">
        <v>6806</v>
      </c>
      <c r="D107" s="154" t="s">
        <v>6807</v>
      </c>
      <c r="E107" s="154" t="s">
        <v>6808</v>
      </c>
      <c r="F107" s="184" t="s">
        <v>204</v>
      </c>
      <c r="G107" s="154" t="s">
        <v>6809</v>
      </c>
      <c r="H107" s="184" t="s">
        <v>14</v>
      </c>
      <c r="I107" s="154" t="s">
        <v>6478</v>
      </c>
      <c r="J107" s="154" t="s">
        <v>6810</v>
      </c>
    </row>
    <row r="108" spans="1:10" ht="23.4">
      <c r="A108" s="166"/>
      <c r="B108" s="153"/>
      <c r="C108" s="154" t="s">
        <v>6811</v>
      </c>
      <c r="D108" s="154" t="s">
        <v>6812</v>
      </c>
      <c r="E108" s="154" t="s">
        <v>6813</v>
      </c>
      <c r="F108" s="184" t="s">
        <v>209</v>
      </c>
      <c r="G108" s="154" t="s">
        <v>6814</v>
      </c>
      <c r="H108" s="184" t="s">
        <v>14</v>
      </c>
      <c r="I108" s="154" t="s">
        <v>6815</v>
      </c>
      <c r="J108" s="154" t="s">
        <v>6816</v>
      </c>
    </row>
    <row r="109" spans="1:10" ht="23.4">
      <c r="A109" s="166"/>
      <c r="B109" s="153"/>
      <c r="C109" s="154" t="s">
        <v>6817</v>
      </c>
      <c r="D109" s="154" t="s">
        <v>6818</v>
      </c>
      <c r="E109" s="154" t="s">
        <v>6819</v>
      </c>
      <c r="F109" s="184" t="s">
        <v>209</v>
      </c>
      <c r="G109" s="154" t="s">
        <v>6820</v>
      </c>
      <c r="H109" s="184" t="s">
        <v>14</v>
      </c>
      <c r="I109" s="154" t="s">
        <v>6544</v>
      </c>
      <c r="J109" s="154" t="s">
        <v>6821</v>
      </c>
    </row>
    <row r="110" spans="1:10" ht="23.4">
      <c r="A110" s="166"/>
      <c r="B110" s="153"/>
      <c r="C110" s="154" t="s">
        <v>6822</v>
      </c>
      <c r="D110" s="154" t="s">
        <v>6823</v>
      </c>
      <c r="E110" s="154" t="s">
        <v>6824</v>
      </c>
      <c r="F110" s="184" t="s">
        <v>242</v>
      </c>
      <c r="G110" s="154" t="s">
        <v>6825</v>
      </c>
      <c r="H110" s="184" t="s">
        <v>387</v>
      </c>
      <c r="I110" s="154" t="s">
        <v>6485</v>
      </c>
      <c r="J110" s="154" t="s">
        <v>6826</v>
      </c>
    </row>
    <row r="111" spans="1:10" ht="23.4">
      <c r="A111" s="166"/>
      <c r="B111" s="153"/>
      <c r="C111" s="154" t="s">
        <v>6827</v>
      </c>
      <c r="D111" s="154" t="s">
        <v>6828</v>
      </c>
      <c r="E111" s="154" t="s">
        <v>6829</v>
      </c>
      <c r="F111" s="184" t="s">
        <v>204</v>
      </c>
      <c r="G111" s="154" t="s">
        <v>6830</v>
      </c>
      <c r="H111" s="184" t="s">
        <v>14</v>
      </c>
      <c r="I111" s="154" t="s">
        <v>6686</v>
      </c>
      <c r="J111" s="154" t="s">
        <v>6831</v>
      </c>
    </row>
    <row r="112" spans="1:10" ht="23.4">
      <c r="A112" s="166"/>
      <c r="B112" s="153" t="s">
        <v>6832</v>
      </c>
      <c r="C112" s="154" t="s">
        <v>6833</v>
      </c>
      <c r="D112" s="154" t="s">
        <v>6834</v>
      </c>
      <c r="E112" s="154" t="s">
        <v>6835</v>
      </c>
      <c r="F112" s="184" t="s">
        <v>209</v>
      </c>
      <c r="G112" s="154" t="s">
        <v>6836</v>
      </c>
      <c r="H112" s="184" t="s">
        <v>14</v>
      </c>
      <c r="I112" s="154" t="s">
        <v>6837</v>
      </c>
      <c r="J112" s="154" t="s">
        <v>6838</v>
      </c>
    </row>
    <row r="113" spans="1:10" ht="23.4">
      <c r="A113" s="166"/>
      <c r="B113" s="153"/>
      <c r="C113" s="154" t="s">
        <v>6839</v>
      </c>
      <c r="D113" s="154" t="s">
        <v>6840</v>
      </c>
      <c r="E113" s="154" t="s">
        <v>6841</v>
      </c>
      <c r="F113" s="184" t="s">
        <v>242</v>
      </c>
      <c r="G113" s="154" t="s">
        <v>6842</v>
      </c>
      <c r="H113" s="184" t="s">
        <v>387</v>
      </c>
      <c r="I113" s="154" t="s">
        <v>6843</v>
      </c>
      <c r="J113" s="154" t="s">
        <v>6844</v>
      </c>
    </row>
    <row r="114" spans="1:10" ht="23.4">
      <c r="A114" s="166"/>
      <c r="B114" s="153"/>
      <c r="C114" s="154" t="s">
        <v>6845</v>
      </c>
      <c r="D114" s="154" t="s">
        <v>6846</v>
      </c>
      <c r="E114" s="154" t="s">
        <v>6847</v>
      </c>
      <c r="F114" s="184" t="s">
        <v>242</v>
      </c>
      <c r="G114" s="154" t="s">
        <v>6848</v>
      </c>
      <c r="H114" s="184" t="s">
        <v>387</v>
      </c>
      <c r="I114" s="154" t="s">
        <v>6551</v>
      </c>
      <c r="J114" s="154" t="s">
        <v>6849</v>
      </c>
    </row>
    <row r="115" spans="1:10" ht="23.4">
      <c r="A115" s="166"/>
      <c r="B115" s="153"/>
      <c r="C115" s="154" t="s">
        <v>6850</v>
      </c>
      <c r="D115" s="154" t="s">
        <v>6851</v>
      </c>
      <c r="E115" s="154" t="s">
        <v>6852</v>
      </c>
      <c r="F115" s="184" t="s">
        <v>204</v>
      </c>
      <c r="G115" s="154" t="s">
        <v>6853</v>
      </c>
      <c r="H115" s="184" t="s">
        <v>14</v>
      </c>
      <c r="I115" s="154" t="s">
        <v>6854</v>
      </c>
      <c r="J115" s="154" t="s">
        <v>6855</v>
      </c>
    </row>
    <row r="116" spans="1:10" ht="23.4">
      <c r="A116" s="166"/>
      <c r="B116" s="153"/>
      <c r="C116" s="154" t="s">
        <v>6856</v>
      </c>
      <c r="D116" s="154" t="s">
        <v>6857</v>
      </c>
      <c r="E116" s="154" t="s">
        <v>6858</v>
      </c>
      <c r="F116" s="184" t="s">
        <v>204</v>
      </c>
      <c r="G116" s="154" t="s">
        <v>6859</v>
      </c>
      <c r="H116" s="184" t="s">
        <v>387</v>
      </c>
      <c r="I116" s="154" t="s">
        <v>6860</v>
      </c>
      <c r="J116" s="154" t="s">
        <v>6861</v>
      </c>
    </row>
    <row r="117" spans="1:10" ht="23.4">
      <c r="A117" s="166"/>
      <c r="B117" s="153" t="s">
        <v>6862</v>
      </c>
      <c r="C117" s="154" t="s">
        <v>6863</v>
      </c>
      <c r="D117" s="154" t="s">
        <v>6864</v>
      </c>
      <c r="E117" s="154" t="s">
        <v>6865</v>
      </c>
      <c r="F117" s="184" t="s">
        <v>204</v>
      </c>
      <c r="G117" s="154" t="s">
        <v>6866</v>
      </c>
      <c r="H117" s="184" t="s">
        <v>387</v>
      </c>
      <c r="I117" s="154" t="s">
        <v>6729</v>
      </c>
      <c r="J117" s="154" t="s">
        <v>6867</v>
      </c>
    </row>
    <row r="118" spans="1:10" ht="23.4">
      <c r="A118" s="166"/>
      <c r="B118" s="153"/>
      <c r="C118" s="154" t="s">
        <v>6868</v>
      </c>
      <c r="D118" s="154" t="s">
        <v>6869</v>
      </c>
      <c r="E118" s="154" t="s">
        <v>6870</v>
      </c>
      <c r="F118" s="184" t="s">
        <v>204</v>
      </c>
      <c r="G118" s="154" t="s">
        <v>6871</v>
      </c>
      <c r="H118" s="184" t="s">
        <v>387</v>
      </c>
      <c r="I118" s="154" t="s">
        <v>6735</v>
      </c>
      <c r="J118" s="154" t="s">
        <v>6872</v>
      </c>
    </row>
    <row r="119" spans="1:10" ht="23.4">
      <c r="A119" s="166"/>
      <c r="B119" s="153"/>
      <c r="C119" s="154" t="s">
        <v>6873</v>
      </c>
      <c r="D119" s="154" t="s">
        <v>6874</v>
      </c>
      <c r="E119" s="154" t="s">
        <v>6875</v>
      </c>
      <c r="F119" s="184" t="s">
        <v>204</v>
      </c>
      <c r="G119" s="154" t="s">
        <v>6876</v>
      </c>
      <c r="H119" s="184" t="s">
        <v>387</v>
      </c>
      <c r="I119" s="154" t="s">
        <v>6877</v>
      </c>
      <c r="J119" s="154" t="s">
        <v>6878</v>
      </c>
    </row>
    <row r="120" spans="1:10" ht="23.4">
      <c r="A120" s="166"/>
      <c r="B120" s="153"/>
      <c r="C120" s="154" t="s">
        <v>6879</v>
      </c>
      <c r="D120" s="154" t="s">
        <v>6880</v>
      </c>
      <c r="E120" s="154" t="s">
        <v>6881</v>
      </c>
      <c r="F120" s="184" t="s">
        <v>204</v>
      </c>
      <c r="G120" s="154" t="s">
        <v>6882</v>
      </c>
      <c r="H120" s="184" t="s">
        <v>14</v>
      </c>
      <c r="I120" s="154" t="s">
        <v>6883</v>
      </c>
      <c r="J120" s="154" t="s">
        <v>6884</v>
      </c>
    </row>
    <row r="121" spans="1:10" ht="23.4">
      <c r="A121" s="166"/>
      <c r="B121" s="153"/>
      <c r="C121" s="154" t="s">
        <v>6885</v>
      </c>
      <c r="D121" s="154" t="s">
        <v>6886</v>
      </c>
      <c r="E121" s="154" t="s">
        <v>6887</v>
      </c>
      <c r="F121" s="184" t="s">
        <v>204</v>
      </c>
      <c r="G121" s="154" t="s">
        <v>6888</v>
      </c>
      <c r="H121" s="184" t="s">
        <v>387</v>
      </c>
      <c r="I121" s="154" t="s">
        <v>6889</v>
      </c>
      <c r="J121" s="154" t="s">
        <v>6890</v>
      </c>
    </row>
    <row r="122" spans="1:10" ht="23.4">
      <c r="A122" s="145" t="s">
        <v>6891</v>
      </c>
      <c r="B122" s="145" t="s">
        <v>6892</v>
      </c>
      <c r="C122" s="146" t="s">
        <v>6893</v>
      </c>
      <c r="D122" s="146" t="s">
        <v>6894</v>
      </c>
      <c r="E122" s="146" t="s">
        <v>6895</v>
      </c>
      <c r="F122" s="174" t="s">
        <v>204</v>
      </c>
      <c r="G122" s="146" t="s">
        <v>6478</v>
      </c>
      <c r="H122" s="174" t="s">
        <v>14</v>
      </c>
      <c r="I122" s="146" t="s">
        <v>6479</v>
      </c>
      <c r="J122" s="146" t="s">
        <v>6896</v>
      </c>
    </row>
    <row r="123" spans="1:10" ht="23.4">
      <c r="A123" s="167"/>
      <c r="B123" s="145"/>
      <c r="C123" s="146" t="s">
        <v>7056</v>
      </c>
      <c r="D123" s="146" t="s">
        <v>6897</v>
      </c>
      <c r="E123" s="146" t="s">
        <v>6898</v>
      </c>
      <c r="F123" s="174" t="s">
        <v>204</v>
      </c>
      <c r="G123" s="146" t="s">
        <v>6899</v>
      </c>
      <c r="H123" s="174" t="s">
        <v>14</v>
      </c>
      <c r="I123" s="146" t="s">
        <v>6633</v>
      </c>
      <c r="J123" s="146" t="s">
        <v>6900</v>
      </c>
    </row>
    <row r="124" spans="1:10" ht="23.4">
      <c r="A124" s="167"/>
      <c r="B124" s="145"/>
      <c r="C124" s="146" t="s">
        <v>7057</v>
      </c>
      <c r="D124" s="146" t="s">
        <v>6901</v>
      </c>
      <c r="E124" s="146" t="s">
        <v>6902</v>
      </c>
      <c r="F124" s="174" t="s">
        <v>204</v>
      </c>
      <c r="G124" s="146" t="s">
        <v>6903</v>
      </c>
      <c r="H124" s="174" t="s">
        <v>387</v>
      </c>
      <c r="I124" s="146" t="s">
        <v>6904</v>
      </c>
      <c r="J124" s="146" t="s">
        <v>6905</v>
      </c>
    </row>
    <row r="125" spans="1:10" ht="23.4">
      <c r="A125" s="167"/>
      <c r="B125" s="145"/>
      <c r="C125" s="146" t="s">
        <v>7058</v>
      </c>
      <c r="D125" s="146" t="s">
        <v>6906</v>
      </c>
      <c r="E125" s="146" t="s">
        <v>6907</v>
      </c>
      <c r="F125" s="174" t="s">
        <v>204</v>
      </c>
      <c r="G125" s="146" t="s">
        <v>6908</v>
      </c>
      <c r="H125" s="174" t="s">
        <v>14</v>
      </c>
      <c r="I125" s="146" t="s">
        <v>6909</v>
      </c>
      <c r="J125" s="146" t="s">
        <v>6910</v>
      </c>
    </row>
    <row r="126" spans="1:10" ht="23.4">
      <c r="A126" s="167"/>
      <c r="B126" s="145"/>
      <c r="C126" s="146" t="s">
        <v>7059</v>
      </c>
      <c r="D126" s="146" t="s">
        <v>6911</v>
      </c>
      <c r="E126" s="146" t="s">
        <v>6912</v>
      </c>
      <c r="F126" s="174" t="s">
        <v>204</v>
      </c>
      <c r="G126" s="146" t="s">
        <v>6913</v>
      </c>
      <c r="H126" s="174" t="s">
        <v>14</v>
      </c>
      <c r="I126" s="146" t="s">
        <v>6914</v>
      </c>
      <c r="J126" s="146" t="s">
        <v>6915</v>
      </c>
    </row>
    <row r="127" spans="1:10" ht="23.4">
      <c r="A127" s="167"/>
      <c r="B127" s="145" t="s">
        <v>6916</v>
      </c>
      <c r="C127" s="146" t="s">
        <v>7060</v>
      </c>
      <c r="D127" s="146" t="s">
        <v>6917</v>
      </c>
      <c r="E127" s="146" t="s">
        <v>6918</v>
      </c>
      <c r="F127" s="174" t="s">
        <v>204</v>
      </c>
      <c r="G127" s="146" t="s">
        <v>6919</v>
      </c>
      <c r="H127" s="174" t="s">
        <v>14</v>
      </c>
      <c r="I127" s="146" t="s">
        <v>6920</v>
      </c>
      <c r="J127" s="146" t="s">
        <v>6921</v>
      </c>
    </row>
    <row r="128" spans="1:10" ht="23.4">
      <c r="A128" s="167"/>
      <c r="B128" s="145"/>
      <c r="C128" s="146" t="s">
        <v>7061</v>
      </c>
      <c r="D128" s="146" t="s">
        <v>6922</v>
      </c>
      <c r="E128" s="146" t="s">
        <v>6923</v>
      </c>
      <c r="F128" s="174" t="s">
        <v>204</v>
      </c>
      <c r="G128" s="146" t="s">
        <v>6924</v>
      </c>
      <c r="H128" s="174" t="s">
        <v>14</v>
      </c>
      <c r="I128" s="146" t="s">
        <v>6925</v>
      </c>
      <c r="J128" s="146" t="s">
        <v>6926</v>
      </c>
    </row>
    <row r="129" spans="1:10" ht="23.4">
      <c r="A129" s="167"/>
      <c r="B129" s="145"/>
      <c r="C129" s="146" t="s">
        <v>7062</v>
      </c>
      <c r="D129" s="146" t="s">
        <v>6927</v>
      </c>
      <c r="E129" s="146" t="s">
        <v>6928</v>
      </c>
      <c r="F129" s="174" t="s">
        <v>204</v>
      </c>
      <c r="G129" s="146" t="s">
        <v>6929</v>
      </c>
      <c r="H129" s="174" t="s">
        <v>387</v>
      </c>
      <c r="I129" s="146" t="s">
        <v>6509</v>
      </c>
      <c r="J129" s="146" t="s">
        <v>6930</v>
      </c>
    </row>
    <row r="130" spans="1:10" ht="23.4">
      <c r="A130" s="167"/>
      <c r="B130" s="145"/>
      <c r="C130" s="146" t="s">
        <v>7063</v>
      </c>
      <c r="D130" s="146" t="s">
        <v>6931</v>
      </c>
      <c r="E130" s="146" t="s">
        <v>6932</v>
      </c>
      <c r="F130" s="174" t="s">
        <v>204</v>
      </c>
      <c r="G130" s="146" t="s">
        <v>6453</v>
      </c>
      <c r="H130" s="174" t="s">
        <v>14</v>
      </c>
      <c r="I130" s="146" t="s">
        <v>6478</v>
      </c>
      <c r="J130" s="146" t="s">
        <v>6933</v>
      </c>
    </row>
    <row r="131" spans="1:10" ht="23.4">
      <c r="A131" s="167"/>
      <c r="B131" s="145"/>
      <c r="C131" s="146" t="s">
        <v>7064</v>
      </c>
      <c r="D131" s="146" t="s">
        <v>6934</v>
      </c>
      <c r="E131" s="146" t="s">
        <v>6935</v>
      </c>
      <c r="F131" s="174" t="s">
        <v>204</v>
      </c>
      <c r="G131" s="146" t="s">
        <v>6586</v>
      </c>
      <c r="H131" s="174" t="s">
        <v>387</v>
      </c>
      <c r="I131" s="146" t="s">
        <v>6735</v>
      </c>
      <c r="J131" s="146" t="s">
        <v>6936</v>
      </c>
    </row>
    <row r="132" spans="1:10" ht="23.4">
      <c r="A132" s="167"/>
      <c r="B132" s="145" t="s">
        <v>178</v>
      </c>
      <c r="C132" s="146" t="s">
        <v>7065</v>
      </c>
      <c r="D132" s="146" t="s">
        <v>6937</v>
      </c>
      <c r="E132" s="146" t="s">
        <v>6938</v>
      </c>
      <c r="F132" s="174" t="s">
        <v>204</v>
      </c>
      <c r="G132" s="146" t="s">
        <v>6939</v>
      </c>
      <c r="H132" s="174" t="s">
        <v>14</v>
      </c>
      <c r="I132" s="146" t="s">
        <v>6940</v>
      </c>
      <c r="J132" s="146" t="s">
        <v>6941</v>
      </c>
    </row>
    <row r="133" spans="1:10" ht="23.4">
      <c r="A133" s="167"/>
      <c r="B133" s="145"/>
      <c r="C133" s="146" t="s">
        <v>7066</v>
      </c>
      <c r="D133" s="146" t="s">
        <v>6942</v>
      </c>
      <c r="E133" s="146" t="s">
        <v>6489</v>
      </c>
      <c r="F133" s="174" t="s">
        <v>242</v>
      </c>
      <c r="G133" s="146" t="s">
        <v>6943</v>
      </c>
      <c r="H133" s="174" t="s">
        <v>14</v>
      </c>
      <c r="I133" s="146" t="s">
        <v>6944</v>
      </c>
      <c r="J133" s="146" t="s">
        <v>6945</v>
      </c>
    </row>
    <row r="134" spans="1:10" ht="23.4">
      <c r="A134" s="167"/>
      <c r="B134" s="145"/>
      <c r="C134" s="146" t="s">
        <v>7067</v>
      </c>
      <c r="D134" s="146" t="s">
        <v>6946</v>
      </c>
      <c r="E134" s="146" t="s">
        <v>6947</v>
      </c>
      <c r="F134" s="174" t="s">
        <v>204</v>
      </c>
      <c r="G134" s="146" t="s">
        <v>6948</v>
      </c>
      <c r="H134" s="174" t="s">
        <v>14</v>
      </c>
      <c r="I134" s="146" t="s">
        <v>6949</v>
      </c>
      <c r="J134" s="146" t="s">
        <v>6950</v>
      </c>
    </row>
    <row r="135" spans="1:10" ht="23.4">
      <c r="A135" s="167"/>
      <c r="B135" s="145"/>
      <c r="C135" s="146" t="s">
        <v>7068</v>
      </c>
      <c r="D135" s="146" t="s">
        <v>6951</v>
      </c>
      <c r="E135" s="146" t="s">
        <v>6952</v>
      </c>
      <c r="F135" s="174" t="s">
        <v>204</v>
      </c>
      <c r="G135" s="146" t="s">
        <v>6953</v>
      </c>
      <c r="H135" s="174" t="s">
        <v>387</v>
      </c>
      <c r="I135" s="146" t="s">
        <v>6954</v>
      </c>
      <c r="J135" s="146" t="s">
        <v>6955</v>
      </c>
    </row>
    <row r="136" spans="1:10" ht="23.4">
      <c r="A136" s="167"/>
      <c r="B136" s="145"/>
      <c r="C136" s="146" t="s">
        <v>7069</v>
      </c>
      <c r="D136" s="146" t="s">
        <v>6956</v>
      </c>
      <c r="E136" s="146" t="s">
        <v>6957</v>
      </c>
      <c r="F136" s="174" t="s">
        <v>204</v>
      </c>
      <c r="G136" s="146" t="s">
        <v>6958</v>
      </c>
      <c r="H136" s="174" t="s">
        <v>14</v>
      </c>
      <c r="I136" s="146" t="s">
        <v>6710</v>
      </c>
      <c r="J136" s="146" t="s">
        <v>6959</v>
      </c>
    </row>
    <row r="137" spans="1:10" ht="23.4">
      <c r="A137" s="167"/>
      <c r="B137" s="145" t="s">
        <v>6960</v>
      </c>
      <c r="C137" s="146" t="s">
        <v>7070</v>
      </c>
      <c r="D137" s="146" t="s">
        <v>6961</v>
      </c>
      <c r="E137" s="146" t="s">
        <v>6962</v>
      </c>
      <c r="F137" s="174" t="s">
        <v>209</v>
      </c>
      <c r="G137" s="146" t="s">
        <v>6963</v>
      </c>
      <c r="H137" s="174" t="s">
        <v>387</v>
      </c>
      <c r="I137" s="146" t="s">
        <v>6909</v>
      </c>
      <c r="J137" s="146" t="s">
        <v>6964</v>
      </c>
    </row>
    <row r="138" spans="1:10" ht="23.4">
      <c r="A138" s="167"/>
      <c r="B138" s="145"/>
      <c r="C138" s="146" t="s">
        <v>7071</v>
      </c>
      <c r="D138" s="146" t="s">
        <v>6965</v>
      </c>
      <c r="E138" s="146" t="s">
        <v>6966</v>
      </c>
      <c r="F138" s="174" t="s">
        <v>204</v>
      </c>
      <c r="G138" s="146" t="s">
        <v>6967</v>
      </c>
      <c r="H138" s="174" t="s">
        <v>14</v>
      </c>
      <c r="I138" s="146" t="s">
        <v>6843</v>
      </c>
      <c r="J138" s="146" t="s">
        <v>6968</v>
      </c>
    </row>
    <row r="139" spans="1:10" ht="23.4">
      <c r="A139" s="167"/>
      <c r="B139" s="145"/>
      <c r="C139" s="146" t="s">
        <v>7072</v>
      </c>
      <c r="D139" s="146" t="s">
        <v>6969</v>
      </c>
      <c r="E139" s="146" t="s">
        <v>6970</v>
      </c>
      <c r="F139" s="174" t="s">
        <v>204</v>
      </c>
      <c r="G139" s="146" t="s">
        <v>6971</v>
      </c>
      <c r="H139" s="174" t="s">
        <v>14</v>
      </c>
      <c r="I139" s="146" t="s">
        <v>6972</v>
      </c>
      <c r="J139" s="146" t="s">
        <v>6973</v>
      </c>
    </row>
    <row r="140" spans="1:10" ht="23.4">
      <c r="A140" s="167"/>
      <c r="B140" s="145"/>
      <c r="C140" s="146" t="s">
        <v>7073</v>
      </c>
      <c r="D140" s="146" t="s">
        <v>6974</v>
      </c>
      <c r="E140" s="146" t="s">
        <v>6975</v>
      </c>
      <c r="F140" s="174" t="s">
        <v>204</v>
      </c>
      <c r="G140" s="146" t="s">
        <v>6976</v>
      </c>
      <c r="H140" s="174" t="s">
        <v>387</v>
      </c>
      <c r="I140" s="146" t="s">
        <v>6977</v>
      </c>
      <c r="J140" s="146" t="s">
        <v>6978</v>
      </c>
    </row>
    <row r="141" spans="1:10" ht="23.4">
      <c r="A141" s="167"/>
      <c r="B141" s="145"/>
      <c r="C141" s="146" t="s">
        <v>7074</v>
      </c>
      <c r="D141" s="146" t="s">
        <v>6979</v>
      </c>
      <c r="E141" s="146" t="s">
        <v>6543</v>
      </c>
      <c r="F141" s="174" t="s">
        <v>209</v>
      </c>
      <c r="G141" s="146" t="s">
        <v>6980</v>
      </c>
      <c r="H141" s="174" t="s">
        <v>14</v>
      </c>
      <c r="I141" s="146" t="s">
        <v>6544</v>
      </c>
      <c r="J141" s="146" t="s">
        <v>6981</v>
      </c>
    </row>
    <row r="142" spans="1:10" ht="23.4">
      <c r="A142" s="167"/>
      <c r="B142" s="145" t="s">
        <v>6982</v>
      </c>
      <c r="C142" s="146" t="s">
        <v>7075</v>
      </c>
      <c r="D142" s="146" t="s">
        <v>6983</v>
      </c>
      <c r="E142" s="146" t="s">
        <v>6984</v>
      </c>
      <c r="F142" s="174" t="s">
        <v>209</v>
      </c>
      <c r="G142" s="146" t="s">
        <v>6985</v>
      </c>
      <c r="H142" s="174" t="s">
        <v>14</v>
      </c>
      <c r="I142" s="146" t="s">
        <v>6986</v>
      </c>
      <c r="J142" s="146" t="s">
        <v>6987</v>
      </c>
    </row>
    <row r="143" spans="1:10" ht="23.4">
      <c r="A143" s="167"/>
      <c r="B143" s="145"/>
      <c r="C143" s="146" t="s">
        <v>7076</v>
      </c>
      <c r="D143" s="146" t="s">
        <v>6988</v>
      </c>
      <c r="E143" s="146" t="s">
        <v>6989</v>
      </c>
      <c r="F143" s="174" t="s">
        <v>209</v>
      </c>
      <c r="G143" s="146" t="s">
        <v>6990</v>
      </c>
      <c r="H143" s="174" t="s">
        <v>14</v>
      </c>
      <c r="I143" s="146" t="s">
        <v>6991</v>
      </c>
      <c r="J143" s="146" t="s">
        <v>6992</v>
      </c>
    </row>
    <row r="144" spans="1:10" ht="23.4">
      <c r="A144" s="167"/>
      <c r="B144" s="145"/>
      <c r="C144" s="146" t="s">
        <v>7077</v>
      </c>
      <c r="D144" s="146" t="s">
        <v>6993</v>
      </c>
      <c r="E144" s="146" t="s">
        <v>6994</v>
      </c>
      <c r="F144" s="174" t="s">
        <v>209</v>
      </c>
      <c r="G144" s="146" t="s">
        <v>6753</v>
      </c>
      <c r="H144" s="174" t="s">
        <v>387</v>
      </c>
      <c r="I144" s="146" t="s">
        <v>6995</v>
      </c>
      <c r="J144" s="146" t="s">
        <v>6996</v>
      </c>
    </row>
    <row r="145" spans="1:10" ht="23.4">
      <c r="A145" s="167"/>
      <c r="B145" s="145"/>
      <c r="C145" s="146" t="s">
        <v>7078</v>
      </c>
      <c r="D145" s="146" t="s">
        <v>6997</v>
      </c>
      <c r="E145" s="146" t="s">
        <v>6998</v>
      </c>
      <c r="F145" s="174" t="s">
        <v>242</v>
      </c>
      <c r="G145" s="146" t="s">
        <v>6999</v>
      </c>
      <c r="H145" s="174" t="s">
        <v>387</v>
      </c>
      <c r="I145" s="146" t="s">
        <v>7000</v>
      </c>
      <c r="J145" s="146" t="s">
        <v>7001</v>
      </c>
    </row>
    <row r="146" spans="1:10" ht="23.4">
      <c r="A146" s="167"/>
      <c r="B146" s="145"/>
      <c r="C146" s="146" t="s">
        <v>7079</v>
      </c>
      <c r="D146" s="146" t="s">
        <v>7002</v>
      </c>
      <c r="E146" s="146" t="s">
        <v>7003</v>
      </c>
      <c r="F146" s="174" t="s">
        <v>209</v>
      </c>
      <c r="G146" s="146" t="s">
        <v>7004</v>
      </c>
      <c r="H146" s="174" t="s">
        <v>14</v>
      </c>
      <c r="I146" s="146" t="s">
        <v>7005</v>
      </c>
      <c r="J146" s="146" t="s">
        <v>7006</v>
      </c>
    </row>
    <row r="147" spans="1:10" ht="23.4">
      <c r="A147" s="167"/>
      <c r="B147" s="145" t="s">
        <v>179</v>
      </c>
      <c r="C147" s="146" t="s">
        <v>7080</v>
      </c>
      <c r="D147" s="146" t="s">
        <v>7007</v>
      </c>
      <c r="E147" s="146" t="s">
        <v>7008</v>
      </c>
      <c r="F147" s="174" t="s">
        <v>209</v>
      </c>
      <c r="G147" s="146" t="s">
        <v>6639</v>
      </c>
      <c r="H147" s="174" t="s">
        <v>14</v>
      </c>
      <c r="I147" s="146" t="s">
        <v>7009</v>
      </c>
      <c r="J147" s="146" t="s">
        <v>7010</v>
      </c>
    </row>
    <row r="148" spans="1:10" ht="23.4">
      <c r="A148" s="167"/>
      <c r="B148" s="145"/>
      <c r="C148" s="146" t="s">
        <v>7081</v>
      </c>
      <c r="D148" s="146" t="s">
        <v>7011</v>
      </c>
      <c r="E148" s="146" t="s">
        <v>7012</v>
      </c>
      <c r="F148" s="174" t="s">
        <v>204</v>
      </c>
      <c r="G148" s="146" t="s">
        <v>7013</v>
      </c>
      <c r="H148" s="174" t="s">
        <v>387</v>
      </c>
      <c r="I148" s="146" t="s">
        <v>7014</v>
      </c>
      <c r="J148" s="146" t="s">
        <v>7015</v>
      </c>
    </row>
    <row r="149" spans="1:10" ht="23.4">
      <c r="A149" s="167"/>
      <c r="B149" s="145"/>
      <c r="C149" s="146" t="s">
        <v>7082</v>
      </c>
      <c r="D149" s="146" t="s">
        <v>7016</v>
      </c>
      <c r="E149" s="146" t="s">
        <v>7017</v>
      </c>
      <c r="F149" s="174" t="s">
        <v>209</v>
      </c>
      <c r="G149" s="146" t="s">
        <v>7018</v>
      </c>
      <c r="H149" s="174" t="s">
        <v>387</v>
      </c>
      <c r="I149" s="146" t="s">
        <v>6478</v>
      </c>
      <c r="J149" s="146" t="s">
        <v>7019</v>
      </c>
    </row>
    <row r="150" spans="1:10" ht="23.4">
      <c r="A150" s="167"/>
      <c r="B150" s="145"/>
      <c r="C150" s="146" t="s">
        <v>7083</v>
      </c>
      <c r="D150" s="146" t="s">
        <v>7020</v>
      </c>
      <c r="E150" s="146" t="s">
        <v>7021</v>
      </c>
      <c r="F150" s="174" t="s">
        <v>204</v>
      </c>
      <c r="G150" s="146" t="s">
        <v>7022</v>
      </c>
      <c r="H150" s="174" t="s">
        <v>14</v>
      </c>
      <c r="I150" s="146" t="s">
        <v>6539</v>
      </c>
      <c r="J150" s="146" t="s">
        <v>7023</v>
      </c>
    </row>
    <row r="151" spans="1:10" ht="23.4">
      <c r="A151" s="167"/>
      <c r="B151" s="145"/>
      <c r="C151" s="146" t="s">
        <v>7084</v>
      </c>
      <c r="D151" s="146" t="s">
        <v>7024</v>
      </c>
      <c r="E151" s="146" t="s">
        <v>7025</v>
      </c>
      <c r="F151" s="174" t="s">
        <v>204</v>
      </c>
      <c r="G151" s="146" t="s">
        <v>7026</v>
      </c>
      <c r="H151" s="174" t="s">
        <v>387</v>
      </c>
      <c r="I151" s="146" t="s">
        <v>6478</v>
      </c>
      <c r="J151" s="146" t="s">
        <v>7027</v>
      </c>
    </row>
    <row r="152" spans="1:10" ht="23.4">
      <c r="A152" s="167"/>
      <c r="B152" s="145" t="s">
        <v>180</v>
      </c>
      <c r="C152" s="146" t="s">
        <v>7028</v>
      </c>
      <c r="D152" s="146" t="s">
        <v>7029</v>
      </c>
      <c r="E152" s="146" t="s">
        <v>7030</v>
      </c>
      <c r="F152" s="174" t="s">
        <v>204</v>
      </c>
      <c r="G152" s="146" t="s">
        <v>7031</v>
      </c>
      <c r="H152" s="174" t="s">
        <v>387</v>
      </c>
      <c r="I152" s="146" t="s">
        <v>6909</v>
      </c>
      <c r="J152" s="146" t="s">
        <v>7032</v>
      </c>
    </row>
    <row r="153" spans="1:10" ht="23.4">
      <c r="A153" s="167"/>
      <c r="B153" s="145"/>
      <c r="C153" s="146" t="s">
        <v>7033</v>
      </c>
      <c r="D153" s="146" t="s">
        <v>7034</v>
      </c>
      <c r="E153" s="146" t="s">
        <v>7035</v>
      </c>
      <c r="F153" s="174" t="s">
        <v>242</v>
      </c>
      <c r="G153" s="146" t="s">
        <v>7036</v>
      </c>
      <c r="H153" s="174" t="s">
        <v>387</v>
      </c>
      <c r="I153" s="146" t="s">
        <v>7037</v>
      </c>
      <c r="J153" s="146" t="s">
        <v>7038</v>
      </c>
    </row>
    <row r="154" spans="1:10" ht="23.4">
      <c r="A154" s="167"/>
      <c r="B154" s="145"/>
      <c r="C154" s="146" t="s">
        <v>7039</v>
      </c>
      <c r="D154" s="146" t="s">
        <v>7040</v>
      </c>
      <c r="E154" s="146" t="s">
        <v>7041</v>
      </c>
      <c r="F154" s="174" t="s">
        <v>204</v>
      </c>
      <c r="G154" s="146" t="s">
        <v>7042</v>
      </c>
      <c r="H154" s="174" t="s">
        <v>387</v>
      </c>
      <c r="I154" s="146" t="s">
        <v>7043</v>
      </c>
      <c r="J154" s="146" t="s">
        <v>7044</v>
      </c>
    </row>
    <row r="155" spans="1:10" ht="23.4">
      <c r="A155" s="167"/>
      <c r="B155" s="145"/>
      <c r="C155" s="146" t="s">
        <v>7045</v>
      </c>
      <c r="D155" s="146" t="s">
        <v>7046</v>
      </c>
      <c r="E155" s="146" t="s">
        <v>7047</v>
      </c>
      <c r="F155" s="174" t="s">
        <v>209</v>
      </c>
      <c r="G155" s="146" t="s">
        <v>7048</v>
      </c>
      <c r="H155" s="174" t="s">
        <v>14</v>
      </c>
      <c r="I155" s="146" t="s">
        <v>7049</v>
      </c>
      <c r="J155" s="146" t="s">
        <v>7050</v>
      </c>
    </row>
    <row r="156" spans="1:10" ht="23.4">
      <c r="A156" s="167"/>
      <c r="B156" s="145"/>
      <c r="C156" s="146" t="s">
        <v>7051</v>
      </c>
      <c r="D156" s="146" t="s">
        <v>7052</v>
      </c>
      <c r="E156" s="146" t="s">
        <v>7053</v>
      </c>
      <c r="F156" s="174" t="s">
        <v>242</v>
      </c>
      <c r="G156" s="146" t="s">
        <v>7054</v>
      </c>
      <c r="H156" s="174" t="s">
        <v>387</v>
      </c>
      <c r="I156" s="146" t="s">
        <v>6478</v>
      </c>
      <c r="J156" s="146" t="s">
        <v>7055</v>
      </c>
    </row>
    <row r="157" spans="1:10">
      <c r="C157"/>
    </row>
    <row r="158" spans="1:10">
      <c r="C158"/>
    </row>
    <row r="159" spans="1:10">
      <c r="C159"/>
    </row>
    <row r="160" spans="1:10">
      <c r="C160"/>
    </row>
    <row r="161" spans="3:3">
      <c r="C161"/>
    </row>
    <row r="162" spans="3:3">
      <c r="C162"/>
    </row>
    <row r="163" spans="3:3">
      <c r="C163"/>
    </row>
    <row r="164" spans="3:3">
      <c r="C164"/>
    </row>
    <row r="165" spans="3:3">
      <c r="C165"/>
    </row>
    <row r="166" spans="3:3">
      <c r="C166"/>
    </row>
    <row r="167" spans="3:3">
      <c r="C167"/>
    </row>
    <row r="168" spans="3:3">
      <c r="C168"/>
    </row>
    <row r="169" spans="3:3">
      <c r="C169"/>
    </row>
    <row r="170" spans="3:3">
      <c r="C170"/>
    </row>
    <row r="171" spans="3:3">
      <c r="C171"/>
    </row>
    <row r="172" spans="3:3">
      <c r="C172"/>
    </row>
    <row r="173" spans="3:3">
      <c r="C173"/>
    </row>
    <row r="174" spans="3:3">
      <c r="C174"/>
    </row>
    <row r="175" spans="3:3">
      <c r="C175"/>
    </row>
    <row r="176" spans="3:3">
      <c r="C176"/>
    </row>
    <row r="177" spans="3:3">
      <c r="C177"/>
    </row>
    <row r="178" spans="3:3">
      <c r="C178"/>
    </row>
    <row r="179" spans="3:3">
      <c r="C179"/>
    </row>
    <row r="180" spans="3:3">
      <c r="C180"/>
    </row>
    <row r="181" spans="3:3">
      <c r="C181"/>
    </row>
    <row r="182" spans="3:3">
      <c r="C182"/>
    </row>
    <row r="183" spans="3:3">
      <c r="C183"/>
    </row>
    <row r="184" spans="3:3">
      <c r="C184"/>
    </row>
    <row r="185" spans="3:3">
      <c r="C185"/>
    </row>
    <row r="186" spans="3:3">
      <c r="C186"/>
    </row>
    <row r="187" spans="3:3">
      <c r="C187"/>
    </row>
    <row r="188" spans="3:3">
      <c r="C188"/>
    </row>
    <row r="189" spans="3:3">
      <c r="C189"/>
    </row>
    <row r="190" spans="3:3">
      <c r="C190"/>
    </row>
    <row r="191" spans="3:3">
      <c r="C191"/>
    </row>
    <row r="192" spans="3:3">
      <c r="C192"/>
    </row>
    <row r="193" spans="3:3">
      <c r="C193"/>
    </row>
    <row r="194" spans="3:3">
      <c r="C194"/>
    </row>
    <row r="195" spans="3:3">
      <c r="C195"/>
    </row>
    <row r="196" spans="3:3">
      <c r="C196"/>
    </row>
    <row r="197" spans="3:3" ht="14.55" customHeight="1">
      <c r="C197"/>
    </row>
    <row r="198" spans="3:3">
      <c r="C198"/>
    </row>
    <row r="199" spans="3:3">
      <c r="C199"/>
    </row>
    <row r="200" spans="3:3">
      <c r="C200"/>
    </row>
    <row r="201" spans="3:3">
      <c r="C201"/>
    </row>
    <row r="202" spans="3:3">
      <c r="C202"/>
    </row>
    <row r="203" spans="3:3">
      <c r="C203"/>
    </row>
    <row r="204" spans="3:3">
      <c r="C204"/>
    </row>
    <row r="205" spans="3:3">
      <c r="C205"/>
    </row>
    <row r="206" spans="3:3">
      <c r="C206"/>
    </row>
    <row r="207" spans="3:3">
      <c r="C207"/>
    </row>
    <row r="208" spans="3:3">
      <c r="C208"/>
    </row>
    <row r="209" spans="3:3">
      <c r="C209"/>
    </row>
    <row r="210" spans="3:3">
      <c r="C210"/>
    </row>
    <row r="211" spans="3:3">
      <c r="C211"/>
    </row>
    <row r="212" spans="3:3">
      <c r="C212"/>
    </row>
    <row r="213" spans="3:3">
      <c r="C213"/>
    </row>
    <row r="214" spans="3:3">
      <c r="C214"/>
    </row>
    <row r="215" spans="3:3">
      <c r="C215"/>
    </row>
    <row r="216" spans="3:3">
      <c r="C216"/>
    </row>
    <row r="217" spans="3:3">
      <c r="C217"/>
    </row>
    <row r="218" spans="3:3">
      <c r="C218"/>
    </row>
    <row r="219" spans="3:3">
      <c r="C219"/>
    </row>
    <row r="220" spans="3:3">
      <c r="C220"/>
    </row>
    <row r="221" spans="3:3">
      <c r="C221"/>
    </row>
    <row r="222" spans="3:3">
      <c r="C222"/>
    </row>
    <row r="223" spans="3:3">
      <c r="C223"/>
    </row>
    <row r="224" spans="3:3">
      <c r="C224"/>
    </row>
    <row r="225" spans="3:3">
      <c r="C225"/>
    </row>
    <row r="226" spans="3:3">
      <c r="C226"/>
    </row>
    <row r="227" spans="3:3">
      <c r="C227"/>
    </row>
    <row r="228" spans="3:3">
      <c r="C228"/>
    </row>
    <row r="229" spans="3:3">
      <c r="C229"/>
    </row>
    <row r="230" spans="3:3">
      <c r="C230"/>
    </row>
    <row r="231" spans="3:3" s="5" customFormat="1"/>
    <row r="232" spans="3:3" s="5" customFormat="1">
      <c r="C232" s="168"/>
    </row>
  </sheetData>
  <mergeCells count="35">
    <mergeCell ref="A122:A156"/>
    <mergeCell ref="B122:B126"/>
    <mergeCell ref="B127:B131"/>
    <mergeCell ref="B132:B136"/>
    <mergeCell ref="B137:B141"/>
    <mergeCell ref="B142:B146"/>
    <mergeCell ref="B147:B151"/>
    <mergeCell ref="B152:B156"/>
    <mergeCell ref="B62:B66"/>
    <mergeCell ref="B67:B71"/>
    <mergeCell ref="B72:B76"/>
    <mergeCell ref="B77:B81"/>
    <mergeCell ref="A82:A121"/>
    <mergeCell ref="B82:B86"/>
    <mergeCell ref="B87:B91"/>
    <mergeCell ref="B92:B96"/>
    <mergeCell ref="B97:B101"/>
    <mergeCell ref="B102:B106"/>
    <mergeCell ref="B107:B111"/>
    <mergeCell ref="B112:B116"/>
    <mergeCell ref="B117:B121"/>
    <mergeCell ref="A2:A41"/>
    <mergeCell ref="B2:B6"/>
    <mergeCell ref="B7:B11"/>
    <mergeCell ref="B12:B16"/>
    <mergeCell ref="B17:B21"/>
    <mergeCell ref="B22:B26"/>
    <mergeCell ref="B27:B31"/>
    <mergeCell ref="B32:B36"/>
    <mergeCell ref="B37:B41"/>
    <mergeCell ref="A42:A81"/>
    <mergeCell ref="B42:B46"/>
    <mergeCell ref="B47:B51"/>
    <mergeCell ref="B52:B56"/>
    <mergeCell ref="B57:B61"/>
  </mergeCells>
  <conditionalFormatting sqref="H2:H25">
    <cfRule type="containsText" dxfId="210" priority="49" operator="containsText" text="Faible">
      <formula>NOT(ISERROR(SEARCH("Faible",H2)))</formula>
    </cfRule>
    <cfRule type="containsText" dxfId="209" priority="50" operator="containsText" text="Elevée">
      <formula>NOT(ISERROR(SEARCH("Elevée",H2)))</formula>
    </cfRule>
    <cfRule type="containsText" dxfId="208" priority="51" operator="containsText" text="Moyenne">
      <formula>NOT(ISERROR(SEARCH("Moyenne",H2)))</formula>
    </cfRule>
  </conditionalFormatting>
  <conditionalFormatting sqref="H26:H40">
    <cfRule type="containsText" dxfId="207" priority="46" operator="containsText" text="Faible">
      <formula>NOT(ISERROR(SEARCH("Faible",H26)))</formula>
    </cfRule>
    <cfRule type="containsText" dxfId="206" priority="47" operator="containsText" text="Elevée">
      <formula>NOT(ISERROR(SEARCH("Elevée",H26)))</formula>
    </cfRule>
    <cfRule type="containsText" dxfId="205" priority="48" operator="containsText" text="Moyenne">
      <formula>NOT(ISERROR(SEARCH("Moyenne",H26)))</formula>
    </cfRule>
  </conditionalFormatting>
  <conditionalFormatting sqref="H41:H49">
    <cfRule type="containsText" dxfId="204" priority="43" operator="containsText" text="Faible">
      <formula>NOT(ISERROR(SEARCH("Faible",H41)))</formula>
    </cfRule>
    <cfRule type="containsText" dxfId="203" priority="44" operator="containsText" text="Elevée">
      <formula>NOT(ISERROR(SEARCH("Elevée",H41)))</formula>
    </cfRule>
    <cfRule type="containsText" dxfId="202" priority="45" operator="containsText" text="Moyenne">
      <formula>NOT(ISERROR(SEARCH("Moyenne",H41)))</formula>
    </cfRule>
  </conditionalFormatting>
  <conditionalFormatting sqref="H50:H54">
    <cfRule type="containsText" dxfId="201" priority="40" operator="containsText" text="Faible">
      <formula>NOT(ISERROR(SEARCH("Faible",H50)))</formula>
    </cfRule>
    <cfRule type="containsText" dxfId="200" priority="41" operator="containsText" text="Elevée">
      <formula>NOT(ISERROR(SEARCH("Elevée",H50)))</formula>
    </cfRule>
    <cfRule type="containsText" dxfId="199" priority="42" operator="containsText" text="Moyenne">
      <formula>NOT(ISERROR(SEARCH("Moyenne",H50)))</formula>
    </cfRule>
  </conditionalFormatting>
  <conditionalFormatting sqref="H55:H61">
    <cfRule type="containsText" dxfId="198" priority="37" operator="containsText" text="Faible">
      <formula>NOT(ISERROR(SEARCH("Faible",H55)))</formula>
    </cfRule>
    <cfRule type="containsText" dxfId="197" priority="38" operator="containsText" text="Elevée">
      <formula>NOT(ISERROR(SEARCH("Elevée",H55)))</formula>
    </cfRule>
    <cfRule type="containsText" dxfId="196" priority="39" operator="containsText" text="Moyenne">
      <formula>NOT(ISERROR(SEARCH("Moyenne",H55)))</formula>
    </cfRule>
  </conditionalFormatting>
  <conditionalFormatting sqref="H62:H70">
    <cfRule type="containsText" dxfId="195" priority="34" operator="containsText" text="Faible">
      <formula>NOT(ISERROR(SEARCH("Faible",H62)))</formula>
    </cfRule>
    <cfRule type="containsText" dxfId="194" priority="35" operator="containsText" text="Elevée">
      <formula>NOT(ISERROR(SEARCH("Elevée",H62)))</formula>
    </cfRule>
    <cfRule type="containsText" dxfId="193" priority="36" operator="containsText" text="Moyenne">
      <formula>NOT(ISERROR(SEARCH("Moyenne",H62)))</formula>
    </cfRule>
  </conditionalFormatting>
  <conditionalFormatting sqref="H71:H92">
    <cfRule type="containsText" dxfId="192" priority="31" operator="containsText" text="Faible">
      <formula>NOT(ISERROR(SEARCH("Faible",H71)))</formula>
    </cfRule>
    <cfRule type="containsText" dxfId="191" priority="32" operator="containsText" text="Elevée">
      <formula>NOT(ISERROR(SEARCH("Elevée",H71)))</formula>
    </cfRule>
    <cfRule type="containsText" dxfId="190" priority="33" operator="containsText" text="Moyenne">
      <formula>NOT(ISERROR(SEARCH("Moyenne",H71)))</formula>
    </cfRule>
  </conditionalFormatting>
  <conditionalFormatting sqref="H93:H98">
    <cfRule type="containsText" dxfId="189" priority="28" operator="containsText" text="Faible">
      <formula>NOT(ISERROR(SEARCH("Faible",H93)))</formula>
    </cfRule>
    <cfRule type="containsText" dxfId="188" priority="29" operator="containsText" text="Elevée">
      <formula>NOT(ISERROR(SEARCH("Elevée",H93)))</formula>
    </cfRule>
    <cfRule type="containsText" dxfId="187" priority="30" operator="containsText" text="Moyenne">
      <formula>NOT(ISERROR(SEARCH("Moyenne",H93)))</formula>
    </cfRule>
  </conditionalFormatting>
  <conditionalFormatting sqref="H99">
    <cfRule type="containsText" dxfId="186" priority="25" operator="containsText" text="Faible">
      <formula>NOT(ISERROR(SEARCH("Faible",H99)))</formula>
    </cfRule>
    <cfRule type="containsText" dxfId="185" priority="26" operator="containsText" text="Elevée">
      <formula>NOT(ISERROR(SEARCH("Elevée",H99)))</formula>
    </cfRule>
    <cfRule type="containsText" dxfId="184" priority="27" operator="containsText" text="Moyenne">
      <formula>NOT(ISERROR(SEARCH("Moyenne",H99)))</formula>
    </cfRule>
  </conditionalFormatting>
  <conditionalFormatting sqref="H100:H109">
    <cfRule type="containsText" dxfId="183" priority="22" operator="containsText" text="Faible">
      <formula>NOT(ISERROR(SEARCH("Faible",H100)))</formula>
    </cfRule>
    <cfRule type="containsText" dxfId="182" priority="23" operator="containsText" text="Elevée">
      <formula>NOT(ISERROR(SEARCH("Elevée",H100)))</formula>
    </cfRule>
    <cfRule type="containsText" dxfId="181" priority="24" operator="containsText" text="Moyenne">
      <formula>NOT(ISERROR(SEARCH("Moyenne",H100)))</formula>
    </cfRule>
  </conditionalFormatting>
  <conditionalFormatting sqref="H110:H120">
    <cfRule type="containsText" dxfId="180" priority="19" operator="containsText" text="Faible">
      <formula>NOT(ISERROR(SEARCH("Faible",H110)))</formula>
    </cfRule>
    <cfRule type="containsText" dxfId="179" priority="20" operator="containsText" text="Elevée">
      <formula>NOT(ISERROR(SEARCH("Elevée",H110)))</formula>
    </cfRule>
    <cfRule type="containsText" dxfId="178" priority="21" operator="containsText" text="Moyenne">
      <formula>NOT(ISERROR(SEARCH("Moyenne",H110)))</formula>
    </cfRule>
  </conditionalFormatting>
  <conditionalFormatting sqref="H121:H126">
    <cfRule type="containsText" dxfId="177" priority="16" operator="containsText" text="Faible">
      <formula>NOT(ISERROR(SEARCH("Faible",H121)))</formula>
    </cfRule>
    <cfRule type="containsText" dxfId="176" priority="17" operator="containsText" text="Elevée">
      <formula>NOT(ISERROR(SEARCH("Elevée",H121)))</formula>
    </cfRule>
    <cfRule type="containsText" dxfId="175" priority="18" operator="containsText" text="Moyenne">
      <formula>NOT(ISERROR(SEARCH("Moyenne",H121)))</formula>
    </cfRule>
  </conditionalFormatting>
  <conditionalFormatting sqref="H127">
    <cfRule type="containsText" dxfId="174" priority="13" operator="containsText" text="Faible">
      <formula>NOT(ISERROR(SEARCH("Faible",H127)))</formula>
    </cfRule>
    <cfRule type="containsText" dxfId="173" priority="14" operator="containsText" text="Elevée">
      <formula>NOT(ISERROR(SEARCH("Elevée",H127)))</formula>
    </cfRule>
    <cfRule type="containsText" dxfId="172" priority="15" operator="containsText" text="Moyenne">
      <formula>NOT(ISERROR(SEARCH("Moyenne",H127)))</formula>
    </cfRule>
  </conditionalFormatting>
  <conditionalFormatting sqref="H128:H133">
    <cfRule type="containsText" dxfId="171" priority="10" operator="containsText" text="Faible">
      <formula>NOT(ISERROR(SEARCH("Faible",H128)))</formula>
    </cfRule>
    <cfRule type="containsText" dxfId="170" priority="11" operator="containsText" text="Elevée">
      <formula>NOT(ISERROR(SEARCH("Elevée",H128)))</formula>
    </cfRule>
    <cfRule type="containsText" dxfId="169" priority="12" operator="containsText" text="Moyenne">
      <formula>NOT(ISERROR(SEARCH("Moyenne",H128)))</formula>
    </cfRule>
  </conditionalFormatting>
  <conditionalFormatting sqref="H134:H155">
    <cfRule type="containsText" dxfId="168" priority="7" operator="containsText" text="Faible">
      <formula>NOT(ISERROR(SEARCH("Faible",H134)))</formula>
    </cfRule>
    <cfRule type="containsText" dxfId="167" priority="8" operator="containsText" text="Elevée">
      <formula>NOT(ISERROR(SEARCH("Elevée",H134)))</formula>
    </cfRule>
    <cfRule type="containsText" dxfId="166" priority="9" operator="containsText" text="Moyenne">
      <formula>NOT(ISERROR(SEARCH("Moyenne",H134)))</formula>
    </cfRule>
  </conditionalFormatting>
  <conditionalFormatting sqref="H156">
    <cfRule type="containsText" dxfId="165" priority="4" operator="containsText" text="Faible">
      <formula>NOT(ISERROR(SEARCH("Faible",H156)))</formula>
    </cfRule>
    <cfRule type="containsText" dxfId="164" priority="5" operator="containsText" text="Elevée">
      <formula>NOT(ISERROR(SEARCH("Elevée",H156)))</formula>
    </cfRule>
    <cfRule type="containsText" dxfId="163" priority="6" operator="containsText" text="Moyenne">
      <formula>NOT(ISERROR(SEARCH("Moyenne",H156)))</formula>
    </cfRule>
  </conditionalFormatting>
  <conditionalFormatting sqref="F2:F156">
    <cfRule type="cellIs" dxfId="162" priority="1" operator="equal">
      <formula>$F$18</formula>
    </cfRule>
    <cfRule type="cellIs" dxfId="161" priority="2" operator="equal">
      <formula>$F$4</formula>
    </cfRule>
    <cfRule type="cellIs" dxfId="160" priority="3" operator="equal">
      <formula>$F$8</formula>
    </cfRule>
  </conditionalFormatting>
  <dataValidations count="2">
    <dataValidation type="list" allowBlank="1" showInputMessage="1" showErrorMessage="1" sqref="H2:H156" xr:uid="{0C41DFC7-8C57-4956-AC70-B55E93F941B0}">
      <formula1>"Elevée,Moyenne,Faible"</formula1>
    </dataValidation>
    <dataValidation type="list" allowBlank="1" showInputMessage="1" showErrorMessage="1" sqref="F2:F156" xr:uid="{074D7738-3E43-40A4-BC7C-B26659B89F69}">
      <formula1>"oui,non,pas"</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W344"/>
  <sheetViews>
    <sheetView topLeftCell="C97" zoomScale="58" zoomScaleNormal="58" workbookViewId="0">
      <selection activeCell="E98" sqref="E98:E123"/>
    </sheetView>
  </sheetViews>
  <sheetFormatPr baseColWidth="10" defaultRowHeight="14.4"/>
  <cols>
    <col min="1" max="1" width="33.44140625" customWidth="1"/>
    <col min="2" max="2" width="82.77734375" customWidth="1"/>
    <col min="3" max="3" width="122.5546875" style="165" customWidth="1"/>
    <col min="4" max="4" width="104.77734375" customWidth="1"/>
    <col min="5" max="5" width="28" customWidth="1"/>
    <col min="6" max="6" width="64.44140625" customWidth="1"/>
    <col min="7" max="7" width="62.77734375" customWidth="1"/>
    <col min="8" max="8" width="23.44140625" customWidth="1"/>
    <col min="9" max="9" width="46.88671875" customWidth="1"/>
    <col min="10" max="10" width="79.21875" customWidth="1"/>
    <col min="11" max="11" width="26.33203125" customWidth="1"/>
  </cols>
  <sheetData>
    <row r="1" spans="1:49" s="3" customFormat="1" ht="23.4">
      <c r="A1" s="200" t="s">
        <v>7085</v>
      </c>
      <c r="B1" s="200" t="s">
        <v>7086</v>
      </c>
      <c r="C1" s="200" t="s">
        <v>7087</v>
      </c>
      <c r="D1" s="200" t="s">
        <v>4914</v>
      </c>
      <c r="E1" s="196" t="s">
        <v>4915</v>
      </c>
      <c r="F1" s="197" t="s">
        <v>4916</v>
      </c>
      <c r="G1" s="197" t="s">
        <v>1472</v>
      </c>
      <c r="H1" s="196" t="s">
        <v>8</v>
      </c>
      <c r="I1" s="197" t="s">
        <v>1473</v>
      </c>
      <c r="J1" s="197" t="s">
        <v>10</v>
      </c>
      <c r="K1"/>
      <c r="L1"/>
      <c r="M1"/>
      <c r="N1"/>
      <c r="O1"/>
      <c r="P1"/>
      <c r="Q1"/>
      <c r="R1"/>
      <c r="S1"/>
      <c r="T1"/>
      <c r="U1"/>
      <c r="V1"/>
      <c r="W1"/>
      <c r="X1"/>
      <c r="Y1"/>
      <c r="Z1"/>
      <c r="AA1"/>
      <c r="AB1"/>
      <c r="AC1"/>
      <c r="AD1"/>
      <c r="AE1"/>
      <c r="AF1"/>
      <c r="AG1"/>
      <c r="AH1"/>
      <c r="AI1"/>
      <c r="AJ1"/>
      <c r="AK1"/>
      <c r="AL1"/>
      <c r="AM1"/>
      <c r="AN1"/>
      <c r="AO1"/>
      <c r="AP1"/>
      <c r="AQ1"/>
      <c r="AR1"/>
      <c r="AS1"/>
      <c r="AT1"/>
      <c r="AU1"/>
      <c r="AV1"/>
      <c r="AW1"/>
    </row>
    <row r="2" spans="1:49" ht="23.4">
      <c r="A2" s="167" t="s">
        <v>7088</v>
      </c>
      <c r="B2" s="145" t="s">
        <v>7089</v>
      </c>
      <c r="C2" s="146" t="s">
        <v>7090</v>
      </c>
      <c r="D2" s="146" t="s">
        <v>7091</v>
      </c>
      <c r="E2" s="174" t="s">
        <v>209</v>
      </c>
      <c r="F2" s="146" t="s">
        <v>7092</v>
      </c>
      <c r="G2" s="146" t="s">
        <v>6478</v>
      </c>
      <c r="H2" s="174" t="s">
        <v>387</v>
      </c>
      <c r="I2" s="146" t="s">
        <v>7093</v>
      </c>
      <c r="J2" s="146" t="s">
        <v>7094</v>
      </c>
    </row>
    <row r="3" spans="1:49" ht="23.4">
      <c r="A3" s="167"/>
      <c r="B3" s="167"/>
      <c r="C3" s="146" t="s">
        <v>7095</v>
      </c>
      <c r="D3" s="146" t="s">
        <v>7096</v>
      </c>
      <c r="E3" s="174" t="s">
        <v>204</v>
      </c>
      <c r="F3" s="146" t="s">
        <v>7012</v>
      </c>
      <c r="G3" s="146" t="s">
        <v>7097</v>
      </c>
      <c r="H3" s="174" t="s">
        <v>14</v>
      </c>
      <c r="I3" s="146" t="s">
        <v>7098</v>
      </c>
      <c r="J3" s="146" t="s">
        <v>7099</v>
      </c>
    </row>
    <row r="4" spans="1:49" ht="23.4">
      <c r="A4" s="167"/>
      <c r="B4" s="167"/>
      <c r="C4" s="146" t="s">
        <v>7100</v>
      </c>
      <c r="D4" s="146" t="s">
        <v>7101</v>
      </c>
      <c r="E4" s="174" t="s">
        <v>204</v>
      </c>
      <c r="F4" s="146" t="s">
        <v>7102</v>
      </c>
      <c r="G4" s="146" t="s">
        <v>7103</v>
      </c>
      <c r="H4" s="174" t="s">
        <v>14</v>
      </c>
      <c r="I4" s="146" t="s">
        <v>6909</v>
      </c>
      <c r="J4" s="146" t="s">
        <v>7104</v>
      </c>
    </row>
    <row r="5" spans="1:49" ht="23.4">
      <c r="A5" s="167"/>
      <c r="B5" s="167"/>
      <c r="C5" s="146" t="s">
        <v>7105</v>
      </c>
      <c r="D5" s="146" t="s">
        <v>7106</v>
      </c>
      <c r="E5" s="174" t="s">
        <v>204</v>
      </c>
      <c r="F5" s="146" t="s">
        <v>7107</v>
      </c>
      <c r="G5" s="146" t="s">
        <v>7108</v>
      </c>
      <c r="H5" s="174" t="s">
        <v>387</v>
      </c>
      <c r="I5" s="146" t="s">
        <v>6478</v>
      </c>
      <c r="J5" s="146" t="s">
        <v>7055</v>
      </c>
    </row>
    <row r="6" spans="1:49" ht="23.4">
      <c r="A6" s="167"/>
      <c r="B6" s="167"/>
      <c r="C6" s="146" t="s">
        <v>7109</v>
      </c>
      <c r="D6" s="146" t="s">
        <v>7110</v>
      </c>
      <c r="E6" s="174" t="s">
        <v>209</v>
      </c>
      <c r="F6" s="146" t="s">
        <v>7111</v>
      </c>
      <c r="G6" s="146" t="s">
        <v>7112</v>
      </c>
      <c r="H6" s="174" t="s">
        <v>14</v>
      </c>
      <c r="I6" s="146" t="s">
        <v>6520</v>
      </c>
      <c r="J6" s="146" t="s">
        <v>7113</v>
      </c>
    </row>
    <row r="7" spans="1:49" ht="23.4">
      <c r="A7" s="167"/>
      <c r="B7" s="145" t="s">
        <v>7114</v>
      </c>
      <c r="C7" s="146" t="s">
        <v>7115</v>
      </c>
      <c r="D7" s="146" t="s">
        <v>7116</v>
      </c>
      <c r="E7" s="174" t="s">
        <v>209</v>
      </c>
      <c r="F7" s="146" t="s">
        <v>7117</v>
      </c>
      <c r="G7" s="146" t="s">
        <v>7118</v>
      </c>
      <c r="H7" s="174" t="s">
        <v>387</v>
      </c>
      <c r="I7" s="146" t="s">
        <v>7119</v>
      </c>
      <c r="J7" s="146" t="s">
        <v>7120</v>
      </c>
    </row>
    <row r="8" spans="1:49" ht="23.4">
      <c r="A8" s="167"/>
      <c r="B8" s="167"/>
      <c r="C8" s="146" t="s">
        <v>7121</v>
      </c>
      <c r="D8" s="146" t="s">
        <v>7122</v>
      </c>
      <c r="E8" s="174" t="s">
        <v>209</v>
      </c>
      <c r="F8" s="146" t="s">
        <v>7123</v>
      </c>
      <c r="G8" s="146" t="s">
        <v>7124</v>
      </c>
      <c r="H8" s="174" t="s">
        <v>14</v>
      </c>
      <c r="I8" s="146" t="s">
        <v>7125</v>
      </c>
      <c r="J8" s="146" t="s">
        <v>7126</v>
      </c>
    </row>
    <row r="9" spans="1:49" ht="23.4">
      <c r="A9" s="167"/>
      <c r="B9" s="167"/>
      <c r="C9" s="146" t="s">
        <v>7127</v>
      </c>
      <c r="D9" s="146" t="s">
        <v>7128</v>
      </c>
      <c r="E9" s="174" t="s">
        <v>209</v>
      </c>
      <c r="F9" s="146" t="s">
        <v>7129</v>
      </c>
      <c r="G9" s="146" t="s">
        <v>7130</v>
      </c>
      <c r="H9" s="174" t="s">
        <v>14</v>
      </c>
      <c r="I9" s="146" t="s">
        <v>7131</v>
      </c>
      <c r="J9" s="146" t="s">
        <v>7132</v>
      </c>
    </row>
    <row r="10" spans="1:49" ht="23.4">
      <c r="A10" s="167"/>
      <c r="B10" s="167"/>
      <c r="C10" s="146" t="s">
        <v>7133</v>
      </c>
      <c r="D10" s="146" t="s">
        <v>7134</v>
      </c>
      <c r="E10" s="174" t="s">
        <v>242</v>
      </c>
      <c r="F10" s="146" t="s">
        <v>7135</v>
      </c>
      <c r="G10" s="146" t="s">
        <v>6679</v>
      </c>
      <c r="H10" s="174" t="s">
        <v>387</v>
      </c>
      <c r="I10" s="146" t="s">
        <v>7136</v>
      </c>
      <c r="J10" s="146" t="s">
        <v>7137</v>
      </c>
    </row>
    <row r="11" spans="1:49" ht="23.4">
      <c r="A11" s="167"/>
      <c r="B11" s="167"/>
      <c r="C11" s="146" t="s">
        <v>7138</v>
      </c>
      <c r="D11" s="146" t="s">
        <v>7139</v>
      </c>
      <c r="E11" s="174" t="s">
        <v>209</v>
      </c>
      <c r="F11" s="146" t="s">
        <v>6708</v>
      </c>
      <c r="G11" s="146" t="s">
        <v>6709</v>
      </c>
      <c r="H11" s="174" t="s">
        <v>14</v>
      </c>
      <c r="I11" s="146" t="s">
        <v>6710</v>
      </c>
      <c r="J11" s="146" t="s">
        <v>7140</v>
      </c>
    </row>
    <row r="12" spans="1:49" ht="23.4">
      <c r="A12" s="167"/>
      <c r="B12" s="167" t="s">
        <v>182</v>
      </c>
      <c r="C12" s="146" t="s">
        <v>7141</v>
      </c>
      <c r="D12" s="146" t="s">
        <v>7142</v>
      </c>
      <c r="E12" s="174" t="s">
        <v>209</v>
      </c>
      <c r="F12" s="146" t="s">
        <v>7143</v>
      </c>
      <c r="G12" s="146" t="s">
        <v>7144</v>
      </c>
      <c r="H12" s="174" t="s">
        <v>14</v>
      </c>
      <c r="I12" s="146" t="s">
        <v>7145</v>
      </c>
      <c r="J12" s="146" t="s">
        <v>7146</v>
      </c>
    </row>
    <row r="13" spans="1:49" ht="23.4">
      <c r="A13" s="167"/>
      <c r="B13" s="167"/>
      <c r="C13" s="146" t="s">
        <v>7147</v>
      </c>
      <c r="D13" s="146" t="s">
        <v>7148</v>
      </c>
      <c r="E13" s="174" t="s">
        <v>204</v>
      </c>
      <c r="F13" s="146" t="s">
        <v>7149</v>
      </c>
      <c r="G13" s="146" t="s">
        <v>7150</v>
      </c>
      <c r="H13" s="174" t="s">
        <v>14</v>
      </c>
      <c r="I13" s="146" t="s">
        <v>7151</v>
      </c>
      <c r="J13" s="146" t="s">
        <v>7152</v>
      </c>
    </row>
    <row r="14" spans="1:49" ht="23.4">
      <c r="A14" s="167"/>
      <c r="B14" s="167"/>
      <c r="C14" s="146" t="s">
        <v>7153</v>
      </c>
      <c r="D14" s="146" t="s">
        <v>7154</v>
      </c>
      <c r="E14" s="174" t="s">
        <v>209</v>
      </c>
      <c r="F14" s="146" t="s">
        <v>7155</v>
      </c>
      <c r="G14" s="146" t="s">
        <v>7156</v>
      </c>
      <c r="H14" s="174" t="s">
        <v>387</v>
      </c>
      <c r="I14" s="146" t="s">
        <v>6485</v>
      </c>
      <c r="J14" s="146" t="s">
        <v>7157</v>
      </c>
    </row>
    <row r="15" spans="1:49" ht="23.4">
      <c r="A15" s="167"/>
      <c r="B15" s="167"/>
      <c r="C15" s="146" t="s">
        <v>7158</v>
      </c>
      <c r="D15" s="146" t="s">
        <v>7159</v>
      </c>
      <c r="E15" s="174" t="s">
        <v>204</v>
      </c>
      <c r="F15" s="146" t="s">
        <v>7160</v>
      </c>
      <c r="G15" s="146" t="s">
        <v>7161</v>
      </c>
      <c r="H15" s="174" t="s">
        <v>387</v>
      </c>
      <c r="I15" s="146" t="s">
        <v>7162</v>
      </c>
      <c r="J15" s="146" t="s">
        <v>7163</v>
      </c>
    </row>
    <row r="16" spans="1:49" ht="23.4">
      <c r="A16" s="167"/>
      <c r="B16" s="167"/>
      <c r="C16" s="146" t="s">
        <v>7164</v>
      </c>
      <c r="D16" s="146" t="s">
        <v>7165</v>
      </c>
      <c r="E16" s="174" t="s">
        <v>204</v>
      </c>
      <c r="F16" s="146" t="s">
        <v>7166</v>
      </c>
      <c r="G16" s="146" t="s">
        <v>7167</v>
      </c>
      <c r="H16" s="174" t="s">
        <v>14</v>
      </c>
      <c r="I16" s="146" t="s">
        <v>7168</v>
      </c>
      <c r="J16" s="146" t="s">
        <v>7169</v>
      </c>
    </row>
    <row r="17" spans="1:10" ht="23.4">
      <c r="A17" s="167"/>
      <c r="B17" s="145" t="s">
        <v>7170</v>
      </c>
      <c r="C17" s="146" t="s">
        <v>7171</v>
      </c>
      <c r="D17" s="146" t="s">
        <v>7172</v>
      </c>
      <c r="E17" s="174" t="s">
        <v>204</v>
      </c>
      <c r="F17" s="146" t="s">
        <v>7173</v>
      </c>
      <c r="G17" s="146" t="s">
        <v>6980</v>
      </c>
      <c r="H17" s="174" t="s">
        <v>14</v>
      </c>
      <c r="I17" s="146" t="s">
        <v>6544</v>
      </c>
      <c r="J17" s="146" t="s">
        <v>7174</v>
      </c>
    </row>
    <row r="18" spans="1:10" ht="23.4">
      <c r="A18" s="167"/>
      <c r="B18" s="167"/>
      <c r="C18" s="146" t="s">
        <v>7175</v>
      </c>
      <c r="D18" s="146" t="s">
        <v>7176</v>
      </c>
      <c r="E18" s="174" t="s">
        <v>242</v>
      </c>
      <c r="F18" s="146" t="s">
        <v>7177</v>
      </c>
      <c r="G18" s="146" t="s">
        <v>7178</v>
      </c>
      <c r="H18" s="174" t="s">
        <v>387</v>
      </c>
      <c r="I18" s="146" t="s">
        <v>6741</v>
      </c>
      <c r="J18" s="146" t="s">
        <v>7179</v>
      </c>
    </row>
    <row r="19" spans="1:10" ht="23.4">
      <c r="A19" s="167"/>
      <c r="B19" s="167"/>
      <c r="C19" s="146" t="s">
        <v>7180</v>
      </c>
      <c r="D19" s="146" t="s">
        <v>7181</v>
      </c>
      <c r="E19" s="174" t="s">
        <v>204</v>
      </c>
      <c r="F19" s="146" t="s">
        <v>7182</v>
      </c>
      <c r="G19" s="146" t="s">
        <v>7183</v>
      </c>
      <c r="H19" s="174" t="s">
        <v>387</v>
      </c>
      <c r="I19" s="146" t="s">
        <v>7184</v>
      </c>
      <c r="J19" s="146" t="s">
        <v>7185</v>
      </c>
    </row>
    <row r="20" spans="1:10" ht="23.4">
      <c r="A20" s="167"/>
      <c r="B20" s="167"/>
      <c r="C20" s="146" t="s">
        <v>7186</v>
      </c>
      <c r="D20" s="146" t="s">
        <v>7187</v>
      </c>
      <c r="E20" s="174" t="s">
        <v>209</v>
      </c>
      <c r="F20" s="146" t="s">
        <v>7188</v>
      </c>
      <c r="G20" s="146" t="s">
        <v>6842</v>
      </c>
      <c r="H20" s="174" t="s">
        <v>14</v>
      </c>
      <c r="I20" s="146" t="s">
        <v>7189</v>
      </c>
      <c r="J20" s="146" t="s">
        <v>7190</v>
      </c>
    </row>
    <row r="21" spans="1:10" ht="23.4">
      <c r="A21" s="167"/>
      <c r="B21" s="167"/>
      <c r="C21" s="146" t="s">
        <v>7191</v>
      </c>
      <c r="D21" s="146" t="s">
        <v>7192</v>
      </c>
      <c r="E21" s="174" t="s">
        <v>242</v>
      </c>
      <c r="F21" s="146" t="s">
        <v>7193</v>
      </c>
      <c r="G21" s="146" t="s">
        <v>7194</v>
      </c>
      <c r="H21" s="174" t="s">
        <v>387</v>
      </c>
      <c r="I21" s="146" t="s">
        <v>7195</v>
      </c>
      <c r="J21" s="146" t="s">
        <v>7196</v>
      </c>
    </row>
    <row r="22" spans="1:10" ht="23.4">
      <c r="A22" s="167"/>
      <c r="B22" s="145" t="s">
        <v>7197</v>
      </c>
      <c r="C22" s="146" t="s">
        <v>7198</v>
      </c>
      <c r="D22" s="146" t="s">
        <v>7199</v>
      </c>
      <c r="E22" s="174" t="s">
        <v>209</v>
      </c>
      <c r="F22" s="146" t="s">
        <v>7200</v>
      </c>
      <c r="G22" s="146" t="s">
        <v>7201</v>
      </c>
      <c r="H22" s="174" t="s">
        <v>387</v>
      </c>
      <c r="I22" s="146" t="s">
        <v>7202</v>
      </c>
      <c r="J22" s="146" t="s">
        <v>7203</v>
      </c>
    </row>
    <row r="23" spans="1:10" ht="23.4">
      <c r="A23" s="167"/>
      <c r="B23" s="167"/>
      <c r="C23" s="146" t="s">
        <v>7204</v>
      </c>
      <c r="D23" s="146" t="s">
        <v>7205</v>
      </c>
      <c r="E23" s="174" t="s">
        <v>209</v>
      </c>
      <c r="F23" s="146" t="s">
        <v>7206</v>
      </c>
      <c r="G23" s="146" t="s">
        <v>7014</v>
      </c>
      <c r="H23" s="174" t="s">
        <v>387</v>
      </c>
      <c r="I23" s="146" t="s">
        <v>7207</v>
      </c>
      <c r="J23" s="146" t="s">
        <v>7208</v>
      </c>
    </row>
    <row r="24" spans="1:10" ht="23.4">
      <c r="A24" s="167"/>
      <c r="B24" s="167"/>
      <c r="C24" s="146" t="s">
        <v>7209</v>
      </c>
      <c r="D24" s="146" t="s">
        <v>7210</v>
      </c>
      <c r="E24" s="174" t="s">
        <v>242</v>
      </c>
      <c r="F24" s="146" t="s">
        <v>7211</v>
      </c>
      <c r="G24" s="146" t="s">
        <v>7212</v>
      </c>
      <c r="H24" s="174" t="s">
        <v>387</v>
      </c>
      <c r="I24" s="146" t="s">
        <v>7213</v>
      </c>
      <c r="J24" s="146" t="s">
        <v>7214</v>
      </c>
    </row>
    <row r="25" spans="1:10" ht="23.4">
      <c r="A25" s="167"/>
      <c r="B25" s="167"/>
      <c r="C25" s="146" t="s">
        <v>7215</v>
      </c>
      <c r="D25" s="146" t="s">
        <v>7216</v>
      </c>
      <c r="E25" s="174" t="s">
        <v>209</v>
      </c>
      <c r="F25" s="146" t="s">
        <v>7217</v>
      </c>
      <c r="G25" s="146" t="s">
        <v>7218</v>
      </c>
      <c r="H25" s="174" t="s">
        <v>14</v>
      </c>
      <c r="I25" s="146" t="s">
        <v>6770</v>
      </c>
      <c r="J25" s="146" t="s">
        <v>7219</v>
      </c>
    </row>
    <row r="26" spans="1:10" ht="23.4">
      <c r="A26" s="167"/>
      <c r="B26" s="167"/>
      <c r="C26" s="146" t="s">
        <v>7220</v>
      </c>
      <c r="D26" s="146" t="s">
        <v>7221</v>
      </c>
      <c r="E26" s="174" t="s">
        <v>209</v>
      </c>
      <c r="F26" s="146" t="s">
        <v>7222</v>
      </c>
      <c r="G26" s="146" t="s">
        <v>6674</v>
      </c>
      <c r="H26" s="174" t="s">
        <v>387</v>
      </c>
      <c r="I26" s="146" t="s">
        <v>7223</v>
      </c>
      <c r="J26" s="146" t="s">
        <v>7224</v>
      </c>
    </row>
    <row r="27" spans="1:10" ht="23.4">
      <c r="A27" s="153" t="s">
        <v>7225</v>
      </c>
      <c r="B27" s="153" t="s">
        <v>7226</v>
      </c>
      <c r="C27" s="154" t="s">
        <v>7227</v>
      </c>
      <c r="D27" s="154" t="s">
        <v>7228</v>
      </c>
      <c r="E27" s="184" t="s">
        <v>204</v>
      </c>
      <c r="F27" s="154" t="s">
        <v>7229</v>
      </c>
      <c r="G27" s="154" t="s">
        <v>7230</v>
      </c>
      <c r="H27" s="184" t="s">
        <v>14</v>
      </c>
      <c r="I27" s="154" t="s">
        <v>7231</v>
      </c>
      <c r="J27" s="154" t="s">
        <v>7232</v>
      </c>
    </row>
    <row r="28" spans="1:10" ht="23.4">
      <c r="A28" s="166"/>
      <c r="B28" s="166"/>
      <c r="C28" s="154" t="s">
        <v>7233</v>
      </c>
      <c r="D28" s="154" t="s">
        <v>7234</v>
      </c>
      <c r="E28" s="184" t="s">
        <v>209</v>
      </c>
      <c r="F28" s="154" t="s">
        <v>7235</v>
      </c>
      <c r="G28" s="154" t="s">
        <v>7236</v>
      </c>
      <c r="H28" s="184" t="s">
        <v>14</v>
      </c>
      <c r="I28" s="154" t="s">
        <v>7237</v>
      </c>
      <c r="J28" s="154" t="s">
        <v>7238</v>
      </c>
    </row>
    <row r="29" spans="1:10" ht="23.4">
      <c r="A29" s="166"/>
      <c r="B29" s="166"/>
      <c r="C29" s="154" t="s">
        <v>7239</v>
      </c>
      <c r="D29" s="154" t="s">
        <v>7240</v>
      </c>
      <c r="E29" s="184" t="s">
        <v>204</v>
      </c>
      <c r="F29" s="154" t="s">
        <v>7241</v>
      </c>
      <c r="G29" s="154" t="s">
        <v>7242</v>
      </c>
      <c r="H29" s="184" t="s">
        <v>387</v>
      </c>
      <c r="I29" s="154" t="s">
        <v>6479</v>
      </c>
      <c r="J29" s="154" t="s">
        <v>7243</v>
      </c>
    </row>
    <row r="30" spans="1:10" ht="23.4">
      <c r="A30" s="166"/>
      <c r="B30" s="166"/>
      <c r="C30" s="154" t="s">
        <v>7244</v>
      </c>
      <c r="D30" s="154" t="s">
        <v>7245</v>
      </c>
      <c r="E30" s="184" t="s">
        <v>204</v>
      </c>
      <c r="F30" s="154" t="s">
        <v>6932</v>
      </c>
      <c r="G30" s="154" t="s">
        <v>7246</v>
      </c>
      <c r="H30" s="184" t="s">
        <v>14</v>
      </c>
      <c r="I30" s="154" t="s">
        <v>7247</v>
      </c>
      <c r="J30" s="154" t="s">
        <v>7248</v>
      </c>
    </row>
    <row r="31" spans="1:10" ht="23.4">
      <c r="A31" s="166"/>
      <c r="B31" s="166"/>
      <c r="C31" s="154" t="s">
        <v>7249</v>
      </c>
      <c r="D31" s="154" t="s">
        <v>7250</v>
      </c>
      <c r="E31" s="184" t="s">
        <v>204</v>
      </c>
      <c r="F31" s="154" t="s">
        <v>7251</v>
      </c>
      <c r="G31" s="154" t="s">
        <v>6888</v>
      </c>
      <c r="H31" s="184" t="s">
        <v>14</v>
      </c>
      <c r="I31" s="154" t="s">
        <v>7252</v>
      </c>
      <c r="J31" s="154" t="s">
        <v>7253</v>
      </c>
    </row>
    <row r="32" spans="1:10" ht="23.4">
      <c r="A32" s="166"/>
      <c r="B32" s="153" t="s">
        <v>7254</v>
      </c>
      <c r="C32" s="154" t="s">
        <v>7255</v>
      </c>
      <c r="D32" s="154" t="s">
        <v>7256</v>
      </c>
      <c r="E32" s="184" t="s">
        <v>242</v>
      </c>
      <c r="F32" s="154" t="s">
        <v>7257</v>
      </c>
      <c r="G32" s="154" t="s">
        <v>7258</v>
      </c>
      <c r="H32" s="184" t="s">
        <v>14</v>
      </c>
      <c r="I32" s="154" t="s">
        <v>6920</v>
      </c>
      <c r="J32" s="154" t="s">
        <v>7259</v>
      </c>
    </row>
    <row r="33" spans="1:10" ht="23.4">
      <c r="A33" s="166"/>
      <c r="B33" s="166"/>
      <c r="C33" s="154" t="s">
        <v>7260</v>
      </c>
      <c r="D33" s="154" t="s">
        <v>7261</v>
      </c>
      <c r="E33" s="184" t="s">
        <v>204</v>
      </c>
      <c r="F33" s="154" t="s">
        <v>7262</v>
      </c>
      <c r="G33" s="154" t="s">
        <v>7263</v>
      </c>
      <c r="H33" s="184" t="s">
        <v>387</v>
      </c>
      <c r="I33" s="154" t="s">
        <v>7264</v>
      </c>
      <c r="J33" s="154" t="s">
        <v>7265</v>
      </c>
    </row>
    <row r="34" spans="1:10" ht="23.4">
      <c r="A34" s="166"/>
      <c r="B34" s="166"/>
      <c r="C34" s="154" t="s">
        <v>7266</v>
      </c>
      <c r="D34" s="154" t="s">
        <v>7267</v>
      </c>
      <c r="E34" s="184" t="s">
        <v>209</v>
      </c>
      <c r="F34" s="154" t="s">
        <v>7268</v>
      </c>
      <c r="G34" s="154" t="s">
        <v>7269</v>
      </c>
      <c r="H34" s="184" t="s">
        <v>387</v>
      </c>
      <c r="I34" s="154" t="s">
        <v>6539</v>
      </c>
      <c r="J34" s="154" t="s">
        <v>7270</v>
      </c>
    </row>
    <row r="35" spans="1:10" ht="23.4">
      <c r="A35" s="166"/>
      <c r="B35" s="166"/>
      <c r="C35" s="154" t="s">
        <v>7271</v>
      </c>
      <c r="D35" s="154" t="s">
        <v>7272</v>
      </c>
      <c r="E35" s="184" t="s">
        <v>242</v>
      </c>
      <c r="F35" s="154" t="s">
        <v>7273</v>
      </c>
      <c r="G35" s="154" t="s">
        <v>6639</v>
      </c>
      <c r="H35" s="184" t="s">
        <v>14</v>
      </c>
      <c r="I35" s="154" t="s">
        <v>7274</v>
      </c>
      <c r="J35" s="154" t="s">
        <v>7275</v>
      </c>
    </row>
    <row r="36" spans="1:10" ht="23.4">
      <c r="A36" s="166"/>
      <c r="B36" s="166"/>
      <c r="C36" s="154" t="s">
        <v>7276</v>
      </c>
      <c r="D36" s="154" t="s">
        <v>7277</v>
      </c>
      <c r="E36" s="184" t="s">
        <v>204</v>
      </c>
      <c r="F36" s="154" t="s">
        <v>7278</v>
      </c>
      <c r="G36" s="154" t="s">
        <v>7279</v>
      </c>
      <c r="H36" s="184" t="s">
        <v>14</v>
      </c>
      <c r="I36" s="154" t="s">
        <v>6615</v>
      </c>
      <c r="J36" s="154" t="s">
        <v>7280</v>
      </c>
    </row>
    <row r="37" spans="1:10" ht="23.4">
      <c r="A37" s="166"/>
      <c r="B37" s="153" t="s">
        <v>7281</v>
      </c>
      <c r="C37" s="154" t="s">
        <v>7282</v>
      </c>
      <c r="D37" s="154" t="s">
        <v>7283</v>
      </c>
      <c r="E37" s="184" t="s">
        <v>204</v>
      </c>
      <c r="F37" s="154" t="s">
        <v>7284</v>
      </c>
      <c r="G37" s="154" t="s">
        <v>7285</v>
      </c>
      <c r="H37" s="184" t="s">
        <v>387</v>
      </c>
      <c r="I37" s="154" t="s">
        <v>7286</v>
      </c>
      <c r="J37" s="154" t="s">
        <v>7287</v>
      </c>
    </row>
    <row r="38" spans="1:10" ht="23.4">
      <c r="A38" s="166"/>
      <c r="B38" s="166"/>
      <c r="C38" s="154" t="s">
        <v>7288</v>
      </c>
      <c r="D38" s="154" t="s">
        <v>7289</v>
      </c>
      <c r="E38" s="184" t="s">
        <v>209</v>
      </c>
      <c r="F38" s="154" t="s">
        <v>7290</v>
      </c>
      <c r="G38" s="154" t="s">
        <v>7042</v>
      </c>
      <c r="H38" s="184" t="s">
        <v>387</v>
      </c>
      <c r="I38" s="154" t="s">
        <v>7291</v>
      </c>
      <c r="J38" s="154" t="s">
        <v>7292</v>
      </c>
    </row>
    <row r="39" spans="1:10" ht="23.4">
      <c r="A39" s="166"/>
      <c r="B39" s="166"/>
      <c r="C39" s="154" t="s">
        <v>7293</v>
      </c>
      <c r="D39" s="154" t="s">
        <v>7294</v>
      </c>
      <c r="E39" s="184" t="s">
        <v>204</v>
      </c>
      <c r="F39" s="154" t="s">
        <v>7025</v>
      </c>
      <c r="G39" s="154" t="s">
        <v>6899</v>
      </c>
      <c r="H39" s="184" t="s">
        <v>14</v>
      </c>
      <c r="I39" s="154" t="s">
        <v>6633</v>
      </c>
      <c r="J39" s="154" t="s">
        <v>7295</v>
      </c>
    </row>
    <row r="40" spans="1:10" ht="23.4">
      <c r="A40" s="166"/>
      <c r="B40" s="166"/>
      <c r="C40" s="154" t="s">
        <v>7296</v>
      </c>
      <c r="D40" s="154" t="s">
        <v>7297</v>
      </c>
      <c r="E40" s="184" t="s">
        <v>204</v>
      </c>
      <c r="F40" s="154" t="s">
        <v>7298</v>
      </c>
      <c r="G40" s="154" t="s">
        <v>7299</v>
      </c>
      <c r="H40" s="184" t="s">
        <v>387</v>
      </c>
      <c r="I40" s="154" t="s">
        <v>7300</v>
      </c>
      <c r="J40" s="154" t="s">
        <v>7301</v>
      </c>
    </row>
    <row r="41" spans="1:10" ht="23.4">
      <c r="A41" s="166"/>
      <c r="B41" s="166"/>
      <c r="C41" s="154" t="s">
        <v>7302</v>
      </c>
      <c r="D41" s="154" t="s">
        <v>7303</v>
      </c>
      <c r="E41" s="184" t="s">
        <v>204</v>
      </c>
      <c r="F41" s="154" t="s">
        <v>7304</v>
      </c>
      <c r="G41" s="154" t="s">
        <v>7305</v>
      </c>
      <c r="H41" s="184" t="s">
        <v>14</v>
      </c>
      <c r="I41" s="154" t="s">
        <v>7306</v>
      </c>
      <c r="J41" s="154" t="s">
        <v>7307</v>
      </c>
    </row>
    <row r="42" spans="1:10" ht="23.4">
      <c r="A42" s="166"/>
      <c r="B42" s="166" t="s">
        <v>183</v>
      </c>
      <c r="C42" s="154" t="s">
        <v>7308</v>
      </c>
      <c r="D42" s="154" t="s">
        <v>7309</v>
      </c>
      <c r="E42" s="184" t="s">
        <v>204</v>
      </c>
      <c r="F42" s="154" t="s">
        <v>6912</v>
      </c>
      <c r="G42" s="154" t="s">
        <v>7310</v>
      </c>
      <c r="H42" s="184" t="s">
        <v>387</v>
      </c>
      <c r="I42" s="154" t="s">
        <v>6539</v>
      </c>
      <c r="J42" s="154" t="s">
        <v>7311</v>
      </c>
    </row>
    <row r="43" spans="1:10" ht="23.4">
      <c r="A43" s="166"/>
      <c r="B43" s="166"/>
      <c r="C43" s="154" t="s">
        <v>7312</v>
      </c>
      <c r="D43" s="154" t="s">
        <v>7313</v>
      </c>
      <c r="E43" s="184" t="s">
        <v>204</v>
      </c>
      <c r="F43" s="154" t="s">
        <v>7314</v>
      </c>
      <c r="G43" s="154" t="s">
        <v>7315</v>
      </c>
      <c r="H43" s="184" t="s">
        <v>387</v>
      </c>
      <c r="I43" s="154" t="s">
        <v>7316</v>
      </c>
      <c r="J43" s="154" t="s">
        <v>7317</v>
      </c>
    </row>
    <row r="44" spans="1:10" ht="23.4">
      <c r="A44" s="166"/>
      <c r="B44" s="166"/>
      <c r="C44" s="154" t="s">
        <v>7318</v>
      </c>
      <c r="D44" s="154" t="s">
        <v>7319</v>
      </c>
      <c r="E44" s="184" t="s">
        <v>209</v>
      </c>
      <c r="F44" s="154" t="s">
        <v>7320</v>
      </c>
      <c r="G44" s="154" t="s">
        <v>7321</v>
      </c>
      <c r="H44" s="184" t="s">
        <v>14</v>
      </c>
      <c r="I44" s="154" t="s">
        <v>7322</v>
      </c>
      <c r="J44" s="154" t="s">
        <v>7323</v>
      </c>
    </row>
    <row r="45" spans="1:10" ht="23.4">
      <c r="A45" s="166"/>
      <c r="B45" s="166"/>
      <c r="C45" s="154" t="s">
        <v>7324</v>
      </c>
      <c r="D45" s="154" t="s">
        <v>7325</v>
      </c>
      <c r="E45" s="184" t="s">
        <v>209</v>
      </c>
      <c r="F45" s="154" t="s">
        <v>7326</v>
      </c>
      <c r="G45" s="154" t="s">
        <v>7327</v>
      </c>
      <c r="H45" s="184" t="s">
        <v>387</v>
      </c>
      <c r="I45" s="154" t="s">
        <v>7328</v>
      </c>
      <c r="J45" s="154" t="s">
        <v>7329</v>
      </c>
    </row>
    <row r="46" spans="1:10" ht="23.4">
      <c r="A46" s="166"/>
      <c r="B46" s="166"/>
      <c r="C46" s="154" t="s">
        <v>7330</v>
      </c>
      <c r="D46" s="154" t="s">
        <v>7331</v>
      </c>
      <c r="E46" s="184" t="s">
        <v>242</v>
      </c>
      <c r="F46" s="154" t="s">
        <v>7332</v>
      </c>
      <c r="G46" s="154" t="s">
        <v>7333</v>
      </c>
      <c r="H46" s="184" t="s">
        <v>387</v>
      </c>
      <c r="I46" s="154" t="s">
        <v>7334</v>
      </c>
      <c r="J46" s="154" t="s">
        <v>7335</v>
      </c>
    </row>
    <row r="47" spans="1:10" ht="23.4">
      <c r="A47" s="166"/>
      <c r="B47" s="166" t="s">
        <v>184</v>
      </c>
      <c r="C47" s="154" t="s">
        <v>7336</v>
      </c>
      <c r="D47" s="154" t="s">
        <v>7337</v>
      </c>
      <c r="E47" s="184" t="s">
        <v>242</v>
      </c>
      <c r="F47" s="154" t="s">
        <v>7338</v>
      </c>
      <c r="G47" s="154" t="s">
        <v>7339</v>
      </c>
      <c r="H47" s="184" t="s">
        <v>387</v>
      </c>
      <c r="I47" s="154" t="s">
        <v>7340</v>
      </c>
      <c r="J47" s="154" t="s">
        <v>7341</v>
      </c>
    </row>
    <row r="48" spans="1:10" ht="23.4">
      <c r="A48" s="166"/>
      <c r="B48" s="166"/>
      <c r="C48" s="154" t="s">
        <v>7342</v>
      </c>
      <c r="D48" s="154" t="s">
        <v>7343</v>
      </c>
      <c r="E48" s="184" t="s">
        <v>209</v>
      </c>
      <c r="F48" s="154" t="s">
        <v>7344</v>
      </c>
      <c r="G48" s="154" t="s">
        <v>7345</v>
      </c>
      <c r="H48" s="184" t="s">
        <v>387</v>
      </c>
      <c r="I48" s="154" t="s">
        <v>7346</v>
      </c>
      <c r="J48" s="154" t="s">
        <v>7347</v>
      </c>
    </row>
    <row r="49" spans="1:10" ht="23.4">
      <c r="A49" s="166"/>
      <c r="B49" s="166"/>
      <c r="C49" s="154" t="s">
        <v>7348</v>
      </c>
      <c r="D49" s="154" t="s">
        <v>7349</v>
      </c>
      <c r="E49" s="174" t="s">
        <v>204</v>
      </c>
      <c r="F49" s="154" t="s">
        <v>7350</v>
      </c>
      <c r="G49" s="154" t="s">
        <v>7351</v>
      </c>
      <c r="H49" s="184" t="s">
        <v>14</v>
      </c>
      <c r="I49" s="154" t="s">
        <v>7352</v>
      </c>
      <c r="J49" s="154" t="s">
        <v>7353</v>
      </c>
    </row>
    <row r="50" spans="1:10" ht="23.4">
      <c r="A50" s="166"/>
      <c r="B50" s="166"/>
      <c r="C50" s="154" t="s">
        <v>7354</v>
      </c>
      <c r="D50" s="154" t="s">
        <v>7355</v>
      </c>
      <c r="E50" s="174" t="s">
        <v>209</v>
      </c>
      <c r="F50" s="154" t="s">
        <v>7356</v>
      </c>
      <c r="G50" s="154" t="s">
        <v>7357</v>
      </c>
      <c r="H50" s="184" t="s">
        <v>387</v>
      </c>
      <c r="I50" s="154" t="s">
        <v>7358</v>
      </c>
      <c r="J50" s="154" t="s">
        <v>7359</v>
      </c>
    </row>
    <row r="51" spans="1:10" ht="23.4">
      <c r="A51" s="166"/>
      <c r="B51" s="166"/>
      <c r="C51" s="154" t="s">
        <v>7360</v>
      </c>
      <c r="D51" s="154" t="s">
        <v>7361</v>
      </c>
      <c r="E51" s="174" t="s">
        <v>209</v>
      </c>
      <c r="F51" s="154" t="s">
        <v>7362</v>
      </c>
      <c r="G51" s="154" t="s">
        <v>7363</v>
      </c>
      <c r="H51" s="184" t="s">
        <v>14</v>
      </c>
      <c r="I51" s="154" t="s">
        <v>7364</v>
      </c>
      <c r="J51" s="154" t="s">
        <v>7365</v>
      </c>
    </row>
    <row r="52" spans="1:10" ht="23.4">
      <c r="A52" s="167" t="s">
        <v>185</v>
      </c>
      <c r="B52" s="167" t="s">
        <v>186</v>
      </c>
      <c r="C52" s="146" t="s">
        <v>7366</v>
      </c>
      <c r="D52" s="146" t="s">
        <v>7367</v>
      </c>
      <c r="E52" s="174" t="s">
        <v>209</v>
      </c>
      <c r="F52" s="146" t="s">
        <v>7368</v>
      </c>
      <c r="G52" s="146" t="s">
        <v>7369</v>
      </c>
      <c r="H52" s="174" t="s">
        <v>14</v>
      </c>
      <c r="I52" s="146" t="s">
        <v>7184</v>
      </c>
      <c r="J52" s="146" t="s">
        <v>7370</v>
      </c>
    </row>
    <row r="53" spans="1:10" ht="23.4">
      <c r="A53" s="167"/>
      <c r="B53" s="167"/>
      <c r="C53" s="146" t="s">
        <v>7371</v>
      </c>
      <c r="D53" s="146" t="s">
        <v>7372</v>
      </c>
      <c r="E53" s="174" t="s">
        <v>209</v>
      </c>
      <c r="F53" s="146" t="s">
        <v>7373</v>
      </c>
      <c r="G53" s="146" t="s">
        <v>7374</v>
      </c>
      <c r="H53" s="174" t="s">
        <v>387</v>
      </c>
      <c r="I53" s="146" t="s">
        <v>6544</v>
      </c>
      <c r="J53" s="146" t="s">
        <v>7375</v>
      </c>
    </row>
    <row r="54" spans="1:10" ht="23.4">
      <c r="A54" s="167"/>
      <c r="B54" s="167"/>
      <c r="C54" s="146" t="s">
        <v>7376</v>
      </c>
      <c r="D54" s="146" t="s">
        <v>7377</v>
      </c>
      <c r="E54" s="174" t="s">
        <v>242</v>
      </c>
      <c r="F54" s="146" t="s">
        <v>7378</v>
      </c>
      <c r="G54" s="146" t="s">
        <v>7379</v>
      </c>
      <c r="H54" s="174" t="s">
        <v>14</v>
      </c>
      <c r="I54" s="146" t="s">
        <v>7380</v>
      </c>
      <c r="J54" s="146" t="s">
        <v>7381</v>
      </c>
    </row>
    <row r="55" spans="1:10" ht="23.4">
      <c r="A55" s="167"/>
      <c r="B55" s="167"/>
      <c r="C55" s="146" t="s">
        <v>7382</v>
      </c>
      <c r="D55" s="146" t="s">
        <v>7383</v>
      </c>
      <c r="E55" s="174" t="s">
        <v>209</v>
      </c>
      <c r="F55" s="146" t="s">
        <v>7384</v>
      </c>
      <c r="G55" s="146" t="s">
        <v>7385</v>
      </c>
      <c r="H55" s="174" t="s">
        <v>387</v>
      </c>
      <c r="I55" s="146" t="s">
        <v>7386</v>
      </c>
      <c r="J55" s="146" t="s">
        <v>7387</v>
      </c>
    </row>
    <row r="56" spans="1:10" ht="23.4">
      <c r="A56" s="167"/>
      <c r="B56" s="167"/>
      <c r="C56" s="146" t="s">
        <v>7388</v>
      </c>
      <c r="D56" s="146" t="s">
        <v>7389</v>
      </c>
      <c r="E56" s="174" t="s">
        <v>209</v>
      </c>
      <c r="F56" s="146" t="s">
        <v>7390</v>
      </c>
      <c r="G56" s="146" t="s">
        <v>7391</v>
      </c>
      <c r="H56" s="174" t="s">
        <v>14</v>
      </c>
      <c r="I56" s="146" t="s">
        <v>6509</v>
      </c>
      <c r="J56" s="146" t="s">
        <v>7392</v>
      </c>
    </row>
    <row r="57" spans="1:10" ht="23.4">
      <c r="A57" s="167"/>
      <c r="B57" s="145" t="s">
        <v>7393</v>
      </c>
      <c r="C57" s="146" t="s">
        <v>7394</v>
      </c>
      <c r="D57" s="146" t="s">
        <v>7395</v>
      </c>
      <c r="E57" s="174" t="s">
        <v>204</v>
      </c>
      <c r="F57" s="146" t="s">
        <v>7396</v>
      </c>
      <c r="G57" s="146" t="s">
        <v>7397</v>
      </c>
      <c r="H57" s="174" t="s">
        <v>14</v>
      </c>
      <c r="I57" s="146" t="s">
        <v>6770</v>
      </c>
      <c r="J57" s="146" t="s">
        <v>7398</v>
      </c>
    </row>
    <row r="58" spans="1:10" ht="23.4">
      <c r="A58" s="167"/>
      <c r="B58" s="167"/>
      <c r="C58" s="146" t="s">
        <v>7399</v>
      </c>
      <c r="D58" s="146" t="s">
        <v>7400</v>
      </c>
      <c r="E58" s="174" t="s">
        <v>209</v>
      </c>
      <c r="F58" s="146" t="s">
        <v>7401</v>
      </c>
      <c r="G58" s="146" t="s">
        <v>7402</v>
      </c>
      <c r="H58" s="174" t="s">
        <v>387</v>
      </c>
      <c r="I58" s="146" t="s">
        <v>7403</v>
      </c>
      <c r="J58" s="146" t="s">
        <v>7404</v>
      </c>
    </row>
    <row r="59" spans="1:10" ht="23.4">
      <c r="A59" s="167"/>
      <c r="B59" s="167"/>
      <c r="C59" s="146" t="s">
        <v>7405</v>
      </c>
      <c r="D59" s="146" t="s">
        <v>7406</v>
      </c>
      <c r="E59" s="174" t="s">
        <v>204</v>
      </c>
      <c r="F59" s="146" t="s">
        <v>7407</v>
      </c>
      <c r="G59" s="146" t="s">
        <v>7009</v>
      </c>
      <c r="H59" s="174" t="s">
        <v>387</v>
      </c>
      <c r="I59" s="146" t="s">
        <v>7408</v>
      </c>
      <c r="J59" s="146" t="s">
        <v>7409</v>
      </c>
    </row>
    <row r="60" spans="1:10" ht="23.4">
      <c r="A60" s="167"/>
      <c r="B60" s="167"/>
      <c r="C60" s="146" t="s">
        <v>7410</v>
      </c>
      <c r="D60" s="146" t="s">
        <v>7411</v>
      </c>
      <c r="E60" s="174" t="s">
        <v>204</v>
      </c>
      <c r="F60" s="146" t="s">
        <v>7412</v>
      </c>
      <c r="G60" s="146" t="s">
        <v>7413</v>
      </c>
      <c r="H60" s="174" t="s">
        <v>14</v>
      </c>
      <c r="I60" s="146" t="s">
        <v>7414</v>
      </c>
      <c r="J60" s="146" t="s">
        <v>7415</v>
      </c>
    </row>
    <row r="61" spans="1:10" ht="23.4">
      <c r="A61" s="167"/>
      <c r="B61" s="167"/>
      <c r="C61" s="146" t="s">
        <v>7416</v>
      </c>
      <c r="D61" s="146" t="s">
        <v>7417</v>
      </c>
      <c r="E61" s="174" t="s">
        <v>204</v>
      </c>
      <c r="F61" s="146" t="s">
        <v>7418</v>
      </c>
      <c r="G61" s="146" t="s">
        <v>6853</v>
      </c>
      <c r="H61" s="174" t="s">
        <v>387</v>
      </c>
      <c r="I61" s="146" t="s">
        <v>7419</v>
      </c>
      <c r="J61" s="146" t="s">
        <v>7420</v>
      </c>
    </row>
    <row r="62" spans="1:10" ht="23.4">
      <c r="A62" s="167"/>
      <c r="B62" s="145" t="s">
        <v>7421</v>
      </c>
      <c r="C62" s="146" t="s">
        <v>7422</v>
      </c>
      <c r="D62" s="146" t="s">
        <v>7423</v>
      </c>
      <c r="E62" s="174" t="s">
        <v>242</v>
      </c>
      <c r="F62" s="146" t="s">
        <v>7424</v>
      </c>
      <c r="G62" s="146" t="s">
        <v>7425</v>
      </c>
      <c r="H62" s="174" t="s">
        <v>14</v>
      </c>
      <c r="I62" s="146" t="s">
        <v>7426</v>
      </c>
      <c r="J62" s="146" t="s">
        <v>7427</v>
      </c>
    </row>
    <row r="63" spans="1:10" ht="23.4">
      <c r="A63" s="167"/>
      <c r="B63" s="167"/>
      <c r="C63" s="146" t="s">
        <v>7428</v>
      </c>
      <c r="D63" s="146" t="s">
        <v>7429</v>
      </c>
      <c r="E63" s="174" t="s">
        <v>204</v>
      </c>
      <c r="F63" s="146" t="s">
        <v>7430</v>
      </c>
      <c r="G63" s="146" t="s">
        <v>7431</v>
      </c>
      <c r="H63" s="174" t="s">
        <v>387</v>
      </c>
      <c r="I63" s="146" t="s">
        <v>7432</v>
      </c>
      <c r="J63" s="146" t="s">
        <v>7433</v>
      </c>
    </row>
    <row r="64" spans="1:10" ht="23.4">
      <c r="A64" s="167"/>
      <c r="B64" s="167"/>
      <c r="C64" s="146" t="s">
        <v>7434</v>
      </c>
      <c r="D64" s="146" t="s">
        <v>7435</v>
      </c>
      <c r="E64" s="174" t="s">
        <v>209</v>
      </c>
      <c r="F64" s="146" t="s">
        <v>7436</v>
      </c>
      <c r="G64" s="146" t="s">
        <v>7246</v>
      </c>
      <c r="H64" s="174" t="s">
        <v>387</v>
      </c>
      <c r="I64" s="146" t="s">
        <v>7437</v>
      </c>
      <c r="J64" s="146" t="s">
        <v>7438</v>
      </c>
    </row>
    <row r="65" spans="1:10" ht="23.4">
      <c r="A65" s="167"/>
      <c r="B65" s="167"/>
      <c r="C65" s="146" t="s">
        <v>7439</v>
      </c>
      <c r="D65" s="146" t="s">
        <v>7440</v>
      </c>
      <c r="E65" s="174" t="s">
        <v>242</v>
      </c>
      <c r="F65" s="146" t="s">
        <v>7441</v>
      </c>
      <c r="G65" s="146" t="s">
        <v>7442</v>
      </c>
      <c r="H65" s="174" t="s">
        <v>14</v>
      </c>
      <c r="I65" s="146" t="s">
        <v>7213</v>
      </c>
      <c r="J65" s="146" t="s">
        <v>7443</v>
      </c>
    </row>
    <row r="66" spans="1:10" ht="23.4">
      <c r="A66" s="167"/>
      <c r="B66" s="167"/>
      <c r="C66" s="146" t="s">
        <v>7444</v>
      </c>
      <c r="D66" s="146" t="s">
        <v>7445</v>
      </c>
      <c r="E66" s="174" t="s">
        <v>209</v>
      </c>
      <c r="F66" s="146" t="s">
        <v>7446</v>
      </c>
      <c r="G66" s="146" t="s">
        <v>7447</v>
      </c>
      <c r="H66" s="174" t="s">
        <v>387</v>
      </c>
      <c r="I66" s="146" t="s">
        <v>7448</v>
      </c>
      <c r="J66" s="146" t="s">
        <v>7449</v>
      </c>
    </row>
    <row r="67" spans="1:10" ht="23.4">
      <c r="A67" s="167"/>
      <c r="B67" s="167" t="s">
        <v>187</v>
      </c>
      <c r="C67" s="146" t="s">
        <v>7450</v>
      </c>
      <c r="D67" s="146" t="s">
        <v>7451</v>
      </c>
      <c r="E67" s="174" t="s">
        <v>209</v>
      </c>
      <c r="F67" s="146" t="s">
        <v>7452</v>
      </c>
      <c r="G67" s="146" t="s">
        <v>7453</v>
      </c>
      <c r="H67" s="174" t="s">
        <v>387</v>
      </c>
      <c r="I67" s="146" t="s">
        <v>6770</v>
      </c>
      <c r="J67" s="146" t="s">
        <v>7454</v>
      </c>
    </row>
    <row r="68" spans="1:10" ht="23.4">
      <c r="A68" s="167"/>
      <c r="B68" s="167"/>
      <c r="C68" s="146" t="s">
        <v>7455</v>
      </c>
      <c r="D68" s="146" t="s">
        <v>7456</v>
      </c>
      <c r="E68" s="174" t="s">
        <v>242</v>
      </c>
      <c r="F68" s="146" t="s">
        <v>7457</v>
      </c>
      <c r="G68" s="146" t="s">
        <v>7458</v>
      </c>
      <c r="H68" s="174" t="s">
        <v>387</v>
      </c>
      <c r="I68" s="146" t="s">
        <v>7459</v>
      </c>
      <c r="J68" s="146" t="s">
        <v>7460</v>
      </c>
    </row>
    <row r="69" spans="1:10" ht="23.4">
      <c r="A69" s="167"/>
      <c r="B69" s="167"/>
      <c r="C69" s="146" t="s">
        <v>7461</v>
      </c>
      <c r="D69" s="146" t="s">
        <v>7462</v>
      </c>
      <c r="E69" s="174" t="s">
        <v>209</v>
      </c>
      <c r="F69" s="146" t="s">
        <v>7463</v>
      </c>
      <c r="G69" s="146" t="s">
        <v>7464</v>
      </c>
      <c r="H69" s="174" t="s">
        <v>387</v>
      </c>
      <c r="I69" s="146" t="s">
        <v>7465</v>
      </c>
      <c r="J69" s="146" t="s">
        <v>7466</v>
      </c>
    </row>
    <row r="70" spans="1:10" ht="23.4">
      <c r="A70" s="167"/>
      <c r="B70" s="167"/>
      <c r="C70" s="146" t="s">
        <v>7467</v>
      </c>
      <c r="D70" s="146" t="s">
        <v>7468</v>
      </c>
      <c r="E70" s="174" t="s">
        <v>209</v>
      </c>
      <c r="F70" s="146" t="s">
        <v>7469</v>
      </c>
      <c r="G70" s="146" t="s">
        <v>7470</v>
      </c>
      <c r="H70" s="174" t="s">
        <v>14</v>
      </c>
      <c r="I70" s="146" t="s">
        <v>7471</v>
      </c>
      <c r="J70" s="146" t="s">
        <v>7472</v>
      </c>
    </row>
    <row r="71" spans="1:10" ht="23.4">
      <c r="A71" s="167"/>
      <c r="B71" s="167"/>
      <c r="C71" s="146" t="s">
        <v>7473</v>
      </c>
      <c r="D71" s="146" t="s">
        <v>7474</v>
      </c>
      <c r="E71" s="184" t="s">
        <v>204</v>
      </c>
      <c r="F71" s="146" t="s">
        <v>7475</v>
      </c>
      <c r="G71" s="146" t="s">
        <v>6656</v>
      </c>
      <c r="H71" s="174" t="s">
        <v>14</v>
      </c>
      <c r="I71" s="146" t="s">
        <v>7476</v>
      </c>
      <c r="J71" s="146" t="s">
        <v>7477</v>
      </c>
    </row>
    <row r="72" spans="1:10" ht="23.4">
      <c r="A72" s="167"/>
      <c r="B72" s="145" t="s">
        <v>7478</v>
      </c>
      <c r="C72" s="146" t="s">
        <v>7479</v>
      </c>
      <c r="D72" s="146" t="s">
        <v>7480</v>
      </c>
      <c r="E72" s="184" t="s">
        <v>209</v>
      </c>
      <c r="F72" s="146" t="s">
        <v>7481</v>
      </c>
      <c r="G72" s="146" t="s">
        <v>7031</v>
      </c>
      <c r="H72" s="174" t="s">
        <v>387</v>
      </c>
      <c r="I72" s="146" t="s">
        <v>6909</v>
      </c>
      <c r="J72" s="146" t="s">
        <v>7482</v>
      </c>
    </row>
    <row r="73" spans="1:10" ht="23.4">
      <c r="A73" s="167"/>
      <c r="B73" s="167"/>
      <c r="C73" s="146" t="s">
        <v>7483</v>
      </c>
      <c r="D73" s="146" t="s">
        <v>7484</v>
      </c>
      <c r="E73" s="184" t="s">
        <v>204</v>
      </c>
      <c r="F73" s="146" t="s">
        <v>7485</v>
      </c>
      <c r="G73" s="146" t="s">
        <v>7486</v>
      </c>
      <c r="H73" s="174" t="s">
        <v>14</v>
      </c>
      <c r="I73" s="146" t="s">
        <v>7487</v>
      </c>
      <c r="J73" s="146" t="s">
        <v>7488</v>
      </c>
    </row>
    <row r="74" spans="1:10" ht="23.4">
      <c r="A74" s="167"/>
      <c r="B74" s="167"/>
      <c r="C74" s="146" t="s">
        <v>7489</v>
      </c>
      <c r="D74" s="146" t="s">
        <v>7490</v>
      </c>
      <c r="E74" s="184" t="s">
        <v>204</v>
      </c>
      <c r="F74" s="146" t="s">
        <v>7491</v>
      </c>
      <c r="G74" s="146" t="s">
        <v>7156</v>
      </c>
      <c r="H74" s="174" t="s">
        <v>387</v>
      </c>
      <c r="I74" s="146" t="s">
        <v>7492</v>
      </c>
      <c r="J74" s="146" t="s">
        <v>7493</v>
      </c>
    </row>
    <row r="75" spans="1:10" ht="23.4">
      <c r="A75" s="167"/>
      <c r="B75" s="167"/>
      <c r="C75" s="146" t="s">
        <v>7494</v>
      </c>
      <c r="D75" s="146" t="s">
        <v>7495</v>
      </c>
      <c r="E75" s="174" t="s">
        <v>209</v>
      </c>
      <c r="F75" s="146" t="s">
        <v>7496</v>
      </c>
      <c r="G75" s="146" t="s">
        <v>7042</v>
      </c>
      <c r="H75" s="174" t="s">
        <v>14</v>
      </c>
      <c r="I75" s="146" t="s">
        <v>7009</v>
      </c>
      <c r="J75" s="146" t="s">
        <v>7497</v>
      </c>
    </row>
    <row r="76" spans="1:10" ht="23.4">
      <c r="A76" s="167"/>
      <c r="B76" s="167"/>
      <c r="C76" s="146" t="s">
        <v>7498</v>
      </c>
      <c r="D76" s="146" t="s">
        <v>7499</v>
      </c>
      <c r="E76" s="174" t="s">
        <v>242</v>
      </c>
      <c r="F76" s="146" t="s">
        <v>7025</v>
      </c>
      <c r="G76" s="146" t="s">
        <v>7026</v>
      </c>
      <c r="H76" s="174" t="s">
        <v>14</v>
      </c>
      <c r="I76" s="146" t="s">
        <v>6478</v>
      </c>
      <c r="J76" s="146" t="s">
        <v>7500</v>
      </c>
    </row>
    <row r="77" spans="1:10" ht="23.4">
      <c r="A77" s="166" t="s">
        <v>188</v>
      </c>
      <c r="B77" s="153" t="s">
        <v>7501</v>
      </c>
      <c r="C77" s="154" t="s">
        <v>7502</v>
      </c>
      <c r="D77" s="154" t="s">
        <v>7503</v>
      </c>
      <c r="E77" s="184" t="s">
        <v>209</v>
      </c>
      <c r="F77" s="154" t="s">
        <v>7504</v>
      </c>
      <c r="G77" s="154" t="s">
        <v>7505</v>
      </c>
      <c r="H77" s="184" t="s">
        <v>387</v>
      </c>
      <c r="I77" s="154" t="s">
        <v>6544</v>
      </c>
      <c r="J77" s="154" t="s">
        <v>7506</v>
      </c>
    </row>
    <row r="78" spans="1:10" ht="23.4">
      <c r="A78" s="166"/>
      <c r="B78" s="166"/>
      <c r="C78" s="154" t="s">
        <v>7507</v>
      </c>
      <c r="D78" s="154" t="s">
        <v>7508</v>
      </c>
      <c r="E78" s="184" t="s">
        <v>209</v>
      </c>
      <c r="F78" s="154" t="s">
        <v>7509</v>
      </c>
      <c r="G78" s="154" t="s">
        <v>7510</v>
      </c>
      <c r="H78" s="184" t="s">
        <v>14</v>
      </c>
      <c r="I78" s="154" t="s">
        <v>7511</v>
      </c>
      <c r="J78" s="154" t="s">
        <v>7512</v>
      </c>
    </row>
    <row r="79" spans="1:10" ht="23.4">
      <c r="A79" s="166"/>
      <c r="B79" s="166"/>
      <c r="C79" s="154" t="s">
        <v>7513</v>
      </c>
      <c r="D79" s="154" t="s">
        <v>7514</v>
      </c>
      <c r="E79" s="184" t="s">
        <v>204</v>
      </c>
      <c r="F79" s="154" t="s">
        <v>7515</v>
      </c>
      <c r="G79" s="154" t="s">
        <v>7516</v>
      </c>
      <c r="H79" s="184" t="s">
        <v>14</v>
      </c>
      <c r="I79" s="154" t="s">
        <v>7517</v>
      </c>
      <c r="J79" s="154" t="s">
        <v>7518</v>
      </c>
    </row>
    <row r="80" spans="1:10" ht="23.4">
      <c r="A80" s="166"/>
      <c r="B80" s="166"/>
      <c r="C80" s="154" t="s">
        <v>7519</v>
      </c>
      <c r="D80" s="154" t="s">
        <v>7520</v>
      </c>
      <c r="E80" s="184" t="s">
        <v>209</v>
      </c>
      <c r="F80" s="154" t="s">
        <v>7521</v>
      </c>
      <c r="G80" s="154" t="s">
        <v>6639</v>
      </c>
      <c r="H80" s="184" t="s">
        <v>14</v>
      </c>
      <c r="I80" s="154" t="s">
        <v>7009</v>
      </c>
      <c r="J80" s="154" t="s">
        <v>7522</v>
      </c>
    </row>
    <row r="81" spans="1:10" ht="23.4">
      <c r="A81" s="166"/>
      <c r="B81" s="166"/>
      <c r="C81" s="154" t="s">
        <v>7523</v>
      </c>
      <c r="D81" s="154" t="s">
        <v>7524</v>
      </c>
      <c r="E81" s="184" t="s">
        <v>204</v>
      </c>
      <c r="F81" s="154" t="s">
        <v>7025</v>
      </c>
      <c r="G81" s="154" t="s">
        <v>7525</v>
      </c>
      <c r="H81" s="184" t="s">
        <v>387</v>
      </c>
      <c r="I81" s="154" t="s">
        <v>6478</v>
      </c>
      <c r="J81" s="154" t="s">
        <v>7526</v>
      </c>
    </row>
    <row r="82" spans="1:10" ht="23.4">
      <c r="A82" s="166"/>
      <c r="B82" s="166" t="s">
        <v>189</v>
      </c>
      <c r="C82" s="154" t="s">
        <v>7527</v>
      </c>
      <c r="D82" s="154" t="s">
        <v>7528</v>
      </c>
      <c r="E82" s="184" t="s">
        <v>204</v>
      </c>
      <c r="F82" s="154" t="s">
        <v>7529</v>
      </c>
      <c r="G82" s="154" t="s">
        <v>7530</v>
      </c>
      <c r="H82" s="184" t="s">
        <v>387</v>
      </c>
      <c r="I82" s="154" t="s">
        <v>7531</v>
      </c>
      <c r="J82" s="154" t="s">
        <v>7532</v>
      </c>
    </row>
    <row r="83" spans="1:10" ht="23.4">
      <c r="A83" s="166"/>
      <c r="B83" s="166"/>
      <c r="C83" s="154" t="s">
        <v>7533</v>
      </c>
      <c r="D83" s="154" t="s">
        <v>7534</v>
      </c>
      <c r="E83" s="184" t="s">
        <v>204</v>
      </c>
      <c r="F83" s="154" t="s">
        <v>7535</v>
      </c>
      <c r="G83" s="154" t="s">
        <v>7374</v>
      </c>
      <c r="H83" s="184" t="s">
        <v>14</v>
      </c>
      <c r="I83" s="154" t="s">
        <v>7184</v>
      </c>
      <c r="J83" s="154" t="s">
        <v>7536</v>
      </c>
    </row>
    <row r="84" spans="1:10" ht="23.4">
      <c r="A84" s="166"/>
      <c r="B84" s="166"/>
      <c r="C84" s="154" t="s">
        <v>7537</v>
      </c>
      <c r="D84" s="154" t="s">
        <v>7538</v>
      </c>
      <c r="E84" s="184" t="s">
        <v>242</v>
      </c>
      <c r="F84" s="154" t="s">
        <v>7539</v>
      </c>
      <c r="G84" s="154" t="s">
        <v>7540</v>
      </c>
      <c r="H84" s="184" t="s">
        <v>14</v>
      </c>
      <c r="I84" s="154" t="s">
        <v>7541</v>
      </c>
      <c r="J84" s="154" t="s">
        <v>7381</v>
      </c>
    </row>
    <row r="85" spans="1:10" ht="23.4">
      <c r="A85" s="166"/>
      <c r="B85" s="166"/>
      <c r="C85" s="154" t="s">
        <v>7542</v>
      </c>
      <c r="D85" s="154" t="s">
        <v>7543</v>
      </c>
      <c r="E85" s="184" t="s">
        <v>204</v>
      </c>
      <c r="F85" s="154" t="s">
        <v>7544</v>
      </c>
      <c r="G85" s="154" t="s">
        <v>7545</v>
      </c>
      <c r="H85" s="184" t="s">
        <v>387</v>
      </c>
      <c r="I85" s="154" t="s">
        <v>7546</v>
      </c>
      <c r="J85" s="154" t="s">
        <v>7547</v>
      </c>
    </row>
    <row r="86" spans="1:10" ht="23.4">
      <c r="A86" s="166"/>
      <c r="B86" s="166"/>
      <c r="C86" s="154" t="s">
        <v>7548</v>
      </c>
      <c r="D86" s="154" t="s">
        <v>7549</v>
      </c>
      <c r="E86" s="184" t="s">
        <v>209</v>
      </c>
      <c r="F86" s="154" t="s">
        <v>7550</v>
      </c>
      <c r="G86" s="154" t="s">
        <v>7551</v>
      </c>
      <c r="H86" s="184" t="s">
        <v>387</v>
      </c>
      <c r="I86" s="154" t="s">
        <v>7419</v>
      </c>
      <c r="J86" s="154" t="s">
        <v>7552</v>
      </c>
    </row>
    <row r="87" spans="1:10" ht="23.4">
      <c r="A87" s="166"/>
      <c r="B87" s="153" t="s">
        <v>7553</v>
      </c>
      <c r="C87" s="154" t="s">
        <v>7554</v>
      </c>
      <c r="D87" s="154" t="s">
        <v>7555</v>
      </c>
      <c r="E87" s="184" t="s">
        <v>242</v>
      </c>
      <c r="F87" s="154" t="s">
        <v>7556</v>
      </c>
      <c r="G87" s="154" t="s">
        <v>7557</v>
      </c>
      <c r="H87" s="184" t="s">
        <v>14</v>
      </c>
      <c r="I87" s="154" t="s">
        <v>7426</v>
      </c>
      <c r="J87" s="154" t="s">
        <v>7427</v>
      </c>
    </row>
    <row r="88" spans="1:10" ht="23.4">
      <c r="A88" s="166"/>
      <c r="B88" s="166"/>
      <c r="C88" s="154" t="s">
        <v>7558</v>
      </c>
      <c r="D88" s="154" t="s">
        <v>7559</v>
      </c>
      <c r="E88" s="184" t="s">
        <v>209</v>
      </c>
      <c r="F88" s="154" t="s">
        <v>7446</v>
      </c>
      <c r="G88" s="154" t="s">
        <v>7560</v>
      </c>
      <c r="H88" s="184" t="s">
        <v>387</v>
      </c>
      <c r="I88" s="154" t="s">
        <v>7561</v>
      </c>
      <c r="J88" s="154" t="s">
        <v>7562</v>
      </c>
    </row>
    <row r="89" spans="1:10" ht="23.4">
      <c r="A89" s="166"/>
      <c r="B89" s="166"/>
      <c r="C89" s="154" t="s">
        <v>7563</v>
      </c>
      <c r="D89" s="154" t="s">
        <v>7564</v>
      </c>
      <c r="E89" s="184" t="s">
        <v>209</v>
      </c>
      <c r="F89" s="154" t="s">
        <v>7430</v>
      </c>
      <c r="G89" s="154" t="s">
        <v>7565</v>
      </c>
      <c r="H89" s="184" t="s">
        <v>387</v>
      </c>
      <c r="I89" s="154" t="s">
        <v>7566</v>
      </c>
      <c r="J89" s="154" t="s">
        <v>7567</v>
      </c>
    </row>
    <row r="90" spans="1:10" ht="23.4">
      <c r="A90" s="166"/>
      <c r="B90" s="166"/>
      <c r="C90" s="154" t="s">
        <v>7568</v>
      </c>
      <c r="D90" s="154" t="s">
        <v>7569</v>
      </c>
      <c r="E90" s="184" t="s">
        <v>242</v>
      </c>
      <c r="F90" s="154" t="s">
        <v>7570</v>
      </c>
      <c r="G90" s="154" t="s">
        <v>7447</v>
      </c>
      <c r="H90" s="184" t="s">
        <v>387</v>
      </c>
      <c r="I90" s="154" t="s">
        <v>7448</v>
      </c>
      <c r="J90" s="154" t="s">
        <v>7449</v>
      </c>
    </row>
    <row r="91" spans="1:10" ht="23.4">
      <c r="A91" s="166"/>
      <c r="B91" s="166"/>
      <c r="C91" s="154" t="s">
        <v>7571</v>
      </c>
      <c r="D91" s="154" t="s">
        <v>7572</v>
      </c>
      <c r="E91" s="184" t="s">
        <v>209</v>
      </c>
      <c r="F91" s="154" t="s">
        <v>7469</v>
      </c>
      <c r="G91" s="154" t="s">
        <v>7573</v>
      </c>
      <c r="H91" s="184" t="s">
        <v>387</v>
      </c>
      <c r="I91" s="154" t="s">
        <v>7213</v>
      </c>
      <c r="J91" s="154" t="s">
        <v>7574</v>
      </c>
    </row>
    <row r="92" spans="1:10" ht="23.4">
      <c r="A92" s="166"/>
      <c r="B92" s="166" t="s">
        <v>190</v>
      </c>
      <c r="C92" s="154" t="s">
        <v>7575</v>
      </c>
      <c r="D92" s="154" t="s">
        <v>7576</v>
      </c>
      <c r="E92" s="184" t="s">
        <v>209</v>
      </c>
      <c r="F92" s="154" t="s">
        <v>7577</v>
      </c>
      <c r="G92" s="154" t="s">
        <v>7578</v>
      </c>
      <c r="H92" s="184" t="s">
        <v>14</v>
      </c>
      <c r="I92" s="154" t="s">
        <v>7579</v>
      </c>
      <c r="J92" s="154" t="s">
        <v>7580</v>
      </c>
    </row>
    <row r="93" spans="1:10" ht="23.4">
      <c r="A93" s="166"/>
      <c r="B93" s="166"/>
      <c r="C93" s="154" t="s">
        <v>7581</v>
      </c>
      <c r="D93" s="154" t="s">
        <v>7582</v>
      </c>
      <c r="E93" s="184" t="s">
        <v>204</v>
      </c>
      <c r="F93" s="154" t="s">
        <v>7577</v>
      </c>
      <c r="G93" s="154" t="s">
        <v>7578</v>
      </c>
      <c r="H93" s="184" t="s">
        <v>387</v>
      </c>
      <c r="I93" s="154" t="s">
        <v>7579</v>
      </c>
      <c r="J93" s="154" t="s">
        <v>7583</v>
      </c>
    </row>
    <row r="94" spans="1:10" ht="23.4">
      <c r="A94" s="166"/>
      <c r="B94" s="166"/>
      <c r="C94" s="154" t="s">
        <v>7584</v>
      </c>
      <c r="D94" s="154" t="s">
        <v>7585</v>
      </c>
      <c r="E94" s="184" t="s">
        <v>209</v>
      </c>
      <c r="F94" s="154" t="s">
        <v>7586</v>
      </c>
      <c r="G94" s="154" t="s">
        <v>7587</v>
      </c>
      <c r="H94" s="184" t="s">
        <v>14</v>
      </c>
      <c r="I94" s="154" t="s">
        <v>6544</v>
      </c>
      <c r="J94" s="154" t="s">
        <v>7588</v>
      </c>
    </row>
    <row r="95" spans="1:10" ht="23.4">
      <c r="A95" s="166"/>
      <c r="B95" s="166"/>
      <c r="C95" s="154" t="s">
        <v>7589</v>
      </c>
      <c r="D95" s="154" t="s">
        <v>7590</v>
      </c>
      <c r="E95" s="184" t="s">
        <v>204</v>
      </c>
      <c r="F95" s="154" t="s">
        <v>7591</v>
      </c>
      <c r="G95" s="154" t="s">
        <v>7592</v>
      </c>
      <c r="H95" s="184" t="s">
        <v>14</v>
      </c>
      <c r="I95" s="154" t="s">
        <v>7593</v>
      </c>
      <c r="J95" s="154" t="s">
        <v>7594</v>
      </c>
    </row>
    <row r="96" spans="1:10" ht="23.4">
      <c r="A96" s="166"/>
      <c r="B96" s="166"/>
      <c r="C96" s="154" t="s">
        <v>7595</v>
      </c>
      <c r="D96" s="154" t="s">
        <v>7596</v>
      </c>
      <c r="E96" s="184" t="s">
        <v>204</v>
      </c>
      <c r="F96" s="154" t="s">
        <v>7597</v>
      </c>
      <c r="G96" s="154" t="s">
        <v>7598</v>
      </c>
      <c r="H96" s="184" t="s">
        <v>387</v>
      </c>
      <c r="I96" s="154" t="s">
        <v>7599</v>
      </c>
      <c r="J96" s="154" t="s">
        <v>7600</v>
      </c>
    </row>
    <row r="97" spans="1:10" ht="23.4">
      <c r="A97" s="166"/>
      <c r="B97" s="153" t="s">
        <v>7601</v>
      </c>
      <c r="C97" s="154" t="s">
        <v>7602</v>
      </c>
      <c r="D97" s="154" t="s">
        <v>7603</v>
      </c>
      <c r="E97" s="184" t="s">
        <v>204</v>
      </c>
      <c r="F97" s="154" t="s">
        <v>7604</v>
      </c>
      <c r="G97" s="154" t="s">
        <v>7605</v>
      </c>
      <c r="H97" s="184" t="s">
        <v>14</v>
      </c>
      <c r="I97" s="154" t="s">
        <v>7606</v>
      </c>
      <c r="J97" s="154" t="s">
        <v>7607</v>
      </c>
    </row>
    <row r="98" spans="1:10" ht="23.4">
      <c r="A98" s="166"/>
      <c r="B98" s="166"/>
      <c r="C98" s="154" t="s">
        <v>7608</v>
      </c>
      <c r="D98" s="154" t="s">
        <v>7609</v>
      </c>
      <c r="E98" s="184" t="s">
        <v>242</v>
      </c>
      <c r="F98" s="154" t="s">
        <v>7610</v>
      </c>
      <c r="G98" s="154" t="s">
        <v>7611</v>
      </c>
      <c r="H98" s="184" t="s">
        <v>14</v>
      </c>
      <c r="I98" s="154" t="s">
        <v>7612</v>
      </c>
      <c r="J98" s="154" t="s">
        <v>7613</v>
      </c>
    </row>
    <row r="99" spans="1:10" ht="23.4">
      <c r="A99" s="166"/>
      <c r="B99" s="166"/>
      <c r="C99" s="154" t="s">
        <v>7614</v>
      </c>
      <c r="D99" s="154" t="s">
        <v>7615</v>
      </c>
      <c r="E99" s="184" t="s">
        <v>204</v>
      </c>
      <c r="F99" s="154" t="s">
        <v>7616</v>
      </c>
      <c r="G99" s="154" t="s">
        <v>7617</v>
      </c>
      <c r="H99" s="184" t="s">
        <v>14</v>
      </c>
      <c r="I99" s="154" t="s">
        <v>7618</v>
      </c>
      <c r="J99" s="154" t="s">
        <v>7619</v>
      </c>
    </row>
    <row r="100" spans="1:10" ht="23.4">
      <c r="A100" s="166"/>
      <c r="B100" s="166"/>
      <c r="C100" s="154" t="s">
        <v>7620</v>
      </c>
      <c r="D100" s="154" t="s">
        <v>7621</v>
      </c>
      <c r="E100" s="184" t="s">
        <v>209</v>
      </c>
      <c r="F100" s="154" t="s">
        <v>7622</v>
      </c>
      <c r="G100" s="154" t="s">
        <v>7623</v>
      </c>
      <c r="H100" s="184" t="s">
        <v>14</v>
      </c>
      <c r="I100" s="154" t="s">
        <v>7624</v>
      </c>
      <c r="J100" s="154" t="s">
        <v>7625</v>
      </c>
    </row>
    <row r="101" spans="1:10" ht="23.4">
      <c r="A101" s="166"/>
      <c r="B101" s="166"/>
      <c r="C101" s="154" t="s">
        <v>7626</v>
      </c>
      <c r="D101" s="154" t="s">
        <v>7627</v>
      </c>
      <c r="E101" s="184" t="s">
        <v>242</v>
      </c>
      <c r="F101" s="154" t="s">
        <v>7628</v>
      </c>
      <c r="G101" s="154" t="s">
        <v>7629</v>
      </c>
      <c r="H101" s="184" t="s">
        <v>387</v>
      </c>
      <c r="I101" s="154" t="s">
        <v>6770</v>
      </c>
      <c r="J101" s="154" t="s">
        <v>7630</v>
      </c>
    </row>
    <row r="102" spans="1:10" ht="23.4">
      <c r="A102" s="145" t="s">
        <v>7631</v>
      </c>
      <c r="B102" s="167" t="s">
        <v>191</v>
      </c>
      <c r="C102" s="146" t="s">
        <v>7632</v>
      </c>
      <c r="D102" s="146" t="s">
        <v>7633</v>
      </c>
      <c r="E102" s="174" t="s">
        <v>204</v>
      </c>
      <c r="F102" s="146" t="s">
        <v>7634</v>
      </c>
      <c r="G102" s="146" t="s">
        <v>7031</v>
      </c>
      <c r="H102" s="174" t="s">
        <v>14</v>
      </c>
      <c r="I102" s="146" t="s">
        <v>7635</v>
      </c>
      <c r="J102" s="146" t="s">
        <v>7636</v>
      </c>
    </row>
    <row r="103" spans="1:10" ht="23.4">
      <c r="A103" s="167"/>
      <c r="B103" s="167"/>
      <c r="C103" s="146" t="s">
        <v>7637</v>
      </c>
      <c r="D103" s="146" t="s">
        <v>7638</v>
      </c>
      <c r="E103" s="174" t="s">
        <v>204</v>
      </c>
      <c r="F103" s="146" t="s">
        <v>7639</v>
      </c>
      <c r="G103" s="146" t="s">
        <v>7640</v>
      </c>
      <c r="H103" s="174" t="s">
        <v>387</v>
      </c>
      <c r="I103" s="146" t="s">
        <v>6478</v>
      </c>
      <c r="J103" s="146" t="s">
        <v>7641</v>
      </c>
    </row>
    <row r="104" spans="1:10" ht="23.4">
      <c r="A104" s="167"/>
      <c r="B104" s="167"/>
      <c r="C104" s="146" t="s">
        <v>7642</v>
      </c>
      <c r="D104" s="146" t="s">
        <v>7643</v>
      </c>
      <c r="E104" s="174" t="s">
        <v>209</v>
      </c>
      <c r="F104" s="146" t="s">
        <v>7644</v>
      </c>
      <c r="G104" s="146" t="s">
        <v>7645</v>
      </c>
      <c r="H104" s="174" t="s">
        <v>14</v>
      </c>
      <c r="I104" s="146" t="s">
        <v>7646</v>
      </c>
      <c r="J104" s="146" t="s">
        <v>7647</v>
      </c>
    </row>
    <row r="105" spans="1:10" ht="23.4">
      <c r="A105" s="167"/>
      <c r="B105" s="167"/>
      <c r="C105" s="146" t="s">
        <v>7648</v>
      </c>
      <c r="D105" s="146" t="s">
        <v>7649</v>
      </c>
      <c r="E105" s="174" t="s">
        <v>204</v>
      </c>
      <c r="F105" s="146" t="s">
        <v>7025</v>
      </c>
      <c r="G105" s="146" t="s">
        <v>7650</v>
      </c>
      <c r="H105" s="174" t="s">
        <v>14</v>
      </c>
      <c r="I105" s="146" t="s">
        <v>7651</v>
      </c>
      <c r="J105" s="146" t="s">
        <v>7652</v>
      </c>
    </row>
    <row r="106" spans="1:10" ht="23.4">
      <c r="A106" s="167"/>
      <c r="B106" s="167"/>
      <c r="C106" s="146" t="s">
        <v>7653</v>
      </c>
      <c r="D106" s="146" t="s">
        <v>7654</v>
      </c>
      <c r="E106" s="174" t="s">
        <v>204</v>
      </c>
      <c r="F106" s="146" t="s">
        <v>7655</v>
      </c>
      <c r="G106" s="146" t="s">
        <v>7656</v>
      </c>
      <c r="H106" s="174" t="s">
        <v>387</v>
      </c>
      <c r="I106" s="146" t="s">
        <v>7657</v>
      </c>
      <c r="J106" s="146" t="s">
        <v>7658</v>
      </c>
    </row>
    <row r="107" spans="1:10" ht="23.4">
      <c r="A107" s="167"/>
      <c r="B107" s="145" t="s">
        <v>7659</v>
      </c>
      <c r="C107" s="146" t="s">
        <v>7660</v>
      </c>
      <c r="D107" s="146" t="s">
        <v>7661</v>
      </c>
      <c r="E107" s="174" t="s">
        <v>204</v>
      </c>
      <c r="F107" s="146" t="s">
        <v>7662</v>
      </c>
      <c r="G107" s="146" t="s">
        <v>7663</v>
      </c>
      <c r="H107" s="174" t="s">
        <v>14</v>
      </c>
      <c r="I107" s="146" t="s">
        <v>7624</v>
      </c>
      <c r="J107" s="146" t="s">
        <v>7664</v>
      </c>
    </row>
    <row r="108" spans="1:10" ht="23.4">
      <c r="A108" s="167"/>
      <c r="B108" s="167"/>
      <c r="C108" s="146" t="s">
        <v>7665</v>
      </c>
      <c r="D108" s="146" t="s">
        <v>7666</v>
      </c>
      <c r="E108" s="174" t="s">
        <v>204</v>
      </c>
      <c r="F108" s="146" t="s">
        <v>7667</v>
      </c>
      <c r="G108" s="146" t="s">
        <v>7668</v>
      </c>
      <c r="H108" s="174" t="s">
        <v>14</v>
      </c>
      <c r="I108" s="146" t="s">
        <v>7669</v>
      </c>
      <c r="J108" s="146" t="s">
        <v>7670</v>
      </c>
    </row>
    <row r="109" spans="1:10" ht="23.4">
      <c r="A109" s="167"/>
      <c r="B109" s="167"/>
      <c r="C109" s="146" t="s">
        <v>7671</v>
      </c>
      <c r="D109" s="146" t="s">
        <v>7672</v>
      </c>
      <c r="E109" s="174" t="s">
        <v>204</v>
      </c>
      <c r="F109" s="146" t="s">
        <v>6543</v>
      </c>
      <c r="G109" s="146" t="s">
        <v>7673</v>
      </c>
      <c r="H109" s="174" t="s">
        <v>14</v>
      </c>
      <c r="I109" s="146" t="s">
        <v>7674</v>
      </c>
      <c r="J109" s="146" t="s">
        <v>6981</v>
      </c>
    </row>
    <row r="110" spans="1:10" ht="23.4">
      <c r="A110" s="167"/>
      <c r="B110" s="167"/>
      <c r="C110" s="146" t="s">
        <v>7675</v>
      </c>
      <c r="D110" s="146" t="s">
        <v>7676</v>
      </c>
      <c r="E110" s="174" t="s">
        <v>209</v>
      </c>
      <c r="F110" s="146" t="s">
        <v>7677</v>
      </c>
      <c r="G110" s="146" t="s">
        <v>7678</v>
      </c>
      <c r="H110" s="174" t="s">
        <v>387</v>
      </c>
      <c r="I110" s="146" t="s">
        <v>7679</v>
      </c>
      <c r="J110" s="146" t="s">
        <v>7680</v>
      </c>
    </row>
    <row r="111" spans="1:10" ht="23.4">
      <c r="A111" s="167"/>
      <c r="B111" s="167"/>
      <c r="C111" s="146" t="s">
        <v>7681</v>
      </c>
      <c r="D111" s="146" t="s">
        <v>7682</v>
      </c>
      <c r="E111" s="174" t="s">
        <v>209</v>
      </c>
      <c r="F111" s="146" t="s">
        <v>7616</v>
      </c>
      <c r="G111" s="146" t="s">
        <v>7551</v>
      </c>
      <c r="H111" s="174" t="s">
        <v>14</v>
      </c>
      <c r="I111" s="146" t="s">
        <v>7419</v>
      </c>
      <c r="J111" s="146" t="s">
        <v>7683</v>
      </c>
    </row>
    <row r="112" spans="1:10" ht="23.4">
      <c r="A112" s="167"/>
      <c r="B112" s="167" t="s">
        <v>192</v>
      </c>
      <c r="C112" s="146" t="s">
        <v>7684</v>
      </c>
      <c r="D112" s="146" t="s">
        <v>7685</v>
      </c>
      <c r="E112" s="174" t="s">
        <v>242</v>
      </c>
      <c r="F112" s="146" t="s">
        <v>7686</v>
      </c>
      <c r="G112" s="146" t="s">
        <v>7687</v>
      </c>
      <c r="H112" s="174" t="s">
        <v>14</v>
      </c>
      <c r="I112" s="146" t="s">
        <v>6679</v>
      </c>
      <c r="J112" s="146" t="s">
        <v>7688</v>
      </c>
    </row>
    <row r="113" spans="1:10" ht="23.4">
      <c r="A113" s="167"/>
      <c r="B113" s="167"/>
      <c r="C113" s="146" t="s">
        <v>7689</v>
      </c>
      <c r="D113" s="146" t="s">
        <v>7690</v>
      </c>
      <c r="E113" s="174" t="s">
        <v>242</v>
      </c>
      <c r="F113" s="146" t="s">
        <v>7691</v>
      </c>
      <c r="G113" s="146" t="s">
        <v>7014</v>
      </c>
      <c r="H113" s="174" t="s">
        <v>387</v>
      </c>
      <c r="I113" s="146" t="s">
        <v>7692</v>
      </c>
      <c r="J113" s="146" t="s">
        <v>7693</v>
      </c>
    </row>
    <row r="114" spans="1:10" ht="23.4">
      <c r="A114" s="167"/>
      <c r="B114" s="167"/>
      <c r="C114" s="146" t="s">
        <v>7694</v>
      </c>
      <c r="D114" s="146" t="s">
        <v>7695</v>
      </c>
      <c r="E114" s="174" t="s">
        <v>209</v>
      </c>
      <c r="F114" s="146" t="s">
        <v>7696</v>
      </c>
      <c r="G114" s="146" t="s">
        <v>7697</v>
      </c>
      <c r="H114" s="174" t="s">
        <v>387</v>
      </c>
      <c r="I114" s="146" t="s">
        <v>7698</v>
      </c>
      <c r="J114" s="146" t="s">
        <v>7699</v>
      </c>
    </row>
    <row r="115" spans="1:10" ht="23.4">
      <c r="A115" s="167"/>
      <c r="B115" s="167"/>
      <c r="C115" s="146" t="s">
        <v>7700</v>
      </c>
      <c r="D115" s="146" t="s">
        <v>7701</v>
      </c>
      <c r="E115" s="174" t="s">
        <v>209</v>
      </c>
      <c r="F115" s="146" t="s">
        <v>7702</v>
      </c>
      <c r="G115" s="146" t="s">
        <v>7703</v>
      </c>
      <c r="H115" s="174" t="s">
        <v>14</v>
      </c>
      <c r="I115" s="146" t="s">
        <v>7704</v>
      </c>
      <c r="J115" s="146" t="s">
        <v>7705</v>
      </c>
    </row>
    <row r="116" spans="1:10" ht="23.4">
      <c r="A116" s="167"/>
      <c r="B116" s="167"/>
      <c r="C116" s="146" t="s">
        <v>7706</v>
      </c>
      <c r="D116" s="146" t="s">
        <v>7707</v>
      </c>
      <c r="E116" s="174" t="s">
        <v>204</v>
      </c>
      <c r="F116" s="146" t="s">
        <v>7708</v>
      </c>
      <c r="G116" s="146" t="s">
        <v>7246</v>
      </c>
      <c r="H116" s="174" t="s">
        <v>387</v>
      </c>
      <c r="I116" s="146" t="s">
        <v>7009</v>
      </c>
      <c r="J116" s="146" t="s">
        <v>7709</v>
      </c>
    </row>
    <row r="117" spans="1:10" ht="23.4">
      <c r="A117" s="167"/>
      <c r="B117" s="167" t="s">
        <v>193</v>
      </c>
      <c r="C117" s="146" t="s">
        <v>7710</v>
      </c>
      <c r="D117" s="146" t="s">
        <v>7711</v>
      </c>
      <c r="E117" s="174" t="s">
        <v>204</v>
      </c>
      <c r="F117" s="146" t="s">
        <v>7712</v>
      </c>
      <c r="G117" s="146" t="s">
        <v>7713</v>
      </c>
      <c r="H117" s="174" t="s">
        <v>387</v>
      </c>
      <c r="I117" s="146" t="s">
        <v>7714</v>
      </c>
      <c r="J117" s="146" t="s">
        <v>7715</v>
      </c>
    </row>
    <row r="118" spans="1:10" ht="23.4">
      <c r="A118" s="167"/>
      <c r="B118" s="167"/>
      <c r="C118" s="146" t="s">
        <v>7716</v>
      </c>
      <c r="D118" s="146" t="s">
        <v>7717</v>
      </c>
      <c r="E118" s="174" t="s">
        <v>204</v>
      </c>
      <c r="F118" s="146" t="s">
        <v>7718</v>
      </c>
      <c r="G118" s="146" t="s">
        <v>7719</v>
      </c>
      <c r="H118" s="174" t="s">
        <v>387</v>
      </c>
      <c r="I118" s="146" t="s">
        <v>7720</v>
      </c>
      <c r="J118" s="146" t="s">
        <v>7721</v>
      </c>
    </row>
    <row r="119" spans="1:10" ht="23.4">
      <c r="A119" s="167"/>
      <c r="B119" s="167"/>
      <c r="C119" s="146" t="s">
        <v>7722</v>
      </c>
      <c r="D119" s="146" t="s">
        <v>7723</v>
      </c>
      <c r="E119" s="174" t="s">
        <v>204</v>
      </c>
      <c r="F119" s="146" t="s">
        <v>7550</v>
      </c>
      <c r="G119" s="146" t="s">
        <v>7724</v>
      </c>
      <c r="H119" s="174" t="s">
        <v>387</v>
      </c>
      <c r="I119" s="146" t="s">
        <v>6557</v>
      </c>
      <c r="J119" s="146" t="s">
        <v>7725</v>
      </c>
    </row>
    <row r="120" spans="1:10" ht="23.4">
      <c r="A120" s="167"/>
      <c r="B120" s="167"/>
      <c r="C120" s="146" t="s">
        <v>7726</v>
      </c>
      <c r="D120" s="146" t="s">
        <v>7727</v>
      </c>
      <c r="E120" s="174" t="s">
        <v>204</v>
      </c>
      <c r="F120" s="146" t="s">
        <v>7728</v>
      </c>
      <c r="G120" s="146" t="s">
        <v>7729</v>
      </c>
      <c r="H120" s="174" t="s">
        <v>14</v>
      </c>
      <c r="I120" s="146" t="s">
        <v>7437</v>
      </c>
      <c r="J120" s="146" t="s">
        <v>7730</v>
      </c>
    </row>
    <row r="121" spans="1:10" ht="23.4">
      <c r="A121" s="167"/>
      <c r="B121" s="167"/>
      <c r="C121" s="146" t="s">
        <v>7731</v>
      </c>
      <c r="D121" s="146" t="s">
        <v>7732</v>
      </c>
      <c r="E121" s="174" t="s">
        <v>204</v>
      </c>
      <c r="F121" s="146" t="s">
        <v>7733</v>
      </c>
      <c r="G121" s="146" t="s">
        <v>7734</v>
      </c>
      <c r="H121" s="174" t="s">
        <v>387</v>
      </c>
      <c r="I121" s="146" t="s">
        <v>7735</v>
      </c>
      <c r="J121" s="146" t="s">
        <v>7736</v>
      </c>
    </row>
    <row r="122" spans="1:10" ht="23.4">
      <c r="A122" s="167"/>
      <c r="B122" s="167" t="s">
        <v>194</v>
      </c>
      <c r="C122" s="146" t="s">
        <v>7737</v>
      </c>
      <c r="D122" s="146" t="s">
        <v>7738</v>
      </c>
      <c r="E122" s="174" t="s">
        <v>204</v>
      </c>
      <c r="F122" s="146" t="s">
        <v>7739</v>
      </c>
      <c r="G122" s="146" t="s">
        <v>7740</v>
      </c>
      <c r="H122" s="174" t="s">
        <v>14</v>
      </c>
      <c r="I122" s="146" t="s">
        <v>7741</v>
      </c>
      <c r="J122" s="146" t="s">
        <v>7742</v>
      </c>
    </row>
    <row r="123" spans="1:10" ht="23.4">
      <c r="A123" s="167"/>
      <c r="B123" s="167"/>
      <c r="C123" s="146" t="s">
        <v>7743</v>
      </c>
      <c r="D123" s="146" t="s">
        <v>7744</v>
      </c>
      <c r="E123" s="174" t="s">
        <v>204</v>
      </c>
      <c r="F123" s="146" t="s">
        <v>7745</v>
      </c>
      <c r="G123" s="146" t="s">
        <v>7505</v>
      </c>
      <c r="H123" s="174" t="s">
        <v>14</v>
      </c>
      <c r="I123" s="146" t="s">
        <v>7746</v>
      </c>
      <c r="J123" s="146" t="s">
        <v>7747</v>
      </c>
    </row>
    <row r="124" spans="1:10" ht="23.4">
      <c r="A124" s="167"/>
      <c r="B124" s="167"/>
      <c r="C124" s="146" t="s">
        <v>7748</v>
      </c>
      <c r="D124" s="146" t="s">
        <v>7749</v>
      </c>
      <c r="E124" s="174" t="s">
        <v>204</v>
      </c>
      <c r="F124" s="146" t="s">
        <v>7750</v>
      </c>
      <c r="G124" s="146" t="s">
        <v>7751</v>
      </c>
      <c r="H124" s="174" t="s">
        <v>387</v>
      </c>
      <c r="I124" s="146" t="s">
        <v>7752</v>
      </c>
      <c r="J124" s="146" t="s">
        <v>7753</v>
      </c>
    </row>
    <row r="125" spans="1:10" ht="23.4">
      <c r="A125" s="167"/>
      <c r="B125" s="167"/>
      <c r="C125" s="146" t="s">
        <v>7754</v>
      </c>
      <c r="D125" s="146" t="s">
        <v>7755</v>
      </c>
      <c r="E125" s="174" t="s">
        <v>204</v>
      </c>
      <c r="F125" s="146" t="s">
        <v>7756</v>
      </c>
      <c r="G125" s="146" t="s">
        <v>7757</v>
      </c>
      <c r="H125" s="174" t="s">
        <v>14</v>
      </c>
      <c r="I125" s="146" t="s">
        <v>7758</v>
      </c>
      <c r="J125" s="146" t="s">
        <v>7759</v>
      </c>
    </row>
    <row r="126" spans="1:10" ht="23.4">
      <c r="A126" s="167"/>
      <c r="B126" s="167"/>
      <c r="C126" s="146" t="s">
        <v>7760</v>
      </c>
      <c r="D126" s="146" t="s">
        <v>7761</v>
      </c>
      <c r="E126" s="174" t="s">
        <v>209</v>
      </c>
      <c r="F126" s="146" t="s">
        <v>6549</v>
      </c>
      <c r="G126" s="146" t="s">
        <v>7762</v>
      </c>
      <c r="H126" s="174" t="s">
        <v>14</v>
      </c>
      <c r="I126" s="146" t="s">
        <v>6735</v>
      </c>
      <c r="J126" s="146" t="s">
        <v>7763</v>
      </c>
    </row>
    <row r="127" spans="1:10">
      <c r="C127"/>
    </row>
    <row r="128" spans="1:10">
      <c r="C128"/>
    </row>
    <row r="129" spans="3:3">
      <c r="C129"/>
    </row>
    <row r="130" spans="3:3">
      <c r="C130"/>
    </row>
    <row r="131" spans="3:3">
      <c r="C131"/>
    </row>
    <row r="132" spans="3:3">
      <c r="C132"/>
    </row>
    <row r="133" spans="3:3">
      <c r="C133"/>
    </row>
    <row r="134" spans="3:3">
      <c r="C134"/>
    </row>
    <row r="135" spans="3:3">
      <c r="C135"/>
    </row>
    <row r="136" spans="3:3">
      <c r="C136"/>
    </row>
    <row r="137" spans="3:3">
      <c r="C137"/>
    </row>
    <row r="138" spans="3:3">
      <c r="C138"/>
    </row>
    <row r="139" spans="3:3">
      <c r="C139"/>
    </row>
    <row r="140" spans="3:3">
      <c r="C140"/>
    </row>
    <row r="141" spans="3:3">
      <c r="C141"/>
    </row>
    <row r="142" spans="3:3">
      <c r="C142"/>
    </row>
    <row r="143" spans="3:3">
      <c r="C143"/>
    </row>
    <row r="144" spans="3:3">
      <c r="C144"/>
    </row>
    <row r="145" spans="3:3">
      <c r="C145"/>
    </row>
    <row r="146" spans="3:3">
      <c r="C146"/>
    </row>
    <row r="147" spans="3:3">
      <c r="C147"/>
    </row>
    <row r="148" spans="3:3">
      <c r="C148"/>
    </row>
    <row r="149" spans="3:3">
      <c r="C149"/>
    </row>
    <row r="150" spans="3:3">
      <c r="C150"/>
    </row>
    <row r="151" spans="3:3">
      <c r="C151"/>
    </row>
    <row r="152" spans="3:3">
      <c r="C152"/>
    </row>
    <row r="153" spans="3:3">
      <c r="C153"/>
    </row>
    <row r="154" spans="3:3">
      <c r="C154"/>
    </row>
    <row r="155" spans="3:3">
      <c r="C155"/>
    </row>
    <row r="156" spans="3:3">
      <c r="C156"/>
    </row>
    <row r="157" spans="3:3">
      <c r="C157"/>
    </row>
    <row r="158" spans="3:3">
      <c r="C158"/>
    </row>
    <row r="159" spans="3:3">
      <c r="C159"/>
    </row>
    <row r="160" spans="3:3">
      <c r="C160"/>
    </row>
    <row r="161" spans="3:3">
      <c r="C161"/>
    </row>
    <row r="162" spans="3:3">
      <c r="C162"/>
    </row>
    <row r="163" spans="3:3">
      <c r="C163"/>
    </row>
    <row r="164" spans="3:3">
      <c r="C164"/>
    </row>
    <row r="165" spans="3:3">
      <c r="C165"/>
    </row>
    <row r="166" spans="3:3">
      <c r="C166"/>
    </row>
    <row r="167" spans="3:3">
      <c r="C167"/>
    </row>
    <row r="168" spans="3:3">
      <c r="C168"/>
    </row>
    <row r="169" spans="3:3">
      <c r="C169"/>
    </row>
    <row r="170" spans="3:3">
      <c r="C170"/>
    </row>
    <row r="171" spans="3:3">
      <c r="C171"/>
    </row>
    <row r="172" spans="3:3">
      <c r="C172"/>
    </row>
    <row r="173" spans="3:3">
      <c r="C173"/>
    </row>
    <row r="174" spans="3:3">
      <c r="C174"/>
    </row>
    <row r="175" spans="3:3">
      <c r="C175"/>
    </row>
    <row r="176" spans="3:3">
      <c r="C176"/>
    </row>
    <row r="177" spans="3:3">
      <c r="C177"/>
    </row>
    <row r="178" spans="3:3">
      <c r="C178"/>
    </row>
    <row r="179" spans="3:3">
      <c r="C179"/>
    </row>
    <row r="180" spans="3:3">
      <c r="C180"/>
    </row>
    <row r="181" spans="3:3">
      <c r="C181"/>
    </row>
    <row r="182" spans="3:3">
      <c r="C182"/>
    </row>
    <row r="183" spans="3:3">
      <c r="C183"/>
    </row>
    <row r="184" spans="3:3">
      <c r="C184"/>
    </row>
    <row r="185" spans="3:3">
      <c r="C185"/>
    </row>
    <row r="186" spans="3:3">
      <c r="C186"/>
    </row>
    <row r="187" spans="3:3">
      <c r="C187"/>
    </row>
    <row r="188" spans="3:3">
      <c r="C188"/>
    </row>
    <row r="189" spans="3:3">
      <c r="C189"/>
    </row>
    <row r="190" spans="3:3">
      <c r="C190"/>
    </row>
    <row r="191" spans="3:3">
      <c r="C191"/>
    </row>
    <row r="192" spans="3:3">
      <c r="C192"/>
    </row>
    <row r="193" spans="3:3">
      <c r="C193"/>
    </row>
    <row r="194" spans="3:3">
      <c r="C194"/>
    </row>
    <row r="195" spans="3:3">
      <c r="C195"/>
    </row>
    <row r="196" spans="3:3">
      <c r="C196"/>
    </row>
    <row r="197" spans="3:3">
      <c r="C197"/>
    </row>
    <row r="198" spans="3:3">
      <c r="C198"/>
    </row>
    <row r="199" spans="3:3">
      <c r="C199"/>
    </row>
    <row r="200" spans="3:3">
      <c r="C200"/>
    </row>
    <row r="201" spans="3:3">
      <c r="C201"/>
    </row>
    <row r="202" spans="3:3">
      <c r="C202"/>
    </row>
    <row r="203" spans="3:3">
      <c r="C203"/>
    </row>
    <row r="204" spans="3:3">
      <c r="C204"/>
    </row>
    <row r="205" spans="3:3">
      <c r="C205"/>
    </row>
    <row r="206" spans="3:3">
      <c r="C206"/>
    </row>
    <row r="207" spans="3:3">
      <c r="C207"/>
    </row>
    <row r="208" spans="3:3">
      <c r="C208"/>
    </row>
    <row r="209" spans="3:3">
      <c r="C209"/>
    </row>
    <row r="210" spans="3:3">
      <c r="C210"/>
    </row>
    <row r="211" spans="3:3">
      <c r="C211"/>
    </row>
    <row r="212" spans="3:3">
      <c r="C212"/>
    </row>
    <row r="213" spans="3:3">
      <c r="C213"/>
    </row>
    <row r="214" spans="3:3">
      <c r="C214"/>
    </row>
    <row r="215" spans="3:3">
      <c r="C215"/>
    </row>
    <row r="216" spans="3:3">
      <c r="C216"/>
    </row>
    <row r="217" spans="3:3">
      <c r="C217"/>
    </row>
    <row r="218" spans="3:3">
      <c r="C218"/>
    </row>
    <row r="219" spans="3:3">
      <c r="C219"/>
    </row>
    <row r="220" spans="3:3">
      <c r="C220"/>
    </row>
    <row r="221" spans="3:3">
      <c r="C221"/>
    </row>
    <row r="222" spans="3:3">
      <c r="C222"/>
    </row>
    <row r="223" spans="3:3">
      <c r="C223"/>
    </row>
    <row r="224" spans="3:3">
      <c r="C224"/>
    </row>
    <row r="225" spans="3:3">
      <c r="C225"/>
    </row>
    <row r="226" spans="3:3">
      <c r="C226"/>
    </row>
    <row r="227" spans="3:3">
      <c r="C227"/>
    </row>
    <row r="228" spans="3:3">
      <c r="C228"/>
    </row>
    <row r="229" spans="3:3">
      <c r="C229"/>
    </row>
    <row r="230" spans="3:3">
      <c r="C230"/>
    </row>
    <row r="231" spans="3:3">
      <c r="C231"/>
    </row>
    <row r="232" spans="3:3">
      <c r="C232"/>
    </row>
    <row r="233" spans="3:3">
      <c r="C233"/>
    </row>
    <row r="234" spans="3:3">
      <c r="C234"/>
    </row>
    <row r="235" spans="3:3">
      <c r="C235"/>
    </row>
    <row r="236" spans="3:3">
      <c r="C236"/>
    </row>
    <row r="237" spans="3:3">
      <c r="C237"/>
    </row>
    <row r="238" spans="3:3">
      <c r="C238"/>
    </row>
    <row r="239" spans="3:3">
      <c r="C239"/>
    </row>
    <row r="240" spans="3:3">
      <c r="C240"/>
    </row>
    <row r="241" spans="3:3">
      <c r="C241"/>
    </row>
    <row r="242" spans="3:3">
      <c r="C242"/>
    </row>
    <row r="243" spans="3:3">
      <c r="C243"/>
    </row>
    <row r="244" spans="3:3">
      <c r="C244"/>
    </row>
    <row r="245" spans="3:3">
      <c r="C245"/>
    </row>
    <row r="246" spans="3:3">
      <c r="C246"/>
    </row>
    <row r="247" spans="3:3">
      <c r="C247"/>
    </row>
    <row r="248" spans="3:3">
      <c r="C248"/>
    </row>
    <row r="249" spans="3:3">
      <c r="C249"/>
    </row>
    <row r="250" spans="3:3">
      <c r="C250"/>
    </row>
    <row r="251" spans="3:3">
      <c r="C251"/>
    </row>
    <row r="252" spans="3:3">
      <c r="C252"/>
    </row>
    <row r="253" spans="3:3">
      <c r="C253"/>
    </row>
    <row r="254" spans="3:3">
      <c r="C254"/>
    </row>
    <row r="255" spans="3:3">
      <c r="C255"/>
    </row>
    <row r="256" spans="3:3">
      <c r="C256"/>
    </row>
    <row r="257" spans="3:3">
      <c r="C257"/>
    </row>
    <row r="258" spans="3:3">
      <c r="C258"/>
    </row>
    <row r="259" spans="3:3">
      <c r="C259"/>
    </row>
    <row r="260" spans="3:3">
      <c r="C260"/>
    </row>
    <row r="261" spans="3:3">
      <c r="C261"/>
    </row>
    <row r="262" spans="3:3">
      <c r="C262"/>
    </row>
    <row r="263" spans="3:3">
      <c r="C263"/>
    </row>
    <row r="264" spans="3:3">
      <c r="C264"/>
    </row>
    <row r="265" spans="3:3">
      <c r="C265"/>
    </row>
    <row r="266" spans="3:3">
      <c r="C266"/>
    </row>
    <row r="267" spans="3:3">
      <c r="C267"/>
    </row>
    <row r="268" spans="3:3">
      <c r="C268"/>
    </row>
    <row r="269" spans="3:3">
      <c r="C269"/>
    </row>
    <row r="270" spans="3:3">
      <c r="C270"/>
    </row>
    <row r="271" spans="3:3">
      <c r="C271"/>
    </row>
    <row r="272" spans="3:3">
      <c r="C272"/>
    </row>
    <row r="273" spans="3:3">
      <c r="C273"/>
    </row>
    <row r="274" spans="3:3">
      <c r="C274"/>
    </row>
    <row r="275" spans="3:3">
      <c r="C275"/>
    </row>
    <row r="276" spans="3:3">
      <c r="C276"/>
    </row>
    <row r="277" spans="3:3">
      <c r="C277"/>
    </row>
    <row r="278" spans="3:3">
      <c r="C278"/>
    </row>
    <row r="279" spans="3:3">
      <c r="C279"/>
    </row>
    <row r="280" spans="3:3">
      <c r="C280"/>
    </row>
    <row r="281" spans="3:3">
      <c r="C281"/>
    </row>
    <row r="282" spans="3:3">
      <c r="C282"/>
    </row>
    <row r="283" spans="3:3">
      <c r="C283"/>
    </row>
    <row r="284" spans="3:3">
      <c r="C284"/>
    </row>
    <row r="285" spans="3:3">
      <c r="C285"/>
    </row>
    <row r="286" spans="3:3">
      <c r="C286"/>
    </row>
    <row r="287" spans="3:3">
      <c r="C287"/>
    </row>
    <row r="288" spans="3:3">
      <c r="C288"/>
    </row>
    <row r="289" spans="3:3">
      <c r="C289"/>
    </row>
    <row r="290" spans="3:3">
      <c r="C290"/>
    </row>
    <row r="291" spans="3:3">
      <c r="C291"/>
    </row>
    <row r="292" spans="3:3">
      <c r="C292"/>
    </row>
    <row r="293" spans="3:3">
      <c r="C293"/>
    </row>
    <row r="294" spans="3:3">
      <c r="C294"/>
    </row>
    <row r="295" spans="3:3">
      <c r="C295"/>
    </row>
    <row r="296" spans="3:3">
      <c r="C296"/>
    </row>
    <row r="297" spans="3:3">
      <c r="C297"/>
    </row>
    <row r="298" spans="3:3">
      <c r="C298"/>
    </row>
    <row r="299" spans="3:3">
      <c r="C299"/>
    </row>
    <row r="300" spans="3:3">
      <c r="C300"/>
    </row>
    <row r="301" spans="3:3">
      <c r="C301"/>
    </row>
    <row r="302" spans="3:3">
      <c r="C302"/>
    </row>
    <row r="303" spans="3:3">
      <c r="C303"/>
    </row>
    <row r="304" spans="3:3">
      <c r="C304"/>
    </row>
    <row r="305" spans="3:3">
      <c r="C305"/>
    </row>
    <row r="306" spans="3:3">
      <c r="C306"/>
    </row>
    <row r="307" spans="3:3">
      <c r="C307"/>
    </row>
    <row r="308" spans="3:3">
      <c r="C308"/>
    </row>
    <row r="309" spans="3:3">
      <c r="C309"/>
    </row>
    <row r="310" spans="3:3">
      <c r="C310"/>
    </row>
    <row r="311" spans="3:3">
      <c r="C311"/>
    </row>
    <row r="312" spans="3:3">
      <c r="C312"/>
    </row>
    <row r="313" spans="3:3">
      <c r="C313"/>
    </row>
    <row r="314" spans="3:3">
      <c r="C314"/>
    </row>
    <row r="315" spans="3:3">
      <c r="C315"/>
    </row>
    <row r="316" spans="3:3">
      <c r="C316"/>
    </row>
    <row r="317" spans="3:3">
      <c r="C317"/>
    </row>
    <row r="318" spans="3:3">
      <c r="C318"/>
    </row>
    <row r="319" spans="3:3">
      <c r="C319"/>
    </row>
    <row r="320" spans="3:3">
      <c r="C320"/>
    </row>
    <row r="321" spans="3:3">
      <c r="C321"/>
    </row>
    <row r="322" spans="3:3">
      <c r="C322"/>
    </row>
    <row r="323" spans="3:3">
      <c r="C323"/>
    </row>
    <row r="324" spans="3:3">
      <c r="C324"/>
    </row>
    <row r="325" spans="3:3">
      <c r="C325"/>
    </row>
    <row r="326" spans="3:3">
      <c r="C326"/>
    </row>
    <row r="327" spans="3:3">
      <c r="C327"/>
    </row>
    <row r="328" spans="3:3">
      <c r="C328"/>
    </row>
    <row r="329" spans="3:3">
      <c r="C329"/>
    </row>
    <row r="330" spans="3:3">
      <c r="C330"/>
    </row>
    <row r="331" spans="3:3">
      <c r="C331"/>
    </row>
    <row r="332" spans="3:3">
      <c r="C332"/>
    </row>
    <row r="333" spans="3:3">
      <c r="C333"/>
    </row>
    <row r="334" spans="3:3">
      <c r="C334"/>
    </row>
    <row r="335" spans="3:3">
      <c r="C335"/>
    </row>
    <row r="336" spans="3:3">
      <c r="C336"/>
    </row>
    <row r="337" spans="3:3">
      <c r="C337"/>
    </row>
    <row r="338" spans="3:3">
      <c r="C338"/>
    </row>
    <row r="339" spans="3:3">
      <c r="C339"/>
    </row>
    <row r="340" spans="3:3">
      <c r="C340"/>
    </row>
    <row r="341" spans="3:3">
      <c r="C341"/>
    </row>
    <row r="342" spans="3:3">
      <c r="C342"/>
    </row>
    <row r="343" spans="3:3">
      <c r="C343"/>
    </row>
    <row r="344" spans="3:3">
      <c r="C344"/>
    </row>
  </sheetData>
  <dataConsolidate/>
  <mergeCells count="30">
    <mergeCell ref="A102:A126"/>
    <mergeCell ref="B102:B106"/>
    <mergeCell ref="B107:B111"/>
    <mergeCell ref="B112:B116"/>
    <mergeCell ref="B117:B121"/>
    <mergeCell ref="B122:B126"/>
    <mergeCell ref="A77:A101"/>
    <mergeCell ref="B77:B81"/>
    <mergeCell ref="B82:B86"/>
    <mergeCell ref="B87:B91"/>
    <mergeCell ref="B92:B96"/>
    <mergeCell ref="B97:B101"/>
    <mergeCell ref="A52:A76"/>
    <mergeCell ref="B52:B56"/>
    <mergeCell ref="B57:B61"/>
    <mergeCell ref="B62:B66"/>
    <mergeCell ref="B67:B71"/>
    <mergeCell ref="B72:B76"/>
    <mergeCell ref="A2:A26"/>
    <mergeCell ref="B2:B6"/>
    <mergeCell ref="B7:B11"/>
    <mergeCell ref="B12:B16"/>
    <mergeCell ref="B17:B21"/>
    <mergeCell ref="B22:B26"/>
    <mergeCell ref="A27:A51"/>
    <mergeCell ref="B27:B31"/>
    <mergeCell ref="B32:B36"/>
    <mergeCell ref="B37:B41"/>
    <mergeCell ref="B42:B46"/>
    <mergeCell ref="B47:B51"/>
  </mergeCells>
  <conditionalFormatting sqref="H2:H25">
    <cfRule type="containsText" dxfId="159" priority="37" operator="containsText" text="Faible">
      <formula>NOT(ISERROR(SEARCH("Faible",H2)))</formula>
    </cfRule>
    <cfRule type="containsText" dxfId="158" priority="38" operator="containsText" text="Elevée">
      <formula>NOT(ISERROR(SEARCH("Elevée",H2)))</formula>
    </cfRule>
    <cfRule type="containsText" dxfId="157" priority="39" operator="containsText" text="Moyenne">
      <formula>NOT(ISERROR(SEARCH("Moyenne",H2)))</formula>
    </cfRule>
  </conditionalFormatting>
  <conditionalFormatting sqref="H26:H40">
    <cfRule type="containsText" dxfId="156" priority="34" operator="containsText" text="Faible">
      <formula>NOT(ISERROR(SEARCH("Faible",H26)))</formula>
    </cfRule>
    <cfRule type="containsText" dxfId="155" priority="35" operator="containsText" text="Elevée">
      <formula>NOT(ISERROR(SEARCH("Elevée",H26)))</formula>
    </cfRule>
    <cfRule type="containsText" dxfId="154" priority="36" operator="containsText" text="Moyenne">
      <formula>NOT(ISERROR(SEARCH("Moyenne",H26)))</formula>
    </cfRule>
  </conditionalFormatting>
  <conditionalFormatting sqref="H41:H49">
    <cfRule type="containsText" dxfId="153" priority="31" operator="containsText" text="Faible">
      <formula>NOT(ISERROR(SEARCH("Faible",H41)))</formula>
    </cfRule>
    <cfRule type="containsText" dxfId="152" priority="32" operator="containsText" text="Elevée">
      <formula>NOT(ISERROR(SEARCH("Elevée",H41)))</formula>
    </cfRule>
    <cfRule type="containsText" dxfId="151" priority="33" operator="containsText" text="Moyenne">
      <formula>NOT(ISERROR(SEARCH("Moyenne",H41)))</formula>
    </cfRule>
  </conditionalFormatting>
  <conditionalFormatting sqref="H50:H54">
    <cfRule type="containsText" dxfId="150" priority="28" operator="containsText" text="Faible">
      <formula>NOT(ISERROR(SEARCH("Faible",H50)))</formula>
    </cfRule>
    <cfRule type="containsText" dxfId="149" priority="29" operator="containsText" text="Elevée">
      <formula>NOT(ISERROR(SEARCH("Elevée",H50)))</formula>
    </cfRule>
    <cfRule type="containsText" dxfId="148" priority="30" operator="containsText" text="Moyenne">
      <formula>NOT(ISERROR(SEARCH("Moyenne",H50)))</formula>
    </cfRule>
  </conditionalFormatting>
  <conditionalFormatting sqref="H55:H61">
    <cfRule type="containsText" dxfId="147" priority="25" operator="containsText" text="Faible">
      <formula>NOT(ISERROR(SEARCH("Faible",H55)))</formula>
    </cfRule>
    <cfRule type="containsText" dxfId="146" priority="26" operator="containsText" text="Elevée">
      <formula>NOT(ISERROR(SEARCH("Elevée",H55)))</formula>
    </cfRule>
    <cfRule type="containsText" dxfId="145" priority="27" operator="containsText" text="Moyenne">
      <formula>NOT(ISERROR(SEARCH("Moyenne",H55)))</formula>
    </cfRule>
  </conditionalFormatting>
  <conditionalFormatting sqref="H62:H70">
    <cfRule type="containsText" dxfId="144" priority="22" operator="containsText" text="Faible">
      <formula>NOT(ISERROR(SEARCH("Faible",H62)))</formula>
    </cfRule>
    <cfRule type="containsText" dxfId="143" priority="23" operator="containsText" text="Elevée">
      <formula>NOT(ISERROR(SEARCH("Elevée",H62)))</formula>
    </cfRule>
    <cfRule type="containsText" dxfId="142" priority="24" operator="containsText" text="Moyenne">
      <formula>NOT(ISERROR(SEARCH("Moyenne",H62)))</formula>
    </cfRule>
  </conditionalFormatting>
  <conditionalFormatting sqref="H71:H92">
    <cfRule type="containsText" dxfId="141" priority="19" operator="containsText" text="Faible">
      <formula>NOT(ISERROR(SEARCH("Faible",H71)))</formula>
    </cfRule>
    <cfRule type="containsText" dxfId="140" priority="20" operator="containsText" text="Elevée">
      <formula>NOT(ISERROR(SEARCH("Elevée",H71)))</formula>
    </cfRule>
    <cfRule type="containsText" dxfId="139" priority="21" operator="containsText" text="Moyenne">
      <formula>NOT(ISERROR(SEARCH("Moyenne",H71)))</formula>
    </cfRule>
  </conditionalFormatting>
  <conditionalFormatting sqref="H93:H98">
    <cfRule type="containsText" dxfId="138" priority="16" operator="containsText" text="Faible">
      <formula>NOT(ISERROR(SEARCH("Faible",H93)))</formula>
    </cfRule>
    <cfRule type="containsText" dxfId="137" priority="17" operator="containsText" text="Elevée">
      <formula>NOT(ISERROR(SEARCH("Elevée",H93)))</formula>
    </cfRule>
    <cfRule type="containsText" dxfId="136" priority="18" operator="containsText" text="Moyenne">
      <formula>NOT(ISERROR(SEARCH("Moyenne",H93)))</formula>
    </cfRule>
  </conditionalFormatting>
  <conditionalFormatting sqref="H99">
    <cfRule type="containsText" dxfId="135" priority="13" operator="containsText" text="Faible">
      <formula>NOT(ISERROR(SEARCH("Faible",H99)))</formula>
    </cfRule>
    <cfRule type="containsText" dxfId="134" priority="14" operator="containsText" text="Elevée">
      <formula>NOT(ISERROR(SEARCH("Elevée",H99)))</formula>
    </cfRule>
    <cfRule type="containsText" dxfId="133" priority="15" operator="containsText" text="Moyenne">
      <formula>NOT(ISERROR(SEARCH("Moyenne",H99)))</formula>
    </cfRule>
  </conditionalFormatting>
  <conditionalFormatting sqref="H100:H109">
    <cfRule type="containsText" dxfId="132" priority="10" operator="containsText" text="Faible">
      <formula>NOT(ISERROR(SEARCH("Faible",H100)))</formula>
    </cfRule>
    <cfRule type="containsText" dxfId="131" priority="11" operator="containsText" text="Elevée">
      <formula>NOT(ISERROR(SEARCH("Elevée",H100)))</formula>
    </cfRule>
    <cfRule type="containsText" dxfId="130" priority="12" operator="containsText" text="Moyenne">
      <formula>NOT(ISERROR(SEARCH("Moyenne",H100)))</formula>
    </cfRule>
  </conditionalFormatting>
  <conditionalFormatting sqref="H110:H120">
    <cfRule type="containsText" dxfId="129" priority="7" operator="containsText" text="Faible">
      <formula>NOT(ISERROR(SEARCH("Faible",H110)))</formula>
    </cfRule>
    <cfRule type="containsText" dxfId="128" priority="8" operator="containsText" text="Elevée">
      <formula>NOT(ISERROR(SEARCH("Elevée",H110)))</formula>
    </cfRule>
    <cfRule type="containsText" dxfId="127" priority="9" operator="containsText" text="Moyenne">
      <formula>NOT(ISERROR(SEARCH("Moyenne",H110)))</formula>
    </cfRule>
  </conditionalFormatting>
  <conditionalFormatting sqref="H121:H126">
    <cfRule type="containsText" dxfId="126" priority="4" operator="containsText" text="Faible">
      <formula>NOT(ISERROR(SEARCH("Faible",H121)))</formula>
    </cfRule>
    <cfRule type="containsText" dxfId="125" priority="5" operator="containsText" text="Elevée">
      <formula>NOT(ISERROR(SEARCH("Elevée",H121)))</formula>
    </cfRule>
    <cfRule type="containsText" dxfId="124" priority="6" operator="containsText" text="Moyenne">
      <formula>NOT(ISERROR(SEARCH("Moyenne",H121)))</formula>
    </cfRule>
  </conditionalFormatting>
  <conditionalFormatting sqref="E2:E126">
    <cfRule type="cellIs" dxfId="123" priority="1" operator="equal">
      <formula>$E$101</formula>
    </cfRule>
    <cfRule type="cellIs" dxfId="122" priority="2" operator="equal">
      <formula>$E$106</formula>
    </cfRule>
    <cfRule type="cellIs" dxfId="121" priority="3" operator="equal">
      <formula>$E$104</formula>
    </cfRule>
  </conditionalFormatting>
  <dataValidations count="3">
    <dataValidation type="list" allowBlank="1" showInputMessage="1" showErrorMessage="1" sqref="F345:F1048576" xr:uid="{00000000-0002-0000-0500-000000000000}">
      <formula1>"Oui, Non"</formula1>
    </dataValidation>
    <dataValidation type="list" allowBlank="1" showInputMessage="1" showErrorMessage="1" sqref="H2:H126" xr:uid="{E1E2FC36-AE3B-449B-990B-00A851EE2EB0}">
      <formula1>"Elevée,Moyenne,Faible"</formula1>
    </dataValidation>
    <dataValidation type="list" allowBlank="1" showInputMessage="1" showErrorMessage="1" sqref="E2:E126" xr:uid="{19C122FD-2ED5-4B25-BEFD-61CD2A1D7EFA}">
      <formula1>"oui,non,pas"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322"/>
  <sheetViews>
    <sheetView topLeftCell="E280" zoomScale="40" zoomScaleNormal="40" workbookViewId="0">
      <selection activeCell="J9" sqref="J9"/>
    </sheetView>
  </sheetViews>
  <sheetFormatPr baseColWidth="10" defaultRowHeight="23.4"/>
  <cols>
    <col min="1" max="1" width="56.88671875" customWidth="1"/>
    <col min="2" max="2" width="61.88671875" style="165" customWidth="1"/>
    <col min="3" max="3" width="144.44140625" style="169" customWidth="1"/>
    <col min="4" max="4" width="176.109375" style="6" customWidth="1"/>
    <col min="5" max="5" width="176.109375" customWidth="1"/>
    <col min="6" max="6" width="47.6640625" customWidth="1"/>
    <col min="7" max="8" width="109.109375" customWidth="1"/>
    <col min="9" max="9" width="78.5546875" customWidth="1"/>
    <col min="10" max="12" width="109.109375" customWidth="1"/>
  </cols>
  <sheetData>
    <row r="1" spans="1:11" ht="26.4" thickBot="1">
      <c r="A1" s="175"/>
      <c r="B1" s="175"/>
      <c r="C1" s="175"/>
      <c r="D1" s="175"/>
      <c r="E1" s="175"/>
      <c r="F1" s="175"/>
      <c r="G1" s="1"/>
      <c r="H1" s="1"/>
      <c r="I1" s="175"/>
      <c r="J1" s="175"/>
      <c r="K1" s="175"/>
    </row>
    <row r="2" spans="1:11" ht="65.400000000000006" customHeight="1" thickBot="1">
      <c r="A2" s="8" t="s">
        <v>0</v>
      </c>
      <c r="B2" s="9" t="s">
        <v>195</v>
      </c>
      <c r="C2" s="10" t="s">
        <v>196</v>
      </c>
      <c r="D2" s="170" t="s">
        <v>197</v>
      </c>
      <c r="E2" s="12" t="s">
        <v>198</v>
      </c>
      <c r="F2" s="11" t="s">
        <v>5</v>
      </c>
      <c r="G2" s="12" t="s">
        <v>199</v>
      </c>
      <c r="H2" s="12" t="s">
        <v>7</v>
      </c>
      <c r="I2" s="171" t="s">
        <v>8</v>
      </c>
      <c r="J2" s="11" t="s">
        <v>200</v>
      </c>
      <c r="K2" s="16" t="s">
        <v>10</v>
      </c>
    </row>
    <row r="3" spans="1:11" ht="24.6">
      <c r="A3" s="201" t="s">
        <v>1195</v>
      </c>
      <c r="B3" s="18" t="s">
        <v>1196</v>
      </c>
      <c r="C3" s="19" t="s">
        <v>1197</v>
      </c>
      <c r="D3" s="20" t="s">
        <v>1198</v>
      </c>
      <c r="E3" s="21" t="s">
        <v>7764</v>
      </c>
      <c r="F3" s="22" t="s">
        <v>204</v>
      </c>
      <c r="G3" s="61" t="s">
        <v>7765</v>
      </c>
      <c r="H3" s="61" t="s">
        <v>7766</v>
      </c>
      <c r="I3" s="202" t="s">
        <v>13</v>
      </c>
      <c r="J3" s="203" t="s">
        <v>8818</v>
      </c>
      <c r="K3" s="204"/>
    </row>
    <row r="4" spans="1:11" ht="24.6">
      <c r="A4" s="205"/>
      <c r="B4" s="27"/>
      <c r="C4" s="28"/>
      <c r="D4" s="29" t="s">
        <v>1199</v>
      </c>
      <c r="E4" s="58" t="s">
        <v>7767</v>
      </c>
      <c r="F4" s="206" t="s">
        <v>204</v>
      </c>
      <c r="G4" s="58" t="s">
        <v>7768</v>
      </c>
      <c r="H4" s="58" t="s">
        <v>7769</v>
      </c>
      <c r="I4" s="207" t="s">
        <v>13</v>
      </c>
      <c r="J4" s="208" t="s">
        <v>8819</v>
      </c>
      <c r="K4" s="209"/>
    </row>
    <row r="5" spans="1:11" ht="24.6">
      <c r="A5" s="205"/>
      <c r="B5" s="27"/>
      <c r="C5" s="28"/>
      <c r="D5" s="35" t="s">
        <v>1200</v>
      </c>
      <c r="E5" s="58" t="s">
        <v>7770</v>
      </c>
      <c r="F5" s="206" t="s">
        <v>204</v>
      </c>
      <c r="G5" s="58" t="s">
        <v>7771</v>
      </c>
      <c r="H5" s="58" t="s">
        <v>7772</v>
      </c>
      <c r="I5" s="207" t="s">
        <v>13</v>
      </c>
      <c r="J5" s="208" t="s">
        <v>8820</v>
      </c>
      <c r="K5" s="209"/>
    </row>
    <row r="6" spans="1:11" ht="24.6">
      <c r="A6" s="205"/>
      <c r="B6" s="27"/>
      <c r="C6" s="28"/>
      <c r="D6" s="35" t="s">
        <v>1201</v>
      </c>
      <c r="E6" s="58" t="s">
        <v>7773</v>
      </c>
      <c r="F6" s="206" t="s">
        <v>204</v>
      </c>
      <c r="G6" s="58" t="s">
        <v>7774</v>
      </c>
      <c r="H6" s="58" t="s">
        <v>7775</v>
      </c>
      <c r="I6" s="207" t="s">
        <v>14</v>
      </c>
      <c r="J6" s="208" t="s">
        <v>8821</v>
      </c>
      <c r="K6" s="209"/>
    </row>
    <row r="7" spans="1:11" ht="25.2" thickBot="1">
      <c r="A7" s="205"/>
      <c r="B7" s="27"/>
      <c r="C7" s="36"/>
      <c r="D7" s="106" t="s">
        <v>1202</v>
      </c>
      <c r="E7" s="58" t="s">
        <v>7776</v>
      </c>
      <c r="F7" s="206" t="s">
        <v>209</v>
      </c>
      <c r="G7" s="58" t="s">
        <v>7777</v>
      </c>
      <c r="H7" s="58" t="s">
        <v>7778</v>
      </c>
      <c r="I7" s="207" t="s">
        <v>13</v>
      </c>
      <c r="J7" s="208" t="s">
        <v>8822</v>
      </c>
      <c r="K7" s="209"/>
    </row>
    <row r="8" spans="1:11" ht="24.6">
      <c r="A8" s="205"/>
      <c r="B8" s="27"/>
      <c r="C8" s="64" t="s">
        <v>1203</v>
      </c>
      <c r="D8" s="23" t="s">
        <v>1204</v>
      </c>
      <c r="E8" s="42" t="s">
        <v>7779</v>
      </c>
      <c r="F8" s="22" t="s">
        <v>204</v>
      </c>
      <c r="G8" s="61" t="s">
        <v>7780</v>
      </c>
      <c r="H8" s="61" t="s">
        <v>7781</v>
      </c>
      <c r="I8" s="202" t="s">
        <v>13</v>
      </c>
      <c r="J8" s="203" t="s">
        <v>8823</v>
      </c>
      <c r="K8" s="204"/>
    </row>
    <row r="9" spans="1:11" ht="24.6">
      <c r="A9" s="205"/>
      <c r="B9" s="27"/>
      <c r="C9" s="65"/>
      <c r="D9" s="66" t="s">
        <v>1205</v>
      </c>
      <c r="E9" s="58" t="s">
        <v>7782</v>
      </c>
      <c r="F9" s="206" t="s">
        <v>209</v>
      </c>
      <c r="G9" s="58" t="s">
        <v>7783</v>
      </c>
      <c r="H9" s="58" t="s">
        <v>7784</v>
      </c>
      <c r="I9" s="207" t="s">
        <v>14</v>
      </c>
      <c r="J9" s="208" t="s">
        <v>8824</v>
      </c>
      <c r="K9" s="209"/>
    </row>
    <row r="10" spans="1:11" ht="24.6">
      <c r="A10" s="205"/>
      <c r="B10" s="27"/>
      <c r="C10" s="65"/>
      <c r="D10" s="67" t="s">
        <v>1206</v>
      </c>
      <c r="E10" s="58" t="s">
        <v>7785</v>
      </c>
      <c r="F10" s="206" t="s">
        <v>242</v>
      </c>
      <c r="G10" s="58" t="s">
        <v>7786</v>
      </c>
      <c r="H10" s="58" t="s">
        <v>7787</v>
      </c>
      <c r="I10" s="207" t="s">
        <v>13</v>
      </c>
      <c r="J10" s="208" t="s">
        <v>8825</v>
      </c>
      <c r="K10" s="209"/>
    </row>
    <row r="11" spans="1:11" ht="24.6">
      <c r="A11" s="205"/>
      <c r="B11" s="27"/>
      <c r="C11" s="65"/>
      <c r="D11" s="67" t="s">
        <v>1207</v>
      </c>
      <c r="E11" s="58" t="s">
        <v>7788</v>
      </c>
      <c r="F11" s="206" t="s">
        <v>209</v>
      </c>
      <c r="G11" s="58" t="s">
        <v>7789</v>
      </c>
      <c r="H11" s="58" t="s">
        <v>7790</v>
      </c>
      <c r="I11" s="207" t="s">
        <v>13</v>
      </c>
      <c r="J11" s="208" t="s">
        <v>8826</v>
      </c>
      <c r="K11" s="209"/>
    </row>
    <row r="12" spans="1:11" ht="25.2" thickBot="1">
      <c r="A12" s="205"/>
      <c r="B12" s="27"/>
      <c r="C12" s="68"/>
      <c r="D12" s="32" t="s">
        <v>1208</v>
      </c>
      <c r="E12" s="58" t="s">
        <v>7791</v>
      </c>
      <c r="F12" s="206" t="s">
        <v>204</v>
      </c>
      <c r="G12" s="58" t="s">
        <v>7792</v>
      </c>
      <c r="H12" s="58" t="s">
        <v>7793</v>
      </c>
      <c r="I12" s="207" t="s">
        <v>14</v>
      </c>
      <c r="J12" s="208" t="s">
        <v>8827</v>
      </c>
      <c r="K12" s="209"/>
    </row>
    <row r="13" spans="1:11" ht="25.2" thickBot="1">
      <c r="A13" s="205"/>
      <c r="B13" s="27"/>
      <c r="C13" s="64" t="s">
        <v>1209</v>
      </c>
      <c r="D13" s="23" t="s">
        <v>1210</v>
      </c>
      <c r="E13" s="42" t="s">
        <v>7794</v>
      </c>
      <c r="F13" s="22" t="s">
        <v>209</v>
      </c>
      <c r="G13" s="61" t="s">
        <v>7795</v>
      </c>
      <c r="H13" s="61" t="s">
        <v>7796</v>
      </c>
      <c r="I13" s="202" t="s">
        <v>14</v>
      </c>
      <c r="J13" s="203" t="s">
        <v>8828</v>
      </c>
      <c r="K13" s="204"/>
    </row>
    <row r="14" spans="1:11" ht="25.2" thickBot="1">
      <c r="A14" s="205"/>
      <c r="B14" s="27"/>
      <c r="C14" s="64"/>
      <c r="D14" s="66" t="s">
        <v>1211</v>
      </c>
      <c r="E14" s="58" t="s">
        <v>7797</v>
      </c>
      <c r="F14" s="206" t="s">
        <v>209</v>
      </c>
      <c r="G14" s="58" t="s">
        <v>4301</v>
      </c>
      <c r="H14" s="58" t="s">
        <v>7798</v>
      </c>
      <c r="I14" s="207" t="s">
        <v>14</v>
      </c>
      <c r="J14" s="208" t="s">
        <v>8829</v>
      </c>
      <c r="K14" s="209"/>
    </row>
    <row r="15" spans="1:11" ht="25.2" thickBot="1">
      <c r="A15" s="205"/>
      <c r="B15" s="27"/>
      <c r="C15" s="64"/>
      <c r="D15" s="67" t="s">
        <v>1212</v>
      </c>
      <c r="E15" s="58" t="s">
        <v>7799</v>
      </c>
      <c r="F15" s="206" t="s">
        <v>209</v>
      </c>
      <c r="G15" s="58" t="s">
        <v>7800</v>
      </c>
      <c r="H15" s="58" t="s">
        <v>7801</v>
      </c>
      <c r="I15" s="207" t="s">
        <v>14</v>
      </c>
      <c r="J15" s="208" t="s">
        <v>8830</v>
      </c>
      <c r="K15" s="209"/>
    </row>
    <row r="16" spans="1:11" ht="25.2" thickBot="1">
      <c r="A16" s="205"/>
      <c r="B16" s="27"/>
      <c r="C16" s="64"/>
      <c r="D16" s="67" t="s">
        <v>1213</v>
      </c>
      <c r="E16" s="58" t="s">
        <v>7802</v>
      </c>
      <c r="F16" s="206" t="s">
        <v>209</v>
      </c>
      <c r="G16" s="58" t="s">
        <v>518</v>
      </c>
      <c r="H16" s="58" t="s">
        <v>7803</v>
      </c>
      <c r="I16" s="207" t="s">
        <v>14</v>
      </c>
      <c r="J16" s="208" t="s">
        <v>8831</v>
      </c>
      <c r="K16" s="209"/>
    </row>
    <row r="17" spans="1:11" ht="25.2" thickBot="1">
      <c r="A17" s="205"/>
      <c r="B17" s="27"/>
      <c r="C17" s="64"/>
      <c r="D17" s="69" t="s">
        <v>1214</v>
      </c>
      <c r="E17" s="62" t="s">
        <v>7804</v>
      </c>
      <c r="F17" s="210" t="s">
        <v>209</v>
      </c>
      <c r="G17" s="62" t="s">
        <v>7805</v>
      </c>
      <c r="H17" s="62" t="s">
        <v>7806</v>
      </c>
      <c r="I17" s="211" t="s">
        <v>14</v>
      </c>
      <c r="J17" s="212" t="s">
        <v>8832</v>
      </c>
      <c r="K17" s="213"/>
    </row>
    <row r="18" spans="1:11" ht="24.6">
      <c r="A18" s="205"/>
      <c r="B18" s="27"/>
      <c r="C18" s="64" t="s">
        <v>1215</v>
      </c>
      <c r="D18" s="23" t="s">
        <v>1216</v>
      </c>
      <c r="E18" s="42" t="s">
        <v>7807</v>
      </c>
      <c r="F18" s="22" t="s">
        <v>204</v>
      </c>
      <c r="G18" s="61" t="s">
        <v>87</v>
      </c>
      <c r="H18" s="61" t="s">
        <v>7808</v>
      </c>
      <c r="I18" s="202" t="s">
        <v>13</v>
      </c>
      <c r="J18" s="203" t="s">
        <v>8833</v>
      </c>
      <c r="K18" s="204"/>
    </row>
    <row r="19" spans="1:11" ht="24.6">
      <c r="A19" s="205"/>
      <c r="B19" s="27"/>
      <c r="C19" s="65"/>
      <c r="D19" s="66" t="s">
        <v>1217</v>
      </c>
      <c r="E19" s="58" t="s">
        <v>7809</v>
      </c>
      <c r="F19" s="206" t="s">
        <v>242</v>
      </c>
      <c r="G19" s="58" t="s">
        <v>7810</v>
      </c>
      <c r="H19" s="58" t="s">
        <v>7811</v>
      </c>
      <c r="I19" s="207" t="s">
        <v>14</v>
      </c>
      <c r="J19" s="208" t="s">
        <v>8834</v>
      </c>
      <c r="K19" s="209"/>
    </row>
    <row r="20" spans="1:11" ht="24.6">
      <c r="A20" s="205"/>
      <c r="B20" s="27"/>
      <c r="C20" s="65"/>
      <c r="D20" s="67" t="s">
        <v>1218</v>
      </c>
      <c r="E20" s="58" t="s">
        <v>7812</v>
      </c>
      <c r="F20" s="206" t="s">
        <v>209</v>
      </c>
      <c r="G20" s="58" t="s">
        <v>86</v>
      </c>
      <c r="H20" s="58" t="s">
        <v>7813</v>
      </c>
      <c r="I20" s="207" t="s">
        <v>14</v>
      </c>
      <c r="J20" s="208" t="s">
        <v>8835</v>
      </c>
      <c r="K20" s="209"/>
    </row>
    <row r="21" spans="1:11" ht="24.6">
      <c r="A21" s="205"/>
      <c r="B21" s="27"/>
      <c r="C21" s="65"/>
      <c r="D21" s="67" t="s">
        <v>1219</v>
      </c>
      <c r="E21" s="58" t="s">
        <v>7814</v>
      </c>
      <c r="F21" s="206" t="s">
        <v>242</v>
      </c>
      <c r="G21" s="58" t="s">
        <v>7815</v>
      </c>
      <c r="H21" s="58" t="s">
        <v>7816</v>
      </c>
      <c r="I21" s="207" t="s">
        <v>14</v>
      </c>
      <c r="J21" s="208" t="s">
        <v>8836</v>
      </c>
      <c r="K21" s="209"/>
    </row>
    <row r="22" spans="1:11" ht="25.2" thickBot="1">
      <c r="A22" s="205"/>
      <c r="B22" s="27"/>
      <c r="C22" s="68"/>
      <c r="D22" s="32" t="s">
        <v>1220</v>
      </c>
      <c r="E22" s="58" t="s">
        <v>7817</v>
      </c>
      <c r="F22" s="206" t="s">
        <v>209</v>
      </c>
      <c r="G22" s="58" t="s">
        <v>502</v>
      </c>
      <c r="H22" s="58" t="s">
        <v>7818</v>
      </c>
      <c r="I22" s="207" t="s">
        <v>13</v>
      </c>
      <c r="J22" s="208" t="s">
        <v>30</v>
      </c>
      <c r="K22" s="209"/>
    </row>
    <row r="23" spans="1:11" ht="24.6">
      <c r="A23" s="205"/>
      <c r="B23" s="27"/>
      <c r="C23" s="64" t="s">
        <v>1221</v>
      </c>
      <c r="D23" s="23" t="s">
        <v>1222</v>
      </c>
      <c r="E23" s="42" t="s">
        <v>7819</v>
      </c>
      <c r="F23" s="22" t="s">
        <v>209</v>
      </c>
      <c r="G23" s="61" t="s">
        <v>7820</v>
      </c>
      <c r="H23" s="61" t="s">
        <v>7821</v>
      </c>
      <c r="I23" s="202" t="s">
        <v>13</v>
      </c>
      <c r="J23" s="203" t="s">
        <v>8837</v>
      </c>
      <c r="K23" s="204"/>
    </row>
    <row r="24" spans="1:11" ht="24.6">
      <c r="A24" s="205"/>
      <c r="B24" s="27"/>
      <c r="C24" s="65"/>
      <c r="D24" s="66" t="s">
        <v>1223</v>
      </c>
      <c r="E24" s="58" t="s">
        <v>7822</v>
      </c>
      <c r="F24" s="206" t="s">
        <v>209</v>
      </c>
      <c r="G24" s="58" t="s">
        <v>7823</v>
      </c>
      <c r="H24" s="58" t="s">
        <v>7824</v>
      </c>
      <c r="I24" s="207" t="s">
        <v>13</v>
      </c>
      <c r="J24" s="208" t="s">
        <v>8838</v>
      </c>
      <c r="K24" s="209"/>
    </row>
    <row r="25" spans="1:11" ht="24.6">
      <c r="A25" s="205"/>
      <c r="B25" s="27"/>
      <c r="C25" s="65"/>
      <c r="D25" s="67" t="s">
        <v>1224</v>
      </c>
      <c r="E25" s="58" t="s">
        <v>7825</v>
      </c>
      <c r="F25" s="206" t="s">
        <v>209</v>
      </c>
      <c r="G25" s="58" t="s">
        <v>7826</v>
      </c>
      <c r="H25" s="58" t="s">
        <v>7827</v>
      </c>
      <c r="I25" s="207" t="s">
        <v>14</v>
      </c>
      <c r="J25" s="208" t="s">
        <v>8839</v>
      </c>
      <c r="K25" s="209"/>
    </row>
    <row r="26" spans="1:11" ht="24.6">
      <c r="A26" s="205"/>
      <c r="B26" s="27"/>
      <c r="C26" s="65"/>
      <c r="D26" s="32" t="s">
        <v>1225</v>
      </c>
      <c r="E26" s="58" t="s">
        <v>7828</v>
      </c>
      <c r="F26" s="206" t="s">
        <v>242</v>
      </c>
      <c r="G26" s="58" t="s">
        <v>7829</v>
      </c>
      <c r="H26" s="58" t="s">
        <v>7830</v>
      </c>
      <c r="I26" s="207" t="s">
        <v>13</v>
      </c>
      <c r="J26" s="208" t="s">
        <v>8840</v>
      </c>
      <c r="K26" s="209"/>
    </row>
    <row r="27" spans="1:11" ht="25.2" thickBot="1">
      <c r="A27" s="205"/>
      <c r="B27" s="27"/>
      <c r="C27" s="68"/>
      <c r="D27" s="69" t="s">
        <v>1226</v>
      </c>
      <c r="E27" s="62" t="s">
        <v>7831</v>
      </c>
      <c r="F27" s="210" t="s">
        <v>242</v>
      </c>
      <c r="G27" s="62" t="s">
        <v>7832</v>
      </c>
      <c r="H27" s="62" t="s">
        <v>7833</v>
      </c>
      <c r="I27" s="211" t="s">
        <v>14</v>
      </c>
      <c r="J27" s="212" t="s">
        <v>8841</v>
      </c>
      <c r="K27" s="213"/>
    </row>
    <row r="28" spans="1:11" ht="24.6">
      <c r="A28" s="205"/>
      <c r="B28" s="18" t="s">
        <v>1227</v>
      </c>
      <c r="C28" s="64" t="s">
        <v>1228</v>
      </c>
      <c r="D28" s="20" t="s">
        <v>1229</v>
      </c>
      <c r="E28" s="61" t="s">
        <v>7834</v>
      </c>
      <c r="F28" s="214" t="s">
        <v>204</v>
      </c>
      <c r="G28" s="61" t="s">
        <v>90</v>
      </c>
      <c r="H28" s="61" t="s">
        <v>7835</v>
      </c>
      <c r="I28" s="202" t="s">
        <v>14</v>
      </c>
      <c r="J28" s="203" t="s">
        <v>8842</v>
      </c>
      <c r="K28" s="204"/>
    </row>
    <row r="29" spans="1:11" ht="24.6">
      <c r="A29" s="205"/>
      <c r="B29" s="27"/>
      <c r="C29" s="65"/>
      <c r="D29" s="67" t="s">
        <v>1230</v>
      </c>
      <c r="E29" s="58" t="s">
        <v>7836</v>
      </c>
      <c r="F29" s="206" t="s">
        <v>209</v>
      </c>
      <c r="G29" s="58" t="s">
        <v>7837</v>
      </c>
      <c r="H29" s="58" t="s">
        <v>7838</v>
      </c>
      <c r="I29" s="207" t="s">
        <v>14</v>
      </c>
      <c r="J29" s="208" t="s">
        <v>8843</v>
      </c>
      <c r="K29" s="209"/>
    </row>
    <row r="30" spans="1:11" ht="24.6">
      <c r="A30" s="205"/>
      <c r="B30" s="27"/>
      <c r="C30" s="65"/>
      <c r="D30" s="67" t="s">
        <v>1231</v>
      </c>
      <c r="E30" s="58" t="s">
        <v>7839</v>
      </c>
      <c r="F30" s="206" t="s">
        <v>204</v>
      </c>
      <c r="G30" s="58" t="s">
        <v>7840</v>
      </c>
      <c r="H30" s="58" t="s">
        <v>7841</v>
      </c>
      <c r="I30" s="207" t="s">
        <v>14</v>
      </c>
      <c r="J30" s="208" t="s">
        <v>8844</v>
      </c>
      <c r="K30" s="209"/>
    </row>
    <row r="31" spans="1:11" ht="24.6">
      <c r="A31" s="205"/>
      <c r="B31" s="27"/>
      <c r="C31" s="65"/>
      <c r="D31" s="32" t="s">
        <v>1232</v>
      </c>
      <c r="E31" s="58" t="s">
        <v>7842</v>
      </c>
      <c r="F31" s="206" t="s">
        <v>209</v>
      </c>
      <c r="G31" s="58" t="s">
        <v>7843</v>
      </c>
      <c r="H31" s="58" t="s">
        <v>7844</v>
      </c>
      <c r="I31" s="207" t="s">
        <v>14</v>
      </c>
      <c r="J31" s="208" t="s">
        <v>8845</v>
      </c>
      <c r="K31" s="209"/>
    </row>
    <row r="32" spans="1:11" ht="25.2" thickBot="1">
      <c r="A32" s="205"/>
      <c r="B32" s="27"/>
      <c r="C32" s="68"/>
      <c r="D32" s="69" t="s">
        <v>1233</v>
      </c>
      <c r="E32" s="62" t="s">
        <v>7845</v>
      </c>
      <c r="F32" s="210" t="s">
        <v>209</v>
      </c>
      <c r="G32" s="62" t="s">
        <v>7846</v>
      </c>
      <c r="H32" s="62" t="s">
        <v>7847</v>
      </c>
      <c r="I32" s="211" t="s">
        <v>14</v>
      </c>
      <c r="J32" s="212" t="s">
        <v>8846</v>
      </c>
      <c r="K32" s="213"/>
    </row>
    <row r="33" spans="1:11" ht="24.6">
      <c r="A33" s="205"/>
      <c r="B33" s="27"/>
      <c r="C33" s="64" t="s">
        <v>1234</v>
      </c>
      <c r="D33" s="20" t="s">
        <v>1235</v>
      </c>
      <c r="E33" s="61" t="s">
        <v>7848</v>
      </c>
      <c r="F33" s="214" t="s">
        <v>204</v>
      </c>
      <c r="G33" s="61" t="s">
        <v>7849</v>
      </c>
      <c r="H33" s="61" t="s">
        <v>7850</v>
      </c>
      <c r="I33" s="202" t="s">
        <v>14</v>
      </c>
      <c r="J33" s="203" t="s">
        <v>8847</v>
      </c>
      <c r="K33" s="204"/>
    </row>
    <row r="34" spans="1:11" ht="24.6">
      <c r="A34" s="205"/>
      <c r="B34" s="27"/>
      <c r="C34" s="65"/>
      <c r="D34" s="67" t="s">
        <v>1236</v>
      </c>
      <c r="E34" s="58" t="s">
        <v>7851</v>
      </c>
      <c r="F34" s="206" t="s">
        <v>242</v>
      </c>
      <c r="G34" s="58" t="s">
        <v>7852</v>
      </c>
      <c r="H34" s="58" t="s">
        <v>7853</v>
      </c>
      <c r="I34" s="207" t="s">
        <v>14</v>
      </c>
      <c r="J34" s="208" t="s">
        <v>8848</v>
      </c>
      <c r="K34" s="209"/>
    </row>
    <row r="35" spans="1:11" ht="24.6">
      <c r="A35" s="205"/>
      <c r="B35" s="27"/>
      <c r="C35" s="65"/>
      <c r="D35" s="67" t="s">
        <v>1237</v>
      </c>
      <c r="E35" s="58" t="s">
        <v>7854</v>
      </c>
      <c r="F35" s="206" t="s">
        <v>242</v>
      </c>
      <c r="G35" s="58" t="s">
        <v>7855</v>
      </c>
      <c r="H35" s="58" t="s">
        <v>7856</v>
      </c>
      <c r="I35" s="207" t="s">
        <v>13</v>
      </c>
      <c r="J35" s="208" t="s">
        <v>8849</v>
      </c>
      <c r="K35" s="209"/>
    </row>
    <row r="36" spans="1:11" ht="24.6">
      <c r="A36" s="205"/>
      <c r="B36" s="27"/>
      <c r="C36" s="65"/>
      <c r="D36" s="32" t="s">
        <v>1238</v>
      </c>
      <c r="E36" s="58" t="s">
        <v>7857</v>
      </c>
      <c r="F36" s="206" t="s">
        <v>204</v>
      </c>
      <c r="G36" s="58" t="s">
        <v>7858</v>
      </c>
      <c r="H36" s="58" t="s">
        <v>7859</v>
      </c>
      <c r="I36" s="207" t="s">
        <v>14</v>
      </c>
      <c r="J36" s="208" t="s">
        <v>8850</v>
      </c>
      <c r="K36" s="209"/>
    </row>
    <row r="37" spans="1:11" ht="25.2" thickBot="1">
      <c r="A37" s="205"/>
      <c r="B37" s="27"/>
      <c r="C37" s="68"/>
      <c r="D37" s="69" t="s">
        <v>1239</v>
      </c>
      <c r="E37" s="62" t="s">
        <v>7860</v>
      </c>
      <c r="F37" s="210" t="s">
        <v>209</v>
      </c>
      <c r="G37" s="62" t="s">
        <v>7861</v>
      </c>
      <c r="H37" s="62" t="s">
        <v>7862</v>
      </c>
      <c r="I37" s="211" t="s">
        <v>14</v>
      </c>
      <c r="J37" s="212" t="s">
        <v>8851</v>
      </c>
      <c r="K37" s="213"/>
    </row>
    <row r="38" spans="1:11" ht="24.6">
      <c r="A38" s="205"/>
      <c r="B38" s="27"/>
      <c r="C38" s="64" t="s">
        <v>1240</v>
      </c>
      <c r="D38" s="20" t="s">
        <v>1241</v>
      </c>
      <c r="E38" s="61" t="s">
        <v>7863</v>
      </c>
      <c r="F38" s="214" t="s">
        <v>209</v>
      </c>
      <c r="G38" s="61" t="s">
        <v>7864</v>
      </c>
      <c r="H38" s="61" t="s">
        <v>7865</v>
      </c>
      <c r="I38" s="202" t="s">
        <v>13</v>
      </c>
      <c r="J38" s="203" t="s">
        <v>8852</v>
      </c>
      <c r="K38" s="204"/>
    </row>
    <row r="39" spans="1:11" ht="24.6">
      <c r="A39" s="205"/>
      <c r="B39" s="27"/>
      <c r="C39" s="65"/>
      <c r="D39" s="67" t="s">
        <v>1242</v>
      </c>
      <c r="E39" s="58" t="s">
        <v>7866</v>
      </c>
      <c r="F39" s="206" t="s">
        <v>209</v>
      </c>
      <c r="G39" s="58" t="s">
        <v>7867</v>
      </c>
      <c r="H39" s="58" t="s">
        <v>7868</v>
      </c>
      <c r="I39" s="207" t="s">
        <v>14</v>
      </c>
      <c r="J39" s="208" t="s">
        <v>8853</v>
      </c>
      <c r="K39" s="209"/>
    </row>
    <row r="40" spans="1:11" ht="24.6">
      <c r="A40" s="205"/>
      <c r="B40" s="27"/>
      <c r="C40" s="65"/>
      <c r="D40" s="67" t="s">
        <v>1243</v>
      </c>
      <c r="E40" s="58" t="s">
        <v>7869</v>
      </c>
      <c r="F40" s="206" t="s">
        <v>209</v>
      </c>
      <c r="G40" s="58" t="s">
        <v>7870</v>
      </c>
      <c r="H40" s="58" t="s">
        <v>7871</v>
      </c>
      <c r="I40" s="207" t="s">
        <v>14</v>
      </c>
      <c r="J40" s="208" t="s">
        <v>8854</v>
      </c>
      <c r="K40" s="209"/>
    </row>
    <row r="41" spans="1:11" ht="24.6">
      <c r="A41" s="205"/>
      <c r="B41" s="27"/>
      <c r="C41" s="65"/>
      <c r="D41" s="32" t="s">
        <v>1244</v>
      </c>
      <c r="E41" s="58" t="s">
        <v>7872</v>
      </c>
      <c r="F41" s="206" t="s">
        <v>209</v>
      </c>
      <c r="G41" s="58" t="s">
        <v>7873</v>
      </c>
      <c r="H41" s="58" t="s">
        <v>7874</v>
      </c>
      <c r="I41" s="207" t="s">
        <v>14</v>
      </c>
      <c r="J41" s="208" t="s">
        <v>8855</v>
      </c>
      <c r="K41" s="209"/>
    </row>
    <row r="42" spans="1:11" ht="25.2" thickBot="1">
      <c r="A42" s="205"/>
      <c r="B42" s="27"/>
      <c r="C42" s="68"/>
      <c r="D42" s="69" t="s">
        <v>1245</v>
      </c>
      <c r="E42" s="62" t="s">
        <v>7875</v>
      </c>
      <c r="F42" s="210" t="s">
        <v>242</v>
      </c>
      <c r="G42" s="62" t="s">
        <v>7876</v>
      </c>
      <c r="H42" s="62" t="s">
        <v>7877</v>
      </c>
      <c r="I42" s="211" t="s">
        <v>14</v>
      </c>
      <c r="J42" s="212" t="s">
        <v>8856</v>
      </c>
      <c r="K42" s="213"/>
    </row>
    <row r="43" spans="1:11" ht="24.6">
      <c r="A43" s="205"/>
      <c r="B43" s="27"/>
      <c r="C43" s="64" t="s">
        <v>1246</v>
      </c>
      <c r="D43" s="20" t="s">
        <v>1247</v>
      </c>
      <c r="E43" s="61" t="s">
        <v>7878</v>
      </c>
      <c r="F43" s="214" t="s">
        <v>209</v>
      </c>
      <c r="G43" s="61" t="s">
        <v>7879</v>
      </c>
      <c r="H43" s="61" t="s">
        <v>7880</v>
      </c>
      <c r="I43" s="202" t="s">
        <v>14</v>
      </c>
      <c r="J43" s="203" t="s">
        <v>8857</v>
      </c>
      <c r="K43" s="204"/>
    </row>
    <row r="44" spans="1:11" ht="24.6">
      <c r="A44" s="205"/>
      <c r="B44" s="27"/>
      <c r="C44" s="65"/>
      <c r="D44" s="67" t="s">
        <v>1248</v>
      </c>
      <c r="E44" s="58" t="s">
        <v>7881</v>
      </c>
      <c r="F44" s="206" t="s">
        <v>209</v>
      </c>
      <c r="G44" s="58" t="s">
        <v>7882</v>
      </c>
      <c r="H44" s="58" t="s">
        <v>7883</v>
      </c>
      <c r="I44" s="207" t="s">
        <v>19</v>
      </c>
      <c r="J44" s="208" t="s">
        <v>8858</v>
      </c>
      <c r="K44" s="209"/>
    </row>
    <row r="45" spans="1:11" ht="24.6">
      <c r="A45" s="205"/>
      <c r="B45" s="27"/>
      <c r="C45" s="65"/>
      <c r="D45" s="67" t="s">
        <v>1249</v>
      </c>
      <c r="E45" s="58" t="s">
        <v>7884</v>
      </c>
      <c r="F45" s="206" t="s">
        <v>209</v>
      </c>
      <c r="G45" s="58" t="s">
        <v>7885</v>
      </c>
      <c r="H45" s="58" t="s">
        <v>7886</v>
      </c>
      <c r="I45" s="207" t="s">
        <v>19</v>
      </c>
      <c r="J45" s="208" t="s">
        <v>8859</v>
      </c>
      <c r="K45" s="209"/>
    </row>
    <row r="46" spans="1:11" ht="24.6">
      <c r="A46" s="205"/>
      <c r="B46" s="27"/>
      <c r="C46" s="65"/>
      <c r="D46" s="32" t="s">
        <v>1250</v>
      </c>
      <c r="E46" s="58" t="s">
        <v>7887</v>
      </c>
      <c r="F46" s="206" t="s">
        <v>209</v>
      </c>
      <c r="G46" s="58" t="s">
        <v>7888</v>
      </c>
      <c r="H46" s="58" t="s">
        <v>7889</v>
      </c>
      <c r="I46" s="207" t="s">
        <v>19</v>
      </c>
      <c r="J46" s="208" t="s">
        <v>8860</v>
      </c>
      <c r="K46" s="209"/>
    </row>
    <row r="47" spans="1:11" ht="25.2" thickBot="1">
      <c r="A47" s="205"/>
      <c r="B47" s="27"/>
      <c r="C47" s="68"/>
      <c r="D47" s="69" t="s">
        <v>1251</v>
      </c>
      <c r="E47" s="62" t="s">
        <v>7890</v>
      </c>
      <c r="F47" s="210" t="s">
        <v>209</v>
      </c>
      <c r="G47" s="62" t="s">
        <v>7891</v>
      </c>
      <c r="H47" s="62" t="s">
        <v>7892</v>
      </c>
      <c r="I47" s="211" t="s">
        <v>19</v>
      </c>
      <c r="J47" s="212" t="s">
        <v>8861</v>
      </c>
      <c r="K47" s="213"/>
    </row>
    <row r="48" spans="1:11" ht="24.6">
      <c r="A48" s="205"/>
      <c r="B48" s="27"/>
      <c r="C48" s="64" t="s">
        <v>1252</v>
      </c>
      <c r="D48" s="20" t="s">
        <v>1253</v>
      </c>
      <c r="E48" s="61" t="s">
        <v>7893</v>
      </c>
      <c r="F48" s="214" t="s">
        <v>204</v>
      </c>
      <c r="G48" s="61" t="s">
        <v>7894</v>
      </c>
      <c r="H48" s="61" t="s">
        <v>7895</v>
      </c>
      <c r="I48" s="202" t="s">
        <v>14</v>
      </c>
      <c r="J48" s="203" t="s">
        <v>8862</v>
      </c>
      <c r="K48" s="204"/>
    </row>
    <row r="49" spans="1:11" ht="24.6">
      <c r="A49" s="205"/>
      <c r="B49" s="27"/>
      <c r="C49" s="65"/>
      <c r="D49" s="67" t="s">
        <v>1254</v>
      </c>
      <c r="E49" s="58" t="s">
        <v>7896</v>
      </c>
      <c r="F49" s="206" t="s">
        <v>204</v>
      </c>
      <c r="G49" s="58" t="s">
        <v>7897</v>
      </c>
      <c r="H49" s="58" t="s">
        <v>7898</v>
      </c>
      <c r="I49" s="207" t="s">
        <v>19</v>
      </c>
      <c r="J49" s="208" t="s">
        <v>8863</v>
      </c>
      <c r="K49" s="209"/>
    </row>
    <row r="50" spans="1:11" ht="24.6">
      <c r="A50" s="205"/>
      <c r="B50" s="27"/>
      <c r="C50" s="65"/>
      <c r="D50" s="67" t="s">
        <v>1255</v>
      </c>
      <c r="E50" s="58" t="s">
        <v>7899</v>
      </c>
      <c r="F50" s="206" t="s">
        <v>209</v>
      </c>
      <c r="G50" s="58" t="s">
        <v>7900</v>
      </c>
      <c r="H50" s="58" t="s">
        <v>7901</v>
      </c>
      <c r="I50" s="207" t="s">
        <v>19</v>
      </c>
      <c r="J50" s="208" t="s">
        <v>8864</v>
      </c>
      <c r="K50" s="209"/>
    </row>
    <row r="51" spans="1:11" ht="24.6">
      <c r="A51" s="205"/>
      <c r="B51" s="27"/>
      <c r="C51" s="65"/>
      <c r="D51" s="32" t="s">
        <v>1256</v>
      </c>
      <c r="E51" s="58" t="s">
        <v>7902</v>
      </c>
      <c r="F51" s="206" t="s">
        <v>204</v>
      </c>
      <c r="G51" s="58" t="s">
        <v>7903</v>
      </c>
      <c r="H51" s="58" t="s">
        <v>7904</v>
      </c>
      <c r="I51" s="207" t="s">
        <v>14</v>
      </c>
      <c r="J51" s="208" t="s">
        <v>8865</v>
      </c>
      <c r="K51" s="209"/>
    </row>
    <row r="52" spans="1:11" ht="25.2" thickBot="1">
      <c r="A52" s="205"/>
      <c r="B52" s="131"/>
      <c r="C52" s="68"/>
      <c r="D52" s="69" t="s">
        <v>1257</v>
      </c>
      <c r="E52" s="62" t="s">
        <v>7905</v>
      </c>
      <c r="F52" s="210" t="s">
        <v>242</v>
      </c>
      <c r="G52" s="62" t="s">
        <v>7906</v>
      </c>
      <c r="H52" s="62" t="s">
        <v>7907</v>
      </c>
      <c r="I52" s="211" t="s">
        <v>19</v>
      </c>
      <c r="J52" s="212" t="s">
        <v>8866</v>
      </c>
      <c r="K52" s="213"/>
    </row>
    <row r="53" spans="1:11" ht="24.6">
      <c r="A53" s="205"/>
      <c r="B53" s="18" t="s">
        <v>1258</v>
      </c>
      <c r="C53" s="28" t="s">
        <v>1259</v>
      </c>
      <c r="D53" s="47" t="s">
        <v>1260</v>
      </c>
      <c r="E53" s="215" t="s">
        <v>7908</v>
      </c>
      <c r="F53" s="43" t="s">
        <v>209</v>
      </c>
      <c r="G53" s="57" t="s">
        <v>91</v>
      </c>
      <c r="H53" s="57" t="s">
        <v>7909</v>
      </c>
      <c r="I53" s="216" t="s">
        <v>14</v>
      </c>
      <c r="J53" s="217" t="s">
        <v>8867</v>
      </c>
      <c r="K53" s="218"/>
    </row>
    <row r="54" spans="1:11" ht="24.6">
      <c r="A54" s="205"/>
      <c r="B54" s="27"/>
      <c r="C54" s="28"/>
      <c r="D54" s="67" t="s">
        <v>1261</v>
      </c>
      <c r="E54" s="58" t="s">
        <v>7910</v>
      </c>
      <c r="F54" s="206" t="s">
        <v>209</v>
      </c>
      <c r="G54" s="58" t="s">
        <v>7911</v>
      </c>
      <c r="H54" s="58" t="s">
        <v>7912</v>
      </c>
      <c r="I54" s="207" t="s">
        <v>14</v>
      </c>
      <c r="J54" s="208" t="s">
        <v>8868</v>
      </c>
      <c r="K54" s="209"/>
    </row>
    <row r="55" spans="1:11" ht="24.6">
      <c r="A55" s="205"/>
      <c r="B55" s="27"/>
      <c r="C55" s="28"/>
      <c r="D55" s="67" t="s">
        <v>1262</v>
      </c>
      <c r="E55" s="58" t="s">
        <v>7913</v>
      </c>
      <c r="F55" s="206" t="s">
        <v>209</v>
      </c>
      <c r="G55" s="58" t="s">
        <v>7914</v>
      </c>
      <c r="H55" s="58" t="s">
        <v>7915</v>
      </c>
      <c r="I55" s="207" t="s">
        <v>19</v>
      </c>
      <c r="J55" s="208" t="s">
        <v>8869</v>
      </c>
      <c r="K55" s="209"/>
    </row>
    <row r="56" spans="1:11" ht="24.6">
      <c r="A56" s="205"/>
      <c r="B56" s="27"/>
      <c r="C56" s="28"/>
      <c r="D56" s="32" t="s">
        <v>1263</v>
      </c>
      <c r="E56" s="58" t="s">
        <v>7916</v>
      </c>
      <c r="F56" s="206" t="s">
        <v>209</v>
      </c>
      <c r="G56" s="58" t="s">
        <v>7917</v>
      </c>
      <c r="H56" s="58" t="s">
        <v>7918</v>
      </c>
      <c r="I56" s="207" t="s">
        <v>14</v>
      </c>
      <c r="J56" s="208" t="s">
        <v>8870</v>
      </c>
      <c r="K56" s="209"/>
    </row>
    <row r="57" spans="1:11" ht="25.2" thickBot="1">
      <c r="A57" s="205"/>
      <c r="B57" s="27"/>
      <c r="C57" s="36"/>
      <c r="D57" s="69" t="s">
        <v>1264</v>
      </c>
      <c r="E57" s="62" t="s">
        <v>7919</v>
      </c>
      <c r="F57" s="210" t="s">
        <v>209</v>
      </c>
      <c r="G57" s="62" t="s">
        <v>7920</v>
      </c>
      <c r="H57" s="62" t="s">
        <v>7921</v>
      </c>
      <c r="I57" s="211" t="s">
        <v>19</v>
      </c>
      <c r="J57" s="212" t="s">
        <v>8871</v>
      </c>
      <c r="K57" s="213"/>
    </row>
    <row r="58" spans="1:11" ht="24.6">
      <c r="A58" s="205"/>
      <c r="B58" s="27"/>
      <c r="C58" s="64" t="s">
        <v>1265</v>
      </c>
      <c r="D58" s="23" t="s">
        <v>1266</v>
      </c>
      <c r="E58" s="42" t="s">
        <v>7922</v>
      </c>
      <c r="F58" s="22" t="s">
        <v>204</v>
      </c>
      <c r="G58" s="61" t="s">
        <v>7923</v>
      </c>
      <c r="H58" s="61" t="s">
        <v>7924</v>
      </c>
      <c r="I58" s="202" t="s">
        <v>14</v>
      </c>
      <c r="J58" s="203" t="s">
        <v>8872</v>
      </c>
      <c r="K58" s="204"/>
    </row>
    <row r="59" spans="1:11" ht="24.6">
      <c r="A59" s="205"/>
      <c r="B59" s="27"/>
      <c r="C59" s="65"/>
      <c r="D59" s="67" t="s">
        <v>1267</v>
      </c>
      <c r="E59" s="58" t="s">
        <v>7925</v>
      </c>
      <c r="F59" s="206" t="s">
        <v>242</v>
      </c>
      <c r="G59" s="58" t="s">
        <v>7926</v>
      </c>
      <c r="H59" s="58" t="s">
        <v>7927</v>
      </c>
      <c r="I59" s="207" t="s">
        <v>19</v>
      </c>
      <c r="J59" s="208" t="s">
        <v>8873</v>
      </c>
      <c r="K59" s="209"/>
    </row>
    <row r="60" spans="1:11" ht="24.6">
      <c r="A60" s="205"/>
      <c r="B60" s="27"/>
      <c r="C60" s="65"/>
      <c r="D60" s="67" t="s">
        <v>1268</v>
      </c>
      <c r="E60" s="58" t="s">
        <v>7928</v>
      </c>
      <c r="F60" s="206" t="s">
        <v>204</v>
      </c>
      <c r="G60" s="58" t="s">
        <v>7929</v>
      </c>
      <c r="H60" s="58" t="s">
        <v>7930</v>
      </c>
      <c r="I60" s="207" t="s">
        <v>19</v>
      </c>
      <c r="J60" s="208" t="s">
        <v>8874</v>
      </c>
      <c r="K60" s="209"/>
    </row>
    <row r="61" spans="1:11" ht="24.6">
      <c r="A61" s="205"/>
      <c r="B61" s="27"/>
      <c r="C61" s="65"/>
      <c r="D61" s="32" t="s">
        <v>1269</v>
      </c>
      <c r="E61" s="58" t="s">
        <v>7931</v>
      </c>
      <c r="F61" s="206" t="s">
        <v>209</v>
      </c>
      <c r="G61" s="58" t="s">
        <v>7932</v>
      </c>
      <c r="H61" s="58" t="s">
        <v>7933</v>
      </c>
      <c r="I61" s="207" t="s">
        <v>19</v>
      </c>
      <c r="J61" s="208" t="s">
        <v>8875</v>
      </c>
      <c r="K61" s="209"/>
    </row>
    <row r="62" spans="1:11" ht="25.2" thickBot="1">
      <c r="A62" s="205"/>
      <c r="B62" s="27"/>
      <c r="C62" s="68"/>
      <c r="D62" s="69" t="s">
        <v>1270</v>
      </c>
      <c r="E62" s="62" t="s">
        <v>7934</v>
      </c>
      <c r="F62" s="210" t="s">
        <v>242</v>
      </c>
      <c r="G62" s="62" t="s">
        <v>7935</v>
      </c>
      <c r="H62" s="62" t="s">
        <v>7936</v>
      </c>
      <c r="I62" s="211" t="s">
        <v>14</v>
      </c>
      <c r="J62" s="212" t="s">
        <v>8876</v>
      </c>
      <c r="K62" s="213"/>
    </row>
    <row r="63" spans="1:11" ht="24.6">
      <c r="A63" s="205"/>
      <c r="B63" s="27"/>
      <c r="C63" s="64" t="s">
        <v>1271</v>
      </c>
      <c r="D63" s="23" t="s">
        <v>1272</v>
      </c>
      <c r="E63" s="42" t="s">
        <v>7937</v>
      </c>
      <c r="F63" s="22" t="s">
        <v>204</v>
      </c>
      <c r="G63" s="61" t="s">
        <v>7938</v>
      </c>
      <c r="H63" s="61" t="s">
        <v>7939</v>
      </c>
      <c r="I63" s="202" t="s">
        <v>14</v>
      </c>
      <c r="J63" s="203" t="s">
        <v>8877</v>
      </c>
      <c r="K63" s="204"/>
    </row>
    <row r="64" spans="1:11" ht="24.6">
      <c r="A64" s="205"/>
      <c r="B64" s="27"/>
      <c r="C64" s="65"/>
      <c r="D64" s="66" t="s">
        <v>1273</v>
      </c>
      <c r="E64" s="58" t="s">
        <v>7940</v>
      </c>
      <c r="F64" s="206" t="s">
        <v>204</v>
      </c>
      <c r="G64" s="58" t="s">
        <v>7941</v>
      </c>
      <c r="H64" s="58" t="s">
        <v>7942</v>
      </c>
      <c r="I64" s="207" t="s">
        <v>14</v>
      </c>
      <c r="J64" s="208" t="s">
        <v>8878</v>
      </c>
      <c r="K64" s="209"/>
    </row>
    <row r="65" spans="1:11" ht="24.6">
      <c r="A65" s="205"/>
      <c r="B65" s="27"/>
      <c r="C65" s="65"/>
      <c r="D65" s="67" t="s">
        <v>1274</v>
      </c>
      <c r="E65" s="58" t="s">
        <v>7943</v>
      </c>
      <c r="F65" s="206" t="s">
        <v>204</v>
      </c>
      <c r="G65" s="58" t="s">
        <v>7944</v>
      </c>
      <c r="H65" s="58" t="s">
        <v>7945</v>
      </c>
      <c r="I65" s="207" t="s">
        <v>19</v>
      </c>
      <c r="J65" s="208" t="s">
        <v>8879</v>
      </c>
      <c r="K65" s="209"/>
    </row>
    <row r="66" spans="1:11" ht="24.6">
      <c r="A66" s="205"/>
      <c r="B66" s="27"/>
      <c r="C66" s="65"/>
      <c r="D66" s="32" t="s">
        <v>1275</v>
      </c>
      <c r="E66" s="58" t="s">
        <v>7946</v>
      </c>
      <c r="F66" s="206" t="s">
        <v>204</v>
      </c>
      <c r="G66" s="58" t="s">
        <v>7947</v>
      </c>
      <c r="H66" s="58" t="s">
        <v>7948</v>
      </c>
      <c r="I66" s="207" t="s">
        <v>19</v>
      </c>
      <c r="J66" s="208" t="s">
        <v>8880</v>
      </c>
      <c r="K66" s="209"/>
    </row>
    <row r="67" spans="1:11" ht="25.2" thickBot="1">
      <c r="A67" s="205"/>
      <c r="B67" s="27"/>
      <c r="C67" s="68"/>
      <c r="D67" s="69" t="s">
        <v>1276</v>
      </c>
      <c r="E67" s="62" t="s">
        <v>7949</v>
      </c>
      <c r="F67" s="210" t="s">
        <v>242</v>
      </c>
      <c r="G67" s="62" t="s">
        <v>7950</v>
      </c>
      <c r="H67" s="62" t="s">
        <v>7951</v>
      </c>
      <c r="I67" s="211" t="s">
        <v>19</v>
      </c>
      <c r="J67" s="212" t="s">
        <v>8881</v>
      </c>
      <c r="K67" s="213"/>
    </row>
    <row r="68" spans="1:11" ht="24.6">
      <c r="A68" s="205"/>
      <c r="B68" s="27"/>
      <c r="C68" s="64" t="s">
        <v>1277</v>
      </c>
      <c r="D68" s="23" t="s">
        <v>1278</v>
      </c>
      <c r="E68" s="42" t="s">
        <v>7952</v>
      </c>
      <c r="F68" s="22" t="s">
        <v>242</v>
      </c>
      <c r="G68" s="61" t="s">
        <v>7953</v>
      </c>
      <c r="H68" s="61" t="s">
        <v>7954</v>
      </c>
      <c r="I68" s="202" t="s">
        <v>14</v>
      </c>
      <c r="J68" s="203" t="s">
        <v>8882</v>
      </c>
      <c r="K68" s="204"/>
    </row>
    <row r="69" spans="1:11" ht="24.6">
      <c r="A69" s="205"/>
      <c r="B69" s="27"/>
      <c r="C69" s="65"/>
      <c r="D69" s="66" t="s">
        <v>1279</v>
      </c>
      <c r="E69" s="58" t="s">
        <v>7955</v>
      </c>
      <c r="F69" s="206" t="s">
        <v>209</v>
      </c>
      <c r="G69" s="58" t="s">
        <v>7956</v>
      </c>
      <c r="H69" s="58" t="s">
        <v>7957</v>
      </c>
      <c r="I69" s="207" t="s">
        <v>19</v>
      </c>
      <c r="J69" s="208" t="s">
        <v>8883</v>
      </c>
      <c r="K69" s="209"/>
    </row>
    <row r="70" spans="1:11" ht="24.6">
      <c r="A70" s="205"/>
      <c r="B70" s="27"/>
      <c r="C70" s="65"/>
      <c r="D70" s="67" t="s">
        <v>1280</v>
      </c>
      <c r="E70" s="58" t="s">
        <v>7958</v>
      </c>
      <c r="F70" s="206" t="s">
        <v>209</v>
      </c>
      <c r="G70" s="58" t="s">
        <v>7959</v>
      </c>
      <c r="H70" s="58" t="s">
        <v>7960</v>
      </c>
      <c r="I70" s="207" t="s">
        <v>19</v>
      </c>
      <c r="J70" s="208" t="s">
        <v>8884</v>
      </c>
      <c r="K70" s="209"/>
    </row>
    <row r="71" spans="1:11" ht="24.6">
      <c r="A71" s="205"/>
      <c r="B71" s="27"/>
      <c r="C71" s="65"/>
      <c r="D71" s="32" t="s">
        <v>1281</v>
      </c>
      <c r="E71" s="58" t="s">
        <v>7961</v>
      </c>
      <c r="F71" s="206" t="s">
        <v>209</v>
      </c>
      <c r="G71" s="58" t="s">
        <v>7962</v>
      </c>
      <c r="H71" s="58" t="s">
        <v>7963</v>
      </c>
      <c r="I71" s="207" t="s">
        <v>19</v>
      </c>
      <c r="J71" s="208" t="s">
        <v>8885</v>
      </c>
      <c r="K71" s="209"/>
    </row>
    <row r="72" spans="1:11" ht="25.2" thickBot="1">
      <c r="A72" s="205"/>
      <c r="B72" s="27"/>
      <c r="C72" s="68"/>
      <c r="D72" s="69" t="s">
        <v>1282</v>
      </c>
      <c r="E72" s="62" t="s">
        <v>7964</v>
      </c>
      <c r="F72" s="210" t="s">
        <v>209</v>
      </c>
      <c r="G72" s="62" t="s">
        <v>7965</v>
      </c>
      <c r="H72" s="62" t="s">
        <v>7966</v>
      </c>
      <c r="I72" s="211" t="s">
        <v>19</v>
      </c>
      <c r="J72" s="212" t="s">
        <v>8886</v>
      </c>
      <c r="K72" s="213"/>
    </row>
    <row r="73" spans="1:11" ht="24.6">
      <c r="A73" s="219" t="s">
        <v>92</v>
      </c>
      <c r="B73" s="107" t="s">
        <v>93</v>
      </c>
      <c r="C73" s="115" t="s">
        <v>1283</v>
      </c>
      <c r="D73" s="116" t="s">
        <v>1284</v>
      </c>
      <c r="E73" s="117" t="s">
        <v>7967</v>
      </c>
      <c r="F73" s="74" t="s">
        <v>209</v>
      </c>
      <c r="G73" s="220" t="s">
        <v>7968</v>
      </c>
      <c r="H73" s="220" t="s">
        <v>7969</v>
      </c>
      <c r="I73" s="221" t="s">
        <v>14</v>
      </c>
      <c r="J73" s="222" t="s">
        <v>8887</v>
      </c>
      <c r="K73" s="223"/>
    </row>
    <row r="74" spans="1:11" ht="24.6">
      <c r="A74" s="224"/>
      <c r="B74" s="70"/>
      <c r="C74" s="118"/>
      <c r="D74" s="79" t="s">
        <v>1285</v>
      </c>
      <c r="E74" s="109" t="s">
        <v>7970</v>
      </c>
      <c r="F74" s="110" t="s">
        <v>209</v>
      </c>
      <c r="G74" s="109" t="s">
        <v>7971</v>
      </c>
      <c r="H74" s="109" t="s">
        <v>7972</v>
      </c>
      <c r="I74" s="225" t="s">
        <v>19</v>
      </c>
      <c r="J74" s="226" t="s">
        <v>8888</v>
      </c>
      <c r="K74" s="227"/>
    </row>
    <row r="75" spans="1:11" ht="24.6">
      <c r="A75" s="224"/>
      <c r="B75" s="70"/>
      <c r="C75" s="118"/>
      <c r="D75" s="85" t="s">
        <v>1286</v>
      </c>
      <c r="E75" s="109" t="s">
        <v>7973</v>
      </c>
      <c r="F75" s="110" t="s">
        <v>242</v>
      </c>
      <c r="G75" s="109" t="s">
        <v>7882</v>
      </c>
      <c r="H75" s="109" t="s">
        <v>7974</v>
      </c>
      <c r="I75" s="225" t="s">
        <v>19</v>
      </c>
      <c r="J75" s="226" t="s">
        <v>8889</v>
      </c>
      <c r="K75" s="227"/>
    </row>
    <row r="76" spans="1:11" ht="24.6">
      <c r="A76" s="224"/>
      <c r="B76" s="70"/>
      <c r="C76" s="118"/>
      <c r="D76" s="85" t="s">
        <v>1287</v>
      </c>
      <c r="E76" s="109" t="s">
        <v>7975</v>
      </c>
      <c r="F76" s="110" t="s">
        <v>242</v>
      </c>
      <c r="G76" s="109" t="s">
        <v>7976</v>
      </c>
      <c r="H76" s="109" t="s">
        <v>7977</v>
      </c>
      <c r="I76" s="225" t="s">
        <v>14</v>
      </c>
      <c r="J76" s="226" t="s">
        <v>8890</v>
      </c>
      <c r="K76" s="227"/>
    </row>
    <row r="77" spans="1:11" ht="25.2" thickBot="1">
      <c r="A77" s="224"/>
      <c r="B77" s="70"/>
      <c r="C77" s="118"/>
      <c r="D77" s="82" t="s">
        <v>1288</v>
      </c>
      <c r="E77" s="109" t="s">
        <v>7978</v>
      </c>
      <c r="F77" s="110" t="s">
        <v>209</v>
      </c>
      <c r="G77" s="109" t="s">
        <v>7979</v>
      </c>
      <c r="H77" s="109" t="s">
        <v>7980</v>
      </c>
      <c r="I77" s="225" t="s">
        <v>19</v>
      </c>
      <c r="J77" s="226" t="s">
        <v>8891</v>
      </c>
      <c r="K77" s="227"/>
    </row>
    <row r="78" spans="1:11" ht="24.6">
      <c r="A78" s="224"/>
      <c r="B78" s="70"/>
      <c r="C78" s="71" t="s">
        <v>1289</v>
      </c>
      <c r="D78" s="72" t="s">
        <v>1290</v>
      </c>
      <c r="E78" s="73" t="s">
        <v>7981</v>
      </c>
      <c r="F78" s="74" t="s">
        <v>204</v>
      </c>
      <c r="G78" s="220" t="s">
        <v>7982</v>
      </c>
      <c r="H78" s="220" t="s">
        <v>7983</v>
      </c>
      <c r="I78" s="221" t="s">
        <v>14</v>
      </c>
      <c r="J78" s="222" t="s">
        <v>8892</v>
      </c>
      <c r="K78" s="223"/>
    </row>
    <row r="79" spans="1:11" ht="24.6">
      <c r="A79" s="224"/>
      <c r="B79" s="70"/>
      <c r="C79" s="78"/>
      <c r="D79" s="79" t="s">
        <v>1291</v>
      </c>
      <c r="E79" s="109" t="s">
        <v>7984</v>
      </c>
      <c r="F79" s="110" t="s">
        <v>209</v>
      </c>
      <c r="G79" s="109" t="s">
        <v>7985</v>
      </c>
      <c r="H79" s="109" t="s">
        <v>7986</v>
      </c>
      <c r="I79" s="225" t="s">
        <v>14</v>
      </c>
      <c r="J79" s="226" t="s">
        <v>8893</v>
      </c>
      <c r="K79" s="227"/>
    </row>
    <row r="80" spans="1:11" ht="24.6">
      <c r="A80" s="224"/>
      <c r="B80" s="70"/>
      <c r="C80" s="78"/>
      <c r="D80" s="85" t="s">
        <v>1292</v>
      </c>
      <c r="E80" s="109" t="s">
        <v>7987</v>
      </c>
      <c r="F80" s="110" t="s">
        <v>204</v>
      </c>
      <c r="G80" s="109" t="s">
        <v>7988</v>
      </c>
      <c r="H80" s="109" t="s">
        <v>7989</v>
      </c>
      <c r="I80" s="225" t="s">
        <v>14</v>
      </c>
      <c r="J80" s="226" t="s">
        <v>8894</v>
      </c>
      <c r="K80" s="227"/>
    </row>
    <row r="81" spans="1:11" ht="25.2" thickBot="1">
      <c r="A81" s="224"/>
      <c r="B81" s="70"/>
      <c r="C81" s="78"/>
      <c r="D81" s="85" t="s">
        <v>1293</v>
      </c>
      <c r="E81" s="109" t="s">
        <v>7990</v>
      </c>
      <c r="F81" s="134" t="s">
        <v>209</v>
      </c>
      <c r="G81" s="109" t="s">
        <v>7991</v>
      </c>
      <c r="H81" s="109" t="s">
        <v>7992</v>
      </c>
      <c r="I81" s="225" t="s">
        <v>19</v>
      </c>
      <c r="J81" s="226" t="s">
        <v>8895</v>
      </c>
      <c r="K81" s="227"/>
    </row>
    <row r="82" spans="1:11" ht="25.2" thickBot="1">
      <c r="A82" s="224"/>
      <c r="B82" s="70"/>
      <c r="C82" s="78"/>
      <c r="D82" s="82" t="s">
        <v>1294</v>
      </c>
      <c r="E82" s="109" t="s">
        <v>7993</v>
      </c>
      <c r="F82" s="228" t="s">
        <v>204</v>
      </c>
      <c r="G82" s="109" t="s">
        <v>7994</v>
      </c>
      <c r="H82" s="109" t="s">
        <v>7995</v>
      </c>
      <c r="I82" s="225" t="s">
        <v>14</v>
      </c>
      <c r="J82" s="226" t="s">
        <v>8896</v>
      </c>
      <c r="K82" s="227"/>
    </row>
    <row r="83" spans="1:11" ht="24.6">
      <c r="A83" s="224"/>
      <c r="B83" s="70"/>
      <c r="C83" s="71" t="s">
        <v>1295</v>
      </c>
      <c r="D83" s="72" t="s">
        <v>1296</v>
      </c>
      <c r="E83" s="73" t="s">
        <v>7996</v>
      </c>
      <c r="F83" s="110" t="s">
        <v>204</v>
      </c>
      <c r="G83" s="220" t="s">
        <v>7997</v>
      </c>
      <c r="H83" s="220" t="s">
        <v>7998</v>
      </c>
      <c r="I83" s="221" t="s">
        <v>19</v>
      </c>
      <c r="J83" s="222" t="s">
        <v>8897</v>
      </c>
      <c r="K83" s="223"/>
    </row>
    <row r="84" spans="1:11" ht="24.6">
      <c r="A84" s="224"/>
      <c r="B84" s="70"/>
      <c r="C84" s="78"/>
      <c r="D84" s="79" t="s">
        <v>1297</v>
      </c>
      <c r="E84" s="109" t="s">
        <v>7999</v>
      </c>
      <c r="F84" s="110" t="s">
        <v>209</v>
      </c>
      <c r="G84" s="109" t="s">
        <v>8000</v>
      </c>
      <c r="H84" s="109" t="s">
        <v>8001</v>
      </c>
      <c r="I84" s="225" t="s">
        <v>19</v>
      </c>
      <c r="J84" s="226" t="s">
        <v>8898</v>
      </c>
      <c r="K84" s="227"/>
    </row>
    <row r="85" spans="1:11" ht="24.6">
      <c r="A85" s="224"/>
      <c r="B85" s="70"/>
      <c r="C85" s="78"/>
      <c r="D85" s="85" t="s">
        <v>1298</v>
      </c>
      <c r="E85" s="109" t="s">
        <v>8002</v>
      </c>
      <c r="F85" s="110" t="s">
        <v>204</v>
      </c>
      <c r="G85" s="109" t="s">
        <v>8003</v>
      </c>
      <c r="H85" s="109" t="s">
        <v>8004</v>
      </c>
      <c r="I85" s="225" t="s">
        <v>14</v>
      </c>
      <c r="J85" s="226" t="s">
        <v>8899</v>
      </c>
      <c r="K85" s="227"/>
    </row>
    <row r="86" spans="1:11" ht="25.2" thickBot="1">
      <c r="A86" s="224"/>
      <c r="B86" s="70"/>
      <c r="C86" s="78"/>
      <c r="D86" s="85" t="s">
        <v>1299</v>
      </c>
      <c r="E86" s="109" t="s">
        <v>8005</v>
      </c>
      <c r="F86" s="134" t="s">
        <v>242</v>
      </c>
      <c r="G86" s="109" t="s">
        <v>8006</v>
      </c>
      <c r="H86" s="109" t="s">
        <v>8007</v>
      </c>
      <c r="I86" s="225" t="s">
        <v>14</v>
      </c>
      <c r="J86" s="226" t="s">
        <v>8900</v>
      </c>
      <c r="K86" s="227"/>
    </row>
    <row r="87" spans="1:11" ht="25.2" thickBot="1">
      <c r="A87" s="224"/>
      <c r="B87" s="70"/>
      <c r="C87" s="86"/>
      <c r="D87" s="87" t="s">
        <v>1300</v>
      </c>
      <c r="E87" s="112" t="s">
        <v>8008</v>
      </c>
      <c r="F87" s="229" t="s">
        <v>209</v>
      </c>
      <c r="G87" s="112" t="s">
        <v>8009</v>
      </c>
      <c r="H87" s="112" t="s">
        <v>8010</v>
      </c>
      <c r="I87" s="230" t="s">
        <v>14</v>
      </c>
      <c r="J87" s="231" t="s">
        <v>8901</v>
      </c>
      <c r="K87" s="232"/>
    </row>
    <row r="88" spans="1:11" ht="24.6">
      <c r="A88" s="224"/>
      <c r="B88" s="70"/>
      <c r="C88" s="71" t="s">
        <v>1301</v>
      </c>
      <c r="D88" s="72" t="s">
        <v>1302</v>
      </c>
      <c r="E88" s="73" t="s">
        <v>8011</v>
      </c>
      <c r="F88" s="110" t="s">
        <v>209</v>
      </c>
      <c r="G88" s="220" t="s">
        <v>8012</v>
      </c>
      <c r="H88" s="220" t="s">
        <v>8013</v>
      </c>
      <c r="I88" s="221" t="s">
        <v>14</v>
      </c>
      <c r="J88" s="222" t="s">
        <v>8902</v>
      </c>
      <c r="K88" s="223"/>
    </row>
    <row r="89" spans="1:11" ht="24.6">
      <c r="A89" s="224"/>
      <c r="B89" s="70"/>
      <c r="C89" s="78"/>
      <c r="D89" s="79" t="s">
        <v>1303</v>
      </c>
      <c r="E89" s="109" t="s">
        <v>8014</v>
      </c>
      <c r="F89" s="110" t="s">
        <v>209</v>
      </c>
      <c r="G89" s="109" t="s">
        <v>8015</v>
      </c>
      <c r="H89" s="109" t="s">
        <v>8016</v>
      </c>
      <c r="I89" s="225" t="s">
        <v>14</v>
      </c>
      <c r="J89" s="226" t="s">
        <v>8903</v>
      </c>
      <c r="K89" s="227"/>
    </row>
    <row r="90" spans="1:11" ht="24.6">
      <c r="A90" s="224"/>
      <c r="B90" s="70"/>
      <c r="C90" s="78"/>
      <c r="D90" s="85" t="s">
        <v>1304</v>
      </c>
      <c r="E90" s="109" t="s">
        <v>8017</v>
      </c>
      <c r="F90" s="110" t="s">
        <v>209</v>
      </c>
      <c r="G90" s="109" t="s">
        <v>8018</v>
      </c>
      <c r="H90" s="109" t="s">
        <v>8019</v>
      </c>
      <c r="I90" s="225" t="s">
        <v>14</v>
      </c>
      <c r="J90" s="226" t="s">
        <v>8904</v>
      </c>
      <c r="K90" s="227"/>
    </row>
    <row r="91" spans="1:11" ht="25.2" thickBot="1">
      <c r="A91" s="224"/>
      <c r="B91" s="70"/>
      <c r="C91" s="78"/>
      <c r="D91" s="85" t="s">
        <v>1305</v>
      </c>
      <c r="E91" s="109" t="s">
        <v>8020</v>
      </c>
      <c r="F91" s="134" t="s">
        <v>209</v>
      </c>
      <c r="G91" s="109" t="s">
        <v>8021</v>
      </c>
      <c r="H91" s="109" t="s">
        <v>8022</v>
      </c>
      <c r="I91" s="225" t="s">
        <v>14</v>
      </c>
      <c r="J91" s="226" t="s">
        <v>8905</v>
      </c>
      <c r="K91" s="227"/>
    </row>
    <row r="92" spans="1:11" ht="25.2" thickBot="1">
      <c r="A92" s="224"/>
      <c r="B92" s="70"/>
      <c r="C92" s="78"/>
      <c r="D92" s="82" t="s">
        <v>1306</v>
      </c>
      <c r="E92" s="109" t="s">
        <v>8023</v>
      </c>
      <c r="F92" s="74" t="s">
        <v>204</v>
      </c>
      <c r="G92" s="109" t="s">
        <v>8024</v>
      </c>
      <c r="H92" s="109" t="s">
        <v>8025</v>
      </c>
      <c r="I92" s="225" t="s">
        <v>14</v>
      </c>
      <c r="J92" s="226" t="s">
        <v>8906</v>
      </c>
      <c r="K92" s="227"/>
    </row>
    <row r="93" spans="1:11" ht="25.2" thickBot="1">
      <c r="A93" s="224"/>
      <c r="B93" s="70"/>
      <c r="C93" s="71" t="s">
        <v>1307</v>
      </c>
      <c r="D93" s="72" t="s">
        <v>1308</v>
      </c>
      <c r="E93" s="73" t="s">
        <v>8026</v>
      </c>
      <c r="F93" s="110" t="s">
        <v>242</v>
      </c>
      <c r="G93" s="220" t="s">
        <v>8027</v>
      </c>
      <c r="H93" s="220" t="s">
        <v>8028</v>
      </c>
      <c r="I93" s="221" t="s">
        <v>19</v>
      </c>
      <c r="J93" s="222" t="s">
        <v>8907</v>
      </c>
      <c r="K93" s="223"/>
    </row>
    <row r="94" spans="1:11" ht="24.6">
      <c r="A94" s="224"/>
      <c r="B94" s="70"/>
      <c r="C94" s="78"/>
      <c r="D94" s="79" t="s">
        <v>1309</v>
      </c>
      <c r="E94" s="109" t="s">
        <v>8029</v>
      </c>
      <c r="F94" s="74" t="s">
        <v>209</v>
      </c>
      <c r="G94" s="109" t="s">
        <v>8030</v>
      </c>
      <c r="H94" s="109" t="s">
        <v>8031</v>
      </c>
      <c r="I94" s="225" t="s">
        <v>19</v>
      </c>
      <c r="J94" s="226" t="s">
        <v>8908</v>
      </c>
      <c r="K94" s="227"/>
    </row>
    <row r="95" spans="1:11" ht="24.6">
      <c r="A95" s="224"/>
      <c r="B95" s="70"/>
      <c r="C95" s="78"/>
      <c r="D95" s="85" t="s">
        <v>1310</v>
      </c>
      <c r="E95" s="109" t="s">
        <v>8032</v>
      </c>
      <c r="F95" s="110" t="s">
        <v>209</v>
      </c>
      <c r="G95" s="109" t="s">
        <v>8033</v>
      </c>
      <c r="H95" s="109" t="s">
        <v>8034</v>
      </c>
      <c r="I95" s="225" t="s">
        <v>19</v>
      </c>
      <c r="J95" s="226" t="s">
        <v>8909</v>
      </c>
      <c r="K95" s="227"/>
    </row>
    <row r="96" spans="1:11" ht="24.6">
      <c r="A96" s="224"/>
      <c r="B96" s="70"/>
      <c r="C96" s="78"/>
      <c r="D96" s="82" t="s">
        <v>1311</v>
      </c>
      <c r="E96" s="109" t="s">
        <v>8035</v>
      </c>
      <c r="F96" s="110" t="s">
        <v>242</v>
      </c>
      <c r="G96" s="109" t="s">
        <v>8036</v>
      </c>
      <c r="H96" s="109" t="s">
        <v>7933</v>
      </c>
      <c r="I96" s="225" t="s">
        <v>19</v>
      </c>
      <c r="J96" s="226" t="s">
        <v>8910</v>
      </c>
      <c r="K96" s="227"/>
    </row>
    <row r="97" spans="1:11" ht="25.2" thickBot="1">
      <c r="A97" s="224"/>
      <c r="B97" s="93"/>
      <c r="C97" s="86"/>
      <c r="D97" s="87" t="s">
        <v>1312</v>
      </c>
      <c r="E97" s="112" t="s">
        <v>8037</v>
      </c>
      <c r="F97" s="110" t="s">
        <v>242</v>
      </c>
      <c r="G97" s="112" t="s">
        <v>8038</v>
      </c>
      <c r="H97" s="112" t="s">
        <v>8039</v>
      </c>
      <c r="I97" s="230" t="s">
        <v>19</v>
      </c>
      <c r="J97" s="231" t="s">
        <v>8911</v>
      </c>
      <c r="K97" s="232"/>
    </row>
    <row r="98" spans="1:11" ht="25.2" thickBot="1">
      <c r="A98" s="224"/>
      <c r="B98" s="107" t="s">
        <v>1313</v>
      </c>
      <c r="C98" s="115" t="s">
        <v>1314</v>
      </c>
      <c r="D98" s="116" t="s">
        <v>1315</v>
      </c>
      <c r="E98" s="117" t="s">
        <v>8040</v>
      </c>
      <c r="F98" s="110" t="s">
        <v>209</v>
      </c>
      <c r="G98" s="220" t="s">
        <v>8041</v>
      </c>
      <c r="H98" s="220" t="s">
        <v>8042</v>
      </c>
      <c r="I98" s="221" t="s">
        <v>14</v>
      </c>
      <c r="J98" s="222" t="s">
        <v>8912</v>
      </c>
      <c r="K98" s="223"/>
    </row>
    <row r="99" spans="1:11" ht="24.6">
      <c r="A99" s="224"/>
      <c r="B99" s="70"/>
      <c r="C99" s="118"/>
      <c r="D99" s="119" t="s">
        <v>1316</v>
      </c>
      <c r="E99" s="109" t="s">
        <v>8043</v>
      </c>
      <c r="F99" s="74" t="s">
        <v>204</v>
      </c>
      <c r="G99" s="109" t="s">
        <v>8044</v>
      </c>
      <c r="H99" s="109" t="s">
        <v>8045</v>
      </c>
      <c r="I99" s="225" t="s">
        <v>14</v>
      </c>
      <c r="J99" s="226" t="s">
        <v>8913</v>
      </c>
      <c r="K99" s="227"/>
    </row>
    <row r="100" spans="1:11" ht="24.6">
      <c r="A100" s="224"/>
      <c r="B100" s="70"/>
      <c r="C100" s="118"/>
      <c r="D100" s="120" t="s">
        <v>1317</v>
      </c>
      <c r="E100" s="109" t="s">
        <v>8046</v>
      </c>
      <c r="F100" s="110" t="s">
        <v>209</v>
      </c>
      <c r="G100" s="109" t="s">
        <v>8047</v>
      </c>
      <c r="H100" s="109" t="s">
        <v>8048</v>
      </c>
      <c r="I100" s="225" t="s">
        <v>19</v>
      </c>
      <c r="J100" s="226" t="s">
        <v>8914</v>
      </c>
      <c r="K100" s="227"/>
    </row>
    <row r="101" spans="1:11" ht="24.6">
      <c r="A101" s="224"/>
      <c r="B101" s="70"/>
      <c r="C101" s="118"/>
      <c r="D101" s="77" t="s">
        <v>1318</v>
      </c>
      <c r="E101" s="109" t="s">
        <v>8049</v>
      </c>
      <c r="F101" s="110" t="s">
        <v>204</v>
      </c>
      <c r="G101" s="109" t="s">
        <v>8050</v>
      </c>
      <c r="H101" s="109" t="s">
        <v>8051</v>
      </c>
      <c r="I101" s="225" t="s">
        <v>14</v>
      </c>
      <c r="J101" s="226" t="s">
        <v>8915</v>
      </c>
      <c r="K101" s="227"/>
    </row>
    <row r="102" spans="1:11" ht="25.2" thickBot="1">
      <c r="A102" s="224"/>
      <c r="B102" s="70"/>
      <c r="C102" s="121"/>
      <c r="D102" s="122" t="s">
        <v>1319</v>
      </c>
      <c r="E102" s="112" t="s">
        <v>8052</v>
      </c>
      <c r="F102" s="134" t="s">
        <v>209</v>
      </c>
      <c r="G102" s="112" t="s">
        <v>8053</v>
      </c>
      <c r="H102" s="112" t="s">
        <v>8054</v>
      </c>
      <c r="I102" s="230" t="s">
        <v>14</v>
      </c>
      <c r="J102" s="231" t="s">
        <v>8916</v>
      </c>
      <c r="K102" s="232"/>
    </row>
    <row r="103" spans="1:11" ht="24.6">
      <c r="A103" s="224"/>
      <c r="B103" s="70"/>
      <c r="C103" s="71" t="s">
        <v>1320</v>
      </c>
      <c r="D103" s="72" t="s">
        <v>1321</v>
      </c>
      <c r="E103" s="73" t="s">
        <v>8055</v>
      </c>
      <c r="F103" s="228" t="s">
        <v>204</v>
      </c>
      <c r="G103" s="220" t="s">
        <v>8056</v>
      </c>
      <c r="H103" s="220" t="s">
        <v>8057</v>
      </c>
      <c r="I103" s="221" t="s">
        <v>13</v>
      </c>
      <c r="J103" s="222" t="s">
        <v>8917</v>
      </c>
      <c r="K103" s="223"/>
    </row>
    <row r="104" spans="1:11" ht="24.6">
      <c r="A104" s="224"/>
      <c r="B104" s="70"/>
      <c r="C104" s="78"/>
      <c r="D104" s="79" t="s">
        <v>1322</v>
      </c>
      <c r="E104" s="109" t="s">
        <v>8058</v>
      </c>
      <c r="F104" s="110" t="s">
        <v>204</v>
      </c>
      <c r="G104" s="109" t="s">
        <v>8059</v>
      </c>
      <c r="H104" s="109" t="s">
        <v>8060</v>
      </c>
      <c r="I104" s="225" t="s">
        <v>14</v>
      </c>
      <c r="J104" s="226" t="s">
        <v>8918</v>
      </c>
      <c r="K104" s="227"/>
    </row>
    <row r="105" spans="1:11" ht="24.6">
      <c r="A105" s="224"/>
      <c r="B105" s="70"/>
      <c r="C105" s="78"/>
      <c r="D105" s="85" t="s">
        <v>1323</v>
      </c>
      <c r="E105" s="109" t="s">
        <v>8061</v>
      </c>
      <c r="F105" s="110" t="s">
        <v>209</v>
      </c>
      <c r="G105" s="109" t="s">
        <v>8062</v>
      </c>
      <c r="H105" s="109" t="s">
        <v>8063</v>
      </c>
      <c r="I105" s="225" t="s">
        <v>19</v>
      </c>
      <c r="J105" s="226" t="s">
        <v>8919</v>
      </c>
      <c r="K105" s="227"/>
    </row>
    <row r="106" spans="1:11" ht="25.2" thickBot="1">
      <c r="A106" s="224"/>
      <c r="B106" s="70"/>
      <c r="C106" s="78"/>
      <c r="D106" s="82" t="s">
        <v>1324</v>
      </c>
      <c r="E106" s="109" t="s">
        <v>8064</v>
      </c>
      <c r="F106" s="110" t="s">
        <v>204</v>
      </c>
      <c r="G106" s="109" t="s">
        <v>8065</v>
      </c>
      <c r="H106" s="109" t="s">
        <v>8066</v>
      </c>
      <c r="I106" s="225" t="s">
        <v>14</v>
      </c>
      <c r="J106" s="226" t="s">
        <v>8920</v>
      </c>
      <c r="K106" s="227"/>
    </row>
    <row r="107" spans="1:11" ht="25.2" thickBot="1">
      <c r="A107" s="224"/>
      <c r="B107" s="70"/>
      <c r="C107" s="86"/>
      <c r="D107" s="87" t="s">
        <v>1325</v>
      </c>
      <c r="E107" s="112" t="s">
        <v>8067</v>
      </c>
      <c r="F107" s="74" t="s">
        <v>209</v>
      </c>
      <c r="G107" s="112" t="s">
        <v>8068</v>
      </c>
      <c r="H107" s="112" t="s">
        <v>8069</v>
      </c>
      <c r="I107" s="230" t="s">
        <v>14</v>
      </c>
      <c r="J107" s="231" t="s">
        <v>8921</v>
      </c>
      <c r="K107" s="232"/>
    </row>
    <row r="108" spans="1:11" ht="24.6">
      <c r="A108" s="224"/>
      <c r="B108" s="70"/>
      <c r="C108" s="71" t="s">
        <v>1326</v>
      </c>
      <c r="D108" s="72" t="s">
        <v>1327</v>
      </c>
      <c r="E108" s="73" t="s">
        <v>8070</v>
      </c>
      <c r="F108" s="110" t="s">
        <v>209</v>
      </c>
      <c r="G108" s="220" t="s">
        <v>8071</v>
      </c>
      <c r="H108" s="220" t="s">
        <v>8072</v>
      </c>
      <c r="I108" s="221" t="s">
        <v>14</v>
      </c>
      <c r="J108" s="222" t="s">
        <v>8922</v>
      </c>
      <c r="K108" s="223"/>
    </row>
    <row r="109" spans="1:11" ht="24.6">
      <c r="A109" s="224"/>
      <c r="B109" s="70"/>
      <c r="C109" s="78"/>
      <c r="D109" s="79" t="s">
        <v>1328</v>
      </c>
      <c r="E109" s="109" t="s">
        <v>8073</v>
      </c>
      <c r="F109" s="110" t="s">
        <v>242</v>
      </c>
      <c r="G109" s="109" t="s">
        <v>8074</v>
      </c>
      <c r="H109" s="109" t="s">
        <v>8075</v>
      </c>
      <c r="I109" s="225" t="s">
        <v>14</v>
      </c>
      <c r="J109" s="226" t="s">
        <v>8923</v>
      </c>
      <c r="K109" s="227"/>
    </row>
    <row r="110" spans="1:11" ht="24.6">
      <c r="A110" s="224"/>
      <c r="B110" s="70"/>
      <c r="C110" s="78"/>
      <c r="D110" s="85" t="s">
        <v>1329</v>
      </c>
      <c r="E110" s="109" t="s">
        <v>8076</v>
      </c>
      <c r="F110" s="110" t="s">
        <v>242</v>
      </c>
      <c r="G110" s="109" t="s">
        <v>8077</v>
      </c>
      <c r="H110" s="109" t="s">
        <v>8078</v>
      </c>
      <c r="I110" s="225" t="s">
        <v>14</v>
      </c>
      <c r="J110" s="226" t="s">
        <v>8924</v>
      </c>
      <c r="K110" s="227"/>
    </row>
    <row r="111" spans="1:11" ht="25.2" thickBot="1">
      <c r="A111" s="224"/>
      <c r="B111" s="70"/>
      <c r="C111" s="78"/>
      <c r="D111" s="82" t="s">
        <v>1330</v>
      </c>
      <c r="E111" s="109" t="s">
        <v>8079</v>
      </c>
      <c r="F111" s="110" t="s">
        <v>209</v>
      </c>
      <c r="G111" s="109" t="s">
        <v>8080</v>
      </c>
      <c r="H111" s="109" t="s">
        <v>8081</v>
      </c>
      <c r="I111" s="225" t="s">
        <v>13</v>
      </c>
      <c r="J111" s="226" t="s">
        <v>8925</v>
      </c>
      <c r="K111" s="227"/>
    </row>
    <row r="112" spans="1:11" ht="25.2" thickBot="1">
      <c r="A112" s="224"/>
      <c r="B112" s="70"/>
      <c r="C112" s="86"/>
      <c r="D112" s="87" t="s">
        <v>1331</v>
      </c>
      <c r="E112" s="112" t="s">
        <v>8082</v>
      </c>
      <c r="F112" s="74" t="s">
        <v>204</v>
      </c>
      <c r="G112" s="112" t="s">
        <v>8083</v>
      </c>
      <c r="H112" s="112" t="s">
        <v>8084</v>
      </c>
      <c r="I112" s="230" t="s">
        <v>14</v>
      </c>
      <c r="J112" s="231" t="s">
        <v>8926</v>
      </c>
      <c r="K112" s="232"/>
    </row>
    <row r="113" spans="1:11" ht="24.6">
      <c r="A113" s="224"/>
      <c r="B113" s="70"/>
      <c r="C113" s="71" t="s">
        <v>1332</v>
      </c>
      <c r="D113" s="72" t="s">
        <v>1333</v>
      </c>
      <c r="E113" s="73" t="s">
        <v>8085</v>
      </c>
      <c r="F113" s="110" t="s">
        <v>209</v>
      </c>
      <c r="G113" s="220" t="s">
        <v>8086</v>
      </c>
      <c r="H113" s="220" t="s">
        <v>8087</v>
      </c>
      <c r="I113" s="221" t="s">
        <v>19</v>
      </c>
      <c r="J113" s="222" t="s">
        <v>8927</v>
      </c>
      <c r="K113" s="223"/>
    </row>
    <row r="114" spans="1:11" ht="24.6">
      <c r="A114" s="224"/>
      <c r="B114" s="70"/>
      <c r="C114" s="78"/>
      <c r="D114" s="79" t="s">
        <v>1334</v>
      </c>
      <c r="E114" s="109" t="s">
        <v>8088</v>
      </c>
      <c r="F114" s="110" t="s">
        <v>204</v>
      </c>
      <c r="G114" s="109" t="s">
        <v>8089</v>
      </c>
      <c r="H114" s="109" t="s">
        <v>8090</v>
      </c>
      <c r="I114" s="225" t="s">
        <v>19</v>
      </c>
      <c r="J114" s="226" t="s">
        <v>8928</v>
      </c>
      <c r="K114" s="227"/>
    </row>
    <row r="115" spans="1:11" ht="25.2" thickBot="1">
      <c r="A115" s="224"/>
      <c r="B115" s="70"/>
      <c r="C115" s="78"/>
      <c r="D115" s="85" t="s">
        <v>1335</v>
      </c>
      <c r="E115" s="109" t="s">
        <v>8091</v>
      </c>
      <c r="F115" s="134" t="s">
        <v>209</v>
      </c>
      <c r="G115" s="109" t="s">
        <v>8092</v>
      </c>
      <c r="H115" s="109" t="s">
        <v>8093</v>
      </c>
      <c r="I115" s="225" t="s">
        <v>19</v>
      </c>
      <c r="J115" s="226" t="s">
        <v>8929</v>
      </c>
      <c r="K115" s="227"/>
    </row>
    <row r="116" spans="1:11" ht="24.6">
      <c r="A116" s="224"/>
      <c r="B116" s="70"/>
      <c r="C116" s="78"/>
      <c r="D116" s="82" t="s">
        <v>1336</v>
      </c>
      <c r="E116" s="109" t="s">
        <v>8094</v>
      </c>
      <c r="F116" s="228" t="s">
        <v>204</v>
      </c>
      <c r="G116" s="109" t="s">
        <v>8095</v>
      </c>
      <c r="H116" s="109" t="s">
        <v>8096</v>
      </c>
      <c r="I116" s="225" t="s">
        <v>14</v>
      </c>
      <c r="J116" s="226" t="s">
        <v>8930</v>
      </c>
      <c r="K116" s="227"/>
    </row>
    <row r="117" spans="1:11" ht="25.2" thickBot="1">
      <c r="A117" s="224"/>
      <c r="B117" s="70"/>
      <c r="C117" s="86"/>
      <c r="D117" s="87" t="s">
        <v>1337</v>
      </c>
      <c r="E117" s="112" t="s">
        <v>8097</v>
      </c>
      <c r="F117" s="110" t="s">
        <v>204</v>
      </c>
      <c r="G117" s="112" t="s">
        <v>8098</v>
      </c>
      <c r="H117" s="112" t="s">
        <v>8099</v>
      </c>
      <c r="I117" s="230" t="s">
        <v>19</v>
      </c>
      <c r="J117" s="231" t="s">
        <v>8931</v>
      </c>
      <c r="K117" s="232"/>
    </row>
    <row r="118" spans="1:11" ht="24.6">
      <c r="A118" s="224"/>
      <c r="B118" s="70"/>
      <c r="C118" s="71" t="s">
        <v>1338</v>
      </c>
      <c r="D118" s="72" t="s">
        <v>1339</v>
      </c>
      <c r="E118" s="73" t="s">
        <v>8100</v>
      </c>
      <c r="F118" s="110" t="s">
        <v>209</v>
      </c>
      <c r="G118" s="220" t="s">
        <v>8101</v>
      </c>
      <c r="H118" s="220" t="s">
        <v>8102</v>
      </c>
      <c r="I118" s="221" t="s">
        <v>14</v>
      </c>
      <c r="J118" s="222" t="s">
        <v>8932</v>
      </c>
      <c r="K118" s="223"/>
    </row>
    <row r="119" spans="1:11" ht="24.6">
      <c r="A119" s="224"/>
      <c r="B119" s="70"/>
      <c r="C119" s="78"/>
      <c r="D119" s="79" t="s">
        <v>1340</v>
      </c>
      <c r="E119" s="109" t="s">
        <v>8103</v>
      </c>
      <c r="F119" s="110" t="s">
        <v>204</v>
      </c>
      <c r="G119" s="109" t="s">
        <v>8104</v>
      </c>
      <c r="H119" s="109" t="s">
        <v>8105</v>
      </c>
      <c r="I119" s="225" t="s">
        <v>14</v>
      </c>
      <c r="J119" s="226" t="s">
        <v>8933</v>
      </c>
      <c r="K119" s="227"/>
    </row>
    <row r="120" spans="1:11" ht="25.2" thickBot="1">
      <c r="A120" s="224"/>
      <c r="B120" s="70"/>
      <c r="C120" s="78"/>
      <c r="D120" s="85" t="s">
        <v>1341</v>
      </c>
      <c r="E120" s="109" t="s">
        <v>8106</v>
      </c>
      <c r="F120" s="110" t="s">
        <v>209</v>
      </c>
      <c r="G120" s="109" t="s">
        <v>8107</v>
      </c>
      <c r="H120" s="109" t="s">
        <v>8108</v>
      </c>
      <c r="I120" s="225" t="s">
        <v>19</v>
      </c>
      <c r="J120" s="226" t="s">
        <v>8934</v>
      </c>
      <c r="K120" s="227"/>
    </row>
    <row r="121" spans="1:11" ht="24.6">
      <c r="A121" s="224"/>
      <c r="B121" s="70"/>
      <c r="C121" s="78"/>
      <c r="D121" s="82" t="s">
        <v>1342</v>
      </c>
      <c r="E121" s="109" t="s">
        <v>8109</v>
      </c>
      <c r="F121" s="74" t="s">
        <v>204</v>
      </c>
      <c r="G121" s="109" t="s">
        <v>8110</v>
      </c>
      <c r="H121" s="109" t="s">
        <v>8111</v>
      </c>
      <c r="I121" s="225" t="s">
        <v>14</v>
      </c>
      <c r="J121" s="226" t="s">
        <v>8935</v>
      </c>
      <c r="K121" s="227"/>
    </row>
    <row r="122" spans="1:11" ht="25.2" thickBot="1">
      <c r="A122" s="224"/>
      <c r="B122" s="70"/>
      <c r="C122" s="86"/>
      <c r="D122" s="87" t="s">
        <v>1343</v>
      </c>
      <c r="E122" s="112" t="s">
        <v>8112</v>
      </c>
      <c r="F122" s="110" t="s">
        <v>209</v>
      </c>
      <c r="G122" s="112" t="s">
        <v>8113</v>
      </c>
      <c r="H122" s="112" t="s">
        <v>8114</v>
      </c>
      <c r="I122" s="230" t="s">
        <v>14</v>
      </c>
      <c r="J122" s="231" t="s">
        <v>8936</v>
      </c>
      <c r="K122" s="232"/>
    </row>
    <row r="123" spans="1:11" ht="24.6">
      <c r="A123" s="224"/>
      <c r="B123" s="107" t="s">
        <v>1344</v>
      </c>
      <c r="C123" s="71" t="s">
        <v>1345</v>
      </c>
      <c r="D123" s="72" t="s">
        <v>1346</v>
      </c>
      <c r="E123" s="73" t="s">
        <v>8115</v>
      </c>
      <c r="F123" s="110" t="s">
        <v>204</v>
      </c>
      <c r="G123" s="220" t="s">
        <v>8116</v>
      </c>
      <c r="H123" s="220" t="s">
        <v>8117</v>
      </c>
      <c r="I123" s="221" t="s">
        <v>14</v>
      </c>
      <c r="J123" s="222" t="s">
        <v>8937</v>
      </c>
      <c r="K123" s="223"/>
    </row>
    <row r="124" spans="1:11" ht="25.2" thickBot="1">
      <c r="A124" s="224"/>
      <c r="B124" s="70"/>
      <c r="C124" s="78"/>
      <c r="D124" s="79" t="s">
        <v>1347</v>
      </c>
      <c r="E124" s="109" t="s">
        <v>8118</v>
      </c>
      <c r="F124" s="134" t="s">
        <v>209</v>
      </c>
      <c r="G124" s="109" t="s">
        <v>8119</v>
      </c>
      <c r="H124" s="109" t="s">
        <v>8120</v>
      </c>
      <c r="I124" s="225" t="s">
        <v>14</v>
      </c>
      <c r="J124" s="226" t="s">
        <v>8938</v>
      </c>
      <c r="K124" s="227"/>
    </row>
    <row r="125" spans="1:11" ht="24.6">
      <c r="A125" s="224"/>
      <c r="B125" s="70"/>
      <c r="C125" s="78"/>
      <c r="D125" s="85" t="s">
        <v>1348</v>
      </c>
      <c r="E125" s="109" t="s">
        <v>8121</v>
      </c>
      <c r="F125" s="228" t="s">
        <v>204</v>
      </c>
      <c r="G125" s="109" t="s">
        <v>8122</v>
      </c>
      <c r="H125" s="109" t="s">
        <v>8123</v>
      </c>
      <c r="I125" s="225" t="s">
        <v>14</v>
      </c>
      <c r="J125" s="226" t="s">
        <v>8939</v>
      </c>
      <c r="K125" s="227"/>
    </row>
    <row r="126" spans="1:11" ht="24.6">
      <c r="A126" s="224"/>
      <c r="B126" s="70"/>
      <c r="C126" s="78"/>
      <c r="D126" s="82" t="s">
        <v>1349</v>
      </c>
      <c r="E126" s="109" t="s">
        <v>8124</v>
      </c>
      <c r="F126" s="110" t="s">
        <v>204</v>
      </c>
      <c r="G126" s="109" t="s">
        <v>8125</v>
      </c>
      <c r="H126" s="109" t="s">
        <v>8126</v>
      </c>
      <c r="I126" s="225" t="s">
        <v>14</v>
      </c>
      <c r="J126" s="226" t="s">
        <v>8940</v>
      </c>
      <c r="K126" s="227"/>
    </row>
    <row r="127" spans="1:11" ht="25.2" thickBot="1">
      <c r="A127" s="224"/>
      <c r="B127" s="70"/>
      <c r="C127" s="86"/>
      <c r="D127" s="87" t="s">
        <v>1350</v>
      </c>
      <c r="E127" s="112" t="s">
        <v>8127</v>
      </c>
      <c r="F127" s="110" t="s">
        <v>209</v>
      </c>
      <c r="G127" s="112" t="s">
        <v>8128</v>
      </c>
      <c r="H127" s="112" t="s">
        <v>8129</v>
      </c>
      <c r="I127" s="230" t="s">
        <v>19</v>
      </c>
      <c r="J127" s="231" t="s">
        <v>8941</v>
      </c>
      <c r="K127" s="232"/>
    </row>
    <row r="128" spans="1:11" ht="25.2" thickBot="1">
      <c r="A128" s="224"/>
      <c r="B128" s="70"/>
      <c r="C128" s="71" t="s">
        <v>1351</v>
      </c>
      <c r="D128" s="72" t="s">
        <v>1352</v>
      </c>
      <c r="E128" s="73" t="s">
        <v>8130</v>
      </c>
      <c r="F128" s="110" t="s">
        <v>204</v>
      </c>
      <c r="G128" s="220" t="s">
        <v>8131</v>
      </c>
      <c r="H128" s="220" t="s">
        <v>8132</v>
      </c>
      <c r="I128" s="221" t="s">
        <v>14</v>
      </c>
      <c r="J128" s="222" t="s">
        <v>8942</v>
      </c>
      <c r="K128" s="223"/>
    </row>
    <row r="129" spans="1:11" ht="24.6">
      <c r="A129" s="224"/>
      <c r="B129" s="70"/>
      <c r="C129" s="78"/>
      <c r="D129" s="85" t="s">
        <v>1353</v>
      </c>
      <c r="E129" s="109" t="s">
        <v>8133</v>
      </c>
      <c r="F129" s="74" t="s">
        <v>209</v>
      </c>
      <c r="G129" s="109" t="s">
        <v>8134</v>
      </c>
      <c r="H129" s="109" t="s">
        <v>8135</v>
      </c>
      <c r="I129" s="225" t="s">
        <v>19</v>
      </c>
      <c r="J129" s="226" t="s">
        <v>8943</v>
      </c>
      <c r="K129" s="227"/>
    </row>
    <row r="130" spans="1:11" ht="24.6">
      <c r="A130" s="224"/>
      <c r="B130" s="70"/>
      <c r="C130" s="78"/>
      <c r="D130" s="85" t="s">
        <v>1354</v>
      </c>
      <c r="E130" s="109" t="s">
        <v>8136</v>
      </c>
      <c r="F130" s="110" t="s">
        <v>209</v>
      </c>
      <c r="G130" s="109" t="s">
        <v>8137</v>
      </c>
      <c r="H130" s="109" t="s">
        <v>8138</v>
      </c>
      <c r="I130" s="225" t="s">
        <v>14</v>
      </c>
      <c r="J130" s="226" t="s">
        <v>8944</v>
      </c>
      <c r="K130" s="227"/>
    </row>
    <row r="131" spans="1:11" ht="24.6">
      <c r="A131" s="224"/>
      <c r="B131" s="70"/>
      <c r="C131" s="78"/>
      <c r="D131" s="82" t="s">
        <v>1355</v>
      </c>
      <c r="E131" s="109" t="s">
        <v>8139</v>
      </c>
      <c r="F131" s="110" t="s">
        <v>242</v>
      </c>
      <c r="G131" s="109" t="s">
        <v>8140</v>
      </c>
      <c r="H131" s="109" t="s">
        <v>8141</v>
      </c>
      <c r="I131" s="225" t="s">
        <v>19</v>
      </c>
      <c r="J131" s="226" t="s">
        <v>8945</v>
      </c>
      <c r="K131" s="227"/>
    </row>
    <row r="132" spans="1:11" ht="25.2" thickBot="1">
      <c r="A132" s="224"/>
      <c r="B132" s="70"/>
      <c r="C132" s="86"/>
      <c r="D132" s="87" t="s">
        <v>1356</v>
      </c>
      <c r="E132" s="112" t="s">
        <v>8142</v>
      </c>
      <c r="F132" s="110" t="s">
        <v>242</v>
      </c>
      <c r="G132" s="112" t="s">
        <v>8143</v>
      </c>
      <c r="H132" s="112" t="s">
        <v>8144</v>
      </c>
      <c r="I132" s="230" t="s">
        <v>19</v>
      </c>
      <c r="J132" s="231" t="s">
        <v>8946</v>
      </c>
      <c r="K132" s="232"/>
    </row>
    <row r="133" spans="1:11" ht="25.2" thickBot="1">
      <c r="A133" s="224"/>
      <c r="B133" s="70"/>
      <c r="C133" s="71" t="s">
        <v>1357</v>
      </c>
      <c r="D133" s="72" t="s">
        <v>1358</v>
      </c>
      <c r="E133" s="73" t="s">
        <v>8145</v>
      </c>
      <c r="F133" s="110" t="s">
        <v>209</v>
      </c>
      <c r="G133" s="220" t="s">
        <v>8146</v>
      </c>
      <c r="H133" s="220" t="s">
        <v>8147</v>
      </c>
      <c r="I133" s="221" t="s">
        <v>14</v>
      </c>
      <c r="J133" s="222" t="s">
        <v>8947</v>
      </c>
      <c r="K133" s="223"/>
    </row>
    <row r="134" spans="1:11" ht="24.6">
      <c r="A134" s="224"/>
      <c r="B134" s="70"/>
      <c r="C134" s="78"/>
      <c r="D134" s="85" t="s">
        <v>1359</v>
      </c>
      <c r="E134" s="109" t="s">
        <v>8148</v>
      </c>
      <c r="F134" s="74" t="s">
        <v>204</v>
      </c>
      <c r="G134" s="109" t="s">
        <v>8149</v>
      </c>
      <c r="H134" s="109" t="s">
        <v>8150</v>
      </c>
      <c r="I134" s="225" t="s">
        <v>19</v>
      </c>
      <c r="J134" s="226" t="s">
        <v>8948</v>
      </c>
      <c r="K134" s="227"/>
    </row>
    <row r="135" spans="1:11" ht="24.6">
      <c r="A135" s="224"/>
      <c r="B135" s="70"/>
      <c r="C135" s="78"/>
      <c r="D135" s="85" t="s">
        <v>1360</v>
      </c>
      <c r="E135" s="109" t="s">
        <v>8151</v>
      </c>
      <c r="F135" s="110" t="s">
        <v>209</v>
      </c>
      <c r="G135" s="109" t="s">
        <v>8152</v>
      </c>
      <c r="H135" s="109" t="s">
        <v>8153</v>
      </c>
      <c r="I135" s="225" t="s">
        <v>14</v>
      </c>
      <c r="J135" s="226" t="s">
        <v>8949</v>
      </c>
      <c r="K135" s="227"/>
    </row>
    <row r="136" spans="1:11" ht="24.6">
      <c r="A136" s="224"/>
      <c r="B136" s="70"/>
      <c r="C136" s="78"/>
      <c r="D136" s="82" t="s">
        <v>1361</v>
      </c>
      <c r="E136" s="109" t="s">
        <v>8154</v>
      </c>
      <c r="F136" s="110" t="s">
        <v>204</v>
      </c>
      <c r="G136" s="109" t="s">
        <v>8155</v>
      </c>
      <c r="H136" s="109" t="s">
        <v>8156</v>
      </c>
      <c r="I136" s="225" t="s">
        <v>19</v>
      </c>
      <c r="J136" s="226" t="s">
        <v>8950</v>
      </c>
      <c r="K136" s="227"/>
    </row>
    <row r="137" spans="1:11" ht="25.2" thickBot="1">
      <c r="A137" s="224"/>
      <c r="B137" s="70"/>
      <c r="C137" s="86"/>
      <c r="D137" s="87" t="s">
        <v>1362</v>
      </c>
      <c r="E137" s="112" t="s">
        <v>8157</v>
      </c>
      <c r="F137" s="134" t="s">
        <v>209</v>
      </c>
      <c r="G137" s="112" t="s">
        <v>8158</v>
      </c>
      <c r="H137" s="112" t="s">
        <v>8159</v>
      </c>
      <c r="I137" s="230" t="s">
        <v>19</v>
      </c>
      <c r="J137" s="231" t="s">
        <v>8951</v>
      </c>
      <c r="K137" s="232"/>
    </row>
    <row r="138" spans="1:11" ht="24.6">
      <c r="A138" s="224"/>
      <c r="B138" s="70"/>
      <c r="C138" s="71" t="s">
        <v>1363</v>
      </c>
      <c r="D138" s="72" t="s">
        <v>1364</v>
      </c>
      <c r="E138" s="73" t="s">
        <v>8160</v>
      </c>
      <c r="F138" s="228" t="s">
        <v>204</v>
      </c>
      <c r="G138" s="220" t="s">
        <v>8116</v>
      </c>
      <c r="H138" s="220" t="s">
        <v>8161</v>
      </c>
      <c r="I138" s="221" t="s">
        <v>14</v>
      </c>
      <c r="J138" s="222" t="s">
        <v>8952</v>
      </c>
      <c r="K138" s="223"/>
    </row>
    <row r="139" spans="1:11" ht="24.6">
      <c r="A139" s="224"/>
      <c r="B139" s="70"/>
      <c r="C139" s="78"/>
      <c r="D139" s="85" t="s">
        <v>1365</v>
      </c>
      <c r="E139" s="109" t="s">
        <v>8162</v>
      </c>
      <c r="F139" s="110" t="s">
        <v>204</v>
      </c>
      <c r="G139" s="109" t="s">
        <v>8163</v>
      </c>
      <c r="H139" s="109" t="s">
        <v>8164</v>
      </c>
      <c r="I139" s="225" t="s">
        <v>14</v>
      </c>
      <c r="J139" s="226" t="s">
        <v>8953</v>
      </c>
      <c r="K139" s="227"/>
    </row>
    <row r="140" spans="1:11" ht="25.2" thickBot="1">
      <c r="A140" s="224"/>
      <c r="B140" s="70"/>
      <c r="C140" s="78"/>
      <c r="D140" s="85" t="s">
        <v>1366</v>
      </c>
      <c r="E140" s="109" t="s">
        <v>8165</v>
      </c>
      <c r="F140" s="110" t="s">
        <v>209</v>
      </c>
      <c r="G140" s="109" t="s">
        <v>8122</v>
      </c>
      <c r="H140" s="109" t="s">
        <v>8166</v>
      </c>
      <c r="I140" s="225" t="s">
        <v>14</v>
      </c>
      <c r="J140" s="226" t="s">
        <v>8954</v>
      </c>
      <c r="K140" s="227"/>
    </row>
    <row r="141" spans="1:11" ht="24.6">
      <c r="A141" s="224"/>
      <c r="B141" s="70"/>
      <c r="C141" s="78"/>
      <c r="D141" s="82" t="s">
        <v>1367</v>
      </c>
      <c r="E141" s="109" t="s">
        <v>8167</v>
      </c>
      <c r="F141" s="74" t="s">
        <v>204</v>
      </c>
      <c r="G141" s="109" t="s">
        <v>8168</v>
      </c>
      <c r="H141" s="109" t="s">
        <v>8169</v>
      </c>
      <c r="I141" s="225" t="s">
        <v>14</v>
      </c>
      <c r="J141" s="226" t="s">
        <v>8955</v>
      </c>
      <c r="K141" s="227"/>
    </row>
    <row r="142" spans="1:11" ht="25.2" thickBot="1">
      <c r="A142" s="224"/>
      <c r="B142" s="70"/>
      <c r="C142" s="86"/>
      <c r="D142" s="87" t="s">
        <v>1368</v>
      </c>
      <c r="E142" s="112" t="s">
        <v>8170</v>
      </c>
      <c r="F142" s="110" t="s">
        <v>209</v>
      </c>
      <c r="G142" s="112" t="s">
        <v>8171</v>
      </c>
      <c r="H142" s="112" t="s">
        <v>8172</v>
      </c>
      <c r="I142" s="230" t="s">
        <v>14</v>
      </c>
      <c r="J142" s="231" t="s">
        <v>8956</v>
      </c>
      <c r="K142" s="232"/>
    </row>
    <row r="143" spans="1:11" ht="24.6">
      <c r="A143" s="224"/>
      <c r="B143" s="70"/>
      <c r="C143" s="71" t="s">
        <v>1369</v>
      </c>
      <c r="D143" s="72" t="s">
        <v>1370</v>
      </c>
      <c r="E143" s="73" t="s">
        <v>8173</v>
      </c>
      <c r="F143" s="110" t="s">
        <v>204</v>
      </c>
      <c r="G143" s="220" t="s">
        <v>8174</v>
      </c>
      <c r="H143" s="220" t="s">
        <v>8175</v>
      </c>
      <c r="I143" s="221" t="s">
        <v>14</v>
      </c>
      <c r="J143" s="222" t="s">
        <v>8957</v>
      </c>
      <c r="K143" s="223"/>
    </row>
    <row r="144" spans="1:11" ht="25.2" thickBot="1">
      <c r="A144" s="224"/>
      <c r="B144" s="70"/>
      <c r="C144" s="78"/>
      <c r="D144" s="85" t="s">
        <v>1371</v>
      </c>
      <c r="E144" s="109" t="s">
        <v>8176</v>
      </c>
      <c r="F144" s="134" t="s">
        <v>209</v>
      </c>
      <c r="G144" s="109" t="s">
        <v>8177</v>
      </c>
      <c r="H144" s="109" t="s">
        <v>8178</v>
      </c>
      <c r="I144" s="225" t="s">
        <v>19</v>
      </c>
      <c r="J144" s="226" t="s">
        <v>8958</v>
      </c>
      <c r="K144" s="227"/>
    </row>
    <row r="145" spans="1:11" ht="24.6">
      <c r="A145" s="224"/>
      <c r="B145" s="70"/>
      <c r="C145" s="78"/>
      <c r="D145" s="85" t="s">
        <v>1372</v>
      </c>
      <c r="E145" s="109" t="s">
        <v>8179</v>
      </c>
      <c r="F145" s="228" t="s">
        <v>204</v>
      </c>
      <c r="G145" s="109" t="s">
        <v>8180</v>
      </c>
      <c r="H145" s="109" t="s">
        <v>8181</v>
      </c>
      <c r="I145" s="225" t="s">
        <v>19</v>
      </c>
      <c r="J145" s="226" t="s">
        <v>8959</v>
      </c>
      <c r="K145" s="227"/>
    </row>
    <row r="146" spans="1:11" ht="24.6">
      <c r="A146" s="224"/>
      <c r="B146" s="70"/>
      <c r="C146" s="78"/>
      <c r="D146" s="82" t="s">
        <v>1373</v>
      </c>
      <c r="E146" s="109" t="s">
        <v>8182</v>
      </c>
      <c r="F146" s="110" t="s">
        <v>204</v>
      </c>
      <c r="G146" s="109" t="s">
        <v>8183</v>
      </c>
      <c r="H146" s="109" t="s">
        <v>8184</v>
      </c>
      <c r="I146" s="225" t="s">
        <v>14</v>
      </c>
      <c r="J146" s="226" t="s">
        <v>8960</v>
      </c>
      <c r="K146" s="227"/>
    </row>
    <row r="147" spans="1:11" ht="25.2" thickBot="1">
      <c r="A147" s="224"/>
      <c r="B147" s="70"/>
      <c r="C147" s="86"/>
      <c r="D147" s="87" t="s">
        <v>1374</v>
      </c>
      <c r="E147" s="112" t="s">
        <v>8185</v>
      </c>
      <c r="F147" s="110" t="s">
        <v>209</v>
      </c>
      <c r="G147" s="112" t="s">
        <v>8186</v>
      </c>
      <c r="H147" s="112" t="s">
        <v>8187</v>
      </c>
      <c r="I147" s="230" t="s">
        <v>19</v>
      </c>
      <c r="J147" s="231" t="s">
        <v>8961</v>
      </c>
      <c r="K147" s="232"/>
    </row>
    <row r="148" spans="1:11" ht="25.2" thickBot="1">
      <c r="A148" s="205" t="s">
        <v>1375</v>
      </c>
      <c r="B148" s="18" t="s">
        <v>1376</v>
      </c>
      <c r="C148" s="19" t="s">
        <v>1377</v>
      </c>
      <c r="D148" s="20" t="s">
        <v>1378</v>
      </c>
      <c r="E148" s="21" t="s">
        <v>8188</v>
      </c>
      <c r="F148" s="206" t="s">
        <v>204</v>
      </c>
      <c r="G148" s="61" t="s">
        <v>8189</v>
      </c>
      <c r="H148" s="61" t="s">
        <v>8190</v>
      </c>
      <c r="I148" s="202" t="s">
        <v>13</v>
      </c>
      <c r="J148" s="203" t="s">
        <v>8962</v>
      </c>
      <c r="K148" s="204"/>
    </row>
    <row r="149" spans="1:11" ht="24.6">
      <c r="A149" s="205"/>
      <c r="B149" s="27"/>
      <c r="C149" s="28"/>
      <c r="D149" s="66" t="s">
        <v>1379</v>
      </c>
      <c r="E149" s="58" t="s">
        <v>8191</v>
      </c>
      <c r="F149" s="22" t="s">
        <v>209</v>
      </c>
      <c r="G149" s="58" t="s">
        <v>8192</v>
      </c>
      <c r="H149" s="58" t="s">
        <v>8193</v>
      </c>
      <c r="I149" s="207" t="s">
        <v>13</v>
      </c>
      <c r="J149" s="208" t="s">
        <v>8963</v>
      </c>
      <c r="K149" s="209"/>
    </row>
    <row r="150" spans="1:11" ht="24.6">
      <c r="A150" s="205"/>
      <c r="B150" s="27"/>
      <c r="C150" s="28"/>
      <c r="D150" s="67" t="s">
        <v>1380</v>
      </c>
      <c r="E150" s="58" t="s">
        <v>8194</v>
      </c>
      <c r="F150" s="206" t="s">
        <v>209</v>
      </c>
      <c r="G150" s="58" t="s">
        <v>8195</v>
      </c>
      <c r="H150" s="58" t="s">
        <v>8196</v>
      </c>
      <c r="I150" s="207" t="s">
        <v>14</v>
      </c>
      <c r="J150" s="208" t="s">
        <v>8964</v>
      </c>
      <c r="K150" s="209"/>
    </row>
    <row r="151" spans="1:11" ht="24.6">
      <c r="A151" s="205"/>
      <c r="B151" s="27"/>
      <c r="C151" s="28"/>
      <c r="D151" s="32" t="s">
        <v>1381</v>
      </c>
      <c r="E151" s="58" t="s">
        <v>8197</v>
      </c>
      <c r="F151" s="206" t="s">
        <v>242</v>
      </c>
      <c r="G151" s="58" t="s">
        <v>8198</v>
      </c>
      <c r="H151" s="58" t="s">
        <v>8199</v>
      </c>
      <c r="I151" s="207" t="s">
        <v>14</v>
      </c>
      <c r="J151" s="208" t="s">
        <v>8965</v>
      </c>
      <c r="K151" s="209"/>
    </row>
    <row r="152" spans="1:11" ht="25.2" thickBot="1">
      <c r="A152" s="205"/>
      <c r="B152" s="27"/>
      <c r="C152" s="36"/>
      <c r="D152" s="69" t="s">
        <v>1382</v>
      </c>
      <c r="E152" s="62" t="s">
        <v>8200</v>
      </c>
      <c r="F152" s="206" t="s">
        <v>242</v>
      </c>
      <c r="G152" s="62" t="s">
        <v>8201</v>
      </c>
      <c r="H152" s="62" t="s">
        <v>8202</v>
      </c>
      <c r="I152" s="211" t="s">
        <v>13</v>
      </c>
      <c r="J152" s="212" t="s">
        <v>8943</v>
      </c>
      <c r="K152" s="213"/>
    </row>
    <row r="153" spans="1:11" ht="25.2" thickBot="1">
      <c r="A153" s="205"/>
      <c r="B153" s="27"/>
      <c r="C153" s="64" t="s">
        <v>1383</v>
      </c>
      <c r="D153" s="23" t="s">
        <v>1384</v>
      </c>
      <c r="E153" s="42" t="s">
        <v>8203</v>
      </c>
      <c r="F153" s="206" t="s">
        <v>209</v>
      </c>
      <c r="G153" s="61" t="s">
        <v>8204</v>
      </c>
      <c r="H153" s="61" t="s">
        <v>8205</v>
      </c>
      <c r="I153" s="202" t="s">
        <v>14</v>
      </c>
      <c r="J153" s="203" t="s">
        <v>8966</v>
      </c>
      <c r="K153" s="204"/>
    </row>
    <row r="154" spans="1:11" ht="24.6">
      <c r="A154" s="205"/>
      <c r="B154" s="27"/>
      <c r="C154" s="65"/>
      <c r="D154" s="66" t="s">
        <v>1385</v>
      </c>
      <c r="E154" s="58" t="s">
        <v>8206</v>
      </c>
      <c r="F154" s="22" t="s">
        <v>204</v>
      </c>
      <c r="G154" s="58" t="s">
        <v>8207</v>
      </c>
      <c r="H154" s="58" t="s">
        <v>8208</v>
      </c>
      <c r="I154" s="207" t="s">
        <v>14</v>
      </c>
      <c r="J154" s="208" t="s">
        <v>8967</v>
      </c>
      <c r="K154" s="209"/>
    </row>
    <row r="155" spans="1:11" ht="24.6">
      <c r="A155" s="205"/>
      <c r="B155" s="27"/>
      <c r="C155" s="65"/>
      <c r="D155" s="67" t="s">
        <v>1386</v>
      </c>
      <c r="E155" s="58" t="s">
        <v>8209</v>
      </c>
      <c r="F155" s="206" t="s">
        <v>209</v>
      </c>
      <c r="G155" s="58" t="s">
        <v>8210</v>
      </c>
      <c r="H155" s="58" t="s">
        <v>8211</v>
      </c>
      <c r="I155" s="207" t="s">
        <v>13</v>
      </c>
      <c r="J155" s="208" t="s">
        <v>8968</v>
      </c>
      <c r="K155" s="209"/>
    </row>
    <row r="156" spans="1:11" ht="24.6">
      <c r="A156" s="205"/>
      <c r="B156" s="27"/>
      <c r="C156" s="65"/>
      <c r="D156" s="32" t="s">
        <v>1387</v>
      </c>
      <c r="E156" s="58" t="s">
        <v>8212</v>
      </c>
      <c r="F156" s="206" t="s">
        <v>204</v>
      </c>
      <c r="G156" s="58" t="s">
        <v>8213</v>
      </c>
      <c r="H156" s="58" t="s">
        <v>8214</v>
      </c>
      <c r="I156" s="207" t="s">
        <v>14</v>
      </c>
      <c r="J156" s="208" t="s">
        <v>8969</v>
      </c>
      <c r="K156" s="209"/>
    </row>
    <row r="157" spans="1:11" ht="25.2" thickBot="1">
      <c r="A157" s="205"/>
      <c r="B157" s="27"/>
      <c r="C157" s="68"/>
      <c r="D157" s="69" t="s">
        <v>1388</v>
      </c>
      <c r="E157" s="62" t="s">
        <v>8215</v>
      </c>
      <c r="F157" s="210" t="s">
        <v>209</v>
      </c>
      <c r="G157" s="62" t="s">
        <v>8216</v>
      </c>
      <c r="H157" s="62" t="s">
        <v>8217</v>
      </c>
      <c r="I157" s="211" t="s">
        <v>14</v>
      </c>
      <c r="J157" s="212" t="s">
        <v>8970</v>
      </c>
      <c r="K157" s="213"/>
    </row>
    <row r="158" spans="1:11" ht="24.6">
      <c r="A158" s="205"/>
      <c r="B158" s="27"/>
      <c r="C158" s="64" t="s">
        <v>1389</v>
      </c>
      <c r="D158" s="23" t="s">
        <v>1390</v>
      </c>
      <c r="E158" s="42" t="s">
        <v>8218</v>
      </c>
      <c r="F158" s="214" t="s">
        <v>204</v>
      </c>
      <c r="G158" s="61" t="s">
        <v>8219</v>
      </c>
      <c r="H158" s="61" t="s">
        <v>8220</v>
      </c>
      <c r="I158" s="202" t="s">
        <v>14</v>
      </c>
      <c r="J158" s="203" t="s">
        <v>8971</v>
      </c>
      <c r="K158" s="204"/>
    </row>
    <row r="159" spans="1:11" ht="24.6">
      <c r="A159" s="205"/>
      <c r="B159" s="27"/>
      <c r="C159" s="65"/>
      <c r="D159" s="66" t="s">
        <v>1391</v>
      </c>
      <c r="E159" s="58" t="s">
        <v>8221</v>
      </c>
      <c r="F159" s="206" t="s">
        <v>204</v>
      </c>
      <c r="G159" s="58" t="s">
        <v>8222</v>
      </c>
      <c r="H159" s="58" t="s">
        <v>8223</v>
      </c>
      <c r="I159" s="207" t="s">
        <v>14</v>
      </c>
      <c r="J159" s="208" t="s">
        <v>8972</v>
      </c>
      <c r="K159" s="209"/>
    </row>
    <row r="160" spans="1:11" ht="25.2" thickBot="1">
      <c r="A160" s="205"/>
      <c r="B160" s="27"/>
      <c r="C160" s="65"/>
      <c r="D160" s="67" t="s">
        <v>1392</v>
      </c>
      <c r="E160" s="58" t="s">
        <v>8224</v>
      </c>
      <c r="F160" s="206" t="s">
        <v>204</v>
      </c>
      <c r="G160" s="58" t="s">
        <v>8225</v>
      </c>
      <c r="H160" s="58" t="s">
        <v>8226</v>
      </c>
      <c r="I160" s="207" t="s">
        <v>14</v>
      </c>
      <c r="J160" s="208" t="s">
        <v>8973</v>
      </c>
      <c r="K160" s="209"/>
    </row>
    <row r="161" spans="1:11" ht="24.6">
      <c r="A161" s="205"/>
      <c r="B161" s="27"/>
      <c r="C161" s="65"/>
      <c r="D161" s="32" t="s">
        <v>1393</v>
      </c>
      <c r="E161" s="58" t="s">
        <v>8227</v>
      </c>
      <c r="F161" s="22" t="s">
        <v>209</v>
      </c>
      <c r="G161" s="58" t="s">
        <v>8228</v>
      </c>
      <c r="H161" s="58" t="s">
        <v>8229</v>
      </c>
      <c r="I161" s="207" t="s">
        <v>14</v>
      </c>
      <c r="J161" s="208" t="s">
        <v>8974</v>
      </c>
      <c r="K161" s="209"/>
    </row>
    <row r="162" spans="1:11" ht="25.2" thickBot="1">
      <c r="A162" s="205"/>
      <c r="B162" s="27"/>
      <c r="C162" s="68"/>
      <c r="D162" s="69" t="s">
        <v>1394</v>
      </c>
      <c r="E162" s="62" t="s">
        <v>8230</v>
      </c>
      <c r="F162" s="206" t="s">
        <v>209</v>
      </c>
      <c r="G162" s="62" t="s">
        <v>8231</v>
      </c>
      <c r="H162" s="62" t="s">
        <v>8232</v>
      </c>
      <c r="I162" s="211" t="s">
        <v>14</v>
      </c>
      <c r="J162" s="212" t="s">
        <v>8975</v>
      </c>
      <c r="K162" s="213"/>
    </row>
    <row r="163" spans="1:11" ht="24.6">
      <c r="A163" s="205"/>
      <c r="B163" s="27"/>
      <c r="C163" s="64" t="s">
        <v>1395</v>
      </c>
      <c r="D163" s="23" t="s">
        <v>1396</v>
      </c>
      <c r="E163" s="42" t="s">
        <v>8233</v>
      </c>
      <c r="F163" s="206" t="s">
        <v>242</v>
      </c>
      <c r="G163" s="61" t="s">
        <v>8234</v>
      </c>
      <c r="H163" s="61" t="s">
        <v>8235</v>
      </c>
      <c r="I163" s="202" t="s">
        <v>13</v>
      </c>
      <c r="J163" s="203" t="s">
        <v>8976</v>
      </c>
      <c r="K163" s="204"/>
    </row>
    <row r="164" spans="1:11" ht="24.6">
      <c r="A164" s="205"/>
      <c r="B164" s="27"/>
      <c r="C164" s="65"/>
      <c r="D164" s="66" t="s">
        <v>1397</v>
      </c>
      <c r="E164" s="58" t="s">
        <v>8236</v>
      </c>
      <c r="F164" s="206" t="s">
        <v>242</v>
      </c>
      <c r="G164" s="58" t="s">
        <v>8237</v>
      </c>
      <c r="H164" s="58" t="s">
        <v>8238</v>
      </c>
      <c r="I164" s="207" t="s">
        <v>13</v>
      </c>
      <c r="J164" s="208" t="s">
        <v>8977</v>
      </c>
      <c r="K164" s="209"/>
    </row>
    <row r="165" spans="1:11" ht="25.2" thickBot="1">
      <c r="A165" s="205"/>
      <c r="B165" s="27"/>
      <c r="C165" s="65"/>
      <c r="D165" s="67" t="s">
        <v>1398</v>
      </c>
      <c r="E165" s="58" t="s">
        <v>8239</v>
      </c>
      <c r="F165" s="206" t="s">
        <v>209</v>
      </c>
      <c r="G165" s="58" t="s">
        <v>8240</v>
      </c>
      <c r="H165" s="58" t="s">
        <v>8241</v>
      </c>
      <c r="I165" s="207" t="s">
        <v>14</v>
      </c>
      <c r="J165" s="208" t="s">
        <v>8978</v>
      </c>
      <c r="K165" s="209"/>
    </row>
    <row r="166" spans="1:11" ht="24.6">
      <c r="A166" s="205"/>
      <c r="B166" s="27"/>
      <c r="C166" s="65"/>
      <c r="D166" s="32" t="s">
        <v>1399</v>
      </c>
      <c r="E166" s="58" t="s">
        <v>8242</v>
      </c>
      <c r="F166" s="22" t="s">
        <v>204</v>
      </c>
      <c r="G166" s="58" t="s">
        <v>8243</v>
      </c>
      <c r="H166" s="58" t="s">
        <v>8244</v>
      </c>
      <c r="I166" s="207" t="s">
        <v>14</v>
      </c>
      <c r="J166" s="208" t="s">
        <v>8979</v>
      </c>
      <c r="K166" s="209"/>
    </row>
    <row r="167" spans="1:11" ht="25.2" thickBot="1">
      <c r="A167" s="205"/>
      <c r="B167" s="27"/>
      <c r="C167" s="68"/>
      <c r="D167" s="69" t="s">
        <v>1400</v>
      </c>
      <c r="E167" s="62" t="s">
        <v>8245</v>
      </c>
      <c r="F167" s="206" t="s">
        <v>209</v>
      </c>
      <c r="G167" s="62" t="s">
        <v>8246</v>
      </c>
      <c r="H167" s="62" t="s">
        <v>8247</v>
      </c>
      <c r="I167" s="211" t="s">
        <v>13</v>
      </c>
      <c r="J167" s="212" t="s">
        <v>8940</v>
      </c>
      <c r="K167" s="213"/>
    </row>
    <row r="168" spans="1:11" ht="24.6">
      <c r="A168" s="205"/>
      <c r="B168" s="27"/>
      <c r="C168" s="64" t="s">
        <v>1401</v>
      </c>
      <c r="D168" s="23" t="s">
        <v>1402</v>
      </c>
      <c r="E168" s="42" t="s">
        <v>8248</v>
      </c>
      <c r="F168" s="206" t="s">
        <v>204</v>
      </c>
      <c r="G168" s="61" t="s">
        <v>8249</v>
      </c>
      <c r="H168" s="61" t="s">
        <v>8250</v>
      </c>
      <c r="I168" s="202" t="s">
        <v>14</v>
      </c>
      <c r="J168" s="203" t="s">
        <v>8933</v>
      </c>
      <c r="K168" s="204"/>
    </row>
    <row r="169" spans="1:11" ht="25.2" thickBot="1">
      <c r="A169" s="205"/>
      <c r="B169" s="27"/>
      <c r="C169" s="65"/>
      <c r="D169" s="66" t="s">
        <v>1403</v>
      </c>
      <c r="E169" s="58" t="s">
        <v>8251</v>
      </c>
      <c r="F169" s="206" t="s">
        <v>204</v>
      </c>
      <c r="G169" s="58" t="s">
        <v>8252</v>
      </c>
      <c r="H169" s="58" t="s">
        <v>8253</v>
      </c>
      <c r="I169" s="207" t="s">
        <v>14</v>
      </c>
      <c r="J169" s="208" t="s">
        <v>8980</v>
      </c>
      <c r="K169" s="209"/>
    </row>
    <row r="170" spans="1:11" ht="24.6">
      <c r="A170" s="205"/>
      <c r="B170" s="27"/>
      <c r="C170" s="65"/>
      <c r="D170" s="67" t="s">
        <v>1404</v>
      </c>
      <c r="E170" s="58" t="s">
        <v>8254</v>
      </c>
      <c r="F170" s="22" t="s">
        <v>209</v>
      </c>
      <c r="G170" s="58" t="s">
        <v>8255</v>
      </c>
      <c r="H170" s="58" t="s">
        <v>8256</v>
      </c>
      <c r="I170" s="207" t="s">
        <v>14</v>
      </c>
      <c r="J170" s="208" t="s">
        <v>8981</v>
      </c>
      <c r="K170" s="209"/>
    </row>
    <row r="171" spans="1:11" ht="24.6">
      <c r="A171" s="205"/>
      <c r="B171" s="27"/>
      <c r="C171" s="65"/>
      <c r="D171" s="32" t="s">
        <v>1405</v>
      </c>
      <c r="E171" s="58" t="s">
        <v>8257</v>
      </c>
      <c r="F171" s="206" t="s">
        <v>209</v>
      </c>
      <c r="G171" s="58" t="s">
        <v>8258</v>
      </c>
      <c r="H171" s="58" t="s">
        <v>8259</v>
      </c>
      <c r="I171" s="207" t="s">
        <v>14</v>
      </c>
      <c r="J171" s="208" t="s">
        <v>8982</v>
      </c>
      <c r="K171" s="209"/>
    </row>
    <row r="172" spans="1:11" ht="25.2" thickBot="1">
      <c r="A172" s="205"/>
      <c r="B172" s="27"/>
      <c r="C172" s="68"/>
      <c r="D172" s="69" t="s">
        <v>1406</v>
      </c>
      <c r="E172" s="62" t="s">
        <v>8260</v>
      </c>
      <c r="F172" s="206" t="s">
        <v>242</v>
      </c>
      <c r="G172" s="62" t="s">
        <v>8222</v>
      </c>
      <c r="H172" s="62" t="s">
        <v>8261</v>
      </c>
      <c r="I172" s="211" t="s">
        <v>14</v>
      </c>
      <c r="J172" s="212" t="s">
        <v>8983</v>
      </c>
      <c r="K172" s="213"/>
    </row>
    <row r="173" spans="1:11" ht="24.6">
      <c r="A173" s="205"/>
      <c r="B173" s="27"/>
      <c r="C173" s="64" t="s">
        <v>1407</v>
      </c>
      <c r="D173" s="23" t="s">
        <v>1408</v>
      </c>
      <c r="E173" s="42" t="s">
        <v>8262</v>
      </c>
      <c r="F173" s="206" t="s">
        <v>242</v>
      </c>
      <c r="G173" s="61" t="s">
        <v>8263</v>
      </c>
      <c r="H173" s="61" t="s">
        <v>8264</v>
      </c>
      <c r="I173" s="202" t="s">
        <v>14</v>
      </c>
      <c r="J173" s="203" t="s">
        <v>8984</v>
      </c>
      <c r="K173" s="204"/>
    </row>
    <row r="174" spans="1:11" ht="25.2" thickBot="1">
      <c r="A174" s="205"/>
      <c r="B174" s="27"/>
      <c r="C174" s="65"/>
      <c r="D174" s="67" t="s">
        <v>1409</v>
      </c>
      <c r="E174" s="58" t="s">
        <v>8265</v>
      </c>
      <c r="F174" s="206" t="s">
        <v>209</v>
      </c>
      <c r="G174" s="58" t="s">
        <v>8266</v>
      </c>
      <c r="H174" s="58" t="s">
        <v>8267</v>
      </c>
      <c r="I174" s="207" t="s">
        <v>14</v>
      </c>
      <c r="J174" s="208" t="s">
        <v>8985</v>
      </c>
      <c r="K174" s="209"/>
    </row>
    <row r="175" spans="1:11" ht="24.6">
      <c r="A175" s="205"/>
      <c r="B175" s="27"/>
      <c r="C175" s="65"/>
      <c r="D175" s="67" t="s">
        <v>1410</v>
      </c>
      <c r="E175" s="58" t="s">
        <v>8268</v>
      </c>
      <c r="F175" s="22" t="s">
        <v>204</v>
      </c>
      <c r="G175" s="58" t="s">
        <v>8269</v>
      </c>
      <c r="H175" s="58" t="s">
        <v>8270</v>
      </c>
      <c r="I175" s="207" t="s">
        <v>14</v>
      </c>
      <c r="J175" s="208" t="s">
        <v>8986</v>
      </c>
      <c r="K175" s="209"/>
    </row>
    <row r="176" spans="1:11" ht="24.6">
      <c r="A176" s="205"/>
      <c r="B176" s="27"/>
      <c r="C176" s="65"/>
      <c r="D176" s="32" t="s">
        <v>1411</v>
      </c>
      <c r="E176" s="58" t="s">
        <v>8271</v>
      </c>
      <c r="F176" s="206" t="s">
        <v>209</v>
      </c>
      <c r="G176" s="58" t="s">
        <v>8272</v>
      </c>
      <c r="H176" s="58" t="s">
        <v>8273</v>
      </c>
      <c r="I176" s="207" t="s">
        <v>19</v>
      </c>
      <c r="J176" s="208" t="s">
        <v>8987</v>
      </c>
      <c r="K176" s="209"/>
    </row>
    <row r="177" spans="1:11" ht="25.2" thickBot="1">
      <c r="A177" s="205"/>
      <c r="B177" s="131"/>
      <c r="C177" s="68"/>
      <c r="D177" s="69" t="s">
        <v>1412</v>
      </c>
      <c r="E177" s="62" t="s">
        <v>8274</v>
      </c>
      <c r="F177" s="206" t="s">
        <v>204</v>
      </c>
      <c r="G177" s="62" t="s">
        <v>8275</v>
      </c>
      <c r="H177" s="62" t="s">
        <v>8276</v>
      </c>
      <c r="I177" s="211" t="s">
        <v>14</v>
      </c>
      <c r="J177" s="212" t="s">
        <v>8988</v>
      </c>
      <c r="K177" s="213"/>
    </row>
    <row r="178" spans="1:11" ht="24.6">
      <c r="A178" s="205"/>
      <c r="B178" s="18" t="s">
        <v>1413</v>
      </c>
      <c r="C178" s="19" t="s">
        <v>1414</v>
      </c>
      <c r="D178" s="20" t="s">
        <v>1415</v>
      </c>
      <c r="E178" s="21" t="s">
        <v>8277</v>
      </c>
      <c r="F178" s="206" t="s">
        <v>204</v>
      </c>
      <c r="G178" s="61" t="s">
        <v>8278</v>
      </c>
      <c r="H178" s="61" t="s">
        <v>8279</v>
      </c>
      <c r="I178" s="202" t="s">
        <v>13</v>
      </c>
      <c r="J178" s="203" t="s">
        <v>8989</v>
      </c>
      <c r="K178" s="204"/>
    </row>
    <row r="179" spans="1:11" ht="25.2" thickBot="1">
      <c r="A179" s="205"/>
      <c r="B179" s="27"/>
      <c r="C179" s="28"/>
      <c r="D179" s="67" t="s">
        <v>1416</v>
      </c>
      <c r="E179" s="58" t="s">
        <v>8280</v>
      </c>
      <c r="F179" s="210" t="s">
        <v>209</v>
      </c>
      <c r="G179" s="58" t="s">
        <v>8281</v>
      </c>
      <c r="H179" s="58" t="s">
        <v>8282</v>
      </c>
      <c r="I179" s="207" t="s">
        <v>13</v>
      </c>
      <c r="J179" s="208" t="s">
        <v>8990</v>
      </c>
      <c r="K179" s="209"/>
    </row>
    <row r="180" spans="1:11" ht="24.6">
      <c r="A180" s="205"/>
      <c r="B180" s="27"/>
      <c r="C180" s="28"/>
      <c r="D180" s="67" t="s">
        <v>1417</v>
      </c>
      <c r="E180" s="58" t="s">
        <v>8283</v>
      </c>
      <c r="F180" s="214" t="s">
        <v>204</v>
      </c>
      <c r="G180" s="58" t="s">
        <v>8284</v>
      </c>
      <c r="H180" s="58" t="s">
        <v>8285</v>
      </c>
      <c r="I180" s="207" t="s">
        <v>13</v>
      </c>
      <c r="J180" s="208" t="s">
        <v>8991</v>
      </c>
      <c r="K180" s="209"/>
    </row>
    <row r="181" spans="1:11" ht="24.6">
      <c r="A181" s="205"/>
      <c r="B181" s="27"/>
      <c r="C181" s="28"/>
      <c r="D181" s="32" t="s">
        <v>1418</v>
      </c>
      <c r="E181" s="58" t="s">
        <v>8286</v>
      </c>
      <c r="F181" s="206" t="s">
        <v>204</v>
      </c>
      <c r="G181" s="58" t="s">
        <v>8287</v>
      </c>
      <c r="H181" s="58" t="s">
        <v>8288</v>
      </c>
      <c r="I181" s="207" t="s">
        <v>13</v>
      </c>
      <c r="J181" s="208" t="s">
        <v>8992</v>
      </c>
      <c r="K181" s="209"/>
    </row>
    <row r="182" spans="1:11" ht="25.2" thickBot="1">
      <c r="A182" s="205"/>
      <c r="B182" s="27"/>
      <c r="C182" s="36"/>
      <c r="D182" s="69" t="s">
        <v>1419</v>
      </c>
      <c r="E182" s="62" t="s">
        <v>8289</v>
      </c>
      <c r="F182" s="206" t="s">
        <v>204</v>
      </c>
      <c r="G182" s="62" t="s">
        <v>8290</v>
      </c>
      <c r="H182" s="62" t="s">
        <v>8291</v>
      </c>
      <c r="I182" s="211" t="s">
        <v>14</v>
      </c>
      <c r="J182" s="212" t="s">
        <v>8993</v>
      </c>
      <c r="K182" s="213"/>
    </row>
    <row r="183" spans="1:11" ht="24.6">
      <c r="A183" s="205"/>
      <c r="B183" s="27"/>
      <c r="C183" s="64" t="s">
        <v>1420</v>
      </c>
      <c r="D183" s="23" t="s">
        <v>1421</v>
      </c>
      <c r="E183" s="42" t="s">
        <v>8292</v>
      </c>
      <c r="F183" s="22" t="s">
        <v>209</v>
      </c>
      <c r="G183" s="61" t="s">
        <v>8293</v>
      </c>
      <c r="H183" s="61" t="s">
        <v>8294</v>
      </c>
      <c r="I183" s="202" t="s">
        <v>14</v>
      </c>
      <c r="J183" s="203" t="s">
        <v>8994</v>
      </c>
      <c r="K183" s="204"/>
    </row>
    <row r="184" spans="1:11" ht="24.6">
      <c r="A184" s="205"/>
      <c r="B184" s="27"/>
      <c r="C184" s="65"/>
      <c r="D184" s="67" t="s">
        <v>1422</v>
      </c>
      <c r="E184" s="58" t="s">
        <v>8295</v>
      </c>
      <c r="F184" s="206" t="s">
        <v>209</v>
      </c>
      <c r="G184" s="58" t="s">
        <v>8296</v>
      </c>
      <c r="H184" s="58" t="s">
        <v>8297</v>
      </c>
      <c r="I184" s="207" t="s">
        <v>14</v>
      </c>
      <c r="J184" s="208" t="s">
        <v>8995</v>
      </c>
      <c r="K184" s="209"/>
    </row>
    <row r="185" spans="1:11" ht="24.6">
      <c r="A185" s="205"/>
      <c r="B185" s="27"/>
      <c r="C185" s="65"/>
      <c r="D185" s="67" t="s">
        <v>1423</v>
      </c>
      <c r="E185" s="58" t="s">
        <v>8298</v>
      </c>
      <c r="F185" s="206" t="s">
        <v>242</v>
      </c>
      <c r="G185" s="58" t="s">
        <v>8299</v>
      </c>
      <c r="H185" s="58" t="s">
        <v>8300</v>
      </c>
      <c r="I185" s="207" t="s">
        <v>13</v>
      </c>
      <c r="J185" s="208" t="s">
        <v>8996</v>
      </c>
      <c r="K185" s="209"/>
    </row>
    <row r="186" spans="1:11" ht="24.6">
      <c r="A186" s="205"/>
      <c r="B186" s="27"/>
      <c r="C186" s="65"/>
      <c r="D186" s="32" t="s">
        <v>1424</v>
      </c>
      <c r="E186" s="58" t="s">
        <v>8301</v>
      </c>
      <c r="F186" s="206" t="s">
        <v>242</v>
      </c>
      <c r="G186" s="58" t="s">
        <v>8302</v>
      </c>
      <c r="H186" s="58" t="s">
        <v>8303</v>
      </c>
      <c r="I186" s="207" t="s">
        <v>13</v>
      </c>
      <c r="J186" s="208" t="s">
        <v>8997</v>
      </c>
      <c r="K186" s="209"/>
    </row>
    <row r="187" spans="1:11" ht="25.2" thickBot="1">
      <c r="A187" s="205"/>
      <c r="B187" s="27"/>
      <c r="C187" s="68"/>
      <c r="D187" s="69" t="s">
        <v>1425</v>
      </c>
      <c r="E187" s="62" t="s">
        <v>8304</v>
      </c>
      <c r="F187" s="206" t="s">
        <v>209</v>
      </c>
      <c r="G187" s="62" t="s">
        <v>8305</v>
      </c>
      <c r="H187" s="62" t="s">
        <v>8306</v>
      </c>
      <c r="I187" s="211" t="s">
        <v>14</v>
      </c>
      <c r="J187" s="212" t="s">
        <v>8998</v>
      </c>
      <c r="K187" s="213"/>
    </row>
    <row r="188" spans="1:11" ht="24.6">
      <c r="A188" s="205"/>
      <c r="B188" s="27"/>
      <c r="C188" s="64" t="s">
        <v>1426</v>
      </c>
      <c r="D188" s="23" t="s">
        <v>1427</v>
      </c>
      <c r="E188" s="42" t="s">
        <v>8307</v>
      </c>
      <c r="F188" s="22" t="s">
        <v>204</v>
      </c>
      <c r="G188" s="61" t="s">
        <v>8308</v>
      </c>
      <c r="H188" s="61" t="s">
        <v>8309</v>
      </c>
      <c r="I188" s="202" t="s">
        <v>14</v>
      </c>
      <c r="J188" s="203" t="s">
        <v>8999</v>
      </c>
      <c r="K188" s="204"/>
    </row>
    <row r="189" spans="1:11" ht="24.6">
      <c r="A189" s="205"/>
      <c r="B189" s="27"/>
      <c r="C189" s="65"/>
      <c r="D189" s="66" t="s">
        <v>1428</v>
      </c>
      <c r="E189" s="58" t="s">
        <v>8310</v>
      </c>
      <c r="F189" s="206" t="s">
        <v>209</v>
      </c>
      <c r="G189" s="58" t="s">
        <v>8311</v>
      </c>
      <c r="H189" s="58" t="s">
        <v>8312</v>
      </c>
      <c r="I189" s="207" t="s">
        <v>13</v>
      </c>
      <c r="J189" s="208" t="s">
        <v>9000</v>
      </c>
      <c r="K189" s="209"/>
    </row>
    <row r="190" spans="1:11" ht="24.6">
      <c r="A190" s="205"/>
      <c r="B190" s="27"/>
      <c r="C190" s="65"/>
      <c r="D190" s="67" t="s">
        <v>1429</v>
      </c>
      <c r="E190" s="58" t="s">
        <v>8313</v>
      </c>
      <c r="F190" s="206" t="s">
        <v>204</v>
      </c>
      <c r="G190" s="58" t="s">
        <v>8314</v>
      </c>
      <c r="H190" s="58" t="s">
        <v>8315</v>
      </c>
      <c r="I190" s="207" t="s">
        <v>13</v>
      </c>
      <c r="J190" s="208" t="s">
        <v>9001</v>
      </c>
      <c r="K190" s="209"/>
    </row>
    <row r="191" spans="1:11" ht="25.2" thickBot="1">
      <c r="A191" s="205"/>
      <c r="B191" s="27"/>
      <c r="C191" s="65"/>
      <c r="D191" s="32" t="s">
        <v>1430</v>
      </c>
      <c r="E191" s="58" t="s">
        <v>8316</v>
      </c>
      <c r="F191" s="206" t="s">
        <v>204</v>
      </c>
      <c r="G191" s="58" t="s">
        <v>8317</v>
      </c>
      <c r="H191" s="58" t="s">
        <v>8318</v>
      </c>
      <c r="I191" s="207" t="s">
        <v>14</v>
      </c>
      <c r="J191" s="208" t="s">
        <v>9002</v>
      </c>
      <c r="K191" s="209"/>
    </row>
    <row r="192" spans="1:11" ht="25.2" thickBot="1">
      <c r="A192" s="205"/>
      <c r="B192" s="27"/>
      <c r="C192" s="68"/>
      <c r="D192" s="69" t="s">
        <v>1431</v>
      </c>
      <c r="E192" s="62" t="s">
        <v>8319</v>
      </c>
      <c r="F192" s="22" t="s">
        <v>209</v>
      </c>
      <c r="G192" s="62" t="s">
        <v>8320</v>
      </c>
      <c r="H192" s="62" t="s">
        <v>8321</v>
      </c>
      <c r="I192" s="211" t="s">
        <v>14</v>
      </c>
      <c r="J192" s="212" t="s">
        <v>9003</v>
      </c>
      <c r="K192" s="213"/>
    </row>
    <row r="193" spans="1:11" ht="24.6">
      <c r="A193" s="205"/>
      <c r="B193" s="27"/>
      <c r="C193" s="64" t="s">
        <v>1432</v>
      </c>
      <c r="D193" s="23" t="s">
        <v>1433</v>
      </c>
      <c r="E193" s="42" t="s">
        <v>8322</v>
      </c>
      <c r="F193" s="206" t="s">
        <v>209</v>
      </c>
      <c r="G193" s="61" t="s">
        <v>8323</v>
      </c>
      <c r="H193" s="61" t="s">
        <v>8324</v>
      </c>
      <c r="I193" s="202" t="s">
        <v>14</v>
      </c>
      <c r="J193" s="203" t="s">
        <v>9004</v>
      </c>
      <c r="K193" s="204"/>
    </row>
    <row r="194" spans="1:11" ht="24.6">
      <c r="A194" s="205"/>
      <c r="B194" s="27"/>
      <c r="C194" s="65"/>
      <c r="D194" s="66" t="s">
        <v>1434</v>
      </c>
      <c r="E194" s="58" t="s">
        <v>8325</v>
      </c>
      <c r="F194" s="206" t="s">
        <v>242</v>
      </c>
      <c r="G194" s="58" t="s">
        <v>8326</v>
      </c>
      <c r="H194" s="58" t="s">
        <v>8327</v>
      </c>
      <c r="I194" s="207" t="s">
        <v>14</v>
      </c>
      <c r="J194" s="208" t="s">
        <v>9005</v>
      </c>
      <c r="K194" s="209"/>
    </row>
    <row r="195" spans="1:11" ht="24.6">
      <c r="A195" s="205"/>
      <c r="B195" s="27"/>
      <c r="C195" s="65"/>
      <c r="D195" s="67" t="s">
        <v>1435</v>
      </c>
      <c r="E195" s="58" t="s">
        <v>8328</v>
      </c>
      <c r="F195" s="206" t="s">
        <v>242</v>
      </c>
      <c r="G195" s="58" t="s">
        <v>8329</v>
      </c>
      <c r="H195" s="58" t="s">
        <v>8330</v>
      </c>
      <c r="I195" s="207" t="s">
        <v>14</v>
      </c>
      <c r="J195" s="208" t="s">
        <v>9006</v>
      </c>
      <c r="K195" s="209"/>
    </row>
    <row r="196" spans="1:11" ht="24.6">
      <c r="A196" s="205"/>
      <c r="B196" s="27"/>
      <c r="C196" s="65"/>
      <c r="D196" s="32" t="s">
        <v>1436</v>
      </c>
      <c r="E196" s="58" t="s">
        <v>8331</v>
      </c>
      <c r="F196" s="206" t="s">
        <v>209</v>
      </c>
      <c r="G196" s="58" t="s">
        <v>8332</v>
      </c>
      <c r="H196" s="58" t="s">
        <v>8333</v>
      </c>
      <c r="I196" s="207" t="s">
        <v>14</v>
      </c>
      <c r="J196" s="208" t="s">
        <v>9007</v>
      </c>
      <c r="K196" s="209"/>
    </row>
    <row r="197" spans="1:11" ht="25.2" thickBot="1">
      <c r="A197" s="205"/>
      <c r="B197" s="27"/>
      <c r="C197" s="68"/>
      <c r="D197" s="69" t="s">
        <v>1437</v>
      </c>
      <c r="E197" s="62" t="s">
        <v>8334</v>
      </c>
      <c r="F197" s="206" t="s">
        <v>242</v>
      </c>
      <c r="G197" s="62" t="s">
        <v>8335</v>
      </c>
      <c r="H197" s="62" t="s">
        <v>8336</v>
      </c>
      <c r="I197" s="211" t="s">
        <v>14</v>
      </c>
      <c r="J197" s="212" t="s">
        <v>9008</v>
      </c>
      <c r="K197" s="213"/>
    </row>
    <row r="198" spans="1:11" ht="25.2" thickBot="1">
      <c r="A198" s="205"/>
      <c r="B198" s="27"/>
      <c r="C198" s="64" t="s">
        <v>1438</v>
      </c>
      <c r="D198" s="23" t="s">
        <v>1439</v>
      </c>
      <c r="E198" s="42" t="s">
        <v>8337</v>
      </c>
      <c r="F198" s="206" t="s">
        <v>209</v>
      </c>
      <c r="G198" s="61" t="s">
        <v>8338</v>
      </c>
      <c r="H198" s="61" t="s">
        <v>8339</v>
      </c>
      <c r="I198" s="202" t="s">
        <v>14</v>
      </c>
      <c r="J198" s="203" t="s">
        <v>9009</v>
      </c>
      <c r="K198" s="204"/>
    </row>
    <row r="199" spans="1:11" ht="24.6">
      <c r="A199" s="205"/>
      <c r="B199" s="27"/>
      <c r="C199" s="65"/>
      <c r="D199" s="66" t="s">
        <v>1440</v>
      </c>
      <c r="E199" s="58" t="s">
        <v>8340</v>
      </c>
      <c r="F199" s="22" t="s">
        <v>204</v>
      </c>
      <c r="G199" s="58" t="s">
        <v>8341</v>
      </c>
      <c r="H199" s="58" t="s">
        <v>8342</v>
      </c>
      <c r="I199" s="207" t="s">
        <v>13</v>
      </c>
      <c r="J199" s="208" t="s">
        <v>9010</v>
      </c>
      <c r="K199" s="209"/>
    </row>
    <row r="200" spans="1:11" ht="24.6">
      <c r="A200" s="205"/>
      <c r="B200" s="27"/>
      <c r="C200" s="65"/>
      <c r="D200" s="67" t="s">
        <v>1441</v>
      </c>
      <c r="E200" s="58" t="s">
        <v>8343</v>
      </c>
      <c r="F200" s="206" t="s">
        <v>209</v>
      </c>
      <c r="G200" s="58" t="s">
        <v>8344</v>
      </c>
      <c r="H200" s="58" t="s">
        <v>8345</v>
      </c>
      <c r="I200" s="207" t="s">
        <v>14</v>
      </c>
      <c r="J200" s="208" t="s">
        <v>9011</v>
      </c>
      <c r="K200" s="209"/>
    </row>
    <row r="201" spans="1:11" ht="24.6">
      <c r="A201" s="205"/>
      <c r="B201" s="27"/>
      <c r="C201" s="65"/>
      <c r="D201" s="32" t="s">
        <v>1442</v>
      </c>
      <c r="E201" s="58" t="s">
        <v>8346</v>
      </c>
      <c r="F201" s="206" t="s">
        <v>204</v>
      </c>
      <c r="G201" s="58" t="s">
        <v>8347</v>
      </c>
      <c r="H201" s="58" t="s">
        <v>8348</v>
      </c>
      <c r="I201" s="207" t="s">
        <v>19</v>
      </c>
      <c r="J201" s="208" t="s">
        <v>9012</v>
      </c>
      <c r="K201" s="209"/>
    </row>
    <row r="202" spans="1:11" ht="25.2" thickBot="1">
      <c r="A202" s="205"/>
      <c r="B202" s="27"/>
      <c r="C202" s="68"/>
      <c r="D202" s="69" t="s">
        <v>1443</v>
      </c>
      <c r="E202" s="62" t="s">
        <v>8349</v>
      </c>
      <c r="F202" s="206" t="s">
        <v>204</v>
      </c>
      <c r="G202" s="62" t="s">
        <v>8350</v>
      </c>
      <c r="H202" s="62" t="s">
        <v>8351</v>
      </c>
      <c r="I202" s="211" t="s">
        <v>14</v>
      </c>
      <c r="J202" s="212" t="s">
        <v>9013</v>
      </c>
      <c r="K202" s="213"/>
    </row>
    <row r="203" spans="1:11" ht="25.2" thickBot="1">
      <c r="A203" s="219" t="s">
        <v>1444</v>
      </c>
      <c r="B203" s="107" t="s">
        <v>1445</v>
      </c>
      <c r="C203" s="115" t="s">
        <v>1446</v>
      </c>
      <c r="D203" s="116" t="s">
        <v>8352</v>
      </c>
      <c r="E203" s="117" t="s">
        <v>8353</v>
      </c>
      <c r="F203" s="134" t="s">
        <v>209</v>
      </c>
      <c r="G203" s="220" t="s">
        <v>8354</v>
      </c>
      <c r="H203" s="220" t="s">
        <v>8355</v>
      </c>
      <c r="I203" s="221" t="s">
        <v>14</v>
      </c>
      <c r="J203" s="222" t="s">
        <v>9014</v>
      </c>
      <c r="K203" s="223"/>
    </row>
    <row r="204" spans="1:11" ht="24.6">
      <c r="A204" s="224"/>
      <c r="B204" s="70"/>
      <c r="C204" s="118"/>
      <c r="D204" s="79" t="s">
        <v>8356</v>
      </c>
      <c r="E204" s="109" t="s">
        <v>8357</v>
      </c>
      <c r="F204" s="228" t="s">
        <v>204</v>
      </c>
      <c r="G204" s="109" t="s">
        <v>8358</v>
      </c>
      <c r="H204" s="109" t="s">
        <v>8359</v>
      </c>
      <c r="I204" s="225" t="s">
        <v>13</v>
      </c>
      <c r="J204" s="226" t="s">
        <v>9015</v>
      </c>
      <c r="K204" s="227"/>
    </row>
    <row r="205" spans="1:11" ht="24.6">
      <c r="A205" s="224"/>
      <c r="B205" s="70"/>
      <c r="C205" s="118"/>
      <c r="D205" s="85" t="s">
        <v>8360</v>
      </c>
      <c r="E205" s="109" t="s">
        <v>8361</v>
      </c>
      <c r="F205" s="110" t="s">
        <v>204</v>
      </c>
      <c r="G205" s="109" t="s">
        <v>8362</v>
      </c>
      <c r="H205" s="109" t="s">
        <v>8363</v>
      </c>
      <c r="I205" s="225" t="s">
        <v>14</v>
      </c>
      <c r="J205" s="226" t="s">
        <v>9016</v>
      </c>
      <c r="K205" s="227"/>
    </row>
    <row r="206" spans="1:11" ht="25.2" thickBot="1">
      <c r="A206" s="224"/>
      <c r="B206" s="70"/>
      <c r="C206" s="118"/>
      <c r="D206" s="85" t="s">
        <v>8364</v>
      </c>
      <c r="E206" s="109" t="s">
        <v>8365</v>
      </c>
      <c r="F206" s="110" t="s">
        <v>204</v>
      </c>
      <c r="G206" s="109" t="s">
        <v>8366</v>
      </c>
      <c r="H206" s="109" t="s">
        <v>8367</v>
      </c>
      <c r="I206" s="225" t="s">
        <v>14</v>
      </c>
      <c r="J206" s="226" t="s">
        <v>9017</v>
      </c>
      <c r="K206" s="227"/>
    </row>
    <row r="207" spans="1:11" ht="25.2" thickBot="1">
      <c r="A207" s="224"/>
      <c r="B207" s="70"/>
      <c r="C207" s="118"/>
      <c r="D207" s="82" t="s">
        <v>8368</v>
      </c>
      <c r="E207" s="109" t="s">
        <v>8369</v>
      </c>
      <c r="F207" s="74" t="s">
        <v>209</v>
      </c>
      <c r="G207" s="109" t="s">
        <v>8370</v>
      </c>
      <c r="H207" s="109" t="s">
        <v>8371</v>
      </c>
      <c r="I207" s="225" t="s">
        <v>14</v>
      </c>
      <c r="J207" s="226" t="s">
        <v>9018</v>
      </c>
      <c r="K207" s="227"/>
    </row>
    <row r="208" spans="1:11" ht="24.6">
      <c r="A208" s="224"/>
      <c r="B208" s="70"/>
      <c r="C208" s="71" t="s">
        <v>1447</v>
      </c>
      <c r="D208" s="72" t="s">
        <v>8372</v>
      </c>
      <c r="E208" s="73" t="s">
        <v>8373</v>
      </c>
      <c r="F208" s="110" t="s">
        <v>242</v>
      </c>
      <c r="G208" s="220" t="s">
        <v>8374</v>
      </c>
      <c r="H208" s="220" t="s">
        <v>8375</v>
      </c>
      <c r="I208" s="221" t="s">
        <v>13</v>
      </c>
      <c r="J208" s="222" t="s">
        <v>9019</v>
      </c>
      <c r="K208" s="223"/>
    </row>
    <row r="209" spans="1:11" ht="25.2" thickBot="1">
      <c r="A209" s="224"/>
      <c r="B209" s="70"/>
      <c r="C209" s="78"/>
      <c r="D209" s="79" t="s">
        <v>8376</v>
      </c>
      <c r="E209" s="109" t="s">
        <v>8377</v>
      </c>
      <c r="F209" s="110" t="s">
        <v>209</v>
      </c>
      <c r="G209" s="109" t="s">
        <v>8378</v>
      </c>
      <c r="H209" s="109" t="s">
        <v>8379</v>
      </c>
      <c r="I209" s="225" t="s">
        <v>14</v>
      </c>
      <c r="J209" s="226" t="s">
        <v>9020</v>
      </c>
      <c r="K209" s="227"/>
    </row>
    <row r="210" spans="1:11" ht="24.6">
      <c r="A210" s="224"/>
      <c r="B210" s="70"/>
      <c r="C210" s="78"/>
      <c r="D210" s="85" t="s">
        <v>8380</v>
      </c>
      <c r="E210" s="109" t="s">
        <v>8381</v>
      </c>
      <c r="F210" s="74" t="s">
        <v>204</v>
      </c>
      <c r="G210" s="109" t="s">
        <v>8382</v>
      </c>
      <c r="H210" s="109" t="s">
        <v>8383</v>
      </c>
      <c r="I210" s="225" t="s">
        <v>19</v>
      </c>
      <c r="J210" s="226" t="s">
        <v>9021</v>
      </c>
      <c r="K210" s="227"/>
    </row>
    <row r="211" spans="1:11" ht="24.6">
      <c r="A211" s="224"/>
      <c r="B211" s="70"/>
      <c r="C211" s="78"/>
      <c r="D211" s="85" t="s">
        <v>8384</v>
      </c>
      <c r="E211" s="109" t="s">
        <v>8385</v>
      </c>
      <c r="F211" s="110" t="s">
        <v>209</v>
      </c>
      <c r="G211" s="109" t="s">
        <v>8311</v>
      </c>
      <c r="H211" s="109" t="s">
        <v>8386</v>
      </c>
      <c r="I211" s="225" t="s">
        <v>13</v>
      </c>
      <c r="J211" s="226" t="s">
        <v>9022</v>
      </c>
      <c r="K211" s="227"/>
    </row>
    <row r="212" spans="1:11" ht="25.2" thickBot="1">
      <c r="A212" s="224"/>
      <c r="B212" s="70"/>
      <c r="C212" s="78"/>
      <c r="D212" s="82" t="s">
        <v>8387</v>
      </c>
      <c r="E212" s="109" t="s">
        <v>8388</v>
      </c>
      <c r="F212" s="110" t="s">
        <v>204</v>
      </c>
      <c r="G212" s="109" t="s">
        <v>8389</v>
      </c>
      <c r="H212" s="109" t="s">
        <v>8390</v>
      </c>
      <c r="I212" s="225" t="s">
        <v>14</v>
      </c>
      <c r="J212" s="226" t="s">
        <v>9023</v>
      </c>
      <c r="K212" s="227"/>
    </row>
    <row r="213" spans="1:11" ht="24.6">
      <c r="A213" s="224"/>
      <c r="B213" s="70"/>
      <c r="C213" s="71" t="s">
        <v>1448</v>
      </c>
      <c r="D213" s="72" t="s">
        <v>8391</v>
      </c>
      <c r="E213" s="73" t="s">
        <v>8392</v>
      </c>
      <c r="F213" s="110" t="s">
        <v>204</v>
      </c>
      <c r="G213" s="220" t="s">
        <v>8393</v>
      </c>
      <c r="H213" s="220" t="s">
        <v>8394</v>
      </c>
      <c r="I213" s="221" t="s">
        <v>14</v>
      </c>
      <c r="J213" s="222" t="s">
        <v>9024</v>
      </c>
      <c r="K213" s="223"/>
    </row>
    <row r="214" spans="1:11" ht="25.2" thickBot="1">
      <c r="A214" s="224"/>
      <c r="B214" s="70"/>
      <c r="C214" s="78"/>
      <c r="D214" s="79" t="s">
        <v>8395</v>
      </c>
      <c r="E214" s="109" t="s">
        <v>8396</v>
      </c>
      <c r="F214" s="134" t="s">
        <v>209</v>
      </c>
      <c r="G214" s="109" t="s">
        <v>8397</v>
      </c>
      <c r="H214" s="109" t="s">
        <v>8398</v>
      </c>
      <c r="I214" s="225" t="s">
        <v>14</v>
      </c>
      <c r="J214" s="226" t="s">
        <v>9025</v>
      </c>
      <c r="K214" s="227"/>
    </row>
    <row r="215" spans="1:11" ht="24.6">
      <c r="A215" s="224"/>
      <c r="B215" s="70"/>
      <c r="C215" s="78"/>
      <c r="D215" s="85" t="s">
        <v>8399</v>
      </c>
      <c r="E215" s="109" t="s">
        <v>8400</v>
      </c>
      <c r="F215" s="228" t="s">
        <v>204</v>
      </c>
      <c r="G215" s="109" t="s">
        <v>8382</v>
      </c>
      <c r="H215" s="109" t="s">
        <v>8401</v>
      </c>
      <c r="I215" s="225" t="s">
        <v>19</v>
      </c>
      <c r="J215" s="226" t="s">
        <v>9026</v>
      </c>
      <c r="K215" s="227"/>
    </row>
    <row r="216" spans="1:11" ht="24.6">
      <c r="A216" s="224"/>
      <c r="B216" s="70"/>
      <c r="C216" s="78"/>
      <c r="D216" s="82" t="s">
        <v>8402</v>
      </c>
      <c r="E216" s="109" t="s">
        <v>8403</v>
      </c>
      <c r="F216" s="110" t="s">
        <v>204</v>
      </c>
      <c r="G216" s="109" t="s">
        <v>8404</v>
      </c>
      <c r="H216" s="109" t="s">
        <v>8405</v>
      </c>
      <c r="I216" s="225" t="s">
        <v>14</v>
      </c>
      <c r="J216" s="226" t="s">
        <v>9027</v>
      </c>
      <c r="K216" s="227"/>
    </row>
    <row r="217" spans="1:11" ht="25.2" thickBot="1">
      <c r="A217" s="224"/>
      <c r="B217" s="70"/>
      <c r="C217" s="86"/>
      <c r="D217" s="87" t="s">
        <v>8406</v>
      </c>
      <c r="E217" s="112" t="s">
        <v>8407</v>
      </c>
      <c r="F217" s="110" t="s">
        <v>204</v>
      </c>
      <c r="G217" s="112" t="s">
        <v>8408</v>
      </c>
      <c r="H217" s="112" t="s">
        <v>8409</v>
      </c>
      <c r="I217" s="230" t="s">
        <v>14</v>
      </c>
      <c r="J217" s="231" t="s">
        <v>9028</v>
      </c>
      <c r="K217" s="232"/>
    </row>
    <row r="218" spans="1:11" ht="24.6">
      <c r="A218" s="224"/>
      <c r="B218" s="70"/>
      <c r="C218" s="71" t="s">
        <v>1449</v>
      </c>
      <c r="D218" s="72" t="s">
        <v>8410</v>
      </c>
      <c r="E218" s="73" t="s">
        <v>8411</v>
      </c>
      <c r="F218" s="74" t="s">
        <v>209</v>
      </c>
      <c r="G218" s="220" t="s">
        <v>8412</v>
      </c>
      <c r="H218" s="220" t="s">
        <v>8413</v>
      </c>
      <c r="I218" s="221" t="s">
        <v>14</v>
      </c>
      <c r="J218" s="222" t="s">
        <v>9029</v>
      </c>
      <c r="K218" s="223"/>
    </row>
    <row r="219" spans="1:11" ht="24.6">
      <c r="A219" s="224"/>
      <c r="B219" s="70"/>
      <c r="C219" s="78"/>
      <c r="D219" s="79" t="s">
        <v>8414</v>
      </c>
      <c r="E219" s="109" t="s">
        <v>8415</v>
      </c>
      <c r="F219" s="110" t="s">
        <v>209</v>
      </c>
      <c r="G219" s="109" t="s">
        <v>8416</v>
      </c>
      <c r="H219" s="109" t="s">
        <v>8417</v>
      </c>
      <c r="I219" s="225" t="s">
        <v>14</v>
      </c>
      <c r="J219" s="226" t="s">
        <v>9030</v>
      </c>
      <c r="K219" s="227"/>
    </row>
    <row r="220" spans="1:11" ht="24.6">
      <c r="A220" s="224"/>
      <c r="B220" s="70"/>
      <c r="C220" s="78"/>
      <c r="D220" s="85" t="s">
        <v>8418</v>
      </c>
      <c r="E220" s="109" t="s">
        <v>8419</v>
      </c>
      <c r="F220" s="110" t="s">
        <v>204</v>
      </c>
      <c r="G220" s="109" t="s">
        <v>8420</v>
      </c>
      <c r="H220" s="109" t="s">
        <v>8421</v>
      </c>
      <c r="I220" s="225" t="s">
        <v>14</v>
      </c>
      <c r="J220" s="226" t="s">
        <v>9031</v>
      </c>
      <c r="K220" s="227"/>
    </row>
    <row r="221" spans="1:11" ht="25.2" thickBot="1">
      <c r="A221" s="224"/>
      <c r="B221" s="70"/>
      <c r="C221" s="78"/>
      <c r="D221" s="82" t="s">
        <v>8422</v>
      </c>
      <c r="E221" s="109" t="s">
        <v>8423</v>
      </c>
      <c r="F221" s="110" t="s">
        <v>204</v>
      </c>
      <c r="G221" s="109" t="s">
        <v>8424</v>
      </c>
      <c r="H221" s="109" t="s">
        <v>8425</v>
      </c>
      <c r="I221" s="225" t="s">
        <v>14</v>
      </c>
      <c r="J221" s="226" t="s">
        <v>9032</v>
      </c>
      <c r="K221" s="227"/>
    </row>
    <row r="222" spans="1:11" ht="25.2" thickBot="1">
      <c r="A222" s="224"/>
      <c r="B222" s="70"/>
      <c r="C222" s="86"/>
      <c r="D222" s="87" t="s">
        <v>8426</v>
      </c>
      <c r="E222" s="112" t="s">
        <v>8427</v>
      </c>
      <c r="F222" s="74" t="s">
        <v>209</v>
      </c>
      <c r="G222" s="112" t="s">
        <v>8428</v>
      </c>
      <c r="H222" s="112" t="s">
        <v>8429</v>
      </c>
      <c r="I222" s="230" t="s">
        <v>14</v>
      </c>
      <c r="J222" s="231" t="s">
        <v>9033</v>
      </c>
      <c r="K222" s="232"/>
    </row>
    <row r="223" spans="1:11" ht="24.6">
      <c r="A223" s="224"/>
      <c r="B223" s="70"/>
      <c r="C223" s="71" t="s">
        <v>1450</v>
      </c>
      <c r="D223" s="72" t="s">
        <v>8430</v>
      </c>
      <c r="E223" s="73" t="s">
        <v>8431</v>
      </c>
      <c r="F223" s="110" t="s">
        <v>209</v>
      </c>
      <c r="G223" s="220" t="s">
        <v>8432</v>
      </c>
      <c r="H223" s="220" t="s">
        <v>8433</v>
      </c>
      <c r="I223" s="221" t="s">
        <v>13</v>
      </c>
      <c r="J223" s="222" t="s">
        <v>9034</v>
      </c>
      <c r="K223" s="223"/>
    </row>
    <row r="224" spans="1:11" ht="25.2" thickBot="1">
      <c r="A224" s="224"/>
      <c r="B224" s="70"/>
      <c r="C224" s="78"/>
      <c r="D224" s="79" t="s">
        <v>8434</v>
      </c>
      <c r="E224" s="109" t="s">
        <v>8435</v>
      </c>
      <c r="F224" s="110" t="s">
        <v>242</v>
      </c>
      <c r="G224" s="109" t="s">
        <v>8436</v>
      </c>
      <c r="H224" s="109" t="s">
        <v>8437</v>
      </c>
      <c r="I224" s="225" t="s">
        <v>13</v>
      </c>
      <c r="J224" s="226" t="s">
        <v>9035</v>
      </c>
      <c r="K224" s="227"/>
    </row>
    <row r="225" spans="1:11" ht="24.6">
      <c r="A225" s="224"/>
      <c r="B225" s="70"/>
      <c r="C225" s="78"/>
      <c r="D225" s="85" t="s">
        <v>8438</v>
      </c>
      <c r="E225" s="109" t="s">
        <v>8439</v>
      </c>
      <c r="F225" s="228" t="s">
        <v>204</v>
      </c>
      <c r="G225" s="109" t="s">
        <v>8440</v>
      </c>
      <c r="H225" s="109" t="s">
        <v>8441</v>
      </c>
      <c r="I225" s="225" t="s">
        <v>14</v>
      </c>
      <c r="J225" s="226" t="s">
        <v>9036</v>
      </c>
      <c r="K225" s="227"/>
    </row>
    <row r="226" spans="1:11" ht="24.6">
      <c r="A226" s="224"/>
      <c r="B226" s="70"/>
      <c r="C226" s="78"/>
      <c r="D226" s="82" t="s">
        <v>8442</v>
      </c>
      <c r="E226" s="109" t="s">
        <v>8443</v>
      </c>
      <c r="F226" s="110" t="s">
        <v>204</v>
      </c>
      <c r="G226" s="109" t="s">
        <v>8444</v>
      </c>
      <c r="H226" s="109" t="s">
        <v>8445</v>
      </c>
      <c r="I226" s="225" t="s">
        <v>14</v>
      </c>
      <c r="J226" s="226" t="s">
        <v>9037</v>
      </c>
      <c r="K226" s="227"/>
    </row>
    <row r="227" spans="1:11" ht="25.2" thickBot="1">
      <c r="A227" s="224"/>
      <c r="B227" s="70"/>
      <c r="C227" s="86"/>
      <c r="D227" s="87" t="s">
        <v>8446</v>
      </c>
      <c r="E227" s="112" t="s">
        <v>8447</v>
      </c>
      <c r="F227" s="110" t="s">
        <v>204</v>
      </c>
      <c r="G227" s="112" t="s">
        <v>8448</v>
      </c>
      <c r="H227" s="112" t="s">
        <v>8449</v>
      </c>
      <c r="I227" s="230" t="s">
        <v>14</v>
      </c>
      <c r="J227" s="231" t="s">
        <v>9038</v>
      </c>
      <c r="K227" s="232"/>
    </row>
    <row r="228" spans="1:11" ht="24.6">
      <c r="A228" s="224"/>
      <c r="B228" s="107" t="s">
        <v>1451</v>
      </c>
      <c r="C228" s="115" t="s">
        <v>1452</v>
      </c>
      <c r="D228" s="233" t="s">
        <v>8450</v>
      </c>
      <c r="E228" s="117" t="s">
        <v>8451</v>
      </c>
      <c r="F228" s="74" t="s">
        <v>209</v>
      </c>
      <c r="G228" s="220" t="s">
        <v>8452</v>
      </c>
      <c r="H228" s="220" t="s">
        <v>8453</v>
      </c>
      <c r="I228" s="221" t="s">
        <v>14</v>
      </c>
      <c r="J228" s="222" t="s">
        <v>9039</v>
      </c>
      <c r="K228" s="223"/>
    </row>
    <row r="229" spans="1:11" ht="24.6">
      <c r="A229" s="224"/>
      <c r="B229" s="70"/>
      <c r="C229" s="118"/>
      <c r="D229" s="79" t="s">
        <v>8454</v>
      </c>
      <c r="E229" s="109" t="s">
        <v>8455</v>
      </c>
      <c r="F229" s="110" t="s">
        <v>242</v>
      </c>
      <c r="G229" s="109" t="s">
        <v>8382</v>
      </c>
      <c r="H229" s="109" t="s">
        <v>8456</v>
      </c>
      <c r="I229" s="225" t="s">
        <v>19</v>
      </c>
      <c r="J229" s="226" t="s">
        <v>9040</v>
      </c>
      <c r="K229" s="227"/>
    </row>
    <row r="230" spans="1:11" ht="25.2" thickBot="1">
      <c r="A230" s="224"/>
      <c r="B230" s="70"/>
      <c r="C230" s="118"/>
      <c r="D230" s="85" t="s">
        <v>8457</v>
      </c>
      <c r="E230" s="109" t="s">
        <v>8458</v>
      </c>
      <c r="F230" s="110" t="s">
        <v>209</v>
      </c>
      <c r="G230" s="109" t="s">
        <v>8459</v>
      </c>
      <c r="H230" s="109" t="s">
        <v>8460</v>
      </c>
      <c r="I230" s="225" t="s">
        <v>14</v>
      </c>
      <c r="J230" s="226" t="s">
        <v>9017</v>
      </c>
      <c r="K230" s="227"/>
    </row>
    <row r="231" spans="1:11" ht="24.6">
      <c r="A231" s="224"/>
      <c r="B231" s="70"/>
      <c r="C231" s="118"/>
      <c r="D231" s="82" t="s">
        <v>8461</v>
      </c>
      <c r="E231" s="109" t="s">
        <v>8462</v>
      </c>
      <c r="F231" s="74" t="s">
        <v>204</v>
      </c>
      <c r="G231" s="109" t="s">
        <v>8463</v>
      </c>
      <c r="H231" s="109" t="s">
        <v>8464</v>
      </c>
      <c r="I231" s="225" t="s">
        <v>14</v>
      </c>
      <c r="J231" s="226" t="s">
        <v>9041</v>
      </c>
      <c r="K231" s="227"/>
    </row>
    <row r="232" spans="1:11" ht="25.2" thickBot="1">
      <c r="A232" s="224"/>
      <c r="B232" s="70"/>
      <c r="C232" s="121"/>
      <c r="D232" s="87" t="s">
        <v>8465</v>
      </c>
      <c r="E232" s="112" t="s">
        <v>8466</v>
      </c>
      <c r="F232" s="110" t="s">
        <v>209</v>
      </c>
      <c r="G232" s="112" t="s">
        <v>8467</v>
      </c>
      <c r="H232" s="112" t="s">
        <v>8468</v>
      </c>
      <c r="I232" s="230" t="s">
        <v>19</v>
      </c>
      <c r="J232" s="231" t="s">
        <v>9042</v>
      </c>
      <c r="K232" s="232"/>
    </row>
    <row r="233" spans="1:11" ht="24.6">
      <c r="A233" s="224"/>
      <c r="B233" s="70"/>
      <c r="C233" s="71" t="s">
        <v>1453</v>
      </c>
      <c r="D233" s="72" t="s">
        <v>8469</v>
      </c>
      <c r="E233" s="73" t="s">
        <v>8470</v>
      </c>
      <c r="F233" s="110" t="s">
        <v>204</v>
      </c>
      <c r="G233" s="220" t="s">
        <v>8471</v>
      </c>
      <c r="H233" s="220" t="s">
        <v>8472</v>
      </c>
      <c r="I233" s="221" t="s">
        <v>14</v>
      </c>
      <c r="J233" s="222" t="s">
        <v>9043</v>
      </c>
      <c r="K233" s="223"/>
    </row>
    <row r="234" spans="1:11" ht="24.6">
      <c r="A234" s="224"/>
      <c r="B234" s="70"/>
      <c r="C234" s="78"/>
      <c r="D234" s="79" t="s">
        <v>8473</v>
      </c>
      <c r="E234" s="109" t="s">
        <v>8474</v>
      </c>
      <c r="F234" s="110" t="s">
        <v>204</v>
      </c>
      <c r="G234" s="109" t="s">
        <v>8475</v>
      </c>
      <c r="H234" s="109" t="s">
        <v>8476</v>
      </c>
      <c r="I234" s="225" t="s">
        <v>14</v>
      </c>
      <c r="J234" s="226" t="s">
        <v>9035</v>
      </c>
      <c r="K234" s="227"/>
    </row>
    <row r="235" spans="1:11" ht="25.2" thickBot="1">
      <c r="A235" s="224"/>
      <c r="B235" s="70"/>
      <c r="C235" s="78"/>
      <c r="D235" s="85" t="s">
        <v>8477</v>
      </c>
      <c r="E235" s="109" t="s">
        <v>8478</v>
      </c>
      <c r="F235" s="134" t="s">
        <v>209</v>
      </c>
      <c r="G235" s="109" t="s">
        <v>8479</v>
      </c>
      <c r="H235" s="109" t="s">
        <v>8480</v>
      </c>
      <c r="I235" s="225" t="s">
        <v>14</v>
      </c>
      <c r="J235" s="226" t="s">
        <v>9044</v>
      </c>
      <c r="K235" s="227"/>
    </row>
    <row r="236" spans="1:11" ht="25.2" thickBot="1">
      <c r="A236" s="224"/>
      <c r="B236" s="70"/>
      <c r="C236" s="78"/>
      <c r="D236" s="82" t="s">
        <v>8481</v>
      </c>
      <c r="E236" s="109" t="s">
        <v>8482</v>
      </c>
      <c r="F236" s="228" t="s">
        <v>204</v>
      </c>
      <c r="G236" s="109" t="s">
        <v>8483</v>
      </c>
      <c r="H236" s="109" t="s">
        <v>8484</v>
      </c>
      <c r="I236" s="225" t="s">
        <v>14</v>
      </c>
      <c r="J236" s="226" t="s">
        <v>9045</v>
      </c>
      <c r="K236" s="227"/>
    </row>
    <row r="237" spans="1:11" ht="25.2" thickBot="1">
      <c r="A237" s="224"/>
      <c r="B237" s="70"/>
      <c r="C237" s="86"/>
      <c r="D237" s="87" t="s">
        <v>8485</v>
      </c>
      <c r="E237" s="112" t="s">
        <v>8486</v>
      </c>
      <c r="F237" s="110" t="s">
        <v>204</v>
      </c>
      <c r="G237" s="112" t="s">
        <v>8487</v>
      </c>
      <c r="H237" s="112" t="s">
        <v>8488</v>
      </c>
      <c r="I237" s="202" t="s">
        <v>14</v>
      </c>
      <c r="J237" s="231" t="s">
        <v>9020</v>
      </c>
      <c r="K237" s="232"/>
    </row>
    <row r="238" spans="1:11" ht="25.2" thickBot="1">
      <c r="A238" s="224"/>
      <c r="B238" s="70"/>
      <c r="C238" s="71" t="s">
        <v>1454</v>
      </c>
      <c r="D238" s="72" t="s">
        <v>8489</v>
      </c>
      <c r="E238" s="73" t="s">
        <v>8490</v>
      </c>
      <c r="F238" s="110" t="s">
        <v>204</v>
      </c>
      <c r="G238" s="220" t="s">
        <v>8491</v>
      </c>
      <c r="H238" s="220" t="s">
        <v>8492</v>
      </c>
      <c r="I238" s="207" t="s">
        <v>14</v>
      </c>
      <c r="J238" s="222" t="s">
        <v>9046</v>
      </c>
      <c r="K238" s="223"/>
    </row>
    <row r="239" spans="1:11" ht="24.6">
      <c r="A239" s="224"/>
      <c r="B239" s="70"/>
      <c r="C239" s="78"/>
      <c r="D239" s="79" t="s">
        <v>8493</v>
      </c>
      <c r="E239" s="109" t="s">
        <v>8494</v>
      </c>
      <c r="F239" s="74" t="s">
        <v>209</v>
      </c>
      <c r="G239" s="109" t="s">
        <v>8269</v>
      </c>
      <c r="H239" s="109" t="s">
        <v>8495</v>
      </c>
      <c r="I239" s="207" t="s">
        <v>14</v>
      </c>
      <c r="J239" s="226" t="s">
        <v>9047</v>
      </c>
      <c r="K239" s="227"/>
    </row>
    <row r="240" spans="1:11" ht="24.6">
      <c r="A240" s="224"/>
      <c r="B240" s="70"/>
      <c r="C240" s="78"/>
      <c r="D240" s="85" t="s">
        <v>8496</v>
      </c>
      <c r="E240" s="109" t="s">
        <v>8497</v>
      </c>
      <c r="F240" s="110" t="s">
        <v>209</v>
      </c>
      <c r="G240" s="109" t="s">
        <v>8498</v>
      </c>
      <c r="H240" s="109" t="s">
        <v>8499</v>
      </c>
      <c r="I240" s="207" t="s">
        <v>14</v>
      </c>
      <c r="J240" s="226" t="s">
        <v>9013</v>
      </c>
      <c r="K240" s="227"/>
    </row>
    <row r="241" spans="1:11" ht="25.2" thickBot="1">
      <c r="A241" s="224"/>
      <c r="B241" s="70"/>
      <c r="C241" s="78"/>
      <c r="D241" s="82" t="s">
        <v>8500</v>
      </c>
      <c r="E241" s="109" t="s">
        <v>8501</v>
      </c>
      <c r="F241" s="110" t="s">
        <v>204</v>
      </c>
      <c r="G241" s="109" t="s">
        <v>8502</v>
      </c>
      <c r="H241" s="109" t="s">
        <v>8503</v>
      </c>
      <c r="I241" s="211" t="s">
        <v>14</v>
      </c>
      <c r="J241" s="226" t="s">
        <v>9048</v>
      </c>
      <c r="K241" s="227"/>
    </row>
    <row r="242" spans="1:11" ht="25.2" thickBot="1">
      <c r="A242" s="224"/>
      <c r="B242" s="70"/>
      <c r="C242" s="86"/>
      <c r="D242" s="87" t="s">
        <v>8504</v>
      </c>
      <c r="E242" s="112" t="s">
        <v>8505</v>
      </c>
      <c r="F242" s="110" t="s">
        <v>204</v>
      </c>
      <c r="G242" s="112" t="s">
        <v>8506</v>
      </c>
      <c r="H242" s="112" t="s">
        <v>8507</v>
      </c>
      <c r="I242" s="202" t="s">
        <v>14</v>
      </c>
      <c r="J242" s="231" t="s">
        <v>9015</v>
      </c>
      <c r="K242" s="232"/>
    </row>
    <row r="243" spans="1:11" ht="24.6">
      <c r="A243" s="224"/>
      <c r="B243" s="70"/>
      <c r="C243" s="71" t="s">
        <v>1455</v>
      </c>
      <c r="D243" s="72" t="s">
        <v>8508</v>
      </c>
      <c r="E243" s="73" t="s">
        <v>8509</v>
      </c>
      <c r="F243" s="74" t="s">
        <v>209</v>
      </c>
      <c r="G243" s="220" t="s">
        <v>8510</v>
      </c>
      <c r="H243" s="220" t="s">
        <v>8511</v>
      </c>
      <c r="I243" s="207" t="s">
        <v>13</v>
      </c>
      <c r="J243" s="222" t="s">
        <v>9016</v>
      </c>
      <c r="K243" s="223"/>
    </row>
    <row r="244" spans="1:11" ht="24.6">
      <c r="A244" s="224"/>
      <c r="B244" s="70"/>
      <c r="C244" s="78"/>
      <c r="D244" s="79" t="s">
        <v>8512</v>
      </c>
      <c r="E244" s="109" t="s">
        <v>8513</v>
      </c>
      <c r="F244" s="110" t="s">
        <v>209</v>
      </c>
      <c r="G244" s="109" t="s">
        <v>8514</v>
      </c>
      <c r="H244" s="109" t="s">
        <v>8515</v>
      </c>
      <c r="I244" s="207" t="s">
        <v>14</v>
      </c>
      <c r="J244" s="226" t="s">
        <v>9017</v>
      </c>
      <c r="K244" s="227"/>
    </row>
    <row r="245" spans="1:11" ht="25.2" thickBot="1">
      <c r="A245" s="224"/>
      <c r="B245" s="70"/>
      <c r="C245" s="78"/>
      <c r="D245" s="85" t="s">
        <v>8516</v>
      </c>
      <c r="E245" s="109" t="s">
        <v>8517</v>
      </c>
      <c r="F245" s="110" t="s">
        <v>204</v>
      </c>
      <c r="G245" s="109" t="s">
        <v>8518</v>
      </c>
      <c r="H245" s="109" t="s">
        <v>8519</v>
      </c>
      <c r="I245" s="207" t="s">
        <v>19</v>
      </c>
      <c r="J245" s="226" t="s">
        <v>9049</v>
      </c>
      <c r="K245" s="227"/>
    </row>
    <row r="246" spans="1:11" ht="25.2" thickBot="1">
      <c r="A246" s="224"/>
      <c r="B246" s="70"/>
      <c r="C246" s="78"/>
      <c r="D246" s="82" t="s">
        <v>8520</v>
      </c>
      <c r="E246" s="109" t="s">
        <v>8521</v>
      </c>
      <c r="F246" s="74" t="s">
        <v>209</v>
      </c>
      <c r="G246" s="109" t="s">
        <v>8522</v>
      </c>
      <c r="H246" s="109" t="s">
        <v>8523</v>
      </c>
      <c r="I246" s="211" t="s">
        <v>14</v>
      </c>
      <c r="J246" s="226" t="s">
        <v>9044</v>
      </c>
      <c r="K246" s="227"/>
    </row>
    <row r="247" spans="1:11" ht="25.2" thickBot="1">
      <c r="A247" s="224"/>
      <c r="B247" s="70"/>
      <c r="C247" s="86"/>
      <c r="D247" s="87" t="s">
        <v>8524</v>
      </c>
      <c r="E247" s="112" t="s">
        <v>8525</v>
      </c>
      <c r="F247" s="110" t="s">
        <v>209</v>
      </c>
      <c r="G247" s="112" t="s">
        <v>8526</v>
      </c>
      <c r="H247" s="112" t="s">
        <v>8527</v>
      </c>
      <c r="I247" s="221" t="s">
        <v>14</v>
      </c>
      <c r="J247" s="231" t="s">
        <v>9020</v>
      </c>
      <c r="K247" s="232"/>
    </row>
    <row r="248" spans="1:11" ht="24.6">
      <c r="A248" s="224"/>
      <c r="B248" s="70"/>
      <c r="C248" s="71" t="s">
        <v>1456</v>
      </c>
      <c r="D248" s="72" t="s">
        <v>8528</v>
      </c>
      <c r="E248" s="73" t="s">
        <v>8529</v>
      </c>
      <c r="F248" s="110" t="s">
        <v>204</v>
      </c>
      <c r="G248" s="220" t="s">
        <v>8530</v>
      </c>
      <c r="H248" s="220" t="s">
        <v>8531</v>
      </c>
      <c r="I248" s="225" t="s">
        <v>13</v>
      </c>
      <c r="J248" s="222" t="s">
        <v>9021</v>
      </c>
      <c r="K248" s="223"/>
    </row>
    <row r="249" spans="1:11" ht="25.2" thickBot="1">
      <c r="A249" s="224"/>
      <c r="B249" s="70"/>
      <c r="C249" s="78"/>
      <c r="D249" s="79" t="s">
        <v>8532</v>
      </c>
      <c r="E249" s="109" t="s">
        <v>8533</v>
      </c>
      <c r="F249" s="110" t="s">
        <v>204</v>
      </c>
      <c r="G249" s="109" t="s">
        <v>8534</v>
      </c>
      <c r="H249" s="109" t="s">
        <v>8535</v>
      </c>
      <c r="I249" s="225" t="s">
        <v>14</v>
      </c>
      <c r="J249" s="226" t="s">
        <v>9022</v>
      </c>
      <c r="K249" s="227"/>
    </row>
    <row r="250" spans="1:11" ht="24.6">
      <c r="A250" s="224"/>
      <c r="B250" s="70"/>
      <c r="C250" s="78"/>
      <c r="D250" s="85" t="s">
        <v>8536</v>
      </c>
      <c r="E250" s="109" t="s">
        <v>8537</v>
      </c>
      <c r="F250" s="74" t="s">
        <v>209</v>
      </c>
      <c r="G250" s="109" t="s">
        <v>8538</v>
      </c>
      <c r="H250" s="109" t="s">
        <v>8539</v>
      </c>
      <c r="I250" s="225" t="s">
        <v>14</v>
      </c>
      <c r="J250" s="226" t="s">
        <v>9050</v>
      </c>
      <c r="K250" s="227"/>
    </row>
    <row r="251" spans="1:11" ht="25.2" thickBot="1">
      <c r="A251" s="224"/>
      <c r="B251" s="70"/>
      <c r="C251" s="78"/>
      <c r="D251" s="82" t="s">
        <v>8540</v>
      </c>
      <c r="E251" s="109" t="s">
        <v>8541</v>
      </c>
      <c r="F251" s="110" t="s">
        <v>209</v>
      </c>
      <c r="G251" s="109" t="s">
        <v>8542</v>
      </c>
      <c r="H251" s="109" t="s">
        <v>8543</v>
      </c>
      <c r="I251" s="225" t="s">
        <v>14</v>
      </c>
      <c r="J251" s="226" t="s">
        <v>9024</v>
      </c>
      <c r="K251" s="227"/>
    </row>
    <row r="252" spans="1:11" ht="25.2" thickBot="1">
      <c r="A252" s="224"/>
      <c r="B252" s="70"/>
      <c r="C252" s="86"/>
      <c r="D252" s="87" t="s">
        <v>8544</v>
      </c>
      <c r="E252" s="112" t="s">
        <v>8545</v>
      </c>
      <c r="F252" s="110" t="s">
        <v>242</v>
      </c>
      <c r="G252" s="112" t="s">
        <v>8546</v>
      </c>
      <c r="H252" s="112" t="s">
        <v>8547</v>
      </c>
      <c r="I252" s="221" t="s">
        <v>13</v>
      </c>
      <c r="J252" s="231" t="s">
        <v>9025</v>
      </c>
      <c r="K252" s="232"/>
    </row>
    <row r="253" spans="1:11" ht="24.6">
      <c r="A253" s="224"/>
      <c r="B253" s="107" t="s">
        <v>1457</v>
      </c>
      <c r="C253" s="115" t="s">
        <v>1458</v>
      </c>
      <c r="D253" s="233" t="s">
        <v>8548</v>
      </c>
      <c r="E253" s="117" t="s">
        <v>8549</v>
      </c>
      <c r="F253" s="228" t="s">
        <v>204</v>
      </c>
      <c r="G253" s="220" t="s">
        <v>8550</v>
      </c>
      <c r="H253" s="220" t="s">
        <v>8551</v>
      </c>
      <c r="I253" s="225" t="s">
        <v>14</v>
      </c>
      <c r="J253" s="222" t="s">
        <v>9051</v>
      </c>
      <c r="K253" s="223"/>
    </row>
    <row r="254" spans="1:11" ht="25.2" thickBot="1">
      <c r="A254" s="224"/>
      <c r="B254" s="70"/>
      <c r="C254" s="118"/>
      <c r="D254" s="85" t="s">
        <v>8552</v>
      </c>
      <c r="E254" s="109" t="s">
        <v>8553</v>
      </c>
      <c r="F254" s="110" t="s">
        <v>204</v>
      </c>
      <c r="G254" s="109" t="s">
        <v>8554</v>
      </c>
      <c r="H254" s="109" t="s">
        <v>8555</v>
      </c>
      <c r="I254" s="225" t="s">
        <v>19</v>
      </c>
      <c r="J254" s="226" t="s">
        <v>9052</v>
      </c>
      <c r="K254" s="227"/>
    </row>
    <row r="255" spans="1:11" ht="24.6">
      <c r="A255" s="224"/>
      <c r="B255" s="70"/>
      <c r="C255" s="118"/>
      <c r="D255" s="85" t="s">
        <v>8556</v>
      </c>
      <c r="E255" s="109" t="s">
        <v>8557</v>
      </c>
      <c r="F255" s="74" t="s">
        <v>209</v>
      </c>
      <c r="G255" s="109" t="s">
        <v>8558</v>
      </c>
      <c r="H255" s="109" t="s">
        <v>8559</v>
      </c>
      <c r="I255" s="225" t="s">
        <v>13</v>
      </c>
      <c r="J255" s="226" t="s">
        <v>9029</v>
      </c>
      <c r="K255" s="227"/>
    </row>
    <row r="256" spans="1:11" ht="25.2" thickBot="1">
      <c r="A256" s="224"/>
      <c r="B256" s="70"/>
      <c r="C256" s="118"/>
      <c r="D256" s="82" t="s">
        <v>8560</v>
      </c>
      <c r="E256" s="109" t="s">
        <v>8561</v>
      </c>
      <c r="F256" s="110" t="s">
        <v>209</v>
      </c>
      <c r="G256" s="109" t="s">
        <v>8562</v>
      </c>
      <c r="H256" s="109" t="s">
        <v>8563</v>
      </c>
      <c r="I256" s="225" t="s">
        <v>14</v>
      </c>
      <c r="J256" s="226" t="s">
        <v>9053</v>
      </c>
      <c r="K256" s="227"/>
    </row>
    <row r="257" spans="1:11" ht="25.2" thickBot="1">
      <c r="A257" s="224"/>
      <c r="B257" s="70"/>
      <c r="C257" s="121"/>
      <c r="D257" s="87" t="s">
        <v>8564</v>
      </c>
      <c r="E257" s="112" t="s">
        <v>8565</v>
      </c>
      <c r="F257" s="110" t="s">
        <v>204</v>
      </c>
      <c r="G257" s="112" t="s">
        <v>8566</v>
      </c>
      <c r="H257" s="112" t="s">
        <v>8567</v>
      </c>
      <c r="I257" s="221" t="s">
        <v>14</v>
      </c>
      <c r="J257" s="231" t="s">
        <v>9054</v>
      </c>
      <c r="K257" s="232"/>
    </row>
    <row r="258" spans="1:11" ht="25.2" thickBot="1">
      <c r="A258" s="224"/>
      <c r="B258" s="70"/>
      <c r="C258" s="71" t="s">
        <v>1459</v>
      </c>
      <c r="D258" s="72" t="s">
        <v>8568</v>
      </c>
      <c r="E258" s="73" t="s">
        <v>8569</v>
      </c>
      <c r="F258" s="110" t="s">
        <v>204</v>
      </c>
      <c r="G258" s="220" t="s">
        <v>8570</v>
      </c>
      <c r="H258" s="220" t="s">
        <v>8571</v>
      </c>
      <c r="I258" s="225" t="s">
        <v>14</v>
      </c>
      <c r="J258" s="222" t="s">
        <v>9055</v>
      </c>
      <c r="K258" s="223"/>
    </row>
    <row r="259" spans="1:11" ht="24.6">
      <c r="A259" s="224"/>
      <c r="B259" s="70"/>
      <c r="C259" s="78"/>
      <c r="D259" s="85" t="s">
        <v>8572</v>
      </c>
      <c r="E259" s="109" t="s">
        <v>8573</v>
      </c>
      <c r="F259" s="74" t="s">
        <v>209</v>
      </c>
      <c r="G259" s="109" t="s">
        <v>8574</v>
      </c>
      <c r="H259" s="109" t="s">
        <v>8575</v>
      </c>
      <c r="I259" s="225" t="s">
        <v>19</v>
      </c>
      <c r="J259" s="226" t="s">
        <v>9056</v>
      </c>
      <c r="K259" s="227"/>
    </row>
    <row r="260" spans="1:11" ht="24.6">
      <c r="A260" s="224"/>
      <c r="B260" s="70"/>
      <c r="C260" s="78"/>
      <c r="D260" s="85" t="s">
        <v>8576</v>
      </c>
      <c r="E260" s="109" t="s">
        <v>8577</v>
      </c>
      <c r="F260" s="110" t="s">
        <v>209</v>
      </c>
      <c r="G260" s="109" t="s">
        <v>8578</v>
      </c>
      <c r="H260" s="109" t="s">
        <v>8579</v>
      </c>
      <c r="I260" s="225" t="s">
        <v>14</v>
      </c>
      <c r="J260" s="226" t="s">
        <v>9057</v>
      </c>
      <c r="K260" s="227"/>
    </row>
    <row r="261" spans="1:11" ht="25.2" thickBot="1">
      <c r="A261" s="224"/>
      <c r="B261" s="70"/>
      <c r="C261" s="78"/>
      <c r="D261" s="82" t="s">
        <v>8580</v>
      </c>
      <c r="E261" s="109" t="s">
        <v>8581</v>
      </c>
      <c r="F261" s="110" t="s">
        <v>242</v>
      </c>
      <c r="G261" s="109" t="s">
        <v>8582</v>
      </c>
      <c r="H261" s="109" t="s">
        <v>8583</v>
      </c>
      <c r="I261" s="230" t="s">
        <v>14</v>
      </c>
      <c r="J261" s="226" t="s">
        <v>9058</v>
      </c>
      <c r="K261" s="227"/>
    </row>
    <row r="262" spans="1:11" ht="25.2" thickBot="1">
      <c r="A262" s="224"/>
      <c r="B262" s="70"/>
      <c r="C262" s="86"/>
      <c r="D262" s="87" t="s">
        <v>8584</v>
      </c>
      <c r="E262" s="112" t="s">
        <v>8585</v>
      </c>
      <c r="F262" s="228" t="s">
        <v>204</v>
      </c>
      <c r="G262" s="112" t="s">
        <v>8586</v>
      </c>
      <c r="H262" s="112" t="s">
        <v>8587</v>
      </c>
      <c r="I262" s="221" t="s">
        <v>14</v>
      </c>
      <c r="J262" s="231" t="s">
        <v>9059</v>
      </c>
      <c r="K262" s="232"/>
    </row>
    <row r="263" spans="1:11" ht="24.6">
      <c r="A263" s="224"/>
      <c r="B263" s="70"/>
      <c r="C263" s="71" t="s">
        <v>1460</v>
      </c>
      <c r="D263" s="72" t="s">
        <v>8588</v>
      </c>
      <c r="E263" s="73" t="s">
        <v>8589</v>
      </c>
      <c r="F263" s="110" t="s">
        <v>209</v>
      </c>
      <c r="G263" s="220" t="s">
        <v>8491</v>
      </c>
      <c r="H263" s="220" t="s">
        <v>8590</v>
      </c>
      <c r="I263" s="225" t="s">
        <v>14</v>
      </c>
      <c r="J263" s="222" t="s">
        <v>9060</v>
      </c>
      <c r="K263" s="223"/>
    </row>
    <row r="264" spans="1:11" ht="25.2" thickBot="1">
      <c r="A264" s="224"/>
      <c r="B264" s="70"/>
      <c r="C264" s="78"/>
      <c r="D264" s="79" t="s">
        <v>8591</v>
      </c>
      <c r="E264" s="109" t="s">
        <v>8592</v>
      </c>
      <c r="F264" s="110" t="s">
        <v>204</v>
      </c>
      <c r="G264" s="109" t="s">
        <v>8593</v>
      </c>
      <c r="H264" s="109" t="s">
        <v>8594</v>
      </c>
      <c r="I264" s="225" t="s">
        <v>14</v>
      </c>
      <c r="J264" s="226" t="s">
        <v>9061</v>
      </c>
      <c r="K264" s="227"/>
    </row>
    <row r="265" spans="1:11" ht="24.6">
      <c r="A265" s="224"/>
      <c r="B265" s="70"/>
      <c r="C265" s="78"/>
      <c r="D265" s="85" t="s">
        <v>8595</v>
      </c>
      <c r="E265" s="109" t="s">
        <v>8596</v>
      </c>
      <c r="F265" s="74" t="s">
        <v>209</v>
      </c>
      <c r="G265" s="109" t="s">
        <v>8597</v>
      </c>
      <c r="H265" s="109" t="s">
        <v>8598</v>
      </c>
      <c r="I265" s="225" t="s">
        <v>14</v>
      </c>
      <c r="J265" s="226" t="s">
        <v>9062</v>
      </c>
      <c r="K265" s="227"/>
    </row>
    <row r="266" spans="1:11" ht="25.2" thickBot="1">
      <c r="A266" s="224"/>
      <c r="B266" s="70"/>
      <c r="C266" s="78"/>
      <c r="D266" s="82" t="s">
        <v>8599</v>
      </c>
      <c r="E266" s="109" t="s">
        <v>8600</v>
      </c>
      <c r="F266" s="110" t="s">
        <v>209</v>
      </c>
      <c r="G266" s="109" t="s">
        <v>8601</v>
      </c>
      <c r="H266" s="109" t="s">
        <v>8602</v>
      </c>
      <c r="I266" s="230" t="s">
        <v>14</v>
      </c>
      <c r="J266" s="226" t="s">
        <v>9040</v>
      </c>
      <c r="K266" s="227"/>
    </row>
    <row r="267" spans="1:11" ht="25.2" thickBot="1">
      <c r="A267" s="224"/>
      <c r="B267" s="70"/>
      <c r="C267" s="86"/>
      <c r="D267" s="87" t="s">
        <v>8603</v>
      </c>
      <c r="E267" s="112" t="s">
        <v>8604</v>
      </c>
      <c r="F267" s="110" t="s">
        <v>204</v>
      </c>
      <c r="G267" s="112" t="s">
        <v>8605</v>
      </c>
      <c r="H267" s="112" t="s">
        <v>8606</v>
      </c>
      <c r="I267" s="221" t="s">
        <v>13</v>
      </c>
      <c r="J267" s="231" t="s">
        <v>9063</v>
      </c>
      <c r="K267" s="232"/>
    </row>
    <row r="268" spans="1:11" ht="25.2" thickBot="1">
      <c r="A268" s="224"/>
      <c r="B268" s="70"/>
      <c r="C268" s="71" t="s">
        <v>1461</v>
      </c>
      <c r="D268" s="72" t="s">
        <v>8607</v>
      </c>
      <c r="E268" s="73" t="s">
        <v>8608</v>
      </c>
      <c r="F268" s="110" t="s">
        <v>204</v>
      </c>
      <c r="G268" s="220" t="s">
        <v>8510</v>
      </c>
      <c r="H268" s="220" t="s">
        <v>8511</v>
      </c>
      <c r="I268" s="225" t="s">
        <v>14</v>
      </c>
      <c r="J268" s="222" t="s">
        <v>9064</v>
      </c>
      <c r="K268" s="223"/>
    </row>
    <row r="269" spans="1:11" ht="24.6">
      <c r="A269" s="224"/>
      <c r="B269" s="70"/>
      <c r="C269" s="78"/>
      <c r="D269" s="79" t="s">
        <v>8609</v>
      </c>
      <c r="E269" s="109" t="s">
        <v>8610</v>
      </c>
      <c r="F269" s="74" t="s">
        <v>209</v>
      </c>
      <c r="G269" s="109" t="s">
        <v>8611</v>
      </c>
      <c r="H269" s="109" t="s">
        <v>8612</v>
      </c>
      <c r="I269" s="225" t="s">
        <v>19</v>
      </c>
      <c r="J269" s="226" t="s">
        <v>9065</v>
      </c>
      <c r="K269" s="227"/>
    </row>
    <row r="270" spans="1:11" ht="24.6">
      <c r="A270" s="224"/>
      <c r="B270" s="70"/>
      <c r="C270" s="78"/>
      <c r="D270" s="85" t="s">
        <v>8613</v>
      </c>
      <c r="E270" s="109" t="s">
        <v>8614</v>
      </c>
      <c r="F270" s="110" t="s">
        <v>209</v>
      </c>
      <c r="G270" s="109" t="s">
        <v>8615</v>
      </c>
      <c r="H270" s="109" t="s">
        <v>8616</v>
      </c>
      <c r="I270" s="225" t="s">
        <v>14</v>
      </c>
      <c r="J270" s="226" t="s">
        <v>9066</v>
      </c>
      <c r="K270" s="227"/>
    </row>
    <row r="271" spans="1:11" ht="25.2" thickBot="1">
      <c r="A271" s="224"/>
      <c r="B271" s="70"/>
      <c r="C271" s="78"/>
      <c r="D271" s="82" t="s">
        <v>8617</v>
      </c>
      <c r="E271" s="109" t="s">
        <v>8618</v>
      </c>
      <c r="F271" s="110" t="s">
        <v>242</v>
      </c>
      <c r="G271" s="109" t="s">
        <v>8619</v>
      </c>
      <c r="H271" s="109" t="s">
        <v>8620</v>
      </c>
      <c r="I271" s="230" t="s">
        <v>14</v>
      </c>
      <c r="J271" s="226" t="s">
        <v>9067</v>
      </c>
      <c r="K271" s="227"/>
    </row>
    <row r="272" spans="1:11" ht="25.2" thickBot="1">
      <c r="A272" s="224"/>
      <c r="B272" s="70"/>
      <c r="C272" s="86"/>
      <c r="D272" s="87" t="s">
        <v>8621</v>
      </c>
      <c r="E272" s="112" t="s">
        <v>8622</v>
      </c>
      <c r="F272" s="228" t="s">
        <v>204</v>
      </c>
      <c r="G272" s="112" t="s">
        <v>8623</v>
      </c>
      <c r="H272" s="112" t="s">
        <v>8624</v>
      </c>
      <c r="I272" s="221" t="s">
        <v>14</v>
      </c>
      <c r="J272" s="231" t="s">
        <v>9044</v>
      </c>
      <c r="K272" s="232"/>
    </row>
    <row r="273" spans="1:11" ht="25.2" thickBot="1">
      <c r="A273" s="224"/>
      <c r="B273" s="70"/>
      <c r="C273" s="71" t="s">
        <v>1462</v>
      </c>
      <c r="D273" s="72" t="s">
        <v>8625</v>
      </c>
      <c r="E273" s="73" t="s">
        <v>8626</v>
      </c>
      <c r="F273" s="110" t="s">
        <v>204</v>
      </c>
      <c r="G273" s="220" t="s">
        <v>8627</v>
      </c>
      <c r="H273" s="220" t="s">
        <v>8628</v>
      </c>
      <c r="I273" s="225" t="s">
        <v>14</v>
      </c>
      <c r="J273" s="222" t="s">
        <v>9068</v>
      </c>
      <c r="K273" s="223"/>
    </row>
    <row r="274" spans="1:11" ht="24.6">
      <c r="A274" s="224"/>
      <c r="B274" s="70"/>
      <c r="C274" s="78"/>
      <c r="D274" s="79" t="s">
        <v>8629</v>
      </c>
      <c r="E274" s="109" t="s">
        <v>8630</v>
      </c>
      <c r="F274" s="74" t="s">
        <v>209</v>
      </c>
      <c r="G274" s="109" t="s">
        <v>8538</v>
      </c>
      <c r="H274" s="109" t="s">
        <v>8631</v>
      </c>
      <c r="I274" s="225" t="s">
        <v>14</v>
      </c>
      <c r="J274" s="226" t="s">
        <v>9069</v>
      </c>
      <c r="K274" s="227"/>
    </row>
    <row r="275" spans="1:11" ht="24.6">
      <c r="A275" s="224"/>
      <c r="B275" s="70"/>
      <c r="C275" s="78"/>
      <c r="D275" s="85" t="s">
        <v>8632</v>
      </c>
      <c r="E275" s="109" t="s">
        <v>8633</v>
      </c>
      <c r="F275" s="110" t="s">
        <v>209</v>
      </c>
      <c r="G275" s="109" t="s">
        <v>8634</v>
      </c>
      <c r="H275" s="109" t="s">
        <v>8635</v>
      </c>
      <c r="I275" s="225" t="s">
        <v>14</v>
      </c>
      <c r="J275" s="226" t="s">
        <v>9070</v>
      </c>
      <c r="K275" s="227"/>
    </row>
    <row r="276" spans="1:11" ht="25.2" thickBot="1">
      <c r="A276" s="224"/>
      <c r="B276" s="70"/>
      <c r="C276" s="78"/>
      <c r="D276" s="82" t="s">
        <v>8636</v>
      </c>
      <c r="E276" s="109" t="s">
        <v>8637</v>
      </c>
      <c r="F276" s="110" t="s">
        <v>204</v>
      </c>
      <c r="G276" s="109" t="s">
        <v>8638</v>
      </c>
      <c r="H276" s="109" t="s">
        <v>8639</v>
      </c>
      <c r="I276" s="230" t="s">
        <v>14</v>
      </c>
      <c r="J276" s="226" t="s">
        <v>9027</v>
      </c>
      <c r="K276" s="227"/>
    </row>
    <row r="277" spans="1:11" ht="25.2" thickBot="1">
      <c r="A277" s="224"/>
      <c r="B277" s="70"/>
      <c r="C277" s="86"/>
      <c r="D277" s="87" t="s">
        <v>8640</v>
      </c>
      <c r="E277" s="112" t="s">
        <v>8641</v>
      </c>
      <c r="F277" s="110" t="s">
        <v>242</v>
      </c>
      <c r="G277" s="112" t="s">
        <v>8642</v>
      </c>
      <c r="H277" s="112" t="s">
        <v>8643</v>
      </c>
      <c r="I277" s="221" t="s">
        <v>13</v>
      </c>
      <c r="J277" s="231" t="s">
        <v>9071</v>
      </c>
      <c r="K277" s="232"/>
    </row>
    <row r="278" spans="1:11" ht="25.2" thickBot="1">
      <c r="A278" s="224"/>
      <c r="B278" s="70"/>
      <c r="C278" s="71" t="s">
        <v>1463</v>
      </c>
      <c r="D278" s="72" t="s">
        <v>8644</v>
      </c>
      <c r="E278" s="73" t="s">
        <v>8645</v>
      </c>
      <c r="F278" s="110" t="s">
        <v>209</v>
      </c>
      <c r="G278" s="220" t="s">
        <v>8646</v>
      </c>
      <c r="H278" s="220" t="s">
        <v>8647</v>
      </c>
      <c r="I278" s="225" t="s">
        <v>13</v>
      </c>
      <c r="J278" s="222" t="s">
        <v>9072</v>
      </c>
      <c r="K278" s="223"/>
    </row>
    <row r="279" spans="1:11" ht="24.6">
      <c r="A279" s="224"/>
      <c r="B279" s="70"/>
      <c r="C279" s="78"/>
      <c r="D279" s="79" t="s">
        <v>8648</v>
      </c>
      <c r="E279" s="109" t="s">
        <v>8649</v>
      </c>
      <c r="F279" s="74" t="s">
        <v>204</v>
      </c>
      <c r="G279" s="109" t="s">
        <v>8650</v>
      </c>
      <c r="H279" s="109" t="s">
        <v>8651</v>
      </c>
      <c r="I279" s="225" t="s">
        <v>14</v>
      </c>
      <c r="J279" s="226" t="s">
        <v>9073</v>
      </c>
      <c r="K279" s="227"/>
    </row>
    <row r="280" spans="1:11" ht="24.6">
      <c r="A280" s="224"/>
      <c r="B280" s="70"/>
      <c r="C280" s="78"/>
      <c r="D280" s="85" t="s">
        <v>8652</v>
      </c>
      <c r="E280" s="109" t="s">
        <v>8653</v>
      </c>
      <c r="F280" s="110" t="s">
        <v>209</v>
      </c>
      <c r="G280" s="109" t="s">
        <v>8654</v>
      </c>
      <c r="H280" s="109" t="s">
        <v>8655</v>
      </c>
      <c r="I280" s="225" t="s">
        <v>14</v>
      </c>
      <c r="J280" s="226" t="s">
        <v>9016</v>
      </c>
      <c r="K280" s="227"/>
    </row>
    <row r="281" spans="1:11" ht="25.2" thickBot="1">
      <c r="A281" s="224"/>
      <c r="B281" s="70"/>
      <c r="C281" s="78"/>
      <c r="D281" s="82" t="s">
        <v>8656</v>
      </c>
      <c r="E281" s="109" t="s">
        <v>8657</v>
      </c>
      <c r="F281" s="110" t="s">
        <v>204</v>
      </c>
      <c r="G281" s="109" t="s">
        <v>8658</v>
      </c>
      <c r="H281" s="109" t="s">
        <v>8659</v>
      </c>
      <c r="I281" s="230" t="s">
        <v>14</v>
      </c>
      <c r="J281" s="226" t="s">
        <v>9074</v>
      </c>
      <c r="K281" s="227"/>
    </row>
    <row r="282" spans="1:11" ht="25.2" thickBot="1">
      <c r="A282" s="234"/>
      <c r="B282" s="93"/>
      <c r="C282" s="86"/>
      <c r="D282" s="87" t="s">
        <v>8660</v>
      </c>
      <c r="E282" s="112" t="s">
        <v>8661</v>
      </c>
      <c r="F282" s="110" t="s">
        <v>204</v>
      </c>
      <c r="G282" s="112" t="s">
        <v>8586</v>
      </c>
      <c r="H282" s="112" t="s">
        <v>8662</v>
      </c>
      <c r="I282" s="221" t="s">
        <v>14</v>
      </c>
      <c r="J282" s="231" t="s">
        <v>9075</v>
      </c>
      <c r="K282" s="232"/>
    </row>
    <row r="283" spans="1:11" ht="24.6">
      <c r="A283" s="201" t="s">
        <v>94</v>
      </c>
      <c r="B283" s="18" t="s">
        <v>95</v>
      </c>
      <c r="C283" s="19" t="s">
        <v>1464</v>
      </c>
      <c r="D283" s="235" t="s">
        <v>8663</v>
      </c>
      <c r="E283" s="21" t="s">
        <v>8664</v>
      </c>
      <c r="F283" s="22" t="s">
        <v>209</v>
      </c>
      <c r="G283" s="61" t="s">
        <v>8665</v>
      </c>
      <c r="H283" s="61" t="s">
        <v>8666</v>
      </c>
      <c r="I283" s="225" t="s">
        <v>19</v>
      </c>
      <c r="J283" s="203" t="s">
        <v>9020</v>
      </c>
      <c r="K283" s="204"/>
    </row>
    <row r="284" spans="1:11" ht="24.6">
      <c r="A284" s="205"/>
      <c r="B284" s="27"/>
      <c r="C284" s="28"/>
      <c r="D284" s="66" t="s">
        <v>8667</v>
      </c>
      <c r="E284" s="58" t="s">
        <v>8668</v>
      </c>
      <c r="F284" s="206" t="s">
        <v>209</v>
      </c>
      <c r="G284" s="58" t="s">
        <v>8669</v>
      </c>
      <c r="H284" s="58" t="s">
        <v>8670</v>
      </c>
      <c r="I284" s="225" t="s">
        <v>14</v>
      </c>
      <c r="J284" s="208" t="s">
        <v>9025</v>
      </c>
      <c r="K284" s="209"/>
    </row>
    <row r="285" spans="1:11" ht="24.6">
      <c r="A285" s="205"/>
      <c r="B285" s="27"/>
      <c r="C285" s="28"/>
      <c r="D285" s="67" t="s">
        <v>8671</v>
      </c>
      <c r="E285" s="58" t="s">
        <v>8672</v>
      </c>
      <c r="F285" s="206" t="s">
        <v>242</v>
      </c>
      <c r="G285" s="58" t="s">
        <v>8673</v>
      </c>
      <c r="H285" s="58" t="s">
        <v>8674</v>
      </c>
      <c r="I285" s="225" t="s">
        <v>14</v>
      </c>
      <c r="J285" s="208" t="s">
        <v>9076</v>
      </c>
      <c r="K285" s="209"/>
    </row>
    <row r="286" spans="1:11" ht="25.2" thickBot="1">
      <c r="A286" s="205"/>
      <c r="B286" s="27"/>
      <c r="C286" s="28"/>
      <c r="D286" s="67" t="s">
        <v>8675</v>
      </c>
      <c r="E286" s="58" t="s">
        <v>8676</v>
      </c>
      <c r="F286" s="206" t="s">
        <v>242</v>
      </c>
      <c r="G286" s="58" t="s">
        <v>8677</v>
      </c>
      <c r="H286" s="58" t="s">
        <v>8678</v>
      </c>
      <c r="I286" s="230" t="s">
        <v>19</v>
      </c>
      <c r="J286" s="208" t="s">
        <v>9071</v>
      </c>
      <c r="K286" s="209"/>
    </row>
    <row r="287" spans="1:11" ht="25.2" thickBot="1">
      <c r="A287" s="205"/>
      <c r="B287" s="27"/>
      <c r="C287" s="28"/>
      <c r="D287" s="32" t="s">
        <v>8679</v>
      </c>
      <c r="E287" s="58" t="s">
        <v>8680</v>
      </c>
      <c r="F287" s="206" t="s">
        <v>209</v>
      </c>
      <c r="G287" s="58" t="s">
        <v>8681</v>
      </c>
      <c r="H287" s="58" t="s">
        <v>8682</v>
      </c>
      <c r="I287" s="221" t="s">
        <v>14</v>
      </c>
      <c r="J287" s="208" t="s">
        <v>9077</v>
      </c>
      <c r="K287" s="209"/>
    </row>
    <row r="288" spans="1:11" ht="24.6">
      <c r="A288" s="205"/>
      <c r="B288" s="27"/>
      <c r="C288" s="64" t="s">
        <v>1465</v>
      </c>
      <c r="D288" s="23" t="s">
        <v>8683</v>
      </c>
      <c r="E288" s="42" t="s">
        <v>8684</v>
      </c>
      <c r="F288" s="206" t="s">
        <v>242</v>
      </c>
      <c r="G288" s="61" t="s">
        <v>8685</v>
      </c>
      <c r="H288" s="61" t="s">
        <v>8686</v>
      </c>
      <c r="I288" s="225" t="s">
        <v>14</v>
      </c>
      <c r="J288" s="203" t="s">
        <v>9078</v>
      </c>
      <c r="K288" s="204"/>
    </row>
    <row r="289" spans="1:11" ht="25.2" thickBot="1">
      <c r="A289" s="205"/>
      <c r="B289" s="27"/>
      <c r="C289" s="65"/>
      <c r="D289" s="66" t="s">
        <v>8687</v>
      </c>
      <c r="E289" s="58" t="s">
        <v>8688</v>
      </c>
      <c r="F289" s="206" t="s">
        <v>209</v>
      </c>
      <c r="G289" s="58" t="s">
        <v>8689</v>
      </c>
      <c r="H289" s="58" t="s">
        <v>8690</v>
      </c>
      <c r="I289" s="225" t="s">
        <v>14</v>
      </c>
      <c r="J289" s="208" t="s">
        <v>8979</v>
      </c>
      <c r="K289" s="209"/>
    </row>
    <row r="290" spans="1:11" ht="25.2" thickBot="1">
      <c r="A290" s="205"/>
      <c r="B290" s="27"/>
      <c r="C290" s="65"/>
      <c r="D290" s="67" t="s">
        <v>8691</v>
      </c>
      <c r="E290" s="58" t="s">
        <v>8692</v>
      </c>
      <c r="F290" s="22" t="s">
        <v>204</v>
      </c>
      <c r="G290" s="58" t="s">
        <v>8693</v>
      </c>
      <c r="H290" s="58" t="s">
        <v>8694</v>
      </c>
      <c r="I290" s="230" t="s">
        <v>14</v>
      </c>
      <c r="J290" s="208" t="s">
        <v>9079</v>
      </c>
      <c r="K290" s="209"/>
    </row>
    <row r="291" spans="1:11" ht="24.6">
      <c r="A291" s="205"/>
      <c r="B291" s="27"/>
      <c r="C291" s="65"/>
      <c r="D291" s="67" t="s">
        <v>8695</v>
      </c>
      <c r="E291" s="58" t="s">
        <v>8696</v>
      </c>
      <c r="F291" s="206" t="s">
        <v>209</v>
      </c>
      <c r="G291" s="58" t="s">
        <v>8697</v>
      </c>
      <c r="H291" s="58" t="s">
        <v>8698</v>
      </c>
      <c r="I291" s="221" t="s">
        <v>14</v>
      </c>
      <c r="J291" s="208" t="s">
        <v>9031</v>
      </c>
      <c r="K291" s="209"/>
    </row>
    <row r="292" spans="1:11" ht="25.2" thickBot="1">
      <c r="A292" s="205"/>
      <c r="B292" s="27"/>
      <c r="C292" s="65"/>
      <c r="D292" s="32" t="s">
        <v>8699</v>
      </c>
      <c r="E292" s="58" t="s">
        <v>8700</v>
      </c>
      <c r="F292" s="206" t="s">
        <v>204</v>
      </c>
      <c r="G292" s="58" t="s">
        <v>8222</v>
      </c>
      <c r="H292" s="58" t="s">
        <v>8701</v>
      </c>
      <c r="I292" s="225" t="s">
        <v>14</v>
      </c>
      <c r="J292" s="208" t="s">
        <v>9055</v>
      </c>
      <c r="K292" s="209"/>
    </row>
    <row r="293" spans="1:11" ht="24.6">
      <c r="A293" s="205"/>
      <c r="B293" s="27"/>
      <c r="C293" s="64" t="s">
        <v>1466</v>
      </c>
      <c r="D293" s="23" t="s">
        <v>8702</v>
      </c>
      <c r="E293" s="42" t="s">
        <v>8703</v>
      </c>
      <c r="F293" s="206" t="s">
        <v>204</v>
      </c>
      <c r="G293" s="61" t="s">
        <v>8704</v>
      </c>
      <c r="H293" s="61" t="s">
        <v>8705</v>
      </c>
      <c r="I293" s="225" t="s">
        <v>14</v>
      </c>
      <c r="J293" s="203" t="s">
        <v>9080</v>
      </c>
      <c r="K293" s="204"/>
    </row>
    <row r="294" spans="1:11" ht="25.2" thickBot="1">
      <c r="A294" s="205"/>
      <c r="B294" s="27"/>
      <c r="C294" s="65"/>
      <c r="D294" s="66" t="s">
        <v>8706</v>
      </c>
      <c r="E294" s="58" t="s">
        <v>8707</v>
      </c>
      <c r="F294" s="210" t="s">
        <v>209</v>
      </c>
      <c r="G294" s="58" t="s">
        <v>8708</v>
      </c>
      <c r="H294" s="58" t="s">
        <v>8709</v>
      </c>
      <c r="I294" s="225" t="s">
        <v>14</v>
      </c>
      <c r="J294" s="208" t="s">
        <v>9033</v>
      </c>
      <c r="K294" s="209"/>
    </row>
    <row r="295" spans="1:11" ht="25.2" thickBot="1">
      <c r="A295" s="205"/>
      <c r="B295" s="27"/>
      <c r="C295" s="65"/>
      <c r="D295" s="67" t="s">
        <v>8710</v>
      </c>
      <c r="E295" s="58" t="s">
        <v>8711</v>
      </c>
      <c r="F295" s="214" t="s">
        <v>204</v>
      </c>
      <c r="G295" s="58" t="s">
        <v>8712</v>
      </c>
      <c r="H295" s="58" t="s">
        <v>8713</v>
      </c>
      <c r="I295" s="230" t="s">
        <v>14</v>
      </c>
      <c r="J295" s="208" t="s">
        <v>9081</v>
      </c>
      <c r="K295" s="209"/>
    </row>
    <row r="296" spans="1:11" ht="24.6">
      <c r="A296" s="205"/>
      <c r="B296" s="27"/>
      <c r="C296" s="65"/>
      <c r="D296" s="67" t="s">
        <v>8714</v>
      </c>
      <c r="E296" s="58" t="s">
        <v>8715</v>
      </c>
      <c r="F296" s="206" t="s">
        <v>204</v>
      </c>
      <c r="G296" s="58" t="s">
        <v>8716</v>
      </c>
      <c r="H296" s="58" t="s">
        <v>8717</v>
      </c>
      <c r="I296" s="221" t="s">
        <v>13</v>
      </c>
      <c r="J296" s="208" t="s">
        <v>9082</v>
      </c>
      <c r="K296" s="209"/>
    </row>
    <row r="297" spans="1:11" ht="25.2" thickBot="1">
      <c r="A297" s="205"/>
      <c r="B297" s="27"/>
      <c r="C297" s="68"/>
      <c r="D297" s="69" t="s">
        <v>8718</v>
      </c>
      <c r="E297" s="62" t="s">
        <v>8719</v>
      </c>
      <c r="F297" s="206" t="s">
        <v>204</v>
      </c>
      <c r="G297" s="62" t="s">
        <v>8720</v>
      </c>
      <c r="H297" s="62" t="s">
        <v>8721</v>
      </c>
      <c r="I297" s="225" t="s">
        <v>13</v>
      </c>
      <c r="J297" s="212" t="s">
        <v>9083</v>
      </c>
      <c r="K297" s="213"/>
    </row>
    <row r="298" spans="1:11" ht="24.6">
      <c r="A298" s="205"/>
      <c r="B298" s="27"/>
      <c r="C298" s="64" t="s">
        <v>1467</v>
      </c>
      <c r="D298" s="23" t="s">
        <v>8722</v>
      </c>
      <c r="E298" s="42" t="s">
        <v>8723</v>
      </c>
      <c r="F298" s="22" t="s">
        <v>209</v>
      </c>
      <c r="G298" s="61" t="s">
        <v>8498</v>
      </c>
      <c r="H298" s="61" t="s">
        <v>8724</v>
      </c>
      <c r="I298" s="225" t="s">
        <v>14</v>
      </c>
      <c r="J298" s="203" t="s">
        <v>9020</v>
      </c>
      <c r="K298" s="204"/>
    </row>
    <row r="299" spans="1:11" ht="24.6">
      <c r="A299" s="205"/>
      <c r="B299" s="27"/>
      <c r="C299" s="65"/>
      <c r="D299" s="66" t="s">
        <v>8725</v>
      </c>
      <c r="E299" s="58" t="s">
        <v>8726</v>
      </c>
      <c r="F299" s="206" t="s">
        <v>242</v>
      </c>
      <c r="G299" s="58" t="s">
        <v>8727</v>
      </c>
      <c r="H299" s="58" t="s">
        <v>8728</v>
      </c>
      <c r="I299" s="225" t="s">
        <v>14</v>
      </c>
      <c r="J299" s="208" t="s">
        <v>9084</v>
      </c>
      <c r="K299" s="209"/>
    </row>
    <row r="300" spans="1:11" ht="25.2" thickBot="1">
      <c r="A300" s="205"/>
      <c r="B300" s="27"/>
      <c r="C300" s="65"/>
      <c r="D300" s="67" t="s">
        <v>8729</v>
      </c>
      <c r="E300" s="58" t="s">
        <v>8730</v>
      </c>
      <c r="F300" s="206" t="s">
        <v>209</v>
      </c>
      <c r="G300" s="58" t="s">
        <v>8731</v>
      </c>
      <c r="H300" s="58" t="s">
        <v>8732</v>
      </c>
      <c r="I300" s="230" t="s">
        <v>14</v>
      </c>
      <c r="J300" s="208" t="s">
        <v>9039</v>
      </c>
      <c r="K300" s="209"/>
    </row>
    <row r="301" spans="1:11" ht="24.6">
      <c r="A301" s="205"/>
      <c r="B301" s="27"/>
      <c r="C301" s="65"/>
      <c r="D301" s="32" t="s">
        <v>8733</v>
      </c>
      <c r="E301" s="58" t="s">
        <v>8734</v>
      </c>
      <c r="F301" s="22" t="s">
        <v>204</v>
      </c>
      <c r="G301" s="58" t="s">
        <v>8735</v>
      </c>
      <c r="H301" s="58" t="s">
        <v>8736</v>
      </c>
      <c r="I301" s="221" t="s">
        <v>14</v>
      </c>
      <c r="J301" s="208" t="s">
        <v>9027</v>
      </c>
      <c r="K301" s="209"/>
    </row>
    <row r="302" spans="1:11" ht="25.2" thickBot="1">
      <c r="A302" s="205"/>
      <c r="B302" s="27"/>
      <c r="C302" s="68"/>
      <c r="D302" s="69" t="s">
        <v>8737</v>
      </c>
      <c r="E302" s="62" t="s">
        <v>8738</v>
      </c>
      <c r="F302" s="206" t="s">
        <v>209</v>
      </c>
      <c r="G302" s="62" t="s">
        <v>8739</v>
      </c>
      <c r="H302" s="62" t="s">
        <v>8740</v>
      </c>
      <c r="I302" s="225" t="s">
        <v>19</v>
      </c>
      <c r="J302" s="212" t="s">
        <v>9017</v>
      </c>
      <c r="K302" s="213"/>
    </row>
    <row r="303" spans="1:11" ht="24.6">
      <c r="A303" s="205"/>
      <c r="B303" s="27"/>
      <c r="C303" s="64" t="s">
        <v>1468</v>
      </c>
      <c r="D303" s="23" t="s">
        <v>8741</v>
      </c>
      <c r="E303" s="42" t="s">
        <v>8742</v>
      </c>
      <c r="F303" s="206" t="s">
        <v>204</v>
      </c>
      <c r="G303" s="61" t="s">
        <v>8249</v>
      </c>
      <c r="H303" s="61" t="s">
        <v>8743</v>
      </c>
      <c r="I303" s="225" t="s">
        <v>14</v>
      </c>
      <c r="J303" s="203" t="s">
        <v>9084</v>
      </c>
      <c r="K303" s="204"/>
    </row>
    <row r="304" spans="1:11" ht="24.6">
      <c r="A304" s="205"/>
      <c r="B304" s="27"/>
      <c r="C304" s="65"/>
      <c r="D304" s="66" t="s">
        <v>8744</v>
      </c>
      <c r="E304" s="58" t="s">
        <v>8745</v>
      </c>
      <c r="F304" s="206" t="s">
        <v>204</v>
      </c>
      <c r="G304" s="58" t="s">
        <v>8746</v>
      </c>
      <c r="H304" s="58" t="s">
        <v>8747</v>
      </c>
      <c r="I304" s="225" t="s">
        <v>14</v>
      </c>
      <c r="J304" s="208" t="s">
        <v>9065</v>
      </c>
      <c r="K304" s="209"/>
    </row>
    <row r="305" spans="1:11" ht="25.2" thickBot="1">
      <c r="A305" s="205"/>
      <c r="B305" s="27"/>
      <c r="C305" s="65"/>
      <c r="D305" s="67" t="s">
        <v>8748</v>
      </c>
      <c r="E305" s="58" t="s">
        <v>8749</v>
      </c>
      <c r="F305" s="210" t="s">
        <v>209</v>
      </c>
      <c r="G305" s="58" t="s">
        <v>8716</v>
      </c>
      <c r="H305" s="58" t="s">
        <v>8750</v>
      </c>
      <c r="I305" s="230" t="s">
        <v>19</v>
      </c>
      <c r="J305" s="208" t="s">
        <v>9066</v>
      </c>
      <c r="K305" s="209"/>
    </row>
    <row r="306" spans="1:11" ht="24.6">
      <c r="A306" s="205"/>
      <c r="B306" s="27"/>
      <c r="C306" s="65"/>
      <c r="D306" s="32" t="s">
        <v>8751</v>
      </c>
      <c r="E306" s="58" t="s">
        <v>8752</v>
      </c>
      <c r="F306" s="214" t="s">
        <v>204</v>
      </c>
      <c r="G306" s="58" t="s">
        <v>8753</v>
      </c>
      <c r="H306" s="58" t="s">
        <v>8754</v>
      </c>
      <c r="I306" s="221" t="s">
        <v>14</v>
      </c>
      <c r="J306" s="208" t="s">
        <v>9085</v>
      </c>
      <c r="K306" s="209"/>
    </row>
    <row r="307" spans="1:11" ht="25.2" thickBot="1">
      <c r="A307" s="205"/>
      <c r="B307" s="131"/>
      <c r="C307" s="68"/>
      <c r="D307" s="69" t="s">
        <v>8755</v>
      </c>
      <c r="E307" s="62" t="s">
        <v>8756</v>
      </c>
      <c r="F307" s="206" t="s">
        <v>204</v>
      </c>
      <c r="G307" s="62" t="s">
        <v>8757</v>
      </c>
      <c r="H307" s="62" t="s">
        <v>8758</v>
      </c>
      <c r="I307" s="225" t="s">
        <v>14</v>
      </c>
      <c r="J307" s="212" t="s">
        <v>9044</v>
      </c>
      <c r="K307" s="213"/>
    </row>
    <row r="308" spans="1:11" ht="25.2" thickBot="1">
      <c r="A308" s="205"/>
      <c r="B308" s="18" t="s">
        <v>96</v>
      </c>
      <c r="C308" s="19" t="s">
        <v>1469</v>
      </c>
      <c r="D308" s="235" t="s">
        <v>8759</v>
      </c>
      <c r="E308" s="21" t="s">
        <v>8760</v>
      </c>
      <c r="F308" s="206" t="s">
        <v>204</v>
      </c>
      <c r="G308" s="61" t="s">
        <v>8761</v>
      </c>
      <c r="H308" s="61" t="s">
        <v>8762</v>
      </c>
      <c r="I308" s="225" t="s">
        <v>14</v>
      </c>
      <c r="J308" s="203" t="s">
        <v>9074</v>
      </c>
      <c r="K308" s="204"/>
    </row>
    <row r="309" spans="1:11" ht="25.2" thickBot="1">
      <c r="A309" s="205"/>
      <c r="B309" s="27"/>
      <c r="C309" s="28"/>
      <c r="D309" s="66" t="s">
        <v>8763</v>
      </c>
      <c r="E309" s="58" t="s">
        <v>8764</v>
      </c>
      <c r="F309" s="22" t="s">
        <v>209</v>
      </c>
      <c r="G309" s="58" t="s">
        <v>8765</v>
      </c>
      <c r="H309" s="58" t="s">
        <v>8766</v>
      </c>
      <c r="I309" s="225" t="s">
        <v>14</v>
      </c>
      <c r="J309" s="208" t="s">
        <v>9086</v>
      </c>
      <c r="K309" s="209"/>
    </row>
    <row r="310" spans="1:11" ht="24.6">
      <c r="A310" s="205"/>
      <c r="B310" s="27"/>
      <c r="C310" s="28"/>
      <c r="D310" s="67" t="s">
        <v>8767</v>
      </c>
      <c r="E310" s="58" t="s">
        <v>8768</v>
      </c>
      <c r="F310" s="206" t="s">
        <v>209</v>
      </c>
      <c r="G310" s="58" t="s">
        <v>8769</v>
      </c>
      <c r="H310" s="58" t="s">
        <v>8770</v>
      </c>
      <c r="I310" s="202" t="s">
        <v>14</v>
      </c>
      <c r="J310" s="208" t="s">
        <v>9025</v>
      </c>
      <c r="K310" s="209"/>
    </row>
    <row r="311" spans="1:11" ht="24.6">
      <c r="A311" s="205"/>
      <c r="B311" s="27"/>
      <c r="C311" s="28"/>
      <c r="D311" s="32" t="s">
        <v>8771</v>
      </c>
      <c r="E311" s="58" t="s">
        <v>8772</v>
      </c>
      <c r="F311" s="206" t="s">
        <v>204</v>
      </c>
      <c r="G311" s="58" t="s">
        <v>8773</v>
      </c>
      <c r="H311" s="58" t="s">
        <v>8774</v>
      </c>
      <c r="I311" s="207" t="s">
        <v>14</v>
      </c>
      <c r="J311" s="208" t="s">
        <v>9027</v>
      </c>
      <c r="K311" s="209"/>
    </row>
    <row r="312" spans="1:11" ht="25.2" thickBot="1">
      <c r="A312" s="205"/>
      <c r="B312" s="27"/>
      <c r="C312" s="36"/>
      <c r="D312" s="69" t="s">
        <v>8775</v>
      </c>
      <c r="E312" s="62" t="s">
        <v>8776</v>
      </c>
      <c r="F312" s="206" t="s">
        <v>204</v>
      </c>
      <c r="G312" s="62" t="s">
        <v>8777</v>
      </c>
      <c r="H312" s="62" t="s">
        <v>8778</v>
      </c>
      <c r="I312" s="207" t="s">
        <v>14</v>
      </c>
      <c r="J312" s="212" t="s">
        <v>9071</v>
      </c>
      <c r="K312" s="213"/>
    </row>
    <row r="313" spans="1:11" ht="24.6">
      <c r="A313" s="205"/>
      <c r="B313" s="27"/>
      <c r="C313" s="64" t="s">
        <v>1470</v>
      </c>
      <c r="D313" s="23" t="s">
        <v>8779</v>
      </c>
      <c r="E313" s="42" t="s">
        <v>8780</v>
      </c>
      <c r="F313" s="22" t="s">
        <v>209</v>
      </c>
      <c r="G313" s="61" t="s">
        <v>8781</v>
      </c>
      <c r="H313" s="61" t="s">
        <v>8782</v>
      </c>
      <c r="I313" s="207" t="s">
        <v>14</v>
      </c>
      <c r="J313" s="203" t="s">
        <v>9087</v>
      </c>
      <c r="K313" s="204"/>
    </row>
    <row r="314" spans="1:11" ht="25.2" thickBot="1">
      <c r="A314" s="205"/>
      <c r="B314" s="27"/>
      <c r="C314" s="65"/>
      <c r="D314" s="66" t="s">
        <v>8783</v>
      </c>
      <c r="E314" s="58" t="s">
        <v>8784</v>
      </c>
      <c r="F314" s="206" t="s">
        <v>204</v>
      </c>
      <c r="G314" s="58" t="s">
        <v>8785</v>
      </c>
      <c r="H314" s="58" t="s">
        <v>8786</v>
      </c>
      <c r="I314" s="211" t="s">
        <v>14</v>
      </c>
      <c r="J314" s="208" t="s">
        <v>9073</v>
      </c>
      <c r="K314" s="209"/>
    </row>
    <row r="315" spans="1:11" ht="25.2" thickBot="1">
      <c r="A315" s="205"/>
      <c r="B315" s="27"/>
      <c r="C315" s="65"/>
      <c r="D315" s="67" t="s">
        <v>8787</v>
      </c>
      <c r="E315" s="58" t="s">
        <v>8788</v>
      </c>
      <c r="F315" s="206" t="s">
        <v>204</v>
      </c>
      <c r="G315" s="58" t="s">
        <v>8789</v>
      </c>
      <c r="H315" s="58" t="s">
        <v>8790</v>
      </c>
      <c r="I315" s="202" t="s">
        <v>14</v>
      </c>
      <c r="J315" s="208" t="s">
        <v>9016</v>
      </c>
      <c r="K315" s="209"/>
    </row>
    <row r="316" spans="1:11" ht="24.6">
      <c r="A316" s="205"/>
      <c r="B316" s="27"/>
      <c r="C316" s="65"/>
      <c r="D316" s="32" t="s">
        <v>8791</v>
      </c>
      <c r="E316" s="58" t="s">
        <v>8792</v>
      </c>
      <c r="F316" s="22" t="s">
        <v>209</v>
      </c>
      <c r="G316" s="58" t="s">
        <v>8793</v>
      </c>
      <c r="H316" s="58" t="s">
        <v>8794</v>
      </c>
      <c r="I316" s="207" t="s">
        <v>13</v>
      </c>
      <c r="J316" s="208" t="s">
        <v>9017</v>
      </c>
      <c r="K316" s="209"/>
    </row>
    <row r="317" spans="1:11" ht="25.2" thickBot="1">
      <c r="A317" s="205"/>
      <c r="B317" s="27"/>
      <c r="C317" s="68"/>
      <c r="D317" s="69" t="s">
        <v>8795</v>
      </c>
      <c r="E317" s="62" t="s">
        <v>8796</v>
      </c>
      <c r="F317" s="206" t="s">
        <v>209</v>
      </c>
      <c r="G317" s="62" t="s">
        <v>8797</v>
      </c>
      <c r="H317" s="62" t="s">
        <v>8798</v>
      </c>
      <c r="I317" s="207" t="s">
        <v>14</v>
      </c>
      <c r="J317" s="212" t="s">
        <v>9019</v>
      </c>
      <c r="K317" s="213"/>
    </row>
    <row r="318" spans="1:11" ht="24.6">
      <c r="A318" s="205"/>
      <c r="B318" s="27"/>
      <c r="C318" s="64" t="s">
        <v>1471</v>
      </c>
      <c r="D318" s="23" t="s">
        <v>8799</v>
      </c>
      <c r="E318" s="42" t="s">
        <v>8800</v>
      </c>
      <c r="F318" s="206" t="s">
        <v>204</v>
      </c>
      <c r="G318" s="61" t="s">
        <v>8801</v>
      </c>
      <c r="H318" s="61" t="s">
        <v>8802</v>
      </c>
      <c r="I318" s="207" t="s">
        <v>19</v>
      </c>
      <c r="J318" s="203" t="s">
        <v>9088</v>
      </c>
      <c r="K318" s="204"/>
    </row>
    <row r="319" spans="1:11" ht="25.2" thickBot="1">
      <c r="A319" s="205"/>
      <c r="B319" s="27"/>
      <c r="C319" s="65"/>
      <c r="D319" s="66" t="s">
        <v>8803</v>
      </c>
      <c r="E319" s="58" t="s">
        <v>8804</v>
      </c>
      <c r="F319" s="206" t="s">
        <v>204</v>
      </c>
      <c r="G319" s="58" t="s">
        <v>8805</v>
      </c>
      <c r="H319" s="58" t="s">
        <v>8806</v>
      </c>
      <c r="I319" s="211" t="s">
        <v>14</v>
      </c>
      <c r="J319" s="208" t="s">
        <v>9025</v>
      </c>
      <c r="K319" s="209"/>
    </row>
    <row r="320" spans="1:11" ht="24.6">
      <c r="A320" s="205"/>
      <c r="B320" s="27"/>
      <c r="C320" s="65"/>
      <c r="D320" s="67" t="s">
        <v>8807</v>
      </c>
      <c r="E320" s="58" t="s">
        <v>8808</v>
      </c>
      <c r="F320" s="206" t="s">
        <v>204</v>
      </c>
      <c r="G320" s="58" t="s">
        <v>8809</v>
      </c>
      <c r="H320" s="58" t="s">
        <v>8810</v>
      </c>
      <c r="I320" s="221" t="s">
        <v>14</v>
      </c>
      <c r="J320" s="208" t="s">
        <v>9027</v>
      </c>
      <c r="K320" s="209"/>
    </row>
    <row r="321" spans="1:11" ht="24.6">
      <c r="A321" s="205"/>
      <c r="B321" s="27"/>
      <c r="C321" s="65"/>
      <c r="D321" s="32" t="s">
        <v>8811</v>
      </c>
      <c r="E321" s="58" t="s">
        <v>8812</v>
      </c>
      <c r="F321" s="206" t="s">
        <v>204</v>
      </c>
      <c r="G321" s="58" t="s">
        <v>8761</v>
      </c>
      <c r="H321" s="58" t="s">
        <v>8813</v>
      </c>
      <c r="I321" s="225" t="s">
        <v>13</v>
      </c>
      <c r="J321" s="208" t="s">
        <v>9089</v>
      </c>
      <c r="K321" s="209"/>
    </row>
    <row r="322" spans="1:11" ht="25.2" thickBot="1">
      <c r="A322" s="205"/>
      <c r="B322" s="27"/>
      <c r="C322" s="68"/>
      <c r="D322" s="69" t="s">
        <v>8814</v>
      </c>
      <c r="E322" s="62" t="s">
        <v>8815</v>
      </c>
      <c r="F322" s="210" t="s">
        <v>209</v>
      </c>
      <c r="G322" s="62" t="s">
        <v>8816</v>
      </c>
      <c r="H322" s="62" t="s">
        <v>8817</v>
      </c>
      <c r="I322" s="211" t="s">
        <v>14</v>
      </c>
      <c r="J322" s="212" t="s">
        <v>9084</v>
      </c>
      <c r="K322" s="213"/>
    </row>
  </sheetData>
  <mergeCells count="82">
    <mergeCell ref="C263:C267"/>
    <mergeCell ref="C268:C272"/>
    <mergeCell ref="C273:C277"/>
    <mergeCell ref="C278:C282"/>
    <mergeCell ref="A283:A322"/>
    <mergeCell ref="B283:B307"/>
    <mergeCell ref="C283:C287"/>
    <mergeCell ref="C288:C292"/>
    <mergeCell ref="C293:C297"/>
    <mergeCell ref="C298:C302"/>
    <mergeCell ref="C303:C307"/>
    <mergeCell ref="B308:B322"/>
    <mergeCell ref="C308:C312"/>
    <mergeCell ref="C313:C317"/>
    <mergeCell ref="C318:C322"/>
    <mergeCell ref="A203:A282"/>
    <mergeCell ref="B203:B227"/>
    <mergeCell ref="C203:C207"/>
    <mergeCell ref="C208:C212"/>
    <mergeCell ref="C213:C217"/>
    <mergeCell ref="C218:C222"/>
    <mergeCell ref="C223:C227"/>
    <mergeCell ref="B228:B252"/>
    <mergeCell ref="C228:C232"/>
    <mergeCell ref="C233:C237"/>
    <mergeCell ref="C238:C242"/>
    <mergeCell ref="C243:C247"/>
    <mergeCell ref="C248:C252"/>
    <mergeCell ref="B253:B282"/>
    <mergeCell ref="C253:C257"/>
    <mergeCell ref="C258:C262"/>
    <mergeCell ref="C133:C137"/>
    <mergeCell ref="C138:C142"/>
    <mergeCell ref="C143:C147"/>
    <mergeCell ref="A148:A202"/>
    <mergeCell ref="B148:B177"/>
    <mergeCell ref="C148:C152"/>
    <mergeCell ref="C153:C157"/>
    <mergeCell ref="C158:C162"/>
    <mergeCell ref="C163:C167"/>
    <mergeCell ref="C168:C172"/>
    <mergeCell ref="C173:C177"/>
    <mergeCell ref="B178:B202"/>
    <mergeCell ref="C178:C182"/>
    <mergeCell ref="C183:C187"/>
    <mergeCell ref="C188:C192"/>
    <mergeCell ref="C193:C197"/>
    <mergeCell ref="A73:A147"/>
    <mergeCell ref="B73:B97"/>
    <mergeCell ref="C73:C77"/>
    <mergeCell ref="C78:C82"/>
    <mergeCell ref="C83:C87"/>
    <mergeCell ref="C88:C92"/>
    <mergeCell ref="C93:C97"/>
    <mergeCell ref="B98:B122"/>
    <mergeCell ref="C98:C102"/>
    <mergeCell ref="C103:C107"/>
    <mergeCell ref="C108:C112"/>
    <mergeCell ref="C113:C117"/>
    <mergeCell ref="C118:C122"/>
    <mergeCell ref="B123:B147"/>
    <mergeCell ref="C123:C127"/>
    <mergeCell ref="C128:C132"/>
    <mergeCell ref="B53:B72"/>
    <mergeCell ref="C53:C57"/>
    <mergeCell ref="C58:C62"/>
    <mergeCell ref="C63:C67"/>
    <mergeCell ref="C68:C72"/>
    <mergeCell ref="B28:B52"/>
    <mergeCell ref="C28:C32"/>
    <mergeCell ref="C33:C37"/>
    <mergeCell ref="C38:C42"/>
    <mergeCell ref="C43:C47"/>
    <mergeCell ref="C48:C52"/>
    <mergeCell ref="C198:C202"/>
    <mergeCell ref="A3:A72"/>
    <mergeCell ref="B3:B27"/>
    <mergeCell ref="C3:C7"/>
    <mergeCell ref="C8:C12"/>
    <mergeCell ref="C13:C17"/>
    <mergeCell ref="C18:C22"/>
    <mergeCell ref="C23:C27"/>
  </mergeCells>
  <conditionalFormatting sqref="I4:I8 I24:I27 I54:I57 I49:I52 I44:I47 I39:I42 I73">
    <cfRule type="containsText" dxfId="120" priority="119" operator="containsText" text="Faible">
      <formula>NOT(ISERROR(SEARCH("Faible",I4)))</formula>
    </cfRule>
    <cfRule type="containsText" dxfId="119" priority="120" operator="containsText" text="Elevée">
      <formula>NOT(ISERROR(SEARCH("Elevée",I4)))</formula>
    </cfRule>
    <cfRule type="containsText" dxfId="118" priority="121" operator="containsText" text="Moyenne">
      <formula>NOT(ISERROR(SEARCH("Moyenne",I4)))</formula>
    </cfRule>
  </conditionalFormatting>
  <conditionalFormatting sqref="I9:I13">
    <cfRule type="containsText" dxfId="117" priority="116" operator="containsText" text="Faible">
      <formula>NOT(ISERROR(SEARCH("Faible",I9)))</formula>
    </cfRule>
    <cfRule type="containsText" dxfId="116" priority="117" operator="containsText" text="Elevée">
      <formula>NOT(ISERROR(SEARCH("Elevée",I9)))</formula>
    </cfRule>
    <cfRule type="containsText" dxfId="115" priority="118" operator="containsText" text="Moyenne">
      <formula>NOT(ISERROR(SEARCH("Moyenne",I9)))</formula>
    </cfRule>
  </conditionalFormatting>
  <conditionalFormatting sqref="I14:I17">
    <cfRule type="containsText" dxfId="114" priority="113" operator="containsText" text="Faible">
      <formula>NOT(ISERROR(SEARCH("Faible",I14)))</formula>
    </cfRule>
    <cfRule type="containsText" dxfId="113" priority="114" operator="containsText" text="Elevée">
      <formula>NOT(ISERROR(SEARCH("Elevée",I14)))</formula>
    </cfRule>
    <cfRule type="containsText" dxfId="112" priority="115" operator="containsText" text="Moyenne">
      <formula>NOT(ISERROR(SEARCH("Moyenne",I14)))</formula>
    </cfRule>
  </conditionalFormatting>
  <conditionalFormatting sqref="I18">
    <cfRule type="containsText" dxfId="111" priority="110" operator="containsText" text="Faible">
      <formula>NOT(ISERROR(SEARCH("Faible",I18)))</formula>
    </cfRule>
    <cfRule type="containsText" dxfId="110" priority="111" operator="containsText" text="Elevée">
      <formula>NOT(ISERROR(SEARCH("Elevée",I18)))</formula>
    </cfRule>
    <cfRule type="containsText" dxfId="109" priority="112" operator="containsText" text="Moyenne">
      <formula>NOT(ISERROR(SEARCH("Moyenne",I18)))</formula>
    </cfRule>
  </conditionalFormatting>
  <conditionalFormatting sqref="I19:I23">
    <cfRule type="containsText" dxfId="108" priority="107" operator="containsText" text="Faible">
      <formula>NOT(ISERROR(SEARCH("Faible",I19)))</formula>
    </cfRule>
    <cfRule type="containsText" dxfId="107" priority="108" operator="containsText" text="Elevée">
      <formula>NOT(ISERROR(SEARCH("Elevée",I19)))</formula>
    </cfRule>
    <cfRule type="containsText" dxfId="106" priority="109" operator="containsText" text="Moyenne">
      <formula>NOT(ISERROR(SEARCH("Moyenne",I19)))</formula>
    </cfRule>
  </conditionalFormatting>
  <conditionalFormatting sqref="I43">
    <cfRule type="containsText" dxfId="105" priority="98" operator="containsText" text="Faible">
      <formula>NOT(ISERROR(SEARCH("Faible",I43)))</formula>
    </cfRule>
    <cfRule type="containsText" dxfId="104" priority="99" operator="containsText" text="Elevée">
      <formula>NOT(ISERROR(SEARCH("Elevée",I43)))</formula>
    </cfRule>
    <cfRule type="containsText" dxfId="103" priority="100" operator="containsText" text="Moyenne">
      <formula>NOT(ISERROR(SEARCH("Moyenne",I43)))</formula>
    </cfRule>
  </conditionalFormatting>
  <conditionalFormatting sqref="I28:I37">
    <cfRule type="containsText" dxfId="102" priority="104" operator="containsText" text="Faible">
      <formula>NOT(ISERROR(SEARCH("Faible",I28)))</formula>
    </cfRule>
    <cfRule type="containsText" dxfId="101" priority="105" operator="containsText" text="Elevée">
      <formula>NOT(ISERROR(SEARCH("Elevée",I28)))</formula>
    </cfRule>
    <cfRule type="containsText" dxfId="100" priority="106" operator="containsText" text="Moyenne">
      <formula>NOT(ISERROR(SEARCH("Moyenne",I28)))</formula>
    </cfRule>
  </conditionalFormatting>
  <conditionalFormatting sqref="I38">
    <cfRule type="containsText" dxfId="99" priority="101" operator="containsText" text="Faible">
      <formula>NOT(ISERROR(SEARCH("Faible",I38)))</formula>
    </cfRule>
    <cfRule type="containsText" dxfId="98" priority="102" operator="containsText" text="Elevée">
      <formula>NOT(ISERROR(SEARCH("Elevée",I38)))</formula>
    </cfRule>
    <cfRule type="containsText" dxfId="97" priority="103" operator="containsText" text="Moyenne">
      <formula>NOT(ISERROR(SEARCH("Moyenne",I38)))</formula>
    </cfRule>
  </conditionalFormatting>
  <conditionalFormatting sqref="I58">
    <cfRule type="containsText" dxfId="96" priority="89" operator="containsText" text="Faible">
      <formula>NOT(ISERROR(SEARCH("Faible",I58)))</formula>
    </cfRule>
    <cfRule type="containsText" dxfId="95" priority="90" operator="containsText" text="Elevée">
      <formula>NOT(ISERROR(SEARCH("Elevée",I58)))</formula>
    </cfRule>
    <cfRule type="containsText" dxfId="94" priority="91" operator="containsText" text="Moyenne">
      <formula>NOT(ISERROR(SEARCH("Moyenne",I58)))</formula>
    </cfRule>
  </conditionalFormatting>
  <conditionalFormatting sqref="I48">
    <cfRule type="containsText" dxfId="93" priority="95" operator="containsText" text="Faible">
      <formula>NOT(ISERROR(SEARCH("Faible",I48)))</formula>
    </cfRule>
    <cfRule type="containsText" dxfId="92" priority="96" operator="containsText" text="Elevée">
      <formula>NOT(ISERROR(SEARCH("Elevée",I48)))</formula>
    </cfRule>
    <cfRule type="containsText" dxfId="91" priority="97" operator="containsText" text="Moyenne">
      <formula>NOT(ISERROR(SEARCH("Moyenne",I48)))</formula>
    </cfRule>
  </conditionalFormatting>
  <conditionalFormatting sqref="I53">
    <cfRule type="containsText" dxfId="90" priority="92" operator="containsText" text="Faible">
      <formula>NOT(ISERROR(SEARCH("Faible",I53)))</formula>
    </cfRule>
    <cfRule type="containsText" dxfId="89" priority="93" operator="containsText" text="Elevée">
      <formula>NOT(ISERROR(SEARCH("Elevée",I53)))</formula>
    </cfRule>
    <cfRule type="containsText" dxfId="88" priority="94" operator="containsText" text="Moyenne">
      <formula>NOT(ISERROR(SEARCH("Moyenne",I53)))</formula>
    </cfRule>
  </conditionalFormatting>
  <conditionalFormatting sqref="F4">
    <cfRule type="cellIs" dxfId="87" priority="88" operator="equal">
      <formula>"OUI"</formula>
    </cfRule>
  </conditionalFormatting>
  <conditionalFormatting sqref="I59:I63 I74:I77 I129:I132 I124:I127">
    <cfRule type="containsText" dxfId="86" priority="85" operator="containsText" text="Faible">
      <formula>NOT(ISERROR(SEARCH("Faible",I59)))</formula>
    </cfRule>
    <cfRule type="containsText" dxfId="85" priority="86" operator="containsText" text="Elevée">
      <formula>NOT(ISERROR(SEARCH("Elevée",I59)))</formula>
    </cfRule>
    <cfRule type="containsText" dxfId="84" priority="87" operator="containsText" text="Moyenne">
      <formula>NOT(ISERROR(SEARCH("Moyenne",I59)))</formula>
    </cfRule>
  </conditionalFormatting>
  <conditionalFormatting sqref="I78">
    <cfRule type="containsText" dxfId="83" priority="76" operator="containsText" text="Faible">
      <formula>NOT(ISERROR(SEARCH("Faible",I78)))</formula>
    </cfRule>
    <cfRule type="containsText" dxfId="82" priority="77" operator="containsText" text="Elevée">
      <formula>NOT(ISERROR(SEARCH("Elevée",I78)))</formula>
    </cfRule>
    <cfRule type="containsText" dxfId="81" priority="78" operator="containsText" text="Moyenne">
      <formula>NOT(ISERROR(SEARCH("Moyenne",I78)))</formula>
    </cfRule>
  </conditionalFormatting>
  <conditionalFormatting sqref="I64:I68">
    <cfRule type="containsText" dxfId="80" priority="82" operator="containsText" text="Faible">
      <formula>NOT(ISERROR(SEARCH("Faible",I64)))</formula>
    </cfRule>
    <cfRule type="containsText" dxfId="79" priority="83" operator="containsText" text="Elevée">
      <formula>NOT(ISERROR(SEARCH("Elevée",I64)))</formula>
    </cfRule>
    <cfRule type="containsText" dxfId="78" priority="84" operator="containsText" text="Moyenne">
      <formula>NOT(ISERROR(SEARCH("Moyenne",I64)))</formula>
    </cfRule>
  </conditionalFormatting>
  <conditionalFormatting sqref="I69:I72">
    <cfRule type="containsText" dxfId="77" priority="79" operator="containsText" text="Faible">
      <formula>NOT(ISERROR(SEARCH("Faible",I69)))</formula>
    </cfRule>
    <cfRule type="containsText" dxfId="76" priority="80" operator="containsText" text="Elevée">
      <formula>NOT(ISERROR(SEARCH("Elevée",I69)))</formula>
    </cfRule>
    <cfRule type="containsText" dxfId="75" priority="81" operator="containsText" text="Moyenne">
      <formula>NOT(ISERROR(SEARCH("Moyenne",I69)))</formula>
    </cfRule>
  </conditionalFormatting>
  <conditionalFormatting sqref="I133">
    <cfRule type="containsText" dxfId="74" priority="67" operator="containsText" text="Faible">
      <formula>NOT(ISERROR(SEARCH("Faible",I133)))</formula>
    </cfRule>
    <cfRule type="containsText" dxfId="73" priority="68" operator="containsText" text="Elevée">
      <formula>NOT(ISERROR(SEARCH("Elevée",I133)))</formula>
    </cfRule>
    <cfRule type="containsText" dxfId="72" priority="69" operator="containsText" text="Moyenne">
      <formula>NOT(ISERROR(SEARCH("Moyenne",I133)))</formula>
    </cfRule>
  </conditionalFormatting>
  <conditionalFormatting sqref="I123">
    <cfRule type="containsText" dxfId="71" priority="73" operator="containsText" text="Faible">
      <formula>NOT(ISERROR(SEARCH("Faible",I123)))</formula>
    </cfRule>
    <cfRule type="containsText" dxfId="70" priority="74" operator="containsText" text="Elevée">
      <formula>NOT(ISERROR(SEARCH("Elevée",I123)))</formula>
    </cfRule>
    <cfRule type="containsText" dxfId="69" priority="75" operator="containsText" text="Moyenne">
      <formula>NOT(ISERROR(SEARCH("Moyenne",I123)))</formula>
    </cfRule>
  </conditionalFormatting>
  <conditionalFormatting sqref="I128">
    <cfRule type="containsText" dxfId="68" priority="70" operator="containsText" text="Faible">
      <formula>NOT(ISERROR(SEARCH("Faible",I128)))</formula>
    </cfRule>
    <cfRule type="containsText" dxfId="67" priority="71" operator="containsText" text="Elevée">
      <formula>NOT(ISERROR(SEARCH("Elevée",I128)))</formula>
    </cfRule>
    <cfRule type="containsText" dxfId="66" priority="72" operator="containsText" text="Moyenne">
      <formula>NOT(ISERROR(SEARCH("Moyenne",I128)))</formula>
    </cfRule>
  </conditionalFormatting>
  <conditionalFormatting sqref="F59">
    <cfRule type="cellIs" dxfId="65" priority="66" operator="equal">
      <formula>"OUI"</formula>
    </cfRule>
  </conditionalFormatting>
  <conditionalFormatting sqref="I99:I102">
    <cfRule type="containsText" dxfId="64" priority="63" operator="containsText" text="Faible">
      <formula>NOT(ISERROR(SEARCH("Faible",I99)))</formula>
    </cfRule>
    <cfRule type="containsText" dxfId="63" priority="64" operator="containsText" text="Elevée">
      <formula>NOT(ISERROR(SEARCH("Elevée",I99)))</formula>
    </cfRule>
    <cfRule type="containsText" dxfId="62" priority="65" operator="containsText" text="Moyenne">
      <formula>NOT(ISERROR(SEARCH("Moyenne",I99)))</formula>
    </cfRule>
  </conditionalFormatting>
  <conditionalFormatting sqref="I103">
    <cfRule type="containsText" dxfId="61" priority="60" operator="containsText" text="Faible">
      <formula>NOT(ISERROR(SEARCH("Faible",I103)))</formula>
    </cfRule>
    <cfRule type="containsText" dxfId="60" priority="61" operator="containsText" text="Elevée">
      <formula>NOT(ISERROR(SEARCH("Elevée",I103)))</formula>
    </cfRule>
    <cfRule type="containsText" dxfId="59" priority="62" operator="containsText" text="Moyenne">
      <formula>NOT(ISERROR(SEARCH("Moyenne",I103)))</formula>
    </cfRule>
  </conditionalFormatting>
  <conditionalFormatting sqref="I94:I97">
    <cfRule type="containsText" dxfId="58" priority="57" operator="containsText" text="Faible">
      <formula>NOT(ISERROR(SEARCH("Faible",I94)))</formula>
    </cfRule>
    <cfRule type="containsText" dxfId="57" priority="58" operator="containsText" text="Elevée">
      <formula>NOT(ISERROR(SEARCH("Elevée",I94)))</formula>
    </cfRule>
    <cfRule type="containsText" dxfId="56" priority="59" operator="containsText" text="Moyenne">
      <formula>NOT(ISERROR(SEARCH("Moyenne",I94)))</formula>
    </cfRule>
  </conditionalFormatting>
  <conditionalFormatting sqref="I98">
    <cfRule type="containsText" dxfId="55" priority="54" operator="containsText" text="Faible">
      <formula>NOT(ISERROR(SEARCH("Faible",I98)))</formula>
    </cfRule>
    <cfRule type="containsText" dxfId="54" priority="55" operator="containsText" text="Elevée">
      <formula>NOT(ISERROR(SEARCH("Elevée",I98)))</formula>
    </cfRule>
    <cfRule type="containsText" dxfId="53" priority="56" operator="containsText" text="Moyenne">
      <formula>NOT(ISERROR(SEARCH("Moyenne",I98)))</formula>
    </cfRule>
  </conditionalFormatting>
  <conditionalFormatting sqref="I93">
    <cfRule type="containsText" dxfId="52" priority="51" operator="containsText" text="Faible">
      <formula>NOT(ISERROR(SEARCH("Faible",I93)))</formula>
    </cfRule>
    <cfRule type="containsText" dxfId="51" priority="52" operator="containsText" text="Elevée">
      <formula>NOT(ISERROR(SEARCH("Elevée",I93)))</formula>
    </cfRule>
    <cfRule type="containsText" dxfId="50" priority="53" operator="containsText" text="Moyenne">
      <formula>NOT(ISERROR(SEARCH("Moyenne",I93)))</formula>
    </cfRule>
  </conditionalFormatting>
  <conditionalFormatting sqref="I89:I92">
    <cfRule type="containsText" dxfId="49" priority="48" operator="containsText" text="Faible">
      <formula>NOT(ISERROR(SEARCH("Faible",I89)))</formula>
    </cfRule>
    <cfRule type="containsText" dxfId="48" priority="49" operator="containsText" text="Elevée">
      <formula>NOT(ISERROR(SEARCH("Elevée",I89)))</formula>
    </cfRule>
    <cfRule type="containsText" dxfId="47" priority="50" operator="containsText" text="Moyenne">
      <formula>NOT(ISERROR(SEARCH("Moyenne",I89)))</formula>
    </cfRule>
  </conditionalFormatting>
  <conditionalFormatting sqref="I84:I87">
    <cfRule type="containsText" dxfId="46" priority="45" operator="containsText" text="Faible">
      <formula>NOT(ISERROR(SEARCH("Faible",I84)))</formula>
    </cfRule>
    <cfRule type="containsText" dxfId="45" priority="46" operator="containsText" text="Elevée">
      <formula>NOT(ISERROR(SEARCH("Elevée",I84)))</formula>
    </cfRule>
    <cfRule type="containsText" dxfId="44" priority="47" operator="containsText" text="Moyenne">
      <formula>NOT(ISERROR(SEARCH("Moyenne",I84)))</formula>
    </cfRule>
  </conditionalFormatting>
  <conditionalFormatting sqref="I88">
    <cfRule type="containsText" dxfId="43" priority="42" operator="containsText" text="Faible">
      <formula>NOT(ISERROR(SEARCH("Faible",I88)))</formula>
    </cfRule>
    <cfRule type="containsText" dxfId="42" priority="43" operator="containsText" text="Elevée">
      <formula>NOT(ISERROR(SEARCH("Elevée",I88)))</formula>
    </cfRule>
    <cfRule type="containsText" dxfId="41" priority="44" operator="containsText" text="Moyenne">
      <formula>NOT(ISERROR(SEARCH("Moyenne",I88)))</formula>
    </cfRule>
  </conditionalFormatting>
  <conditionalFormatting sqref="I79:I82">
    <cfRule type="containsText" dxfId="40" priority="39" operator="containsText" text="Faible">
      <formula>NOT(ISERROR(SEARCH("Faible",I79)))</formula>
    </cfRule>
    <cfRule type="containsText" dxfId="39" priority="40" operator="containsText" text="Elevée">
      <formula>NOT(ISERROR(SEARCH("Elevée",I79)))</formula>
    </cfRule>
    <cfRule type="containsText" dxfId="38" priority="41" operator="containsText" text="Moyenne">
      <formula>NOT(ISERROR(SEARCH("Moyenne",I79)))</formula>
    </cfRule>
  </conditionalFormatting>
  <conditionalFormatting sqref="I83">
    <cfRule type="containsText" dxfId="37" priority="36" operator="containsText" text="Faible">
      <formula>NOT(ISERROR(SEARCH("Faible",I83)))</formula>
    </cfRule>
    <cfRule type="containsText" dxfId="36" priority="37" operator="containsText" text="Elevée">
      <formula>NOT(ISERROR(SEARCH("Elevée",I83)))</formula>
    </cfRule>
    <cfRule type="containsText" dxfId="35" priority="38" operator="containsText" text="Moyenne">
      <formula>NOT(ISERROR(SEARCH("Moyenne",I83)))</formula>
    </cfRule>
  </conditionalFormatting>
  <conditionalFormatting sqref="I114:I117">
    <cfRule type="containsText" dxfId="34" priority="33" operator="containsText" text="Faible">
      <formula>NOT(ISERROR(SEARCH("Faible",I114)))</formula>
    </cfRule>
    <cfRule type="containsText" dxfId="33" priority="34" operator="containsText" text="Elevée">
      <formula>NOT(ISERROR(SEARCH("Elevée",I114)))</formula>
    </cfRule>
    <cfRule type="containsText" dxfId="32" priority="35" operator="containsText" text="Moyenne">
      <formula>NOT(ISERROR(SEARCH("Moyenne",I114)))</formula>
    </cfRule>
  </conditionalFormatting>
  <conditionalFormatting sqref="I118">
    <cfRule type="containsText" dxfId="31" priority="30" operator="containsText" text="Faible">
      <formula>NOT(ISERROR(SEARCH("Faible",I118)))</formula>
    </cfRule>
    <cfRule type="containsText" dxfId="30" priority="31" operator="containsText" text="Elevée">
      <formula>NOT(ISERROR(SEARCH("Elevée",I118)))</formula>
    </cfRule>
    <cfRule type="containsText" dxfId="29" priority="32" operator="containsText" text="Moyenne">
      <formula>NOT(ISERROR(SEARCH("Moyenne",I118)))</formula>
    </cfRule>
  </conditionalFormatting>
  <conditionalFormatting sqref="I109:I112">
    <cfRule type="containsText" dxfId="28" priority="27" operator="containsText" text="Faible">
      <formula>NOT(ISERROR(SEARCH("Faible",I109)))</formula>
    </cfRule>
    <cfRule type="containsText" dxfId="27" priority="28" operator="containsText" text="Elevée">
      <formula>NOT(ISERROR(SEARCH("Elevée",I109)))</formula>
    </cfRule>
    <cfRule type="containsText" dxfId="26" priority="29" operator="containsText" text="Moyenne">
      <formula>NOT(ISERROR(SEARCH("Moyenne",I109)))</formula>
    </cfRule>
  </conditionalFormatting>
  <conditionalFormatting sqref="I113">
    <cfRule type="containsText" dxfId="25" priority="24" operator="containsText" text="Faible">
      <formula>NOT(ISERROR(SEARCH("Faible",I113)))</formula>
    </cfRule>
    <cfRule type="containsText" dxfId="24" priority="25" operator="containsText" text="Elevée">
      <formula>NOT(ISERROR(SEARCH("Elevée",I113)))</formula>
    </cfRule>
    <cfRule type="containsText" dxfId="23" priority="26" operator="containsText" text="Moyenne">
      <formula>NOT(ISERROR(SEARCH("Moyenne",I113)))</formula>
    </cfRule>
  </conditionalFormatting>
  <conditionalFormatting sqref="I104:I107">
    <cfRule type="containsText" dxfId="22" priority="21" operator="containsText" text="Faible">
      <formula>NOT(ISERROR(SEARCH("Faible",I104)))</formula>
    </cfRule>
    <cfRule type="containsText" dxfId="21" priority="22" operator="containsText" text="Elevée">
      <formula>NOT(ISERROR(SEARCH("Elevée",I104)))</formula>
    </cfRule>
    <cfRule type="containsText" dxfId="20" priority="23" operator="containsText" text="Moyenne">
      <formula>NOT(ISERROR(SEARCH("Moyenne",I104)))</formula>
    </cfRule>
  </conditionalFormatting>
  <conditionalFormatting sqref="I108">
    <cfRule type="containsText" dxfId="19" priority="18" operator="containsText" text="Faible">
      <formula>NOT(ISERROR(SEARCH("Faible",I108)))</formula>
    </cfRule>
    <cfRule type="containsText" dxfId="18" priority="19" operator="containsText" text="Elevée">
      <formula>NOT(ISERROR(SEARCH("Elevée",I108)))</formula>
    </cfRule>
    <cfRule type="containsText" dxfId="17" priority="20" operator="containsText" text="Moyenne">
      <formula>NOT(ISERROR(SEARCH("Moyenne",I108)))</formula>
    </cfRule>
  </conditionalFormatting>
  <conditionalFormatting sqref="I119:I122">
    <cfRule type="containsText" dxfId="16" priority="15" operator="containsText" text="Faible">
      <formula>NOT(ISERROR(SEARCH("Faible",I119)))</formula>
    </cfRule>
    <cfRule type="containsText" dxfId="15" priority="16" operator="containsText" text="Elevée">
      <formula>NOT(ISERROR(SEARCH("Elevée",I119)))</formula>
    </cfRule>
    <cfRule type="containsText" dxfId="14" priority="17" operator="containsText" text="Moyenne">
      <formula>NOT(ISERROR(SEARCH("Moyenne",I119)))</formula>
    </cfRule>
  </conditionalFormatting>
  <conditionalFormatting sqref="I3:I322">
    <cfRule type="cellIs" dxfId="13" priority="1" operator="equal">
      <formula>$I$302</formula>
    </cfRule>
    <cfRule type="cellIs" dxfId="12" priority="2" operator="equal">
      <formula>$I$292</formula>
    </cfRule>
    <cfRule type="cellIs" dxfId="11" priority="3" operator="equal">
      <formula>$I$297</formula>
    </cfRule>
    <cfRule type="cellIs" dxfId="10" priority="4" operator="equal">
      <formula>$I$298</formula>
    </cfRule>
    <cfRule type="cellIs" dxfId="9" priority="5" operator="equal">
      <formula>$I$297</formula>
    </cfRule>
    <cfRule type="cellIs" dxfId="8" priority="6" operator="equal">
      <formula>$I$289</formula>
    </cfRule>
    <cfRule type="cellIs" dxfId="7" priority="13" operator="equal">
      <formula>$I$5</formula>
    </cfRule>
    <cfRule type="cellIs" dxfId="6" priority="14" operator="equal">
      <formula>$I$284</formula>
    </cfRule>
  </conditionalFormatting>
  <conditionalFormatting sqref="F1:F322">
    <cfRule type="cellIs" dxfId="5" priority="10" operator="equal">
      <formula>"NON"</formula>
    </cfRule>
    <cfRule type="cellIs" dxfId="4" priority="11" operator="equal">
      <formula>"PAS"</formula>
    </cfRule>
    <cfRule type="cellIs" dxfId="3" priority="12" operator="equal">
      <formula>"OUI"</formula>
    </cfRule>
  </conditionalFormatting>
  <conditionalFormatting sqref="F93">
    <cfRule type="cellIs" dxfId="2" priority="9" operator="equal">
      <formula>"OUI"</formula>
    </cfRule>
  </conditionalFormatting>
  <conditionalFormatting sqref="I1:I322">
    <cfRule type="cellIs" dxfId="1" priority="7" operator="equal">
      <formula>$I$133</formula>
    </cfRule>
    <cfRule type="cellIs" dxfId="0" priority="8" operator="equal">
      <formula>$I$17</formula>
    </cfRule>
  </conditionalFormatting>
  <dataValidations count="2">
    <dataValidation type="list" allowBlank="1" showInputMessage="1" showErrorMessage="1" sqref="F4:F321" xr:uid="{F860AC64-9D2A-411B-85F1-B89D725589F7}">
      <formula1>"OUI,NON,PAS"</formula1>
    </dataValidation>
    <dataValidation type="list" allowBlank="1" showInputMessage="1" showErrorMessage="1" sqref="I4:I133" xr:uid="{18FBB02D-8FA1-4577-89B2-D8AA210C9327}">
      <formula1>"Elevée,Moyenne,Faible"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Synthèse</vt:lpstr>
      <vt:lpstr>Ref_Appli_Serv</vt:lpstr>
      <vt:lpstr>Ref_fontion_informatique</vt:lpstr>
      <vt:lpstr>Ref_control_projet_informatique</vt:lpstr>
      <vt:lpstr>Ref_Support_utili_gestion_parc</vt:lpstr>
      <vt:lpstr>Ref_sécurité-informatique</vt:lpstr>
      <vt:lpstr>Ref_COSO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DELL E5580</cp:lastModifiedBy>
  <dcterms:created xsi:type="dcterms:W3CDTF">2025-04-13T05:11:44Z</dcterms:created>
  <dcterms:modified xsi:type="dcterms:W3CDTF">2025-04-16T20:29:45Z</dcterms:modified>
</cp:coreProperties>
</file>