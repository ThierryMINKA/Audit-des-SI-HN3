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claudy\Desktop\"/>
    </mc:Choice>
  </mc:AlternateContent>
  <bookViews>
    <workbookView xWindow="0" yWindow="0" windowWidth="28800" windowHeight="12180"/>
  </bookViews>
  <sheets>
    <sheet name="SYNTHESE" sheetId="6" r:id="rId1"/>
    <sheet name="GLOBAL(du 4.1 au 4.5)" sheetId="8" r:id="rId2"/>
    <sheet name="APPLICATION_EN_SERVICE" sheetId="7" r:id="rId3"/>
    <sheet name="(4.2)_REF_FONCTION_INFORMATIQUE" sheetId="2" r:id="rId4"/>
    <sheet name="(4.3)CONTROLE_PROJET_INFORMATIQ" sheetId="3" r:id="rId5"/>
    <sheet name="(4.4)_AUDIT_SUPPORT_UTILISATEUR" sheetId="4" r:id="rId6"/>
    <sheet name="(4.5)_SECURITE_INFORMATIQUE" sheetId="5" r:id="rId7"/>
    <sheet name="COSO" sheetId="1"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8" i="6" l="1"/>
  <c r="F11" i="6" s="1"/>
  <c r="E11" i="6"/>
  <c r="D11" i="6"/>
  <c r="H6" i="6"/>
  <c r="H7" i="6"/>
  <c r="H9" i="6"/>
  <c r="H10" i="6"/>
  <c r="H5" i="6"/>
  <c r="G6" i="6"/>
  <c r="G7" i="6"/>
  <c r="G9" i="6"/>
  <c r="G10" i="6"/>
  <c r="G5" i="6"/>
  <c r="F10" i="6"/>
  <c r="E10" i="6"/>
  <c r="F9" i="6"/>
  <c r="E9" i="6"/>
  <c r="E8" i="6"/>
  <c r="D8" i="6"/>
  <c r="D10" i="6"/>
  <c r="D9" i="6"/>
  <c r="F7" i="6"/>
  <c r="E7" i="6"/>
  <c r="D7" i="6"/>
  <c r="F6" i="6"/>
  <c r="E6" i="6"/>
  <c r="D6" i="6"/>
  <c r="F5" i="6"/>
  <c r="E5" i="6"/>
  <c r="D5" i="6"/>
  <c r="G8" i="6" l="1"/>
  <c r="G11" i="6" s="1"/>
  <c r="H11" i="6" s="1"/>
  <c r="H8" i="6"/>
  <c r="F1595" i="8"/>
  <c r="E111" i="5" l="1"/>
</calcChain>
</file>

<file path=xl/sharedStrings.xml><?xml version="1.0" encoding="utf-8"?>
<sst xmlns="http://schemas.openxmlformats.org/spreadsheetml/2006/main" count="36513" uniqueCount="12378">
  <si>
    <t>DOMAINES</t>
  </si>
  <si>
    <t>POINTS DE CONTROLES</t>
  </si>
  <si>
    <t>OBJECTIFS DE CONTROLES</t>
  </si>
  <si>
    <t>CRITERES D'EVALUATION</t>
  </si>
  <si>
    <t>Environnement de Contrôle</t>
  </si>
  <si>
    <t>Engagement envers l’intégrité et les valeurs éthiques</t>
  </si>
  <si>
    <t>Vérifier que des mécanismes existent pour garantir que tous les acteurs (employés, partenaires, prestataires) respectent cette charte éthique dans leurs activités professionnelles, y compris dans leur utilisation des systèmes d'information</t>
  </si>
  <si>
    <t>S’assurer que des actions de sensibilisation, telles que des formations régulières, sont mises en place pour garantir que tous les employés et intervenants comprennent et appliquent les principes éthiques dans leurs interactions avec les systèmes d'information</t>
  </si>
  <si>
    <t>S’assurer que l'organisation dispose d'un mécanisme de suivi et de gestion des violations éthiques, permettant de détecter, traiter et sanctionner tout comportement contraire à la charte éthique, y compris dans le cadre des activités liées aux systèmes d'information.</t>
  </si>
  <si>
    <t>Le Conseil fait preuve d’indépendance vis-à-vis du management.</t>
  </si>
  <si>
    <t>S’assurer que le Conseil est composé de membres indépendants du management, avec une structure de gouvernance claire garantissant cette indépendance.</t>
  </si>
  <si>
    <t>Vérifier que le Conseil dispose des ressources et des informations nécessaires pour surveiller efficacement la mise en place et le bon fonctionnement du dispositif de contrôle interne.</t>
  </si>
  <si>
    <t>S’assurer que le Conseil reçoit régulièrement des rapports détaillés sur l’efficacité du dispositif de contrôle interne et qu'il est impliqué dans l’évaluation des résultats des audits internes.</t>
  </si>
  <si>
    <t>Vérifier que le Conseil joue un rôle actif dans la définition des objectifs et des critères de performance du contrôle interne, et qu’il veille à leur alignement avec les objectifs stratégiques de l’organisation.</t>
  </si>
  <si>
    <t>S’assurer que le Conseil prend des mesures appropriées lorsque des dysfonctionnements ou des lacunes dans le contrôle interne sont identifiés, y compris la mise en place de plans d’action correctifs.</t>
  </si>
  <si>
    <t>Structures, autorités et responsabilités</t>
  </si>
  <si>
    <t>S’assurer que la structure organisationnelle est clairement définie, incluant les rattachements hiérarchiques, les rôles, les responsabilités et les pouvoirs de chaque collaborateur.</t>
  </si>
  <si>
    <t>Vérifier que les responsabilités et laes pouvoirs sont attribués de manière appropriée, en fonction des compétences et des objectifs stratégiques de l’organisation.</t>
  </si>
  <si>
    <t>S’assurer que la structure organisationnelle est régulièrement revue et mise à jour pour tenir compte des changements dans l’environnement interne ou externe de l’organisation.</t>
  </si>
  <si>
    <t>Vérifier que le management reçoit l’approbation du Conseil pour les modifications de la structure organisationnelle, afin d’assurer une supervision adéquate des changements importants.</t>
  </si>
  <si>
    <t>S’assurer que des mécanismes sont en place pour communiquer la structure organisationnelle à tous les collaborateurs, afin qu'ils comprennent clairement leurs rôles et leurs responsabilités.</t>
  </si>
  <si>
    <t>Compétences des individus</t>
  </si>
  <si>
    <t>S’assurer que l’organisation dispose de processus clairs et formalisés pour attirer des talents qualifiés dans les domaines nécessaires à son fonctionnement, y compris pour les systèmes d’information.</t>
  </si>
  <si>
    <t>Vérifier que l’organisation met en place des programmes de formation continue pour ses collaborateurs, en particulier dans les domaines stratégiques comme la gestion des systèmes d'information et la cybersécurité.</t>
  </si>
  <si>
    <t>S’assurer que des mécanismes de fidélisation des talents sont en place, tels que des parcours de carrière, des avantages compétitifs et des opportunités de développement personnel, pour encourager les collaborateurs à rester au sein de l’organisation.</t>
  </si>
  <si>
    <t>Vérifier que des évaluations régulières de la performance des collaborateurs sont menées, avec des retours constructifs et des opportunités de développement, afin d’assurer leur progression professionnelle.</t>
  </si>
  <si>
    <t>S’assurer que les processus d’attraction, de formation et de f idélisation des talents sont alignés avec les objectifs stratégiques de l’organisation, en garantissant qu'ils contribuent à la performance globale.</t>
  </si>
  <si>
    <t>Évaluation des Risques</t>
  </si>
  <si>
    <t>Spécification des objectifs appropriés</t>
  </si>
  <si>
    <t>S’assurer que les responsabilités de chaque collaborateur en matière de contrôle interne sont clairement définies, documentées et communiquées à l’ensemble de l’organisation.</t>
  </si>
  <si>
    <t>Vérifier que des mécanismes de suivi sont mis en place pour s’assurer que les responsables respectent leurs responsabilités en matière de contrôle interne et rendent compte de leur gestion.</t>
  </si>
  <si>
    <t>S’assurer que des processus de reporting sont en place pour permettre à chaque responsable de rendre compte de l’accomplissement de ses tâches liées au contrôle interne, avec des indicateurs de performance définis.</t>
  </si>
  <si>
    <t>Vérifier que des procédures de contrôle sont en place pour évaluer la conformité des actions des responsables avec les normes de contrôle interne, et pour identifier les non-conformités ou les écarts.</t>
  </si>
  <si>
    <t>S’assurer que des actions correctives sont mises en place lorsque des responsables ne respectent pas leurs responsabilités en matière de contrôle interne, avec des mesures de soutien ou de discipline appropriées.</t>
  </si>
  <si>
    <t>Identification et analyse des risques</t>
  </si>
  <si>
    <t>S’assurer que l’organisation dispose d’une structure organisationnelle clairement définie, incluant les rôles et responsabilités relatifs à la gestion des systèmes d’information.</t>
  </si>
  <si>
    <t>Vérifier que les responsabilités liées à la sécurité des systèmes d’information et à la gestion des données sont attribuées à des postes spécifiques, avec des descriptions de rôle formalisées.</t>
  </si>
  <si>
    <t>S’assurer que les responsables des systèmes d’information, ainsi que les autres parties prenantes, sont dotés des ressources et des autorisations nécessaires pour exercer efficacement leurs responsabilités.</t>
  </si>
  <si>
    <t>Vérifier que des mécanismes de communication efficaces existent pour assurer une coordination fluide entre les différents départements et les responsables des systèmes d’information.</t>
  </si>
  <si>
    <t>S’assurer qu’il existe une hiérarchie de responsabilité permettant de rendre compte de la performance des systèmes d’information, avec des rapports réguliers destinés à la direction.</t>
  </si>
  <si>
    <t>Prise en compte de la fraude</t>
  </si>
  <si>
    <t>S’assurer que le risque de fraude est explicitement intégré dans le processus d’évaluation des risques, en identifiant les risques spécifiques de fraude qui pourraient affecter les objectifs de l’organisation.</t>
  </si>
  <si>
    <t>Vérifier que des méthodologies spécifiques sont utilisées pour évaluer le risque de fraude, incluant l’identification des domaines vulnérables à la fraude et l’analyse des contrôles existants pour les atténuer.</t>
  </si>
  <si>
    <t>S’assurer que des responsables sont désignés pour l’évaluation et la gestion du risque de fraude, et qu’ils reçoivent une formation adéquate pour identifier et traiter ce type de risque de manière proactive.</t>
  </si>
  <si>
    <t>Vérifier que des mécanismes de surveillance et de contrôle spécifiques sont mis en place pour surveiller en continu les risques de fraude, avec des rapports réguliers sur l’état des contrôles et des incidents potentiels.</t>
  </si>
  <si>
    <t>S’assurer que le risque de fraude est pris en compte dans les évaluations de performance et que des mesures correctives sont mises en place si des failles dans le système de contrôle interne sont identifiées.</t>
  </si>
  <si>
    <t>Identification et analyse des changements significatifs</t>
  </si>
  <si>
    <t>S’assurer que l’organisation met en place un processus structuré pour identifier les changements, qu’ils soient internes (réorganisations, nouvelles technologies, etc.) ou externes (évolutions réglementaires, marché, etc.), susceptibles d’affecter le système de contrôle interne.</t>
  </si>
  <si>
    <t>Vérifier que les changements identifiés sont évalués de manière formelle et structurée, avec une analyse de l’impact potentiel sur les contrôles internes et les risques associés.</t>
  </si>
  <si>
    <t>S’assurer que les responsables du contrôle interne sont impliqués dans l’identification et l’évaluation des changements, afin qu’ils puissent adapter les contrôles en conséquence.</t>
  </si>
  <si>
    <t>Activités de Contrôle</t>
  </si>
  <si>
    <t>Sélection et développement des activités de contrôle</t>
  </si>
  <si>
    <t>S’assurer que l’organisation identifie et évalue les risques potentiels qui pourraient affecter la réalisation de ses objectifs stratégiques, opérationnels et financiers.</t>
  </si>
  <si>
    <t>Vérifier que l’évaluation des risques est effectuée de manière continue, avec des processus de mise à jour réguliers pour prendre en compte les nouvelles menaces ou opportunités.</t>
  </si>
  <si>
    <t>S’assurer que les risques identifiés sont évalués en fonction de leur probabilité d'occurrence et de leur impact potentiel sur l'organisation.</t>
  </si>
  <si>
    <t>Vérifier que l'organisation met en place des actions de gestion des risques pour atténuer ou minimiser les risques significatifs identifiés.</t>
  </si>
  <si>
    <t>Développement des activités de contrôle sur les technologies</t>
  </si>
  <si>
    <t>S’assurer que l’organisation sélectionne des activités de contrôle adaptées aux risques identifiés, en prenant en compte la nature, l’ampleur et la criticité des risques.</t>
  </si>
  <si>
    <t>Vérifier que des mécanismes de suivi sont mis en place pour évaluer l’efficacité des activités de contrôle dans la réduction des risques à des niveaux acceptables.</t>
  </si>
  <si>
    <t>S’assurer que les activités de contrôle sont intégrées dans les processus opérationnels de l’organisation, de manière à garantir que les risques sont gérés de manière continue et proactive.</t>
  </si>
  <si>
    <t>Vérifier que les activités de contrôle sont adaptées à l’évolution des risques, avec des ajustements réguliers pour garantir qu'elles restent efficaces face à des risques changeants.</t>
  </si>
  <si>
    <t>S’assurer que l’organisation sélectionne des contrôles généraux informatiques appropriés pour protéger les systèmes d'information contre les menaces internes et externes.</t>
  </si>
  <si>
    <t>Vérifier que les contrôles généraux informatiques sont conçus pour être efficaces à tous les niveaux de l’infrastructure informatique, incluant les réseaux, les bases de données, les applications et les dispositifs matériels.</t>
  </si>
  <si>
    <t>S’assurer que les contrôles généraux informatiques sont régulièrement réévalués pour tenir compte des évolutions technologiques, des nouvelles menaces et des changements dans l’infrastructure de l’organisation.</t>
  </si>
  <si>
    <t>Vérifier que des mécanismes de suivi sont en place pour surveiller la mise en œuvre des contrôles généraux informatiques et évaluer leur efficacité en continu.</t>
  </si>
  <si>
    <t>S’assurer que les responsables de la mise en œuvre des contrôles généraux informatiques sont qualifiés et formés pour gérer les risques informatiques et maintenir les contrôles à jour.</t>
  </si>
  <si>
    <t xml:space="preserve"> Information et Communication </t>
  </si>
  <si>
    <t xml:space="preserve">Utilisation d’informations de qualité </t>
  </si>
  <si>
    <t>Vérifier que des actions correctives sont prises lorsque des écarts 
sont identifiés dans l’application des règles et procédures de 
contrôle, avec des processus de mise à jour ou de renforcement des 
contrôles si nécessaire.</t>
  </si>
  <si>
    <t>S’assurer que des formations régulières sont proposées aux collaborateurs pour garantir leur compréhension et leur capacité à mettre en œuvre correctement les règles et procédures de contrôle.</t>
  </si>
  <si>
    <t>S’assurer que des mécanismes sont en place pour collecter des 
informations fiables et pertinentes sur les activités de l’organisation, 
en particulier celles liées au contrôle interne.</t>
  </si>
  <si>
    <t>communication interne</t>
  </si>
  <si>
    <t>communication externe</t>
  </si>
  <si>
    <t>evaluation continue et indépendances</t>
  </si>
  <si>
    <t>Activités de surveillance</t>
  </si>
  <si>
    <t xml:space="preserve">Évaluation des déficiences </t>
  </si>
  <si>
    <t>Vérifier que des critères d’évaluation clairs et mesurables sont 
utilisés pour évaluer l’efficacité des composantes du contrôle 
interne, y compris des indicateurs de performance et des seuils de 
tolérance définis.</t>
  </si>
  <si>
    <t xml:space="preserve">S’assurer que les résultats des évaluations sont documentés et 
partagés avec la direction et le Conseil, afin qu’ils puissent prendre 
des décisions éclairées sur les actions correctives et l’adaptation du 
contrôle interne. </t>
  </si>
  <si>
    <t xml:space="preserve"> Vérifier que des mécanismes de suivi sont mis en place pour évaluer l’efficacité des activités de contrôle dans la réduction des risques à des niveaux acceptables.</t>
  </si>
  <si>
    <t xml:space="preserve">  S’assurer que l'organisation dispose d'une charte éthique formelle qui couvre l'ensemble des pratiques professionnelles et des interactions au sein de l'organisation, y compris les activités liées aux systèmes d'information.</t>
  </si>
  <si>
    <t xml:space="preserve">S’assurer que des mécanismes de suivi sont en place pour garantir le respect desrègles et procédures de contrôle, avec des rapports réguliers sur leur mise en œuvre et des audits pour vérifier leur efficacité. </t>
  </si>
  <si>
    <t>Vérifier que des actions correctives sont prises lorsque des écarts sont identifiés dans l’application des règles et procédures de contrôle, avec des processus de mise à jour ou de renforcement des contrôles si nécessaire</t>
  </si>
  <si>
    <t xml:space="preserve">S’assurer que les changements et leur impact sur le système de 
contrôle interne sont régulièrement suivis et que des rapports 
détaillés sont fournis à la direction pour assurer une prise de 
décision informée. </t>
  </si>
  <si>
    <t xml:space="preserve">Vérifier que le Conseil ou un comité de gouvernance est informé des 
changements significatifs affectant le contrôle interne et qu’il valide 
les mesures prises pour adapter le système en conséquence. </t>
  </si>
  <si>
    <t>S’assurer que la charte éthique est régulièrement mise à jour pour refléter les évolutions légales, réglementaires et technologiques, notamment en ce qui concerne les systèmes d'information.</t>
  </si>
  <si>
    <t>La charte éthique est documentée et accessible à tous les acteurs</t>
  </si>
  <si>
    <t>La charte couvre explicitement les pratiques professionnelles et les interactions</t>
  </si>
  <si>
    <t>La charte est approuvée par la direction et diffusée à l'ensemble du personnel</t>
  </si>
  <si>
    <t>Des audits réguliers sont effectués pour vérifier le respect de la charte</t>
  </si>
  <si>
    <t>Un taux de participation élevé aux formations est atteint</t>
  </si>
  <si>
    <t>Un canal de signalement est accessible à tous</t>
  </si>
  <si>
    <t>La charte est révisée au moins une fois par an ou en cas de changements majeurs</t>
  </si>
  <si>
    <t>Les mises à jour sont communiquées à tous les acteurs concernés</t>
  </si>
  <si>
    <t>Les responsables de la mise en œuvre des correctifs sont clairement identifiés</t>
  </si>
  <si>
    <t>Des rapports d'état sur les mesures correctives sont soumis au Conseil à intervalles réguliers</t>
  </si>
  <si>
    <t>Un organigramme officiel est disponible et accessible à tous les collaborateurs</t>
  </si>
  <si>
    <t>Les descriptions de poste détaillent clairement les rôles, responsabilités et pouvoirs de chaque collaborateur</t>
  </si>
  <si>
    <t>Les rattachements hiérarchiques sont clairement définis et communiqués</t>
  </si>
  <si>
    <t>Les responsabilités et pouvoirs sont alignés sur les objectifs stratégiques de l'organisation</t>
  </si>
  <si>
    <t>Les collaborateurs ont accès à des documents de référence (ex : manuel des procédures) pour comprendre leur rôle</t>
  </si>
  <si>
    <t>Les responsabilités et pouvoirs sont attribués en fonction des compétences et de l'expérience des collaborateurs</t>
  </si>
  <si>
    <t>Des évaluations de performance régulières sont menées pour s'assurer que les responsabilités sont bien assumées</t>
  </si>
  <si>
    <t>Les objectifs individuels sont alignés sur les objectifs stratégiques de l'organisation</t>
  </si>
  <si>
    <t>Les collaborateurs disposent des ressources nécessaires pour exercer leurs responsabilités</t>
  </si>
  <si>
    <t>Des formations sont proposées pour renforcer les compétences nécessaires à l'exercice des responsabilités</t>
  </si>
  <si>
    <t>La structure organisationnelle est révisée au moins une fois par an ou en cas de changements majeurs</t>
  </si>
  <si>
    <t>Les modifications de la structure sont documentées et approuvées par la direction</t>
  </si>
  <si>
    <t>Les impacts des changements organisationnels sur les processus et les collaborateurs sont évalués</t>
  </si>
  <si>
    <t>Les collaborateurs sont informés des modifications de la structure organisationnelle</t>
  </si>
  <si>
    <t>Des ajustements sont apportés pour répondre aux évolutions du marché ou de l'environnement réglementaire</t>
  </si>
  <si>
    <t>Les propositions de modifications de la structure organisationnelle sont soumises au Conseil pour approbation</t>
  </si>
  <si>
    <t>Le Conseil examine les impacts stratégiques et opérationnels des modifications proposées</t>
  </si>
  <si>
    <t>Les décisions du Conseil concernant les modifications de la structure sont documentées</t>
  </si>
  <si>
    <t>Le Conseil dispose d'un délai raisonnable pour examiner et approuver les modifications</t>
  </si>
  <si>
    <t>Les modifications approuvées sont communiquées à tous les collaborateurs concernés</t>
  </si>
  <si>
    <t>La structure organisationnelle est communiquée via des canaux officiels (ex : intranet, réunions)</t>
  </si>
  <si>
    <t>Les descriptions de poste sont accessibles à tous les collaborateurs</t>
  </si>
  <si>
    <t>Des sessions de formation ou d'information sont organisées pour expliquer les rôles et responsabilités</t>
  </si>
  <si>
    <t>Les mises à jour de la structure organisationnelle sont communiquées en temps réel</t>
  </si>
  <si>
    <t>Les collaborateurs peuvent poser des questions ou demander des clarifications sur leur rôle</t>
  </si>
  <si>
    <t>Des descriptions de poste détaillées et actualisées sont disponibles pour chaque rôle</t>
  </si>
  <si>
    <t>Des partenariats avec des établissements d'enseignement ou des réseaux professionnels sont établis pour attirer des talents</t>
  </si>
  <si>
    <t>Les offres d'emploi sont publiées sur des plateformes pertinentes et accessibles</t>
  </si>
  <si>
    <t>Des outils de gestion des candidatures (ex : ATS) sont utilisés pour suivre les candidats</t>
  </si>
  <si>
    <t>Un plan de formation annuel est établi et aligné sur les besoins stratégiques de l'organisation</t>
  </si>
  <si>
    <t>Des formations spécifiques sont proposées pour les domaines critiques</t>
  </si>
  <si>
    <t>Les collaborateurs ont accès à des plateformes de formation en ligne ou à des sessions en présentiel</t>
  </si>
  <si>
    <t>Des évaluations post-formation sont réalisées pour mesurer l'efficacité des programmes</t>
  </si>
  <si>
    <t>Les collaborateurs sont encouragés à obtenir des certifications reconnues dans leur domaine</t>
  </si>
  <si>
    <t>Des plans de carrière individualisés sont proposés aux collaborateurs</t>
  </si>
  <si>
    <t>Des avantages compétitifs sont offerts</t>
  </si>
  <si>
    <t>Des programmes de mentorat ou de coaching sont disponibles pour soutenir le développement professionnel</t>
  </si>
  <si>
    <t>Les collaborateurs ont accès à des opportunités de mobilité interne</t>
  </si>
  <si>
    <t>Des enquêtes de satisfaction sont menées régulièrement pour recueillir les retours des collaborateurs</t>
  </si>
  <si>
    <t>Des entretiens d'évaluation annuels sont réalisés pour chaque collaborateur</t>
  </si>
  <si>
    <t>Des retours constructifs et des plans d'amélioration sont fournis après chaque évaluation</t>
  </si>
  <si>
    <t>Les collaborateurs ont accès à des ressources pour améliorer leurs compétences</t>
  </si>
  <si>
    <t>Les évaluations de performance sont documentées et archivées</t>
  </si>
  <si>
    <t>Les processus de gestion des talents sont alignés sur les objectifs stratégiques à court et long terme</t>
  </si>
  <si>
    <t>Des indicateurs de performance (KPI) sont définis pour mesurer l'efficacité des processus de gestion des talents</t>
  </si>
  <si>
    <t>Les résultats des processus de gestion des talents sont régulièrement examinés par la direction</t>
  </si>
  <si>
    <t>Des ajustements sont apportés aux processus pour répondre aux évolutions stratégiques</t>
  </si>
  <si>
    <t>Les collaborateurs clés sont identifiés et des plans de succession sont mis en place</t>
  </si>
  <si>
    <t>Des descriptions de poste détaillées incluent les responsabilités en matière de contrôle interne</t>
  </si>
  <si>
    <t>Les responsabilités sont documentées dans un manuel de contrôle interne accessible à tous</t>
  </si>
  <si>
    <t>Les collaborateurs ont reçu une formation sur leurs responsabilités en matière de contrôle interne</t>
  </si>
  <si>
    <t>Les responsabilités sont communiquées lors des réunions d'équipe ou via des canaux officiels</t>
  </si>
  <si>
    <t>Des outils de communication (ex : intranet, newsletters) sont utilisés pour rappeler les responsabilités</t>
  </si>
  <si>
    <t>Des rapports réguliers sur le respect des responsabilités en matière de contrôle interne sont produits</t>
  </si>
  <si>
    <t>Des audits internes sont réalisés pour vérifier le respect des responsabilités</t>
  </si>
  <si>
    <t>Les responsables doivent soumettre des rapports d'auto-évaluation sur leurs actions</t>
  </si>
  <si>
    <t>Des indicateurs de performance (KPI) sont définis pour mesurer le respect des responsabilités</t>
  </si>
  <si>
    <t>Des réunions de suivi sont organisées pour discuter des progrès et des défis</t>
  </si>
  <si>
    <t>Des modèles de reporting standardisés sont disponibles pour les responsables</t>
  </si>
  <si>
    <t>Les rapports incluent des indicateurs de performance clés (KPI) liés au contrôle interne</t>
  </si>
  <si>
    <t>Les rapports sont soumis à intervalles réguliers</t>
  </si>
  <si>
    <t>Les rapports sont examinés par la direction ou le comité de contrôle interne</t>
  </si>
  <si>
    <t>Des outils numériques sont utilisés pour faciliter la collecte et l'analyse des données</t>
  </si>
  <si>
    <t>Des check-lists ou grilles d'évaluation sont utilisées pour vérifier la conformité</t>
  </si>
  <si>
    <t>Des audits internes ou externes sont réalisés pour évaluer la conformité</t>
  </si>
  <si>
    <t>Les non-conformités sont documentées et classées par niveau de gravité</t>
  </si>
  <si>
    <t>Les responsables sont informés des résultats des évaluations de conformité</t>
  </si>
  <si>
    <t>Des procédures de contrôle sont intégrées dans les processus opérationnels</t>
  </si>
  <si>
    <t>Des plans d'action correctifs sont élaborés pour chaque cas de non-respect</t>
  </si>
  <si>
    <t>Les responsables reçoivent un soutien (ex : formation, coaching) pour améliorer leurs pratiques</t>
  </si>
  <si>
    <t>Des mesures disciplinaires sont appliquées en cas de manquements répétés</t>
  </si>
  <si>
    <t>Les actions correctives sont suivies jusqu'à leur achèvement</t>
  </si>
  <si>
    <t>Des rapports sur les actions correctives sont soumis à la direction</t>
  </si>
  <si>
    <t>Un organigramme officiel incluant les rôles liés aux systèmes d'information est disponible et accessible</t>
  </si>
  <si>
    <t>Les descriptions de poste détaillent clairement les responsabilités liées à la gestion des systèmes d'information</t>
  </si>
  <si>
    <t>Les rattachements hiérarchiques des responsables des systèmes d'information sont clairement définis</t>
  </si>
  <si>
    <t>Les rôles et responsabilités sont alignés sur les objectifs stratégiques de l'organisation</t>
  </si>
  <si>
    <t>Les collaborateurs ont accès à des documents de référence pour comprendre leurs rôles</t>
  </si>
  <si>
    <t>Des postes spécifiques (ex : RSSI, DPO) sont dédiés à la sécurité des systèmes d'information et à la gestion des données</t>
  </si>
  <si>
    <t>Les descriptions de rôle pour ces postes sont formalisées et accessibles</t>
  </si>
  <si>
    <t>Les responsables disposent des compétences et certifications nécessaires pour exercer leurs fonctions</t>
  </si>
  <si>
    <t>Les responsabilités sont régulièrement revues et mises à jour en fonction des évolutions technologiques et réglementaires</t>
  </si>
  <si>
    <t>Les collaborateurs concernés ont reçu une formation sur leurs responsabilités</t>
  </si>
  <si>
    <t>Les responsables des systèmes d'information disposent d'un budget dédié pour leurs missions</t>
  </si>
  <si>
    <t>Les outils et technologies nécessaires sont mis à leur disposition</t>
  </si>
  <si>
    <t>Les autorisations d'accès aux systèmes et données sont accordées en fonction des rôles et responsabilités</t>
  </si>
  <si>
    <t>Des formations régulières sont proposées pour maintenir les compétences à jour</t>
  </si>
  <si>
    <t>Les responsables ont accès à des experts externes si nécessaire</t>
  </si>
  <si>
    <t>Des réunions régulières sont organisées entre les départements et les responsables des systèmes d'information</t>
  </si>
  <si>
    <t>Des canaux de communication officiels (ex : intranet, messagerie sécurisée) sont utilisés pour faciliter les échanges</t>
  </si>
  <si>
    <t>Les processus de communication sont documentés et accessibles à tous</t>
  </si>
  <si>
    <t>Des outils collaboratifs (ex : plateformes de gestion de projet) sont mis en place pour améliorer la coordination</t>
  </si>
  <si>
    <t>Les retours d'information entre les départements sont systématiquement collectés et pris en compte</t>
  </si>
  <si>
    <t>Une hiérarchie claire de responsabilité est définie pour la gestion des systèmes d'information</t>
  </si>
  <si>
    <t>Des rapports réguliers sur la performance des systèmes d'information sont soumis à la direction</t>
  </si>
  <si>
    <t>Les rapports incluent des indicateurs clés de performance (KPI) pour mesurer l'efficacité</t>
  </si>
  <si>
    <t>Les écarts par rapport aux objectifs sont documentés et analysés</t>
  </si>
  <si>
    <t>Des plans d'action sont élaborés pour corriger les lacunes identifiées</t>
  </si>
  <si>
    <t>Le risque de fraude est inclus dans le registre des risques de l'organisation</t>
  </si>
  <si>
    <t>Des scénarios de fraude potentiels sont identifiés et documentés</t>
  </si>
  <si>
    <t>Les risques de fraude sont classés par niveau de probabilité et d'impact</t>
  </si>
  <si>
    <t>Les risques de fraude sont alignés sur les objectifs stratégiques de l'organisation</t>
  </si>
  <si>
    <t>Des consultations avec des experts en fraude sont menées pour identifier les risques spécifiques</t>
  </si>
  <si>
    <t>Des méthodologies reconnues (ex : analyse SWOT, cartographie des risques) sont utilisées pour évaluer le risque de fraude</t>
  </si>
  <si>
    <t>Les domaines vulnérables à la fraude sont identifiés et documentés</t>
  </si>
  <si>
    <t>Les contrôles existants sont évalués pour leur efficacité à atténuer les risques de fraude</t>
  </si>
  <si>
    <t>Des tests de vulnérabilité sont réalisés pour identifier les failles potentielles</t>
  </si>
  <si>
    <t>Les résultats de l'évaluation des risques de fraude sont documentés et partagés avec les parties prenantes</t>
  </si>
  <si>
    <t>Des responsables spécifiques (ex : responsable de la gestion des risques de fraude) sont désignés</t>
  </si>
  <si>
    <t>Les responsables ont reçu une formation sur les techniques d'identification et de gestion de la fraude</t>
  </si>
  <si>
    <t>Des certifications reconnues (ex : CFE - Certified Fraud Examiner) sont obtenues par les responsables</t>
  </si>
  <si>
    <t>Les responsables participent à des formations continues pour rester à jour sur les nouvelles tendances de fraude</t>
  </si>
  <si>
    <t>Les responsabilités des responsables en matière de fraude sont clairement définies et documentées</t>
  </si>
  <si>
    <t>Des outils de surveillance automatisés (ex : logiciels de détection de fraude) sont utilisés</t>
  </si>
  <si>
    <t>Des audits internes réguliers sont réalisés pour évaluer l'efficacité des contrôles de fraude</t>
  </si>
  <si>
    <t>Des rapports trimestriels sur les risques de fraude sont soumis à la direction</t>
  </si>
  <si>
    <t>Les incidents potentiels de fraude sont documentés et analysés</t>
  </si>
  <si>
    <t>Des indicateurs de performance (KPI) sont définis pour mesurer l'efficacité des contrôles de fraude</t>
  </si>
  <si>
    <t>Les évaluations de performance incluent une analyse des risques de fraude</t>
  </si>
  <si>
    <t>Des plans d'action correctifs sont élaborés pour chaque faille identifiée dans les contrôles de fraude</t>
  </si>
  <si>
    <t>Les mesures correctives sont suivies jusqu'à leur achèvement</t>
  </si>
  <si>
    <t>Des rapports sur les mesures correctives sont soumis à la direction</t>
  </si>
  <si>
    <t>Les résultats des mesures correctives sont évalués pour mesurer leur efficacité</t>
  </si>
  <si>
    <t>Un processus formel pour identifier les changements internes et externes est documenté</t>
  </si>
  <si>
    <t>Des outils de veille (ex : veille réglementaire, veille technologique) sont utilisés pour détecter les changements</t>
  </si>
  <si>
    <t>Les changements identifiés sont enregistrés dans un registre dédié</t>
  </si>
  <si>
    <t>Les collaborateurs sont sensibilisés à l'importance de signaler les changements potentiels</t>
  </si>
  <si>
    <t>Des réunions régulières sont organisées pour discuter des changements identifiés</t>
  </si>
  <si>
    <t>Une méthodologie d'évaluation des impacts des changements est définie et documentée</t>
  </si>
  <si>
    <t>Les impacts sur les contrôles internes et les risques associés sont analysés et documentés</t>
  </si>
  <si>
    <t>Des outils d'analyse (ex : matrices d'impact, analyses SWOT) sont utilisés pour évaluer les changements</t>
  </si>
  <si>
    <t>Les résultats de l'évaluation sont partagés avec les parties prenantes concernées</t>
  </si>
  <si>
    <t>Des plans d'action sont élaborés pour atténuer les impacts négatifs des changements</t>
  </si>
  <si>
    <t>Les responsables du contrôle interne participent aux réunions d'identification des changements</t>
  </si>
  <si>
    <t>Les responsables du contrôle interne sont consultés lors de l'évaluation des impacts des changements</t>
  </si>
  <si>
    <t>Les contrôles internes sont adaptés en fonction des résultats de l'évaluation des changements</t>
  </si>
  <si>
    <t>Les responsables du contrôle interne reçoivent des formations sur les nouvelles technologies ou réglementations</t>
  </si>
  <si>
    <t>Les adaptations des contrôles internes sont documentées et communiquées aux parties prenantes</t>
  </si>
  <si>
    <t>Des rapports trimestriels sur les changements et leurs impacts sont soumis à la direction</t>
  </si>
  <si>
    <t>Les rapports incluent des indicateurs clés de performance (KPI) pour mesurer l'impact des changements</t>
  </si>
  <si>
    <t>Des réunions de suivi sont organisées pour discuter des rapports avec la direction</t>
  </si>
  <si>
    <t>Les décisions prises par la direction suite aux rapports sont documentées</t>
  </si>
  <si>
    <t>Le Conseil ou un comité de gouvernance reçoit des rapports réguliers sur les changements significatifs</t>
  </si>
  <si>
    <t>Les impacts des changements sur le contrôle interne sont clairement expliqués au Conseil</t>
  </si>
  <si>
    <t>Le Conseil valide les mesures proposées pour adapter le système de contrôle interne</t>
  </si>
  <si>
    <t>Les décisions du Conseil concernant les adaptations du contrôle interne sont documentées</t>
  </si>
  <si>
    <t>Le Conseil suit l'implémentation des mesures validées</t>
  </si>
  <si>
    <t>S’assurer que les déficiences du système de contrôle interne sont identifiées de manière proactive et documentées de façon précise</t>
  </si>
  <si>
    <t>S’assurer que des plans d’action correctifs sont mis en place pour remédier aux déficiences identifiées et que leur efficacité est évaluée</t>
  </si>
  <si>
    <t>Vérifier que les déficiences identifiées sont évaluées en termes d’impact sur les objectifs de l’organisation et sur l’efficacité du contrôle interne</t>
  </si>
  <si>
    <t>Des mécanismes de détection des déficiences (ex : audits internes, signalements, analyses de risques) sont en place</t>
  </si>
  <si>
    <t>Les déficiences identifiées sont documentées dans un registre centralisé</t>
  </si>
  <si>
    <t>Les collaborateurs sont sensibilisés à l'importance de signaler les déficiences</t>
  </si>
  <si>
    <t>Les déficiences sont classées par niveau de gravité</t>
  </si>
  <si>
    <t>Les déficiences sont identifiées dans un délai raisonnable après leur apparition</t>
  </si>
  <si>
    <t>Une méthodologie d'évaluation des impacts des déficiences est définie et appliquée</t>
  </si>
  <si>
    <t>Les déficiences sont analysées en termes de risques financiers, opérationnels, de conformité et de réputation</t>
  </si>
  <si>
    <t>Les impacts sur les objectifs stratégiques de l'organisation sont clairement documentés</t>
  </si>
  <si>
    <t>Des indicateurs de performance (KPI) sont utilisés pour mesurer l'impact des déficiences.</t>
  </si>
  <si>
    <t>Des plans d'action correctifs sont élaborés pour chaque déficience identifiée</t>
  </si>
  <si>
    <t>Les plans d'action incluent des délais de mise en œuvre et des responsables désignés</t>
  </si>
  <si>
    <t>L'efficacité des mesures correctives est évaluée après leur mise en œuvre</t>
  </si>
  <si>
    <t>Des rapports sur l'état des mesures correctives sont soumis à la direction</t>
  </si>
  <si>
    <t>Des indicateurs de performance (KPI) clairs et mesurables sont définis pour chaque composante du contrôle interne</t>
  </si>
  <si>
    <t>Les seuils de tolérance (ex : niveaux acceptables de risque) sont documentés et alignés sur les objectifs stratégiques de l'organisation</t>
  </si>
  <si>
    <t>Les critères d'évaluation sont régulièrement révisés pour s'assurer de leur pertinence et de leur actualité</t>
  </si>
  <si>
    <t>Les critères d'évaluation sont communiqués à tous les responsables concernés</t>
  </si>
  <si>
    <t>Des outils de mesure (ex : tableaux de bord, logiciels d'analyse) sont utilisés pour évaluer l'efficacité des composantes du contrôle interne</t>
  </si>
  <si>
    <t>Les résultats des évaluations sont documentés dans des rapports détaillés et structurés</t>
  </si>
  <si>
    <t>Les rapports incluent une analyse des écarts par rapport aux seuils de tolérance et aux indicateurs de performance</t>
  </si>
  <si>
    <t>Les rapports sont soumis à la direction et au Conseil à intervalles réguliers</t>
  </si>
  <si>
    <t>Les résultats des évaluations sont présentés lors de réunions dédiées avec la direction et le Conseil</t>
  </si>
  <si>
    <t>Les décisions prises par la direction et le Conseil concernant les actions correctives sont documentées et suivies</t>
  </si>
  <si>
    <t>Un registre des risques est mis en place pour documenter tous les risques identifiés</t>
  </si>
  <si>
    <t>Les risques sont classés par catégorie</t>
  </si>
  <si>
    <t>Des outils d'analyse des risques (ex : matrices de risques, analyses SWOT) sont utilisés</t>
  </si>
  <si>
    <t>Les risques sont évalués en termes de probabilité d'occurrence et d'impact potentiel</t>
  </si>
  <si>
    <t>Les risques identifiés sont alignés sur les objectifs stratégiques de l'organisation</t>
  </si>
  <si>
    <t>Des révisions régulières (ex : trimestrielles, annuelles) du registre des risques sont effectuées</t>
  </si>
  <si>
    <t>Les nouvelles menaces ou opportunités sont intégrées dans le processus d'évaluation des risques</t>
  </si>
  <si>
    <t>Des outils de veille (ex : veille réglementaire, veille technologique) sont utilisés pour détecter les nouveaux risques</t>
  </si>
  <si>
    <t>Les résultats des évaluations continues sont documentés et partagés avec les parties prenantes</t>
  </si>
  <si>
    <t>Des ajustements sont apportés aux plans de gestion des risques en fonction des nouvelles évaluations</t>
  </si>
  <si>
    <t>Les risques sont classés par niveau de probabilité</t>
  </si>
  <si>
    <t>Les risques sont classés par niveau d'impact (faible, moyen, élevé)</t>
  </si>
  <si>
    <t>Les résultats de l'évaluation des risques sont documentés dans un registre centralisé</t>
  </si>
  <si>
    <t>Les risques sont priorisés en fonction de leur probabilité et de leur impact</t>
  </si>
  <si>
    <t>Des plans d'action spécifiques sont élaborés pour chaque risque significatif</t>
  </si>
  <si>
    <t>Des ressources (financières, humaines, technologiques) sont allouées pour la mise en œuvre des plans d'action</t>
  </si>
  <si>
    <t>Les actions de gestion des risques sont suivies jusqu'à leur achèvement</t>
  </si>
  <si>
    <t>L'efficacité des actions de gestion des risques est évaluée après leur mise en œuvre</t>
  </si>
  <si>
    <t>Les activités de contrôle sont alignées sur les risques identifiés et leur niveau de criticité</t>
  </si>
  <si>
    <t>Les activités de contrôle sont documentées et communiquées aux parties prenantes concernées</t>
  </si>
  <si>
    <t>Les activités de contrôle sont testées pour s'assurer de leur efficacité avant leur mise en œuvre</t>
  </si>
  <si>
    <t>Les activités de contrôle sont régulièrement révisées pour s'assurer de leur pertinence</t>
  </si>
  <si>
    <t>Des indicateurs de performance (KPI) sont définis pour mesurer l'efficacité des activités de contrôle</t>
  </si>
  <si>
    <t>Des audits internes sont réalisés pour évaluer l'efficacité des activités de contrôle</t>
  </si>
  <si>
    <t>Les résultats des évaluations sont documentés et partagés avec la direction</t>
  </si>
  <si>
    <t>Des plans d'action correctifs sont élaborés en cas de lacunes identifiées</t>
  </si>
  <si>
    <t>Les activités de contrôle sont ajustées en fonction des résultats des évaluations</t>
  </si>
  <si>
    <t>Les activités de contrôle sont intégrées dans les processus opérationnels clés de l'organisation</t>
  </si>
  <si>
    <t>Des outils automatisés sont utilisés pour faciliter l'intégration des activités de contrôle</t>
  </si>
  <si>
    <t>Les collaborateurs sont formés sur l'importance des activités de contrôle dans leurs processus</t>
  </si>
  <si>
    <t>Les activités de contrôle sont alignées sur les objectifs opérationnels de l'organisation</t>
  </si>
  <si>
    <t>Des réunions régulières sont organisées pour discuter de l'intégration des activités de contrôle</t>
  </si>
  <si>
    <t>Les activités de contrôle sont régulièrement révisées pour s'adapter aux nouveaux risques</t>
  </si>
  <si>
    <t>Des ajustements sont apportés aux activités de contrôle en fonction des évaluations continues</t>
  </si>
  <si>
    <t>Les activités de contrôle sont testées pour s'assurer de leur efficacité face aux nouveaux risques</t>
  </si>
  <si>
    <t>Les collaborateurs sont informés des ajustements apportés aux activités de contrôle</t>
  </si>
  <si>
    <t>Des rapports sur l'adaptation des activités de contrôle sont soumis à la direction</t>
  </si>
  <si>
    <t>Des outils de sélection des contrôles (ex : matrices de contrôle) sont utilisés pour choisir les contrôles appropriés</t>
  </si>
  <si>
    <t>Les contrôles généraux informatiques sont documentés et communiqués aux parties prenantes concernées</t>
  </si>
  <si>
    <t>Les contrôles sont testés pour s'assurer de leur efficacité avant leur mise en œuvre</t>
  </si>
  <si>
    <t>Les contrôles généraux informatiques sont régulièrement révisés pour s'assurer de leur pertinence</t>
  </si>
  <si>
    <t>Des outils de surveillance automatisés sont utilisés pour surveiller l'efficacité des contrôles à tous les niveaux</t>
  </si>
  <si>
    <t>Les contrôles sont intégrés dans les processus opérationnels de l'infrastructure informatique</t>
  </si>
  <si>
    <t>Les résultats des tests de contrôle sont documentés et partagés avec les responsables concernés</t>
  </si>
  <si>
    <t>Les contrôles généraux informatiques sont réévalués au moins une fois par an ou en cas de changements majeurs</t>
  </si>
  <si>
    <t>Des outils de veille technologique sont utilisés pour détecter les nouvelles menaces et évolutions</t>
  </si>
  <si>
    <t>Les résultats des réévaluations sont documentés et partagés avec les parties prenantes concernées</t>
  </si>
  <si>
    <t>Des ajustements sont apportés aux contrôles en fonction des nouvelles menaces et évolutions technologiques</t>
  </si>
  <si>
    <t>Les contrôles sont testés pour s'assurer de leur efficacité face aux nouvelles menaces</t>
  </si>
  <si>
    <t>Des indicateurs de performance (KPI) sont définis pour mesurer l'efficacité des contrôles généraux informatiques</t>
  </si>
  <si>
    <t>Les responsables des contrôles généraux informatiques ont des certifications reconnues</t>
  </si>
  <si>
    <t>Des formations régulières sont dispensées aux responsables pour maintenir leurs compétences à jour</t>
  </si>
  <si>
    <t>Les responsables participent à des formations continues sur les nouvelles menaces et technologies</t>
  </si>
  <si>
    <t>Les responsabilités des responsables sont clairement définies et documentées</t>
  </si>
  <si>
    <t>Les responsables disposent des ressources nécessaires pour exercer leurs fonctions</t>
  </si>
  <si>
    <t>Des indicateurs de performance (KPI) sont définis pour mesurer le respect des règles et procédures de contrôle</t>
  </si>
  <si>
    <t>Des audits internes réguliers sont réalisés pour vérifier l'efficacité des règles et procédures</t>
  </si>
  <si>
    <t>Les résultats des audits sont documentés et partagés avec les parties prenantes concernées</t>
  </si>
  <si>
    <t>Des rapports trimestriels sur la mise en œuvre des règles et procédures sont soumis à la direction</t>
  </si>
  <si>
    <t>Des plans d'action correctifs sont élaborés en cas de non-respect des règles et procédures</t>
  </si>
  <si>
    <t>Des plans d'action correctifs sont élaborés pour chaque écart identifié</t>
  </si>
  <si>
    <t>L'efficacité des actions correctives est évaluée après leur mise en œuvre</t>
  </si>
  <si>
    <t>Des rapports sur l'état des actions correctives sont soumis à la direction</t>
  </si>
  <si>
    <t>Un plan de formation annuel est établi pour les collaborateurs sur les règles et procédures de contrôle</t>
  </si>
  <si>
    <t>Les formations sont adaptées aux besoins spécifiques des différents départements</t>
  </si>
  <si>
    <t>Des supports de formation (ex : guides, vidéos) sont disponibles pour renforcer la compréhension</t>
  </si>
  <si>
    <t>Les collaborateurs sont encouragés à poser des questions et à demander des clarifications</t>
  </si>
  <si>
    <t>Des outils de collecte de données (ex : logiciels de gestion, bases de données) sont utilisés pour recueillir des informations</t>
  </si>
  <si>
    <t>Les informations collectées sont vérifiées pour s'assurer de leur fiabilité et de leur pertinence</t>
  </si>
  <si>
    <t>Des indicateurs de performance (KPI) sont définis pour mesurer la qualité des informations collectées</t>
  </si>
  <si>
    <t>Les informations collectées sont régulièrement mises à jour pour refléter les activités actuelles de l'organisation</t>
  </si>
  <si>
    <t>Les collaborateurs sont formés sur les processus de collecte et de gestion des informations</t>
  </si>
  <si>
    <t>Des outils de collecte de données sont utilisés</t>
  </si>
  <si>
    <t>Les informations collectées sont vérifiées pour leur fiabilité</t>
  </si>
  <si>
    <t>Contrôle et intégation de manière fluide</t>
  </si>
  <si>
    <t>Des audits internes sont réalisés pour évaluer l'efficacité des contrôles</t>
  </si>
  <si>
    <t>Les risques sont priorisés en fonction de leur criticité</t>
  </si>
  <si>
    <t>Les évaluations sont validées par une autorité compétente</t>
  </si>
  <si>
    <t>Les évaluations sont mises à jour régulièrement</t>
  </si>
  <si>
    <t>points de contrôles</t>
  </si>
  <si>
    <t>objectifs de contrôle</t>
  </si>
  <si>
    <t>critères d'évaluation</t>
  </si>
  <si>
    <t>questions d'évaluation</t>
  </si>
  <si>
    <t>risques</t>
  </si>
  <si>
    <t>conséquences</t>
  </si>
  <si>
    <t>Organisation</t>
  </si>
  <si>
    <t>S’assurer de l’existence d'un comité informatique</t>
  </si>
  <si>
    <t>Vérifier l’existence d’un organigramme officiel du comité signé par la direction.</t>
  </si>
  <si>
    <t>Un organigramme officiel du comité signé par la direction est-il disponible ?</t>
  </si>
  <si>
    <t>Confirmer la présence d’au moins 3 procès-verbaux de réunion datés des 6 derniers mois.</t>
  </si>
  <si>
    <t>Y a-t-il au moins 3 procès-verbaux de réunion datant des 6 derniers mois ?</t>
  </si>
  <si>
    <t>Analyser la composition du comité (CV/certifications des membres).</t>
  </si>
  <si>
    <t>Les CV et certifications des membres du comité sont-ils vérifiés et à jour ?</t>
  </si>
  <si>
    <t>Identifier un mandat écrit précisant les missions et la fréquence des réunions.</t>
  </si>
  <si>
    <t>Existe-t-il un mandat écrit définissant les missions et la fréquence des réunions du comité ?</t>
  </si>
  <si>
    <t>Contrôler la diffusion des décisions du comité via des emails ou documents internes.</t>
  </si>
  <si>
    <t>Les décisions du comité sont-elles diffusées via des emails ou documents internes ?</t>
  </si>
  <si>
    <t>S’assurer de l’existence d'une politique relative aux applications</t>
  </si>
  <si>
    <t>Vérifier la présence d’un document intitulé "Politique des Applications" approuvé par la direction.</t>
  </si>
  <si>
    <t>Un document intitulé "Politique des Applications" approuvé par la direction est-il disponible ?</t>
  </si>
  <si>
    <t>Confirmer la date de la dernière mise à jour (moins de 12 mois).</t>
  </si>
  <si>
    <t>La politique a-t-elle été mise à jour il y a moins de 12 mois ?</t>
  </si>
  <si>
    <t>Analyser les mentions de conformité RGPD/ISO dans le document.</t>
  </si>
  <si>
    <t>La politique mentionne-t-elle la conformité RGPD/ISO ?</t>
  </si>
  <si>
    <t>Vérifier la diffusion de la politique aux employés (accusés de réception signés).</t>
  </si>
  <si>
    <t>Les employés ont-ils signé des accusés de réception après diffusion de la politique ?</t>
  </si>
  <si>
    <t>Identifier un plan de formation annuel lié à cette politique.</t>
  </si>
  <si>
    <t>Existe-t-il un plan de formation annuel lié à cette politique ?</t>
  </si>
  <si>
    <t>S’assurer que les rôle et responsabilités des utilisateurs sont bien définis</t>
  </si>
  <si>
    <t>Contrôler l’existence de fiches de poste pour chaque profil utilisateur.</t>
  </si>
  <si>
    <t>Des fiches de poste sont-elles disponibles pour chaque profil utilisateur ?</t>
  </si>
  <si>
    <t>Vérifier la signature des utilisateurs sur des chartes d’utilisation.</t>
  </si>
  <si>
    <t>Les utilisateurs ont-ils signé des chartes d’utilisation ?</t>
  </si>
  <si>
    <t>Confirmer la mise à jour des habilitations dans un tableau de gestion des accès.</t>
  </si>
  <si>
    <t>Le tableau de gestion des accès est-il mis à jour régulièrement ?</t>
  </si>
  <si>
    <t>Analyser des logs d’accès pour corréler avec les rôles déclarés.</t>
  </si>
  <si>
    <t>Identifier des procédures de révision trimestrielle des droits.</t>
  </si>
  <si>
    <t>Des procédures de révision trimestrielle des droits sont-elles appliquées ?</t>
  </si>
  <si>
    <t>S’assurer qu’une analyse des risques a été réalisée</t>
  </si>
  <si>
    <t>Vérifier un rapport d’analyse des risques daté de moins de 12 mois.</t>
  </si>
  <si>
    <t>Un rapport d’analyse des risques datant de moins de 12 mois est-il disponible ?</t>
  </si>
  <si>
    <t>Confirmer l’utilisation d’une méthodologie reconnue (ex : EBIOS, OCTAVE).</t>
  </si>
  <si>
    <t>Une méthodologie reconnue (EBIOS, OCTAVE) a-t-elle été utilisée ?</t>
  </si>
  <si>
    <t>Analyser la liste des risques identifiés (au moins 10 risques critiques).</t>
  </si>
  <si>
    <t>Au moins 10 risques critiques sont-ils identifiés dans le rapport ?</t>
  </si>
  <si>
    <t>Identifier un plan d’action avec des responsables et des échéances.</t>
  </si>
  <si>
    <t>Un plan d’action avec responsables et échéances est-il documenté ?</t>
  </si>
  <si>
    <t>Contrôler des preuves de mise en œuvre des actions (rapports de suivi).</t>
  </si>
  <si>
    <t>Des preuves de mise en œuvre des actions sont-elles disponibles ?</t>
  </si>
  <si>
    <t>S’assurer que le prolongement de l'analyse de risque et de son expansion ont été réalisés</t>
  </si>
  <si>
    <t>Vérifier des mises à jour de l’analyse des risques (au moins 2 révisions annuelles).</t>
  </si>
  <si>
    <t>L’analyse des risques a-t-elle été mise à jour au moins 2 fois par an ?</t>
  </si>
  <si>
    <t>Confirmer l’intégration des nouveaux risques (ex : cybermenaces, RGPD).</t>
  </si>
  <si>
    <t>Les nouveaux risques (cybermenaces, RGPD) sont-ils intégrés dans l’analyse ?</t>
  </si>
  <si>
    <t>Analyser des indicateurs de suivi des risques (tableaux de bord).</t>
  </si>
  <si>
    <t>Des indicateurs de suivi des risques (tableaux de bord) sont-ils analysés ?</t>
  </si>
  <si>
    <t>Identifier des procédures de reporting aux instances dirigeantes.</t>
  </si>
  <si>
    <t>Des procédures de reporting aux instances dirigeantes existent-elles ?</t>
  </si>
  <si>
    <t>Contrôler des preuves de sensibilisation des équipes aux risques majeurs.</t>
  </si>
  <si>
    <t>Des preuves de sensibilisation des équipes aux risques majeurs sont-elles disponibles ?</t>
  </si>
  <si>
    <t>S’assurer que l’analyse et évaluation du niveau de sensibilité a été réalisée</t>
  </si>
  <si>
    <t>Vérifier un document classifiant les données par niveau de sensibilité (public, interne, confidentiel).</t>
  </si>
  <si>
    <t>Confirmer la mise à jour de la classification (moins de 6 mois).</t>
  </si>
  <si>
    <t>La classification des données a-t-elle été mise à jour il y a moins de 6 mois ?</t>
  </si>
  <si>
    <t>Analyser des logs d’accès aux données sensibles sur 30 jours.</t>
  </si>
  <si>
    <t>Les logs d’accès aux données sensibles sur 30 jours sont-ils analysés ?</t>
  </si>
  <si>
    <t>Identifier des procédures de protection spécifiques pour les données critiques.</t>
  </si>
  <si>
    <t>Des procédures de protection spécifiques pour les données critiques existent-elles ?</t>
  </si>
  <si>
    <t>Contrôler des preuves de formation des utilisateurs sur la classification.</t>
  </si>
  <si>
    <t>Vérifier l’existence d’un manuel d'administration de l'application</t>
  </si>
  <si>
    <t>Vérifier l’existence d’un manuel d’administration mis à jour (moins de 12 mois).</t>
  </si>
  <si>
    <t>Confirmer la couverture des procédures clés (ex : sauvegarde, restauration).</t>
  </si>
  <si>
    <t>Analyser des exemples de procédures détaillées (étapes, screenshots).</t>
  </si>
  <si>
    <t>Identifier des preuves d’utilisation du manuel (logs de consultation).</t>
  </si>
  <si>
    <t>Contrôler des formations dédiées à l’équipe d’administration.</t>
  </si>
  <si>
    <t>Des formations dédiées à l’équipe d’administration sont-elles organisées ?</t>
  </si>
  <si>
    <t>Vérifier l’existence de procédures formalisées</t>
  </si>
  <si>
    <t>Vérifier des procédures écrites pour au moins 5 processus critiques (ex : gestion des incidents).</t>
  </si>
  <si>
    <t>Des procédures écrites pour au moins 5 processus critiques (ex : gestion des incidents) existent-elles ?</t>
  </si>
  <si>
    <t>Confirmer la signature des procédures par les responsables concernés.</t>
  </si>
  <si>
    <t>Les procédures sont-elles signées par les responsables concernés ?</t>
  </si>
  <si>
    <t>Analyser des preuves d’application (logs, rapports d’exécution).</t>
  </si>
  <si>
    <t>Des preuves d’application des procédures (logs, rapports) sont-elles disponibles ?</t>
  </si>
  <si>
    <t>Identifier des indicateurs de performance liés aux procédures.</t>
  </si>
  <si>
    <t>Des indicateurs de performance liés aux procédures sont-ils définis ?</t>
  </si>
  <si>
    <t>Contrôler des mises à jour récentes (moins de 6 mois).</t>
  </si>
  <si>
    <t>Les procédures ont-elles été mises à jour il y a moins de 6 mois ?</t>
  </si>
  <si>
    <t>S’assurer de l’existence et de la mise à disposition du compte rendu mensuel au propriétaire</t>
  </si>
  <si>
    <t>Vérifier des comptes rendus mensuels datés des 6 derniers mois.</t>
  </si>
  <si>
    <t>Confirmer la signature des comptes rendus par le propriétaire de l’application.</t>
  </si>
  <si>
    <t>Analyser des indicateurs clés inclus (ex : disponibilité, incidents).</t>
  </si>
  <si>
    <t>Le compte rendu est-il systématiquement validé et signé par le responsable avant transmission ?</t>
  </si>
  <si>
    <t>Identifier des actions correctives planifiées dans les comptes rendus.</t>
  </si>
  <si>
    <t>Le compte rendu est-il transmis au propriétaire dans les délais impartis ?</t>
  </si>
  <si>
    <t>Contrôler des preuves de suivi des actions (rapports de clôture).</t>
  </si>
  <si>
    <t>Les comptes rendus sont-ils archivés de manière sécurisée et organisée ?</t>
  </si>
  <si>
    <t xml:space="preserve"> S’assurer de l’existence d'un guide d'utilisateur, manuel de procédure</t>
  </si>
  <si>
    <t>Vérifier l’existence d’un guide d’utilisateur et d’un manuel de procédures.</t>
  </si>
  <si>
    <t>Confirmer la mise à jour des documents (moins de 12 mois).</t>
  </si>
  <si>
    <t>Le manuel de procédures décrit-il précisément les processus avec les rôles et responsabilités ?</t>
  </si>
  <si>
    <t>Identifier des preuves de diffusion aux utilisateurs (accusés de réception).</t>
  </si>
  <si>
    <t>Existe-t-il plusieurs formats disponibles (PDF, en ligne, imprimé) selon les besoins ?</t>
  </si>
  <si>
    <t>Contrôler des formations dédiées à l’utilisation des documents.</t>
  </si>
  <si>
    <t>Application</t>
  </si>
  <si>
    <t>S'assurer que l'accès aux ressources de l'application (données et transactions) est restreint par un système de gestion d'accès</t>
  </si>
  <si>
    <t>Vérifier l’existence d’un système RBAC (Role-Based Access Control) actif.</t>
  </si>
  <si>
    <t>Un système RBAC (Role-Based Access Control) est-il actif ?</t>
  </si>
  <si>
    <t>Confirmer la présence de logs d’accès aux données sensibles sur 30 jours.</t>
  </si>
  <si>
    <t>Analyser la liste des utilisateurs avec droits administrateurs (moins de 5% du total).</t>
  </si>
  <si>
    <t>Tester le rejet d’accès hors profil via un compte test.</t>
  </si>
  <si>
    <t>Un compte test a-t-il été utilisé pour vérifier le rejet d’accès hors profil ?</t>
  </si>
  <si>
    <t>Identifier une procédure de révocation des accès en cas de départ.</t>
  </si>
  <si>
    <t>Une procédure de révocation des accès en cas de départ est-elle appliquée ?</t>
  </si>
  <si>
    <t>S’assurer qu’une procédure de gestion des profils utilisateurs 
existe</t>
  </si>
  <si>
    <t>Contrôler un workflow de création/suppression de profils (outil Jira ou équivalent).</t>
  </si>
  <si>
    <t>Vérifier des traces de validation hiérarchique pour 5 profils aléatoires.</t>
  </si>
  <si>
    <t>Analyser l’existence d’un référentiel des profils types (PDF ou Excel).</t>
  </si>
  <si>
    <t>Un référentiel des profils types (PDF/Excel) est-il disponible ?</t>
  </si>
  <si>
    <t>Confirmer la réalisation d’un audit semestriel des droits.</t>
  </si>
  <si>
    <t>Un audit semestriel des droits est-il réalisé ?</t>
  </si>
  <si>
    <t>Identifier des sanctions en cas de non-respect (ex : mentions dans des PV).</t>
  </si>
  <si>
    <t>Des sanctions en cas de non-respect des procédures sont-elles documentées ?</t>
  </si>
  <si>
    <t>Vérifier que l’identification des utilisateurs est réalisée</t>
  </si>
  <si>
    <t>Tester l’impossibilité de se connecter sans identifiant unique.</t>
  </si>
  <si>
    <t>Est-il impossible de se connecter sans identifiant unique ?</t>
  </si>
  <si>
    <t>Vérifier l’absence de comptes génériques ("admin", "invité").</t>
  </si>
  <si>
    <t>Analyser l’existence d’un annuaire LDAP/Active Directory synchronisé.</t>
  </si>
  <si>
    <t>Un annuaire LDAP/Active Directory synchronisé est-il utilisé ?</t>
  </si>
  <si>
    <t>Confirmer la présence d’une procédure de réinitialisation sécurisée des identifiants.</t>
  </si>
  <si>
    <t>Une procédure sécurisée de réinitialisation des identifiants existe-t-elle ?</t>
  </si>
  <si>
    <t>Contrôler des logs de connexion avec adresses IP et horodatages.</t>
  </si>
  <si>
    <t>Les logs de connexion incluent-ils adresses IP et horodatages ?</t>
  </si>
  <si>
    <t xml:space="preserve">Vérifier qu’un mot de passe est associé à l'identifiant </t>
  </si>
  <si>
    <t>Vérifier que chaque identifiant est associé à un mot de passe unique.</t>
  </si>
  <si>
    <t>Chaque identifiant a-t-il un mot de passe unique ?</t>
  </si>
  <si>
    <t>Confirmer l’application d’une politique de complexité des mots de passe (ex : 12 caractères, majuscules, chiffres).</t>
  </si>
  <si>
    <t>Analyser des logs de connexion pour détecter des mots de passe faibles.</t>
  </si>
  <si>
    <t>Tester la réinitialisation forcée après 90 jours.</t>
  </si>
  <si>
    <t>Identifier des alertes en cas de tentative de réutilisation d’un ancien mot de passe.</t>
  </si>
  <si>
    <t>S’assurer que les tentatives de connexions infructueuses à 
l'application sont suivies</t>
  </si>
  <si>
    <t>Vérifier des logs de tentatives infructueuses sur 30 jours.</t>
  </si>
  <si>
    <t>Confirmer la présence d’un système de verrouillage après 5 échecs.</t>
  </si>
  <si>
    <t>Un système de verrouillage après 5 échecs est-il activé ?</t>
  </si>
  <si>
    <t>Analyser des alertes automatiques envoyées à l’administrateur.</t>
  </si>
  <si>
    <t>Des alertes automatiques sont-elles envoyées à l’administrateur en cas d’échecs ?</t>
  </si>
  <si>
    <t>Tester la réinitialisation manuelle par l’administrateur.</t>
  </si>
  <si>
    <t>La réinitialisation manuelle par l’administrateur a-t-elle été testée ?</t>
  </si>
  <si>
    <t>Identifier des procédures de suivi des tentatives suspectes.</t>
  </si>
  <si>
    <t>Des procédures de suivi des tentatives suspectes existent-elles ?</t>
  </si>
  <si>
    <t>S’assurer que l'accès aux données et aux transactions de 
l’application est géré</t>
  </si>
  <si>
    <t>Vérifier des logs d’accès aux transactions sensibles sur 30 jours.</t>
  </si>
  <si>
    <t>Confirmer la présence d’un système de chiffrement des données en transit.</t>
  </si>
  <si>
    <t>Analyser des procédures de validation des accès par un supérieur hiérarchique.</t>
  </si>
  <si>
    <t>Identifier des alertes en cas d’accès hors heures ouvrables.</t>
  </si>
  <si>
    <t>Vérifier l’existence de pistes d’audit sur le système 
d’administration de l’application</t>
  </si>
  <si>
    <t>Vérifier des logs d’audit des actions administratives sur 90 jours.</t>
  </si>
  <si>
    <t>Confirmer la présence d’un système de journalisation centralisé.</t>
  </si>
  <si>
    <t>Analyser des alertes automatiques pour les actions critiques (ex : suppression de données).</t>
  </si>
  <si>
    <t>Tester la traçabilité des actions via un compte administrateur.</t>
  </si>
  <si>
    <t>Identifier des procédures de revue trimestrielle des logs.</t>
  </si>
  <si>
    <t>Vérifier que tous les documents servant de base à la saisie sont 
pris en compte</t>
  </si>
  <si>
    <t>Vérifier des exemples de documents sources (ex : factures, bons de commande).</t>
  </si>
  <si>
    <t>Confirmer la présence d’un workflow de validation des documents.</t>
  </si>
  <si>
    <t>Analyser des logs de saisie pour corréler avec les documents sources.</t>
  </si>
  <si>
    <t>Tester la reprise des données après une erreur de saisie.</t>
  </si>
  <si>
    <t>Identifier des procédures de contrôle qualité des données saisies.</t>
  </si>
  <si>
    <t>S’assurer que les facilités de saisie, l’ergonomie de la saisie, les 
messages écrans et les contrôles sont mis en œuvre</t>
  </si>
  <si>
    <t>Vérifier des captures d’écran des interfaces de saisie.</t>
  </si>
  <si>
    <t>Confirmer la présence de messages d’erreur clairs et explicites.</t>
  </si>
  <si>
    <t>Analyser des tests utilisateurs pour évaluer l’ergonomie.</t>
  </si>
  <si>
    <t>Tester la validation automatique des champs obligatoires.</t>
  </si>
  <si>
    <t>Identifier des procédures de mise à jour des interfaces.</t>
  </si>
  <si>
    <t>S’assurer que les contrôles de validation des « brouillards » de 
saisie pour validation par réconciliation existent</t>
  </si>
  <si>
    <t>Vérifier des exemples de brouillards de saisie validés.</t>
  </si>
  <si>
    <t>Des exemples de brouillards de saisie validés par réconciliation sont-ils archivés ?</t>
  </si>
  <si>
    <t>Confirmer la présence d’un workflow de réconciliation.</t>
  </si>
  <si>
    <t>Un workflow de réconciliation entre les brouillards et les données finales est-il documenté ?</t>
  </si>
  <si>
    <t>Analyser des logs de validation pour corréler avec les brouillards.</t>
  </si>
  <si>
    <t>Les logs de validation des brouillards sont-ils corrélés avec les données enregistrées ?</t>
  </si>
  <si>
    <t>Tester la détection d’erreurs de saisie via des contrôles automatiques.</t>
  </si>
  <si>
    <t>Des contrôles automatiques détectent-ils les écarts lors de la réconciliation ?</t>
  </si>
  <si>
    <t>Identifier des procédures de correction des erreurs détectées.</t>
  </si>
  <si>
    <t>Une procédure de correction des erreurs détectées lors de la réconciliation est-elle appliquée ?</t>
  </si>
  <si>
    <t>Vérifier que les saisies des données « sensibles » et notamment 
les données permanentes, sont gérés</t>
  </si>
  <si>
    <t>Vérifier des logs de saisie des données sensibles sur 30 jours.</t>
  </si>
  <si>
    <t>Des logs de saisie des données sensibles sur 30 jours sont-ils conservés et chiffrés ?</t>
  </si>
  <si>
    <t>Confirmer la présence d’un système de chiffrement des données sensibles.</t>
  </si>
  <si>
    <t>Un système de chiffrement est-il activé pour les données sensibles en transit et au repos ?</t>
  </si>
  <si>
    <t>Analyser des procédures de validation par un supérieur hiérarchique.</t>
  </si>
  <si>
    <t>Les saisies de données permanentes (ex : coordonnées clients) sont-elles validées par un responsable ?</t>
  </si>
  <si>
    <t>Tester la détection d’accès non autorisés aux données sensibles.</t>
  </si>
  <si>
    <t>Des tests de détection d’accès non autorisés aux données sensibles ont-ils été réalisés ?</t>
  </si>
  <si>
    <t>Identifier des alertes en cas de modification des données sensibles.</t>
  </si>
  <si>
    <t>Des alertes sont-elles configurées pour les modifications non validées des données sensibles ?</t>
  </si>
  <si>
    <t>Vérifier que les opérations effectuées sur des données 
sensibles sont suivies</t>
  </si>
  <si>
    <t>Vérifier des logs d’opérations sur les données sensibles sur 90 jours.</t>
  </si>
  <si>
    <t>Des logs détaillant les opérations (lecture, modification, suppression) sur les données sensibles sont-ils archivés sur 90 jours ?</t>
  </si>
  <si>
    <t>Un système de journalisation centralisé capture-t-il toutes les opérations sensibles ?</t>
  </si>
  <si>
    <t>Analyser des alertes automatiques pour les opérations critiques.</t>
  </si>
  <si>
    <t>Des alertes automatiques signalent-elles les opérations critiques (ex : suppression massive) ?</t>
  </si>
  <si>
    <t>Tester la traçabilité des opérations via un compte administrateur.</t>
  </si>
  <si>
    <t>La traçabilité des opérations via un compte administrateur a-t-elle été testée ?</t>
  </si>
  <si>
    <t>Une revue mensuelle des logs d’opérations sensibles est-elle réalisée par l’équipe sécurité ?</t>
  </si>
  <si>
    <t>Vérifier l’existence des procédures de transmission de fichiers 
en entrée</t>
  </si>
  <si>
    <t>Vérifier des exemples de fichiers transmis et intégrés.</t>
  </si>
  <si>
    <t>Des exemples de fichiers transmis et intégrés à l’application sont-ils archivés avec leur documentation ?</t>
  </si>
  <si>
    <t>Confirmer la présence d’un workflow de validation des fichiers.</t>
  </si>
  <si>
    <t>Un workflow de validation des fichiers (format, contenu) avant intégration est-il appliqué ?</t>
  </si>
  <si>
    <t>Analyser des logs de transmission pour corréler avec les fichiers sources.</t>
  </si>
  <si>
    <t>Les logs de transmission sont-ils corrélés avec les fichiers sources pour vérifier leur intégrité ?</t>
  </si>
  <si>
    <t>Tester la détection d’erreurs de format ou de contenu.</t>
  </si>
  <si>
    <t>Des contrôles automatiques détectent-ils les erreurs de format ou de contenu dans les fichiers ?</t>
  </si>
  <si>
    <t>Une procédure de correction des fichiers rejetés est-elle documentée et testée ?</t>
  </si>
  <si>
    <t>S’assurer de l’effectivités des contrôles mis en œuvre lors de 
l'intégration des données par fichiers à l'application</t>
  </si>
  <si>
    <t>Vérifier des logs d’intégration de fichiers sur 30 jours.</t>
  </si>
  <si>
    <t>Des logs d’intégration de fichiers sur 30 jours montrent-ils l’application des contrôles de validation ?</t>
  </si>
  <si>
    <t>Confirmer la présence d’un système de validation des données intégrées.</t>
  </si>
  <si>
    <t>Un système de validation automatique des données intégrées (ex : vérification des champs obligatoires) est-il actif ?</t>
  </si>
  <si>
    <t>Analyser des alertes automatiques pour les erreurs d’intégration.</t>
  </si>
  <si>
    <t>Des alertes signalent-elles les erreurs d’intégration en temps réel à l’équipe technique ?</t>
  </si>
  <si>
    <t>Tester la reprise des données après une erreur d’intégration.</t>
  </si>
  <si>
    <t>Des tests de reprise des données après une erreur d’intégration ont-ils été réalisés ?</t>
  </si>
  <si>
    <t>Identifier des procédures de contrôle qualité des données intégrées.</t>
  </si>
  <si>
    <t>Des contrôles qualité aléatoires sur les données intégrées sont-ils documentés ?</t>
  </si>
  <si>
    <t>S’assurer de la conservation de toutes les données rejetées</t>
  </si>
  <si>
    <t>Vérifier des exemples de données rejetées conservées.</t>
  </si>
  <si>
    <t>Des exemples de données rejetées (fichiers, saisies) sont-ils conservés dans un archivage sécurisé ?</t>
  </si>
  <si>
    <t>Confirmer la présence d’un système d’archivage sécurisé.</t>
  </si>
  <si>
    <t>Un système d’archivage automatisé et chiffré est-il utilisé pour les données rejetées ?</t>
  </si>
  <si>
    <t>Analyser des logs de conservation pour corréler avec les données rejetées.</t>
  </si>
  <si>
    <t>Les logs de conservation des données rejetées sont-ils corrélés avec les erreurs détectées ?</t>
  </si>
  <si>
    <t>Tester la restauration des données rejetées après correction.</t>
  </si>
  <si>
    <t>Des tests de restauration des données rejetées après correction ont-ils été validés ?</t>
  </si>
  <si>
    <t>Identifier des procédures de suppression sécurisée des données obsolètes.</t>
  </si>
  <si>
    <t>Une procédure de suppression sécurisée des données rejetées obsolètes est-elle en place ?</t>
  </si>
  <si>
    <t>S’assurer qu’une analyse et correction des données rejetées est 
effectuée</t>
  </si>
  <si>
    <t>Vérifier des exemples de données rejetées analysées et corrigées.</t>
  </si>
  <si>
    <t>Des exemples de données rejetées analysées et corrigées sont-ils archivés avec les preuves de correction ?</t>
  </si>
  <si>
    <t>Confirmer la présence d’un workflow de correction.</t>
  </si>
  <si>
    <t>Un workflow de correction des données rejetées (ex : réassignation à l’équipe concernée) est-il appliqué ?</t>
  </si>
  <si>
    <t>Analyser des logs de correction pour corréler avec les données rejetées.</t>
  </si>
  <si>
    <t>Les logs de correction sont-ils corrélés avec les données rejetées pour assurer leur traçabilité ?</t>
  </si>
  <si>
    <t>Tester la réintégration des données corrigées.</t>
  </si>
  <si>
    <t>Des tests de réintégration des données corrigées ont-ils été réalisés avec succès ?</t>
  </si>
  <si>
    <t>Identifier des procédures de contrôle qualité des corrections.</t>
  </si>
  <si>
    <t>Des contrôles qualité post-correction sont-ils effectués pour valider l’exactitude des données ?</t>
  </si>
  <si>
    <t xml:space="preserve">S’assurer qu’un contrôle des corrections des données rejetées 
est effectif </t>
  </si>
  <si>
    <t>Vérifier des exemples de corrections validées.</t>
  </si>
  <si>
    <t>Des exemples de corrections validées par un responsable sont-ils archivés avec les preuves de validation ?</t>
  </si>
  <si>
    <t>Confirmer la présence d’un workflow de validation des corrections.</t>
  </si>
  <si>
    <t>Un workflow de validation des corrections (ex : double vérification) est-il documenté et appliqué ?</t>
  </si>
  <si>
    <t>Analyser des logs de validation pour corréler avec les corrections.</t>
  </si>
  <si>
    <t>Les logs de validation des corrections sont-ils analysés pour détecter les anomalies ?</t>
  </si>
  <si>
    <t>Tester la détection d’erreurs de correction via des contrôles automatiques.</t>
  </si>
  <si>
    <t>Des contrôles automatiques détectent-ils les erreurs résiduelles après correction ?</t>
  </si>
  <si>
    <t>dentifier des procédures de revue trimestrielle des corrections.</t>
  </si>
  <si>
    <t>Une revue trimestrielle des corrections est-elle réalisée pour identifier les tendances d’erreurs ?</t>
  </si>
  <si>
    <t>Vérifier que la mise à jour des données sensibles est suivie</t>
  </si>
  <si>
    <t>Vérifier des logs de mise à jour des données sensibles sur 90 jours.</t>
  </si>
  <si>
    <t>Des logs de mise à jour des données sensibles sur 90 jours sont-ils archivés et protégés ?</t>
  </si>
  <si>
    <t>Un système de journalisation centralisé enregistre-t-il toutes les modifications des données sensibles ?</t>
  </si>
  <si>
    <t>Analyser des alertes automatiques pour les mises à jour critiques.</t>
  </si>
  <si>
    <t>Des alertes automatiques signalent-elles les mises à jour critiques (ex : modifications de paramètres système) ?</t>
  </si>
  <si>
    <t>Tester la traçabilité des mises à jour via un compte administrateur.</t>
  </si>
  <si>
    <t>La traçabilité des mises à jour via un compte administrateur a-t-elle été testée ?</t>
  </si>
  <si>
    <t>Une revue mensuelle des logs de mise à jour est-elle effectuée par l’équipe sécurité ?</t>
  </si>
  <si>
    <t>S’assurer que la journalisation des mises à jour est effective</t>
  </si>
  <si>
    <t>Vérifier des logs de journalisation des mises à jour sur 90 jours.</t>
  </si>
  <si>
    <t>Des logs détaillés des mises à jour (date, auteur, nature de la modification) sont-ils conservés sur 90 jours ?</t>
  </si>
  <si>
    <t>Un système de journalisation centralisé est-il utilisé pour stocker ces logs de manière sécurisée ?</t>
  </si>
  <si>
    <t>Des alertes sont-elles configurées pour les mises à jour non autorisées ou suspectes ?</t>
  </si>
  <si>
    <t>Les administrateurs peuvent-ils retracer l’historique complet des modifications via ces logs ?</t>
  </si>
  <si>
    <t>Une procédure de revue trimestrielle des logs de mises à jour est-elle formalisée ?</t>
  </si>
  <si>
    <t>Vérifier l’existence des contrôles automatiques périodiques</t>
  </si>
  <si>
    <t>Vérifier des exemples de contrôles automatiques exécutés.</t>
  </si>
  <si>
    <t>Des exemples de contrôles automatiques exécutés (ex : vérification d’intégrité des données) sont-ils archivés ?</t>
  </si>
  <si>
    <t>Confirmer la présence d’un calendrier des contrôles périodiques.</t>
  </si>
  <si>
    <t>Un calendrier des contrôles périodiques (ex : quotidiens, hebdomadaires) est-il documenté et respecté ?</t>
  </si>
  <si>
    <t>Analyser des logs d’exécution des contrôles pour corréler avec les résultats.</t>
  </si>
  <si>
    <t>Les logs d’exécution des contrôles sont-ils corrélés avec les résultats attendus ?</t>
  </si>
  <si>
    <t>Tester la détection d’anomalies via des contrôles automatiques.</t>
  </si>
  <si>
    <t>Des tests de détection d’anomalies via ces contrôles ont-ils été réalisés avec succès ?</t>
  </si>
  <si>
    <t>Identifier des procédures de correction des anomalies détectées.</t>
  </si>
  <si>
    <t>Une procédure de correction des anomalies identifiées par les contrôles est-elle appliquée ?</t>
  </si>
  <si>
    <t>Vérifier que la couverture, le contenu et la distribution des états 
de sortie est effective</t>
  </si>
  <si>
    <t>Vérifier des exemples d’états de sortie générés.</t>
  </si>
  <si>
    <t>Des logs de génération des états de sortie montrent-ils que tous les rapports requis sont produits régulièrement ?</t>
  </si>
  <si>
    <t>Confirmer la présence d’un système de distribution automatisé.</t>
  </si>
  <si>
    <t>Les états de sortie couvrent-ils toutes les exigences métier définies dans les spécifications fonctionnelles ?</t>
  </si>
  <si>
    <t>Analyser des logs de distribution pour corréler avec les destinataires.</t>
  </si>
  <si>
    <t>Un système automatisé garantit-il la distribution des états aux destinataires prévus (ex : emails, portails sécurisés) ?</t>
  </si>
  <si>
    <t>Tester la détection d’erreurs de distribution via des contrôles automatiques.</t>
  </si>
  <si>
    <t>Des contrôles automatiques vérifient-ils l’exactitude du contenu des états (ex : totaux cohérents, données complètes) ?</t>
  </si>
  <si>
    <t>Les états sont-ils archivés avec des métadonnées (date, auteur, version) pour assurer leur traçabilité ?</t>
  </si>
  <si>
    <t>S’assurer que la revue détaillée des états disponibles et de leur 
destinataire est effective</t>
  </si>
  <si>
    <t>Vérifier des exemples d’états revus et validés.</t>
  </si>
  <si>
    <t>Une procédure formalisée de validation des états par les responsables métiers est-elle documentée et appliquée ?</t>
  </si>
  <si>
    <t>Confirmer la présence d’un workflow de validation des états.</t>
  </si>
  <si>
    <t>Des preuves de revue (ex : signatures électroniques, commentaires) sont-elles jointes aux états archivés ?</t>
  </si>
  <si>
    <t>Analyser des logs de validation pour corréler avec les destinataires.</t>
  </si>
  <si>
    <t>Les logs d’accès aux états confirment-ils que seuls les destinataires autorisés les consultent ?</t>
  </si>
  <si>
    <t>Tester la détection d’erreurs de contenu via des contrôles automatiques.</t>
  </si>
  <si>
    <t>Des écarts entre les attentes et les résultats des états sont-ils documentés et corrigés dans des délais définis ?</t>
  </si>
  <si>
    <t>La liste des destinataires est-elle mise à jour régulièrement pour refléter les changements organisationnels ?</t>
  </si>
  <si>
    <t xml:space="preserve">Vérifier que le niveau d’information et de moyen de contrôle 
adapté </t>
  </si>
  <si>
    <t>Vérifier des exemples de tableaux de bord et indicateurs clés.</t>
  </si>
  <si>
    <t>Des tableaux de bord ou indicateurs clés (KPI) sont-ils disponibles pour surveiller la qualité des états ?</t>
  </si>
  <si>
    <t>Confirmer la présence d’un système de reporting automatisé.</t>
  </si>
  <si>
    <t>Les informations fournies dans les états sont-elles alignées sur les besoins décisionnels des utilisateurs finaux ?</t>
  </si>
  <si>
    <t>Analyser des logs de génération des rapports pour corréler avec les destinataires.</t>
  </si>
  <si>
    <t>Des outils de contrôle automatisés (ex : alertes sur anomalies) sont-ils intégrés aux processus de génération des états ?</t>
  </si>
  <si>
    <t>Tester la détection d’erreurs de reporting via des contrôles automatiques.</t>
  </si>
  <si>
    <t>Les utilisateurs ont-ils été formés à interpréter et à utiliser les états pour leurs activités quotidiennes ?</t>
  </si>
  <si>
    <t>Les moyens de contrôle (ex : filtres, exports) sont-ils adaptés aux différents profils d’utilisateurs ?</t>
  </si>
  <si>
    <t>S’assurer que la distribution des états de sortie est effective</t>
  </si>
  <si>
    <t>Vérifier des exemples d’états distribués.</t>
  </si>
  <si>
    <t>Des logs de distribution (ex : emails envoyés, téléchargements) confirment-ils que les états atteignent les destinataires ?</t>
  </si>
  <si>
    <t>Un système de relance automatique est-il activé en cas d’échec de distribution ?</t>
  </si>
  <si>
    <t>Les destinataires signalent-ils régulièrement des problèmes d’accès ou de format des états ?</t>
  </si>
  <si>
    <t>Les états sensibles sont-ils distribués via des canaux sécurisés (ex : chiffrement, accès authentifié) ?</t>
  </si>
  <si>
    <t>Une procédure de secours est-elle prévue en cas d’indisponibilité du système de distribution principal ?</t>
  </si>
  <si>
    <t>Vérifier que les contrôles utilisateurs des états de sortie sont 
effectifs</t>
  </si>
  <si>
    <t>Vérifier des exemples d’états contrôlés par les utilisateurs.</t>
  </si>
  <si>
    <t>Les utilisateurs valident-ils systématiquement les états via une signature électronique ou une confirmation écrite ?</t>
  </si>
  <si>
    <t>Confirmer la présence d’un système de validation des états.</t>
  </si>
  <si>
    <t>Des retours structurés des utilisateurs sur les erreurs ou incohérences des états sont-ils collectés et traités ?</t>
  </si>
  <si>
    <t>Analyser des logs de validation pour corréler avec les utilisateurs.</t>
  </si>
  <si>
    <t>L’accès aux états est-il restreint en fonction des rôles et des besoins opérationnels des utilisateurs ?</t>
  </si>
  <si>
    <t>Des formations sur les contrôles à effectuer (ex : vérification des totaux) sont-elles dispensées aux utilisateurs ?</t>
  </si>
  <si>
    <t>Les logs d’actions utilisateur (ex : modifications, annotations) sur les états sont-ils conservés et audités ?</t>
  </si>
  <si>
    <t xml:space="preserve">S’assurer que les procédures de validation des résultats 
existent </t>
  </si>
  <si>
    <t>Vérifier des exemples de résultats validés.</t>
  </si>
  <si>
    <t>Un workflow de validation des résultats (ex : approbation hiérarchique, réconciliation comptable) est-il documenté ?</t>
  </si>
  <si>
    <t>Confirmer la présence d’un workflow de validation.</t>
  </si>
  <si>
    <t>Des preuves de validation (ex : PV de réunion, emails) sont-elles jointes aux résultats archivés ?</t>
  </si>
  <si>
    <t>Analyser des logs de validation pour corréler avec les résultats.</t>
  </si>
  <si>
    <t>Des contrôles automatiques détectent-ils les écarts entre les résultats attendus et réels ?</t>
  </si>
  <si>
    <t>Tester la détection d’erreurs de validation via des contrôles automatiques.</t>
  </si>
  <si>
    <t>Les incidents de validation sont-ils résolus selon un processus défini (ex : escalade, correction dans les 48h) ?</t>
  </si>
  <si>
    <t>Des audits internes vérifient-ils régulièrement le respect des procédures de validation ?</t>
  </si>
  <si>
    <t xml:space="preserve">Vérifier que l'homogénéisation des codifications et des règles 
de gestion est effective </t>
  </si>
  <si>
    <t>Vérifier des exemples de codifications homogènes.</t>
  </si>
  <si>
    <t>Un référentiel centralisé des codifications (ex : codes produits, comptes comptables) est-il accessible et à jour ?</t>
  </si>
  <si>
    <t>Confirmer la présence d’un référentiel des règles de gestion.</t>
  </si>
  <si>
    <t>Les règles de gestion (ex : calculs, seuils) sont-elles documentées et alignées sur les politiques métier ?</t>
  </si>
  <si>
    <t>Analyser des logs d’application des règles pour corréler avec les codifications.</t>
  </si>
  <si>
    <t>Des contrôles automatiques garantissent-ils l’uniformité des codifications dans les états et les bases de données ?</t>
  </si>
  <si>
    <t>Tester la détection d’erreurs de codification via des contrôles automatiques.</t>
  </si>
  <si>
    <t>Les utilisateurs sont-ils formés aux règles de gestion et aux codifications standardisées ?</t>
  </si>
  <si>
    <t>Des mises à jour des règles et codifications sont-elles communiquées aux parties prenantes lors des changements ?</t>
  </si>
  <si>
    <t>S’assurer que l'intégrité et l'exhaustivité des données 
transmises entre les différents modules est garantie</t>
  </si>
  <si>
    <t>Vérifier des exemples de données transmises entre modules.</t>
  </si>
  <si>
    <t>Des contrôles d’intégrité (ex : checksums, hash) sont-ils appliqués lors des transferts de données entre modules ?</t>
  </si>
  <si>
    <t>Confirmer la présence d’un système de validation des transmissions.</t>
  </si>
  <si>
    <t>Des logs de transmission montrent-ils que toutes les données sont transférées sans perte ni altération ?</t>
  </si>
  <si>
    <t>Analyser des logs de transmission pour corréler avec les données.</t>
  </si>
  <si>
    <t>Des mécanismes de réconciliation automatisée vérifient-ils la cohérence des données avant et après transfert ?</t>
  </si>
  <si>
    <t>Tester la détection d’erreurs de transmission via des contrôles automatiques.</t>
  </si>
  <si>
    <t>Les données sensibles sont-elles chiffrées pendant leur transit entre les modules ?</t>
  </si>
  <si>
    <t>Des tests de montée en charge valident-ils l’exhaustivité des données transférées dans des conditions réelles ?</t>
  </si>
  <si>
    <t>Fonction informatique</t>
  </si>
  <si>
    <t xml:space="preserve">S’assurer que les tâches relatives au développement et à 
l'exploitation de l'application sont bien suivies et documentées </t>
  </si>
  <si>
    <t>Vérifier des tickets de développement dans un outil de suivi (ex : GitLab, Jira).</t>
  </si>
  <si>
    <t>Des tickets de développement dans un outil (ex : Jira) sont-ils disponibles ?</t>
  </si>
  <si>
    <t>Confirmer la présence de spécifications techniques signées.</t>
  </si>
  <si>
    <t>Des spécifications techniques signées existent-elles ?</t>
  </si>
  <si>
    <t>Analyser des rapports de revue de code pour 3 projets récents.</t>
  </si>
  <si>
    <t>Des rapports de revue de code pour 3 projets récents sont-ils analysés ?</t>
  </si>
  <si>
    <t>Identifier un processus de validation en 4 étapes (dev → test → QA → prod).</t>
  </si>
  <si>
    <t>Un processus de validation en 4 étapes (dev → test → QA → prod) est-il appliqué ?</t>
  </si>
  <si>
    <t>Contrôler l’existence d’un manuel de déploiement.</t>
  </si>
  <si>
    <t>Un manuel de déploiement est-il disponible ?</t>
  </si>
  <si>
    <t>S’assurer que l'accès aux bibliothèques de production est 
réglementé</t>
  </si>
  <si>
    <t>Tester l’accès refusé à un utilisateur non habilité via un compte test.</t>
  </si>
  <si>
    <t>L’accès aux bibliothèques est-il refusé aux utilisateurs non habilités ?</t>
  </si>
  <si>
    <t>Vérifier des logs d’accès aux bibliothèques sur 60 jours.</t>
  </si>
  <si>
    <t>Des logs d’accès aux bibliothèques sur 60 jours sont-ils conservés ?</t>
  </si>
  <si>
    <t>Confirmer la présence d’une politique de séparation des environnements (dev/test/prod).</t>
  </si>
  <si>
    <t>Une politique de séparation des environnements (dev/test/prod) est-elle appliquée ?</t>
  </si>
  <si>
    <t>Analyser des procédures de gestion des clés SSH/API.</t>
  </si>
  <si>
    <t>Des procédures de gestion des clés SSH/API sont-elles documentées ?</t>
  </si>
  <si>
    <t>Identifier des alertes automatiques en cas d’accès non autorisé.</t>
  </si>
  <si>
    <t>Des alertes en cas d’accès non autorisé sont-elles configurées ?</t>
  </si>
  <si>
    <t>Vérifier que la maintenance de la séparation des tâches est 
effective</t>
  </si>
  <si>
    <t>Vérifier des rôles distincts pour les développeurs, testeurs et administrateurs.</t>
  </si>
  <si>
    <t>Les rôles des développeurs, testeurs et administrateurs sont-ils clairement distincts dans les documents organisationnels ?</t>
  </si>
  <si>
    <t>Confirmer l’absence de conflits d’intérêts dans les équipes.</t>
  </si>
  <si>
    <t>Aucun conflit d’intérêts n’est-il identifié dans les équipes techniques ?</t>
  </si>
  <si>
    <t>Analyser des logs d’accès pour vérifier la séparation des tâches.</t>
  </si>
  <si>
    <t>Les logs d’accès confirment-ils que les développeurs ne peuvent pas déployer en production ?</t>
  </si>
  <si>
    <t>Tester l’impossibilité d’un développeur de déployer en production.</t>
  </si>
  <si>
    <t>Un processus de révision trimestrielle des rôles et permissions est-il appliqué ?</t>
  </si>
  <si>
    <t>Identifier des procédures de révision trimestrielle des rôles.</t>
  </si>
  <si>
    <t>Des sanctions sont-elles prévues en cas de non-respect de la séparation des tâches ?</t>
  </si>
  <si>
    <t>S’assurer que l'équipe actuelle en charge de la maintenance est 
autonome et compétente</t>
  </si>
  <si>
    <t>Vérifier des CV/certifications des membres de l’équipe de maintenance.</t>
  </si>
  <si>
    <t>Les CV et certifications des membres de l’équipe de maintenance sont-ils vérifiés et à jour ?</t>
  </si>
  <si>
    <t>Confirmer la présence d’un plan de formation annuel.</t>
  </si>
  <si>
    <t>Un plan de formation annuel pour l’équipe est-il documenté et mis en œuvre ?</t>
  </si>
  <si>
    <t>Analyser des rapports de performance de l’équipe sur 12 mois.</t>
  </si>
  <si>
    <t>Des rapports de performance de l’équipe sur les 12 derniers mois sont-ils analysés ?</t>
  </si>
  <si>
    <t>Tester la résolution d’un incident critique par l’équipe.</t>
  </si>
  <si>
    <t>L’équipe a-t-elle résolu un incident critique simulé dans les délais attendus ?</t>
  </si>
  <si>
    <t>Identifier des procédures de recrutement pour renforcer l’équipe.</t>
  </si>
  <si>
    <t>Des procédures de recrutement pour renforcer l’équipe sont-elles planifiées ?</t>
  </si>
  <si>
    <t>S’assurer de l’existence de procédure formalisée et standard de 
maintenance de l’application</t>
  </si>
  <si>
    <t>Vérifier un document de procédures de maintenance signé.</t>
  </si>
  <si>
    <t>Un document de procédures de maintenance signé par la direction est-il disponible ?</t>
  </si>
  <si>
    <t>Confirmer la mise à jour des procédures (moins de 12 mois).</t>
  </si>
  <si>
    <t>Les procédures ont-elles été mises à jour il y a moins de 12 mois ?</t>
  </si>
  <si>
    <t>Analyser des logs d’interventions de maintenance sur 6 mois.</t>
  </si>
  <si>
    <t>Des logs d’interventions de maintenance sur les 6 derniers mois sont-ils archivés ?</t>
  </si>
  <si>
    <t>Tester l’application des procédures lors d’une maintenance simulée.</t>
  </si>
  <si>
    <t>Les procédures ont-elles été testées lors d’une maintenance simulée ?</t>
  </si>
  <si>
    <t>Identifier des indicateurs de performance pour la maintenance.</t>
  </si>
  <si>
    <t>Des indicateurs de performance (ex : temps de résolution) sont-ils suivis ?</t>
  </si>
  <si>
    <t>Vérifier que les nouvelles versions (développement interne, 
progiciel) sont suivies</t>
  </si>
  <si>
    <t>Vérifier des logs de déploiement des nouvelles versions sur 12 mois.</t>
  </si>
  <si>
    <t>Un historique des versions déployées (dates, notes de version) est-il documenté ?</t>
  </si>
  <si>
    <t>Confirmer la présence d’un calendrier de mise à jour.</t>
  </si>
  <si>
    <t>Un calendrier de mise à jour incluant les prochaines versions est-il partagé ?</t>
  </si>
  <si>
    <t>Analyser des rapports de tests pour chaque version déployée.</t>
  </si>
  <si>
    <t>Des rapports de tests (ex : compatibilité, performance) sont-ils produits pour chaque version ?</t>
  </si>
  <si>
    <t>Tester la réversibilité en cas d’échec d’une mise à jour.</t>
  </si>
  <si>
    <t>Une procédure de réversibilité en cas d’échec de mise à jour est-elle prévue ?</t>
  </si>
  <si>
    <t>Identifier des procédures de communication des changements aux utilisateurs.</t>
  </si>
  <si>
    <t>Les utilisateurs sont-ils informés des changements via des communications formalisées ?</t>
  </si>
  <si>
    <t>Vérifier l’existence de procédure formalisée de transfert des 
programmes entre les environnements</t>
  </si>
  <si>
    <t>Vérifier un document de procédures de transfert signé.</t>
  </si>
  <si>
    <t>Un document de procédures de transfert signé est-il accessible ?</t>
  </si>
  <si>
    <t>Confirmer la présence d’un workflow de validation des transferts.</t>
  </si>
  <si>
    <t>Un workflow de validation des transferts entre environnements est-il appliqué ?</t>
  </si>
  <si>
    <t>Analyser des logs de transferts entre environnements sur 6 mois.</t>
  </si>
  <si>
    <t>Des logs de transferts sur les 6 derniers mois sont-ils analysés pour détecter des anomalies ?</t>
  </si>
  <si>
    <t>Tester la détection d’erreurs lors d’un transfert simulé.</t>
  </si>
  <si>
    <t>La détection d’erreurs lors d’un transfert simulé a-t-elle été testée ?</t>
  </si>
  <si>
    <t>Identifier des procédures de correction des erreurs de transfert.</t>
  </si>
  <si>
    <t>Des procédures de correction des erreurs de transfert sont-elles documentées ?</t>
  </si>
  <si>
    <t>S’assurer que la documentation de l'application est effective</t>
  </si>
  <si>
    <t>Vérifier des manuels utilisateur et technique mis à jour.</t>
  </si>
  <si>
    <t>Des manuels utilisateur et technique mis à jour sont-ils disponibles dans un référentiel centralisé ?</t>
  </si>
  <si>
    <t>Confirmer la présence d’un référentiel documentaire centralisé.</t>
  </si>
  <si>
    <t>Des logs de consultation de la documentation par les équipes sont-ils conservés ?</t>
  </si>
  <si>
    <t>Analyser des logs de consultation de la documentation.</t>
  </si>
  <si>
    <t>L’accès à la documentation par les utilisateurs a-t-il été testé et validé ?</t>
  </si>
  <si>
    <t>Tester l’accès à la documentation par les utilisateurs.</t>
  </si>
  <si>
    <t>Un processus de mise à jour trimestrielle de la documentation est-il en place ?</t>
  </si>
  <si>
    <t>Identifier des procédures de mise à jour trimestrielle.</t>
  </si>
  <si>
    <t>Des formations sur l’utilisation de la documentation sont-elles organisées ?</t>
  </si>
  <si>
    <t>Vérifier que les corrections effectuées en urgence sur les 
programmes sont suivies</t>
  </si>
  <si>
    <t>Vérifier des logs de corrections urgentes sur 12 mois.</t>
  </si>
  <si>
    <t>Des logs de corrections urgentes sur les 12 derniers mois sont-ils archivés ?</t>
  </si>
  <si>
    <t>Un workflow de validation des corrections urgentes est-il respecté ?</t>
  </si>
  <si>
    <t>Analyser des rapports de tests post-correction.</t>
  </si>
  <si>
    <t>Des rapports de tests post-correction sont-ils produits et analysés ?</t>
  </si>
  <si>
    <t>Tester la réversibilité en cas d’échec d’une correction.</t>
  </si>
  <si>
    <t>Une procédure de rollback en cas d’échec d’une correction urgente est-elle prévue ?</t>
  </si>
  <si>
    <t>Identifier des procédures de communication des corrections aux utilisateurs.</t>
  </si>
  <si>
    <t>Les utilisateurs sont-ils informés des corrections via des canaux dédiés ?</t>
  </si>
  <si>
    <t>S’assurer de l’existence d'un logiciel de contrôle de programmes 
sources et de programmes exécutables</t>
  </si>
  <si>
    <t>Vérifier des logs de contrôle des programmes sur 6 mois.</t>
  </si>
  <si>
    <t>Des logs de contrôle des programmes sources et exécutables sont-ils conservés sur 6 mois ?</t>
  </si>
  <si>
    <t>Confirmer la présence d’un système de versioning (ex : Git).</t>
  </si>
  <si>
    <t>Un système de versioning (ex : Git) est-il utilisé pour gérer les modifications ?</t>
  </si>
  <si>
    <t>Analyser des rapports de conformité des programmes.</t>
  </si>
  <si>
    <t>Des rapports de conformité des programmes aux normes internes sont-ils produits ?</t>
  </si>
  <si>
    <t>Des contrôles automatiques détectent-ils les anomalies dans le code ?</t>
  </si>
  <si>
    <t>Des procédures de correction des anomalies identifiées sont-elles appliquées ?</t>
  </si>
  <si>
    <t>S’assurer que les travaux batch de l'application, qu'ils soient 
périodiques ou à la demande, sont bien suivis</t>
  </si>
  <si>
    <t>Vérifier des logs d’exécution des travaux batch sur 6 mois.</t>
  </si>
  <si>
    <t>Des logs d’exécution des travaux batch sur 6 mois sont-ils archivés et accessibles ?</t>
  </si>
  <si>
    <t>Confirmer la présence d’un calendrier des travaux batch.</t>
  </si>
  <si>
    <t>Un calendrier des travaux batch périodiques ou à la demande est-il partagé ?</t>
  </si>
  <si>
    <t>Analyser des rapports de performance des travaux batch.</t>
  </si>
  <si>
    <t>Des rapports de performance des travaux batch (ex : temps d’exécution) sont-ils analysés ?</t>
  </si>
  <si>
    <t>Tester la détection d’erreurs lors d’une exécution simulée.</t>
  </si>
  <si>
    <t>La détection d’erreurs lors d’une exécution simulée a-t-elle été testée ?</t>
  </si>
  <si>
    <t>Des procédures de correction des erreurs détectées sont-elles documentées ?</t>
  </si>
  <si>
    <t>S’assurer que l’existence d’une procédure de contrôle des 
traitements batch et d'archivage des comptes-rendus d'exécution est 
garantie</t>
  </si>
  <si>
    <t>Vérifier un document de procédures de contrôle des batch signé.</t>
  </si>
  <si>
    <t>Un document de plan de secours signé par la direction est-il disponible ?</t>
  </si>
  <si>
    <t>Le plan a-t-il été mis à jour il y a moins de 12 mois ?</t>
  </si>
  <si>
    <t>Analyser des logs d’archivage sur 6 mois.</t>
  </si>
  <si>
    <t>Des tests de restauration après sinistre ont-ils été réalisés et documentés ?</t>
  </si>
  <si>
    <t>Tester la restauration des données archivées.</t>
  </si>
  <si>
    <t>Une simulation de sinistre a-t-elle validé l’efficacité du plan ?</t>
  </si>
  <si>
    <t>Les parties prenantes sont-elles informées des résultats des tests ?</t>
  </si>
  <si>
    <t xml:space="preserve">Vérifier que la gestion des incidents en général et les procédures 
d'urgence en particulier est bien documentée </t>
  </si>
  <si>
    <t>Vérifier des logs de gestion des incidents sur 12 mois.</t>
  </si>
  <si>
    <t>Confirmer la présence d’un plan de gestion des incidents.</t>
  </si>
  <si>
    <t>Analyser des rapports de résolution des incidents critiques.</t>
  </si>
  <si>
    <t>Tester la réaction à un incident simulé.</t>
  </si>
  <si>
    <t>Identifier des procédures de communication des incidents aux parties prenantes.</t>
  </si>
  <si>
    <t>S’assurer de l’existence de la documentation d'exploitation</t>
  </si>
  <si>
    <t>Vérifier des manuels d’exploitation mis à jour.</t>
  </si>
  <si>
    <t>Un document de politique de sécurité informatique signé est-il accessible ?</t>
  </si>
  <si>
    <t>Un responsable sécurité est-il officiellement désigné et joignable ?</t>
  </si>
  <si>
    <t>Des rapports trimestriels sur la conformité à la politique de sécurité sont-ils produits ?</t>
  </si>
  <si>
    <t>Tester l’accès à la documentation par les équipes d’exploitation.</t>
  </si>
  <si>
    <t>Une simulation de faille de sécurité a-t-elle testé la réactivité des équipes ?</t>
  </si>
  <si>
    <t>La politique de sécurité est-elle revue annuellement pour intégrer les nouveaux risques ?</t>
  </si>
  <si>
    <t>S’assurer de l’existence et l’application d’un Contrat de Service ( SLA)</t>
  </si>
  <si>
    <t>Vérifier un document SLA signé.</t>
  </si>
  <si>
    <t>Des logs d’accès aux commandes système sur 6 mois sont-ils analysés ?</t>
  </si>
  <si>
    <t>Confirmer la mise à jour du SLA (moins de 12 mois).</t>
  </si>
  <si>
    <t>Un système de contrôle d’accès (ex : RBAC, MFA) est-il activé pour les ressources critiques ?</t>
  </si>
  <si>
    <t>Analyser des rapports de performance par rapport au SLA.</t>
  </si>
  <si>
    <t>Des alertes automatiques signalent-elles les tentatives d’accès non autorisées ?</t>
  </si>
  <si>
    <t>Tester la réaction en cas de non-respect du SLA.</t>
  </si>
  <si>
    <t>La révocation des accès en cas de départ d’un employé est-elle appliquée dans les 24h ?</t>
  </si>
  <si>
    <t>Identifier des procédures de renégociation du SLA.</t>
  </si>
  <si>
    <t>Des audits trimestriels vérifient-ils la conformité des droits d’accès ?</t>
  </si>
  <si>
    <t>S’assurer que les engagements de service et la mesure 
rigoureuse du niveau de service sont respectés</t>
  </si>
  <si>
    <t>Vérifier des rapports de performance sur 12 mois.</t>
  </si>
  <si>
    <t>Des rapports mensuels/trimestriels comparant les performances réelles aux engagements du contrat de service (SLA) sont-ils disponibles ?</t>
  </si>
  <si>
    <t>Confirmer la présence d’indicateurs clés de performance (KPI).</t>
  </si>
  <si>
    <t>Des indicateurs clés (ex : disponibilité, temps de réponse) sont-ils mesurés et alignés sur le SLA ?</t>
  </si>
  <si>
    <t xml:space="preserve"> des logs de suivi des engagements de service.</t>
  </si>
  <si>
    <t>Existe-t-il un processus formalisé pour traiter les écarts par rapport aux engagements (ex : compensations, actions correctives) ?</t>
  </si>
  <si>
    <t>Tester la réaction en cas de dégradation du niveau de service.</t>
  </si>
  <si>
    <t>Les parties prenantes sont-elles informées régulièrement des résultats par rapport au SLA ?</t>
  </si>
  <si>
    <t>Identifier des procédures d’amélioration continue.</t>
  </si>
  <si>
    <t>Des audits internes vérifient-ils le respect des engagements de service ?</t>
  </si>
  <si>
    <t>S’assurer que le niveau de service est effectué par l’analyse des 
tableaux de bord</t>
  </si>
  <si>
    <t>Vérifier des tableaux de bord mis à jour.</t>
  </si>
  <si>
    <t>Des tableaux de bord incluant des KPI (ex : disponibilité, incidents résolus) sont-ils mis à jour en temps réel ?</t>
  </si>
  <si>
    <t>Les équipes techniques et métiers ont-elles accès à ces tableaux de bord et les utilisent-elles pour prendre des décisions ?</t>
  </si>
  <si>
    <t>Analyser des logs de consultation des tableaux de bord.</t>
  </si>
  <si>
    <t>Des alertes automatisées sont-elles configurées pour signaler les déviations critiques ?</t>
  </si>
  <si>
    <t>Tester la réaction à une alerte de dégradation du service.</t>
  </si>
  <si>
    <t>Les données des tableaux de bord sont-elles corrélées avec les rapports de performance du SLA ?</t>
  </si>
  <si>
    <t>Identifier des procédures de communication des résultats aux parties prenantes.</t>
  </si>
  <si>
    <t>Une revue mensuelle des tableaux de bord avec la direction est-elle organisée ?</t>
  </si>
  <si>
    <t>Vérifier que les procédures de sauvegarde et de reprise de 
l’application sont effectives</t>
  </si>
  <si>
    <t>Vérifier des logs de sauvegarde sur 6 mois.</t>
  </si>
  <si>
    <t>Un plan de reprise après sinistre (PRA) documenté et approuvé est-il disponible ?</t>
  </si>
  <si>
    <t>Confirmer la présence d’un plan de reprise après sinistre (PRA).</t>
  </si>
  <si>
    <t>Des tests de restauration complets ont-ils été réalisés au moins une fois par an ?</t>
  </si>
  <si>
    <t>Analyser des rapports de tests de restauration.</t>
  </si>
  <si>
    <t>Les sauvegardes incluent-elles toutes les données critiques (ex : bases de données, configurations) ?</t>
  </si>
  <si>
    <t>Tester la restauration des données après une simulation de sinistre.</t>
  </si>
  <si>
    <t>Les sauvegardes sont-elles stockées hors site et chiffrées pour éviter les pertes ?</t>
  </si>
  <si>
    <t>Identifier des procédures de mise à jour du PRA.</t>
  </si>
  <si>
    <t>Existe-t-il un délai maximum défini (RTO/RPO) et validé par les parties prenantes ?</t>
  </si>
  <si>
    <t>Vérifier que les sauvegardes sont effectives</t>
  </si>
  <si>
    <t>Des logs de sauvegarde sur les 6 derniers mois confirment-ils leur exécution régulière ?</t>
  </si>
  <si>
    <t>Confirmer la présence d’un système de sauvegarde automatisé.</t>
  </si>
  <si>
    <t>Un système automatisé garantit-il la réalisation des sauvegardes sans intervention manuelle ?</t>
  </si>
  <si>
    <t>Des tests partiels de restauration sont-ils effectués trimestriellement pour valider l’intégrité des sauvegardes ?</t>
  </si>
  <si>
    <t>Les sauvegardes sont-elles protégées contre les modifications ou suppressions non autorisées ?</t>
  </si>
  <si>
    <t>Identifier des procédures de contrôle qualité des sauvegardes.</t>
  </si>
  <si>
    <t>Des alertes signalent-elles les échecs de sauvegarde en temps réel ?</t>
  </si>
  <si>
    <t>S’assurer de l’existence d'un plan de secours en adéquation 
avec les besoins et les enjeux</t>
  </si>
  <si>
    <t>Vérifier un document de plan de secours signé.</t>
  </si>
  <si>
    <t>Le plan de secours couvre-t-il tous les scénarios critiques identifiés (ex : cyberattaque, panne matérielle) ?</t>
  </si>
  <si>
    <t>Confirmer la mise à jour du plan (moins de 12 mois).</t>
  </si>
  <si>
    <t>Les besoins métiers (ex : RTO, RPO) sont-ils clairement intégrés dans le plan ?</t>
  </si>
  <si>
    <t>Analyser des rapports de tests du plan de secours.</t>
  </si>
  <si>
    <t>Le plan a-t-il été validé par la direction et les parties prenantes métiers ?</t>
  </si>
  <si>
    <t>Tester la réaction à une simulation de sinistre.</t>
  </si>
  <si>
    <t>Des ressources budgétaires et humaines sont-elles allouées pour maintenir le plan à jour ?</t>
  </si>
  <si>
    <t>Le plan inclut-il des contacts d’urgence et des procédures de communication en cas de crise ?</t>
  </si>
  <si>
    <t xml:space="preserve">S’assurer que des tests et mises à jour du plan sont effectifs ; </t>
  </si>
  <si>
    <t>Vérifier des logs de tests du plan de secours sur 12 mois.</t>
  </si>
  <si>
    <t>Des tests complets du plan de secours ont-ils été réalisés au moins une fois par an ?</t>
  </si>
  <si>
    <t>Confirmer la présence d’un calendrier de tests.</t>
  </si>
  <si>
    <t>Les résultats des tests sont-ils documentés et partagés avec les parties prenantes ?</t>
  </si>
  <si>
    <t>Analyser des rapports de performance des tests.</t>
  </si>
  <si>
    <t>Les lacunes identifiées lors des tests ont-elles été corrigées dans une version mise à jour du plan ?</t>
  </si>
  <si>
    <t>Le plan est-il revu et actualisé après chaque changement majeur dans l’infrastructure ou les processus ?</t>
  </si>
  <si>
    <t>Identifier des procédures de mise à jour du plan de secours.</t>
  </si>
  <si>
    <t>Une formation annuelle sur le plan de secours est-elle dispensée aux équipes concernées ?</t>
  </si>
  <si>
    <t>Vérifier la présence de responsable sécurité et d’une politique 
formalisée en matière de sécurité informatique</t>
  </si>
  <si>
    <t>Vérifier un document de politique de sécurité signé.</t>
  </si>
  <si>
    <t>Un responsable sécurité (CISO ou équivalent) est-il officiellement désigné et joignable ?</t>
  </si>
  <si>
    <t>Confirmer la présence d’un responsable sécurité désigné.</t>
  </si>
  <si>
    <t>Une politique de sécurité informatique signée par la direction est-elle accessible à tous les employés ?</t>
  </si>
  <si>
    <t>Analyser des rapports de performance de la sécurité.</t>
  </si>
  <si>
    <t>La politique inclut-elle des règles claires sur la gestion des accès, des données sensibles et des incidents ?</t>
  </si>
  <si>
    <t>Tester la réaction à une simulation de faille de sécurité.</t>
  </si>
  <si>
    <t>Des formations obligatoires sur la politique de sécurité sont-elles dispensées annuellement ?</t>
  </si>
  <si>
    <t>Identifier des procédures de mise à jour de la politique de sécurité.</t>
  </si>
  <si>
    <t>La politique est-elle mise à jour pour refléter les nouvelles menaces (ex : cybermenaces, RGPD) ?</t>
  </si>
  <si>
    <t xml:space="preserve">
Vérifier que les accès aux commandes système, aux 
bibliothèques et bases de données de production sont réglementés </t>
  </si>
  <si>
    <t>Vérifier des logs d’accès aux commandes système sur 6 mois.</t>
  </si>
  <si>
    <t>Confirmer la présence d’un système de contrôle d’accès.</t>
  </si>
  <si>
    <t>Seuls les utilisateurs autorisés disposent-ils de droits d’administration sur les environnements de production ?</t>
  </si>
  <si>
    <t>Analyser des alertes automatiques pour les accès non autorisés.</t>
  </si>
  <si>
    <t>Des logs d’accès aux commandes système et bases de données sont-ils conservés et analysés mensuellement ?</t>
  </si>
  <si>
    <t>Tester la réaction à une tentative d’accès non autorisé.</t>
  </si>
  <si>
    <t>Les accès sont-ils révoqués immédiatement en cas de départ d’un employé ou changement de rôle ?</t>
  </si>
  <si>
    <t>Identifier des procédures de révocation des accès en cas de départ.</t>
  </si>
  <si>
    <t xml:space="preserve">
S’assurer que les accès aux logiciels de base et utilitaires 
sensibles sont réglementés</t>
  </si>
  <si>
    <t>Vérifier des logs d’accès aux utilitaires sensibles sur 6 mois.</t>
  </si>
  <si>
    <t>Une liste des utilitaires sensibles (ex : outils de diagnostic, scripts) est-elle maintenue à jour ?</t>
  </si>
  <si>
    <t>L’accès à ces outils est-il limité aux personnels habilités (ex : équipe d’administration) ?</t>
  </si>
  <si>
    <t>Des logs d’utilisation des utilitaires sensibles sont-ils archivés et audités ?</t>
  </si>
  <si>
    <t>Des alertes sont-elles configurées pour détecter les utilisations non autorisées ?</t>
  </si>
  <si>
    <t>Les droits d’accès sont-ils révisés semestriellement pour éviter les privilèges excessifs ?</t>
  </si>
  <si>
    <t>Vérifier l’existence des procédures de contrôle périodique des 
accès aux ressources de l'application</t>
  </si>
  <si>
    <t>Vérifier des logs de contrôle des accès sur 6 mois.</t>
  </si>
  <si>
    <t>Des procédures écrites détaillant les contrôles d’accès périodiques sont-elles disponibles ?</t>
  </si>
  <si>
    <t>Confirmer la présence d’un calendrier de contrôles périodiques.</t>
  </si>
  <si>
    <t>Un calendrier de contrôles (ex : trimestriels) est-il respecté et documenté ?</t>
  </si>
  <si>
    <t>Analyser des rapports de performance des contrôles.</t>
  </si>
  <si>
    <t>Des rapports de contrôle incluant les anomalies détectées et les corrections appliquées sont-ils produits ?</t>
  </si>
  <si>
    <t>Les contrôles incluent-ils une vérification des comptes inactifs ou obsolètes ?</t>
  </si>
  <si>
    <t>Les résultats des contrôles sont-ils présentés à la direction pour validation ?</t>
  </si>
  <si>
    <t>Adéquation de l'application aux besoins</t>
  </si>
  <si>
    <t>Vérifier qu’un Schéma-directeur du système d’information 
existe et est à jour</t>
  </si>
  <si>
    <t>Vérifier un document "Schéma-directeur du SI" approuvé et daté de moins de 12 mois.</t>
  </si>
  <si>
    <t>Un Schéma-directeur du SI approuvé et daté de moins de 12 mois est-il disponible ?</t>
  </si>
  <si>
    <t>Confirmer l’alignement du schéma-directeur avec la stratégie métier de l’entreprise.</t>
  </si>
  <si>
    <t>Le schéma-directeur est-il aligné sur la stratégie métier de l’entreprise ?</t>
  </si>
  <si>
    <t>Analyser des preuves de mise à jour annuelle du schéma-directeur.</t>
  </si>
  <si>
    <t>Des preuves de mise à jour annuelle du schéma-directeur existent-elles ?</t>
  </si>
  <si>
    <t>Identifier des preuves de diffusion du schéma-directeur aux parties prenantes.</t>
  </si>
  <si>
    <t>Le schéma-directeur a-t-il été diffusé aux parties prenantes ?</t>
  </si>
  <si>
    <t>Contrôler des preuves de formation des équipes sur le schéma-directeur.</t>
  </si>
  <si>
    <t>Des formations sur le schéma-directeur ont-elles été dispensées aux équipes ?</t>
  </si>
  <si>
    <t>S’assurer qu’une évaluation de l’alignement stratégique de 
l’application avec les orientation de l’entreprise a été réalisée</t>
  </si>
  <si>
    <t>Vérifier un rapport d’évaluation de l’alignement stratégique approuvé.</t>
  </si>
  <si>
    <t>Un rapport d’évaluation de l’alignement stratégique, approuvé par la direction, est-il disponible ?</t>
  </si>
  <si>
    <t>Confirmer des comparaisons entre les objectifs métiers et les fonctionnalités de l’application.</t>
  </si>
  <si>
    <t>Les fonctionnalités de l’application ont-elles été comparées aux objectifs métiers définis dans la stratégie de l’entreprise ?</t>
  </si>
  <si>
    <t>Analyser des indicateurs de performance liés à l’alignement (ex : satisfaction utilisateur).</t>
  </si>
  <si>
    <t>Des indicateurs de performance (ex : contribution aux KPI métiers) sont-ils utilisés pour mesurer l’alignement ?</t>
  </si>
  <si>
    <t>Identifier des plans d’amélioration basés sur l’évaluation.</t>
  </si>
  <si>
    <t>Existe-t-il un plan d’amélioration pour corriger les écarts identifiés lors de l’évaluation ?</t>
  </si>
  <si>
    <t>Contrôler des preuves de communication des résultats aux parties prenantes.</t>
  </si>
  <si>
    <t>Les résultats de l’évaluation ont-ils été communiqués aux parties prenantes (direction, utilisateurs clés) ?</t>
  </si>
  <si>
    <t>S’assurer que la définition des spécifications ou les critères de 
choix de la solution a été clairement établie</t>
  </si>
  <si>
    <t>Vérifier un document de spécifications fonctionnelles signé.</t>
  </si>
  <si>
    <t>Un document de spécifications fonctionnelles ou techniques, signé par les parties prenantes, est-il archivé ?</t>
  </si>
  <si>
    <t>Confirmer des critères de choix clairement définis (ex : coût, fonctionnalités, support).</t>
  </si>
  <si>
    <t>Les critères de choix de la solution (ex : coût, évolutivité, support) sont-ils formalisés et hiérarchisés ?</t>
  </si>
  <si>
    <t>Analyser des preuves de consultation des utilisateurs lors de la définition des spécifications.</t>
  </si>
  <si>
    <t>Des preuves de consultation des utilisateurs lors de la définition des spécifications existent-elles (ex : réunions, sondages) ?</t>
  </si>
  <si>
    <t>Identifier des plans de mise à jour des spécifications en fonction des besoins évolutifs.</t>
  </si>
  <si>
    <t>Un processus de mise à jour des spécifications en fonction des besoins évolutifs est-il documenté ?</t>
  </si>
  <si>
    <t>Contrôler des preuves de validation des spécifications par les parties prenantes.</t>
  </si>
  <si>
    <t>Les spécifications ont-elles été validées par un comité de pilotage ou la direction ?</t>
  </si>
  <si>
    <t>Vérifier que les tâches des utilisateurs dans l’application sont 
clairement définies</t>
  </si>
  <si>
    <t>Vérifier des fiches de poste ou des manuels utilisateur détaillant les tâches.</t>
  </si>
  <si>
    <t>Des fiches de poste ou manuels utilisateur détaillant les tâches spécifiques dans l’application sont-ils accessibles ?</t>
  </si>
  <si>
    <t>Confirmer des retours d’expérience des utilisateurs sur la clarté des tâches.</t>
  </si>
  <si>
    <t>Les utilisateurs confirment-ils, via des retours formels, que leurs tâches sont claires et alignées sur l’application ?</t>
  </si>
  <si>
    <t>Analyser des indicateurs de performance liés aux tâches (ex : productivité).</t>
  </si>
  <si>
    <t>Des indicateurs de performance (ex : temps de traitement, erreurs réduites) sont-ils utilisés pour évaluer l’efficacité des tâches ?</t>
  </si>
  <si>
    <t>Identifier des plans de formation des utilisateurs sur les tâches définies.</t>
  </si>
  <si>
    <t>Existe-t-il un plan de formation pour les utilisateurs sur les tâches critiques ?</t>
  </si>
  <si>
    <t>Contrôler des preuves de mise à jour des tâches en fonction des besoins évolutifs.</t>
  </si>
  <si>
    <t>Les tâches sont-elles revues et mises à jour lors des évolutions de l’application ?</t>
  </si>
  <si>
    <t>Vérifier que des systèmes parallèles sont maintenus en activité</t>
  </si>
  <si>
    <t>Vérifier des logs d’activité des systèmes parallèles sur 6 mois.</t>
  </si>
  <si>
    <t>Des logs d’activité des systèmes parallèles (ex : anciens systèmes, solutions de secours) sur les 6 derniers mois sont-ils disponibles ?</t>
  </si>
  <si>
    <t>Confirmer des tests de performance des systèmes parallèles.</t>
  </si>
  <si>
    <t>Des tests de performance des systèmes parallèles ont-ils été réalisés pour garantir leur fonctionnalité ?</t>
  </si>
  <si>
    <t>Analyser des indicateurs de performance comparatifs entre l’application et les systèmes parallèles.</t>
  </si>
  <si>
    <t>Des indicateurs comparatifs (ex : temps de réponse, disponibilité) entre l’application et les systèmes parallèles sont-ils analysés ?</t>
  </si>
  <si>
    <t>Identifier des plans de migration des systèmes parallèles vers l’application.</t>
  </si>
  <si>
    <t>Existe-t-il un plan de migration ou de retrait progressif des systèmes parallèles ?</t>
  </si>
  <si>
    <t>Contrôler des preuves de formation des utilisateurs sur les systèmes parallèles.</t>
  </si>
  <si>
    <t>Les utilisateurs sont-ils formés à l’utilisation des systèmes parallèles en cas de défaillance de l’application principale ?</t>
  </si>
  <si>
    <t>S’assurer qu’une évaluation de l’évaluation de l’adéquation aux 
besoins des utilisateurs a été réalisée</t>
  </si>
  <si>
    <t>Vérifier un rapport d’évaluation de l’adéquation aux besoins des utilisateurs.</t>
  </si>
  <si>
    <t>Un rapport d’évaluation de l’adéquation de l’application aux besoins utilisateurs est-il disponible et approuvé ?</t>
  </si>
  <si>
    <t>Confirmer des retours d’expérience des utilisateurs sur l’adéquation.</t>
  </si>
  <si>
    <t>Des enquêtes de satisfaction ou des retours utilisateurs structurés ont-ils été collectés et analysés ?</t>
  </si>
  <si>
    <t>Analyser des indicateurs de performance liés à l’adéquation (ex : taux d’adoption).</t>
  </si>
  <si>
    <t>Des indicateurs de performance utilisateur (ex : taux d’adoption, productivité) sont-ils suivis pour valider l’adéquation ?</t>
  </si>
  <si>
    <t>Identifier des plans d’amélioration basés sur les retours des utilisateurs.</t>
  </si>
  <si>
    <t>Existe-t-il un plan d’action priorisé pour répondre aux besoins non couverts identifiés lors de l’évaluation ?</t>
  </si>
  <si>
    <t>Les résultats de l’évaluation ont-ils été partagés avec les utilisateurs et les équipes techniques ?</t>
  </si>
  <si>
    <t xml:space="preserve">Performance et de la rentabilité </t>
  </si>
  <si>
    <t xml:space="preserve">Vérifier qu’une évaluation de la rentabilité existe </t>
  </si>
  <si>
    <t>Vérifier un rapport ROI (Return on Investment) avec calculs détaillés.</t>
  </si>
  <si>
    <t>Un rapport ROI avec calculs détaillés est-il disponible ?</t>
  </si>
  <si>
    <t>Confirmer la comparaison avec des benchmarks sectoriels.</t>
  </si>
  <si>
    <t>Des comparaisons avec des benchmarks sectoriels sont-elles incluses ?</t>
  </si>
  <si>
    <t>Analyser des indicateurs de performance (ex : temps de traitement réduit de 30%).</t>
  </si>
  <si>
    <t>Des indicateurs de performance (ex : temps de traitement réduit de 30%) sont-ils analysés ?</t>
  </si>
  <si>
    <t>Identifier un suivi trimestriel des coûts d’exploitation.</t>
  </si>
  <si>
    <t>Un suivi trimestriel des coûts d’exploitation est-il réalisé ?</t>
  </si>
  <si>
    <t>Contrôler des preuves de gains financiers (ex : factures avant/après).</t>
  </si>
  <si>
    <t>Des preuves de gains financiers (ex : factures avant/après) sont-elles disponibles ?</t>
  </si>
  <si>
    <t xml:space="preserve">S’assurer qu’une intégration des coûts de déploiement a été 
réalisée </t>
  </si>
  <si>
    <t>Vérifier un rapport détaillant les coûts de déploiement (ex : matériel, logiciel, formation).</t>
  </si>
  <si>
    <t>Un rapport détaillant les coûts de déploiement (matériel, logiciel, formation) est-il accessible ?</t>
  </si>
  <si>
    <t>Confirmer des comparaisons avec les prévisions budgétaires initiales.</t>
  </si>
  <si>
    <t>Les coûts réels ont-ils été comparés aux prévisions budgétaires initiales ?</t>
  </si>
  <si>
    <t>Analyser des indicateurs de performance liés aux coûts (ex : dépassement budgétaire).</t>
  </si>
  <si>
    <t>Des indicateurs de dépassement budgétaire ou d’économies sont-ils suivis mensuellement ?</t>
  </si>
  <si>
    <t>Identifier un suivi mensuel des coûts de déploiement.</t>
  </si>
  <si>
    <t>Des preuves de négociations avec les fournisseurs pour réduire les coûts existent-elles ?</t>
  </si>
  <si>
    <t>Contrôler des preuves de réduction des coûts (ex : négociations avec les fournisseurs).</t>
  </si>
  <si>
    <t>Les coûts de déploiement sont-ils intégrés aux rapports financiers globaux de l’organisation ?</t>
  </si>
  <si>
    <t>S’assurer qu’une étude sérieuse des offres du marché a été 
réalisée</t>
  </si>
  <si>
    <t>Vérifier un rapport d’analyse comparative des offres du marché.</t>
  </si>
  <si>
    <t>Un rapport d’analyse comparative des offres du marché est-il disponible et approuvé ?</t>
  </si>
  <si>
    <t>Confirmer des critères de sélection clairement définis (ex : coût, fonctionnalités, support).</t>
  </si>
  <si>
    <t>Les critères de sélection (coût, fonctionnalités, support) sont-ils clairement définis et documentés ?</t>
  </si>
  <si>
    <t>Analyser des preuves de consultation des fournisseurs (ex : appels d’offres, réunions).</t>
  </si>
  <si>
    <t>Des preuves de consultation des fournisseurs (appels d’offres, réunions) existent-elles ?</t>
  </si>
  <si>
    <t>Identifier des retours d’expérience des utilisateurs sur les offres sélectionnées.</t>
  </si>
  <si>
    <t>Les retours des utilisateurs sur les solutions testées ont-ils été intégrés à l’étude ?</t>
  </si>
  <si>
    <t>Contrôler des preuves de négociation avec les fournisseurs (ex : contrats signés).</t>
  </si>
  <si>
    <t>Les contrats signés avec les fournisseurs reflètent-ils les conclusions de l’étude ?</t>
  </si>
  <si>
    <t>Vérifier que les délais de mise en œuvre de l’application ont été 
pris en compte</t>
  </si>
  <si>
    <t>Vérifier un calendrier de mise en œuvre avec des échéances claires.</t>
  </si>
  <si>
    <t>Un calendrier de mise en œuvre avec des jalons clairs est-il partagé avec les parties prenantes ?</t>
  </si>
  <si>
    <t>Confirmer des rapports de suivi des délais (ex : retards, avancements).</t>
  </si>
  <si>
    <t>Des rapports de suivi des délais (retards, avancements) sont-ils mis à jour régulièrement ?</t>
  </si>
  <si>
    <t>Analyser des indicateurs de performance liés aux délais (ex : respect des deadlines).</t>
  </si>
  <si>
    <t>Des indicateurs de respect des deadlines (ex : % de tâches achevées à temps) sont-ils analysés ?</t>
  </si>
  <si>
    <t>Identifier des plans de rattrapage en cas de retard.</t>
  </si>
  <si>
    <t>Existe-t-il un plan de rattrapage formalisé en cas de retard significatif ?</t>
  </si>
  <si>
    <t>Contrôler des preuves de communication des délais aux parties prenantes.</t>
  </si>
  <si>
    <t>Les utilisateurs confirment-ils que les délais annoncés sont réalistes et respectés ?</t>
  </si>
  <si>
    <t>S’assurer qu’un bilan post-projet a été réalisé</t>
  </si>
  <si>
    <t>Vérifier un rapport de bilan post-projet avec des conclusions claires.</t>
  </si>
  <si>
    <t>Un rapport de bilan post-projet incluant des conclusions claires est-il disponible ?</t>
  </si>
  <si>
    <t>Confirmer des comparaisons avec les objectifs initiaux (ex : coûts, délais, fonctionnalités).</t>
  </si>
  <si>
    <t>Les résultats finaux (coûts, délais, fonctionnalités) ont-ils été comparés aux objectifs initiaux ?</t>
  </si>
  <si>
    <t>Analyser des indicateurs de performance post-projet (ex : satisfaction utilisateur).</t>
  </si>
  <si>
    <t>Des indicateurs de satisfaction utilisateur post-déploiement sont-ils collectés et analysés ?</t>
  </si>
  <si>
    <t>Identifier des plans d’amélioration basés sur le bilan.</t>
  </si>
  <si>
    <t>Des plans d’amélioration continue ont-ils été élaborés à partir des enseignements du bilan ?</t>
  </si>
  <si>
    <t>Contrôler des preuves de diffusion du bilan aux parties prenantes.</t>
  </si>
  <si>
    <t>Le bilan a-t-il été présenté aux parties prenantes (direction, équipes techniques, utilisateurs) ?</t>
  </si>
  <si>
    <t xml:space="preserve">Vérifier qu’une analyse de la réduction des charges a été 
effectuée </t>
  </si>
  <si>
    <t>Vérifier un rapport détaillant les économies réalisées (ex : réduction des coûts opérationnels).</t>
  </si>
  <si>
    <t>Un rapport détaillant les économies réalisées (ex : coûts opérationnels réduits) est-il disponible ?</t>
  </si>
  <si>
    <t>Confirmer des comparaisons avec les prévisions initiales.</t>
  </si>
  <si>
    <t>Les économies réelles ont-elles été comparées aux prévisions initiales ?</t>
  </si>
  <si>
    <t>Analyser des indicateurs de performance liés aux économies (ex : ROI, temps de traitement).</t>
  </si>
  <si>
    <t>Des indicateurs de performance (ex : temps gagné, productivité accrue) sont-ils mesurés ?</t>
  </si>
  <si>
    <t>Identifier des plans de réduction des charges à long terme.</t>
  </si>
  <si>
    <t>Un plan de réduction des charges à long terme est-il documenté et partagé ?</t>
  </si>
  <si>
    <t>Contrôler des preuves de mise en œuvre des mesures d’économie.</t>
  </si>
  <si>
    <t>Des preuves de mise en œuvre des mesures d’économie (ex : automatisation) existent-elles ?</t>
  </si>
  <si>
    <t xml:space="preserve">Vérifier que des améliorations non quantifiables ont été pris en 
compte </t>
  </si>
  <si>
    <t>Vérifier un rapport détaillant les améliorations qualitatives (ex : satisfaction utilisateur).</t>
  </si>
  <si>
    <t>Un rapport détaillant les gains qualitatifs (ex : satisfaction utilisateur, ergonomie) est-il disponible ?</t>
  </si>
  <si>
    <t>Confirmer des retours d’expérience des utilisateurs sur les améliorations.</t>
  </si>
  <si>
    <t>Des enquêtes de satisfaction utilisateur ont-elles été menées pour évaluer ces améliorations ?</t>
  </si>
  <si>
    <t>Analyser des indicateurs de performance qualitatifs (ex : feedback, taux d’adoption).</t>
  </si>
  <si>
    <t>Des indicateurs qualitatifs (ex : taux d’adoption, feedback) sont-ils suivis et analysés ?</t>
  </si>
  <si>
    <t>Identifier des plans d’amélioration continue basés sur les retours.</t>
  </si>
  <si>
    <t>Existe-t-il un plan d’amélioration continue basé sur ces retours non quantifiables ?</t>
  </si>
  <si>
    <t>Contrôler des preuves de mise en œuvre des améliorations.</t>
  </si>
  <si>
    <t>Les équipes ont-elles été formées pour maximiser ces améliorations qualitatives ?</t>
  </si>
  <si>
    <t>S’assurer qu’une réingénierie des processus est disponible</t>
  </si>
  <si>
    <t>Vérifier un document de réingénierie des processus signé.</t>
  </si>
  <si>
    <t>Un document de réingénierie des processus signé par la direction est-il accessible ?</t>
  </si>
  <si>
    <t>Confirmer des comparaisons avec les processus existants (ex : gains d’efficacité).</t>
  </si>
  <si>
    <t>Les gains d’efficacité post-réingénierie (ex : temps de traitement réduit) sont-ils mesurés ?</t>
  </si>
  <si>
    <t>Analyser des indicateurs de performance liés aux nouveaux processus (ex : temps de traitement).</t>
  </si>
  <si>
    <t>Des formations sur les nouveaux processus ont-elles été dispensées aux équipes ?</t>
  </si>
  <si>
    <t>Identifier des plans de formation des équipes sur les nouveaux processus.</t>
  </si>
  <si>
    <t>Des indicateurs de performance (ex : erreurs réduites, productivité) sont-ils suivis ?</t>
  </si>
  <si>
    <t>Contrôler des preuves de mise en œuvre des nouveaux processus.</t>
  </si>
  <si>
    <t>Des preuves de mise en œuvre des processus optimisés (ex : logs, rapports) existent-elles ?</t>
  </si>
  <si>
    <t>Vérifier que les processus métiers ont été pris en compte</t>
  </si>
  <si>
    <t>Vérifier un rapport d’alignement des processus métiers avec l’application.</t>
  </si>
  <si>
    <t>Un rapport d’alignement des processus métiers avec l’application est-il disponible ?</t>
  </si>
  <si>
    <t>Confirmer des retours d’expérience des utilisateurs sur l’alignement.</t>
  </si>
  <si>
    <t>Les utilisateurs confirment-ils que l’application répond à leurs besoins opérationnels ?</t>
  </si>
  <si>
    <t>Analyser des indicateurs de performance liés aux processus métiers (ex : productivité).</t>
  </si>
  <si>
    <t>Des indicateurs de performance métier (ex : productivité, qualité) sont-ils analysés ?</t>
  </si>
  <si>
    <t>Identifier des plans d’amélioration des processus métiers.</t>
  </si>
  <si>
    <t>Existe-t-il un plan d’amélioration des processus métiers basé sur les retours utilisateurs ?</t>
  </si>
  <si>
    <t>Des audits réguliers vérifient-ils la cohérence entre l’application et les processus métiers ?</t>
  </si>
  <si>
    <t>S’assurer que les traitements ont été pris en compte</t>
  </si>
  <si>
    <t>Vérifier un rapport détaillant les traitements automatisés par l’application.</t>
  </si>
  <si>
    <t>Un rapport détaillant les traitements automatisés par l’application est-il disponible ?</t>
  </si>
  <si>
    <t>Confirmer des comparaisons avec les traitements manuels précédents (ex : gains de temps).</t>
  </si>
  <si>
    <t>Les gains liés à l’automatisation (ex : réduction d’erreurs, temps gagné) sont-ils quantifiés ?</t>
  </si>
  <si>
    <t>Analyser des indicateurs de performance liés aux traitements (ex : erreurs réduites).</t>
  </si>
  <si>
    <t>Des indicateurs de performance des traitements (ex : temps d’exécution, fiabilité) sont-ils suivis ?</t>
  </si>
  <si>
    <t>Identifier des plans d’optimisation des traitements.</t>
  </si>
  <si>
    <t>Existe-t-il un plan d’optimisation continue des traitements automatisés ?</t>
  </si>
  <si>
    <t>Contrôler des preuves de mise en œuvre des optimisations.</t>
  </si>
  <si>
    <t>Les utilisateurs valident-ils l’efficacité des traitements via des retours structurés ?</t>
  </si>
  <si>
    <t>Vérifier que l’architecture technique est prise en compte</t>
  </si>
  <si>
    <t>Vérifier un document détaillant l’architecture technique de l’application.</t>
  </si>
  <si>
    <t>Un document détaillant l’architecture technique de l’application est-il à jour et accessible ?</t>
  </si>
  <si>
    <t>Confirmer des tests de performance sur l’architecture (ex : montée en charge).</t>
  </si>
  <si>
    <t>Des tests de performance (ex : montée en charge, disponibilité) ont-ils été réalisés ?</t>
  </si>
  <si>
    <t>Analyser des indicateurs de performance liés à l’architecture (ex : disponibilité).</t>
  </si>
  <si>
    <t>Des indicateurs de stabilité et de scalabilité de l’architecture sont-ils analysés ?</t>
  </si>
  <si>
    <t>Identifier des plans de mise à jour de l’architecture.</t>
  </si>
  <si>
    <t>Existe-t-il un plan de mise à jour de l’architecture pour répondre aux besoins futurs ?</t>
  </si>
  <si>
    <t>Contrôler des preuves de formation des équipes sur l’architecture.</t>
  </si>
  <si>
    <t>Les équipes techniques ont-elles été formées sur les spécificités de l’architecture ?</t>
  </si>
  <si>
    <t xml:space="preserve">S’assurer que les indicateurs de performance et un contrat de 
service sont disponibles </t>
  </si>
  <si>
    <t>Vérifier des tableaux de bord avec des indicateurs de performance clés (KPI).</t>
  </si>
  <si>
    <t>Des tableaux de bord avec des KPI (ex : disponibilité, temps de réponse) sont-ils mis à jour ?</t>
  </si>
  <si>
    <t>Confirmer des rapports de performance par rapport aux objectifs.</t>
  </si>
  <si>
    <t>Le contrat de service (SLA) inclut-il des engagements mesurables (ex : uptime 99,9%) ?</t>
  </si>
  <si>
    <t>Analyser des clauses de contrat de service (SLA) liées aux performances.</t>
  </si>
  <si>
    <t>Des rapports de performance comparant les résultats aux objectifs du SLA sont-ils produits ?</t>
  </si>
  <si>
    <t>Identifier des plans d’amélioration basés sur les indicateurs.</t>
  </si>
  <si>
    <t>Existe-t-il un plan d’action en cas de non-respect des engagements du SLA ?</t>
  </si>
  <si>
    <t>Contrôler des preuves de communication des performances aux parties prenantes.</t>
  </si>
  <si>
    <t>Les parties prenantes sont-elles régulièrement informées des performances via des rapports ?</t>
  </si>
  <si>
    <t>S’assurer que les outils de mesure de la performance et les 
tableaux de bord sont disponibles</t>
  </si>
  <si>
    <t>Vérifier des outils de mesure de la performance (ex : logiciels de monitoring).</t>
  </si>
  <si>
    <t>Des outils de monitoring (ex : logiciels de suivi en temps réel) sont-ils déployés et utilisés ?</t>
  </si>
  <si>
    <t>Confirmer des tableaux de bord mis à jour régulièrement.</t>
  </si>
  <si>
    <t>Les tableaux de bord incluent-ils des KPI critiques (ex : taux d’erreur, utilisation des ressources) ?</t>
  </si>
  <si>
    <t>Analyser des indicateurs de performance clés (KPI) sur les tableaux de bord.</t>
  </si>
  <si>
    <t>Les équipes ont-elles été formées à l’interprétation et à l’utilisation de ces outils ?</t>
  </si>
  <si>
    <t>Identifier des plans de formation des équipes sur les outils de mesure.</t>
  </si>
  <si>
    <t>Des alertes automatisées sont-elles configurées pour détecter les anomalies de performance ?</t>
  </si>
  <si>
    <t>Contrôler des preuves de prise de décision basée sur les tableaux de bord.</t>
  </si>
  <si>
    <t>Les décisions stratégiques s’appuient-elles sur les données des tableaux de bord ?</t>
  </si>
  <si>
    <t xml:space="preserve">Evolutivité/pérennité de l'application </t>
  </si>
  <si>
    <t>Vérifier que les technologies utilisées sont conformes aux 
aspirations de l’entité</t>
  </si>
  <si>
    <t>Vérifier un document "Feuille de Route Technologique" approuvé.</t>
  </si>
  <si>
    <t>Une "Feuille de Route Technologique" approuvée est-elle disponible ?</t>
  </si>
  <si>
    <t>Confirmer des tests de montée en charge (rapports de performance).</t>
  </si>
  <si>
    <t>Des tests de montée en charge ont-ils été réalisés et documentés ?</t>
  </si>
  <si>
    <t>Analyser des clauses de contrat avec les éditeurs (évolutivité garantie).</t>
  </si>
  <si>
    <t>Des clauses d’évolutivité sont-elles incluses dans les contrats avec les éditeurs ?</t>
  </si>
  <si>
    <t>Identifier des budgets alloués aux mises à niveau (prévisionnel 2025).</t>
  </si>
  <si>
    <t>Des budgets pour des mises à niveau (ex : prévisionnel 2025) sont-ils alloués ?</t>
  </si>
  <si>
    <t>Contrôler des retours d’expérience utilisateur sur la scalabilité.</t>
  </si>
  <si>
    <t>Des retours utilisateurs sur la scalabilité de l’application sont-ils analysés ?</t>
  </si>
  <si>
    <t>S’assurer que technologie du logiciel sont conformes aux 
aspirations de l’entité</t>
  </si>
  <si>
    <t>Vérifier des rapports d’évaluation technologique (ex : compatibilité avec les systèmes existants).</t>
  </si>
  <si>
    <t>Des rapports d’évaluation technologique (compatibilité avec les systèmes existants) sont-ils disponibles ?</t>
  </si>
  <si>
    <t>Confirmer des tests de performance sur les technologies utilisées.</t>
  </si>
  <si>
    <t>Des tests de performance sur les technologies utilisées ont-ils été documentés ?</t>
  </si>
  <si>
    <t>Analyser des retours d’expérience des utilisateurs sur la technologie.</t>
  </si>
  <si>
    <t>Les retours des utilisateurs sur la technologie sont-ils analysés régulièrement ?</t>
  </si>
  <si>
    <t>Identifier des plans de migration vers des technologies plus récentes.</t>
  </si>
  <si>
    <t>Existe-t-il des plans de migration vers des technologies plus récentes ?</t>
  </si>
  <si>
    <t>Contrôler des preuves de formation des équipes sur les nouvelles technologies.</t>
  </si>
  <si>
    <t>Des formations sur les nouvelles technologies ont-elles été dispensées aux équipes ?</t>
  </si>
  <si>
    <t xml:space="preserve">Vérifier que les technologies utilisées sont matures </t>
  </si>
  <si>
    <t>Vérifier des rapports de maturité technologique (ex : Gartner, Forrester).</t>
  </si>
  <si>
    <t>Des rapports de maturité technologique (ex : Gartner, Forrester) sont-ils consultés ?</t>
  </si>
  <si>
    <t>Confirmer des tests de stabilité sur les technologies utilisées.</t>
  </si>
  <si>
    <t>Des tests de stabilité des technologies ont-ils été réalisés et validés ?</t>
  </si>
  <si>
    <t>Analyser des retours d’expérience des utilisateurs sur la stabilité.</t>
  </si>
  <si>
    <t>Les utilisateurs ont-ils signalé des problèmes de stabilité dans leurs retours ?</t>
  </si>
  <si>
    <t>Identifier des plans de mise à jour vers des versions stables.</t>
  </si>
  <si>
    <t>Des plans de mise à jour vers des versions stables des technologies sont-ils en place ?</t>
  </si>
  <si>
    <t>Contrôler des preuves de support technique des éditeurs.</t>
  </si>
  <si>
    <t>Le support technique des éditeurs est-il confirmé et accessible ?</t>
  </si>
  <si>
    <t>S’assurer que les technologies utilisées peuvent s’adapter à la 
croissance</t>
  </si>
  <si>
    <t>Vérifier des tests de montée en charge avec des scénarios de croissance.</t>
  </si>
  <si>
    <t>Des tests de montée en charge avec des scénarios de croissance ont-ils été réalisés ?</t>
  </si>
  <si>
    <t>Confirmer des rapports de performance sous charge maximale.</t>
  </si>
  <si>
    <t>Des rapports de performance sous charge maximale sont-ils disponibles ?</t>
  </si>
  <si>
    <t>Analyser des plans d’extension de l’infrastructure pour répondre à la croissance.</t>
  </si>
  <si>
    <t>Existe-t-il des plans d’extension de l’infrastructure pour répondre à une croissance future ?</t>
  </si>
  <si>
    <t>Identifier des budgets alloués à l’extension de l’infrastructure.</t>
  </si>
  <si>
    <t>Des budgets spécifiques sont-ils alloués à l’extension de l’infrastructure ?</t>
  </si>
  <si>
    <t>Contrôler des retours d’expérience utilisateur sur la capacité à gérer la croissance.</t>
  </si>
  <si>
    <t>Les utilisateurs confirment-ils que l’application peut gérer une augmentation du volume de données ?</t>
  </si>
  <si>
    <t>S’assurer que l'application peut s’intégrer dans le système de 
l’entité</t>
  </si>
  <si>
    <t>Vérifier des rapports d’intégration avec les systèmes existants.</t>
  </si>
  <si>
    <t>Des rapports d’intégration avec les systèmes existants (ERP, CRM, etc.) sont-ils disponibles ?</t>
  </si>
  <si>
    <t>Confirmer des tests d’interopérabilité avec les autres applications.</t>
  </si>
  <si>
    <t>Des tests d’interopérabilité avec d’autres applications ont-ils été réalisés ?</t>
  </si>
  <si>
    <t>Analyser des retours d’expérience des utilisateurs sur l’intégration.</t>
  </si>
  <si>
    <t>Les utilisateurs signalent-ils des difficultés d’intégration dans leurs retours ?</t>
  </si>
  <si>
    <t>Identifier des plans de migration vers des systèmes intégrés.</t>
  </si>
  <si>
    <t>Existe-t-il des plans de migration vers des systèmes intégrés ?</t>
  </si>
  <si>
    <t>Contrôler des preuves de formation des équipes sur l’intégration.</t>
  </si>
  <si>
    <t>Des formations sur l’intégration de l’application ont-elles été organisées ?</t>
  </si>
  <si>
    <t xml:space="preserve">S’assurer que l’application est modulaire et adaptable </t>
  </si>
  <si>
    <t>Vérifier des rapports de modularité de l’application (ex : architecture microservices).</t>
  </si>
  <si>
    <t>Des rapports sur l’architecture modulaire (ex : microservices) de l’application sont-ils disponibles ?</t>
  </si>
  <si>
    <t>Confirmer des tests de modularité (ajout/suppression de modules).</t>
  </si>
  <si>
    <t>Des tests d’ajout/suppression de modules ont-ils été réalisés avec succès ?</t>
  </si>
  <si>
    <t>Analyser des retours d’expérience des utilisateurs sur la modularité.</t>
  </si>
  <si>
    <t>Les utilisateurs confirment-ils la facilité d’adaptation de l’application à leurs besoins ?</t>
  </si>
  <si>
    <t>Identifier des plans de développement de nouveaux modules.</t>
  </si>
  <si>
    <t>Existe-t-il des plans de développement de nouveaux modules ?</t>
  </si>
  <si>
    <t>Contrôler des preuves de formation des équipes sur la modularité.</t>
  </si>
  <si>
    <t>Des formations sur la modularité de l’application sont-elles dispensées ?</t>
  </si>
  <si>
    <t>S’assurer que l'application significativement version par 
version</t>
  </si>
  <si>
    <t>Vérifier des rapports de versioning (ex : historique des versions).</t>
  </si>
  <si>
    <t>Un historique des versions de l’application est-il documenté et accessible ?</t>
  </si>
  <si>
    <t>Confirmer des tests de compatibilité ascendante et descendante.</t>
  </si>
  <si>
    <t>Des tests de compatibilité ascendante et descendante ont-ils été réalisés ?</t>
  </si>
  <si>
    <t>Analyser des retours d’expérience des utilisateurs sur les nouvelles versions.</t>
  </si>
  <si>
    <t>Les utilisateurs ont-ils été consultés sur les impacts des nouvelles versions ?</t>
  </si>
  <si>
    <t>Identifier des plans de migration vers les nouvelles versions.</t>
  </si>
  <si>
    <t>Existe-t-il un calendrier de migration vers les dernières versions ?</t>
  </si>
  <si>
    <t>Contrôler des preuves de formation des équipes sur les nouvelles versions.</t>
  </si>
  <si>
    <t>Des formations sur les nouvelles versions sont-elles proposées aux équipes ?</t>
  </si>
  <si>
    <t>Vérifier que le volume des demandes de maintenance évolutive est acceptable et cohérent avec l’utilisation de l’application</t>
  </si>
  <si>
    <t>Vérifier des rapports de suivi des demandes de maintenance.</t>
  </si>
  <si>
    <t>Des rapports de suivi des demandes de maintenance évolutive sont-ils disponibles ?</t>
  </si>
  <si>
    <t>Confirmer des tests de résolution des demandes de maintenance.</t>
  </si>
  <si>
    <t>Des tests de résolution des demandes de maintenance ont-ils été documentés ?</t>
  </si>
  <si>
    <t>Analyser des retours d’expérience des utilisateurs sur la maintenance.</t>
  </si>
  <si>
    <t>Les utilisateurs expriment-ils des retards ou des insatisfactions liés à la maintenance ?</t>
  </si>
  <si>
    <t>Identifier des plans d’amélioration des processus de maintenance.</t>
  </si>
  <si>
    <t>Existe-t-il des plans d’amélioration des processus de maintenance ?</t>
  </si>
  <si>
    <t>Contrôler des preuves de formation des équipes sur la maintenance.</t>
  </si>
  <si>
    <t>Des formations sur la gestion des demandes de maintenance sont-elles organisées ?</t>
  </si>
  <si>
    <t>Vérifier que structure en charge de la maintenance est 
autonome et compétente</t>
  </si>
  <si>
    <t>Les CV/certifications des membres de l’équipe de maintenance sont-ils vérifiés et à jour ?</t>
  </si>
  <si>
    <t>Confirmer des rapports de performance de l’équipe de maintenance.</t>
  </si>
  <si>
    <t>Des rapports de performance de l’équipe de maintenance sont-ils analysés régulièrement ?</t>
  </si>
  <si>
    <t>Les utilisateurs confirment-ils la réactivité et l’efficacité de l’équipe de maintenance ?</t>
  </si>
  <si>
    <t>Identifier des plans de recrutement pour renforcer l’équipe.</t>
  </si>
  <si>
    <t>Existe-t-il des plans de recrutement pour renforcer l’équipe de maintenance ?</t>
  </si>
  <si>
    <t>Contrôler des preuves de formation continue de l’équipe.</t>
  </si>
  <si>
    <t>Des formations continues sont-elles dispensées à l’équipe de maintenance ?</t>
  </si>
  <si>
    <t>S’assurer que le niveau de dépendance vis-à-vis de la structure 
de développement de l’application est acceptable</t>
  </si>
  <si>
    <t>Vérifier des rapports de dépendance vis-à-vis des développeurs.</t>
  </si>
  <si>
    <t>Des engagements écrits sur la pérennité de l’application sont-ils formalisés avec l’éditeur ?</t>
  </si>
  <si>
    <t>Confirmer des tests d’autonomie de l’équipe de maintenance.</t>
  </si>
  <si>
    <t>Des tests de performance sur la pérennité à long terme ont-ils été réalisés ?</t>
  </si>
  <si>
    <t>Analyser des retours d’expérience des utilisateurs sur l’autonomie.</t>
  </si>
  <si>
    <t>Les utilisateurs expriment-ils des inquiétudes sur la viabilité future de l’application ?</t>
  </si>
  <si>
    <t>Identifier des plans de réduction de la dépendance.</t>
  </si>
  <si>
    <t>Existe-t-il des plans de secours en cas de disparition du progiciel (ex : Escrow Agreement) ?</t>
  </si>
  <si>
    <t>Contrôler des preuves de formation des équipes sur l’autonomie.</t>
  </si>
  <si>
    <t>Des clauses contractuelles garantissent-elles le support technique continu de l’éditeur ?</t>
  </si>
  <si>
    <t>S’assurer que l’éditeur de l’application a des références 
indiscutables</t>
  </si>
  <si>
    <t>Vérifier des rapports de référence de l’éditeur (ex : études de cas).</t>
  </si>
  <si>
    <t>Un rapport détaillant les références de l’éditeur (ex : études de cas, clients phares) est-il disponible ?</t>
  </si>
  <si>
    <t>Confirmer des tests de performance des solutions de l’éditeur.</t>
  </si>
  <si>
    <t>Des tests de performance indépendants sur les solutions de l’éditeur ont-ils été réalisés ?</t>
  </si>
  <si>
    <t>Analyser des retours d’expérience des utilisateurs sur l’éditeur.</t>
  </si>
  <si>
    <t>Les retours d’expérience des utilisateurs confirment-ils la fiabilité de l’éditeur ?</t>
  </si>
  <si>
    <t>Identifier des plans de partenariat avec l’éditeur.</t>
  </si>
  <si>
    <t>Existe-t-il des partenariats ou certifications reconnues (ex : ISO, Microsoft Gold Partner) ?</t>
  </si>
  <si>
    <t>Contrôler des preuves de support technique de l’éditeur.</t>
  </si>
  <si>
    <t>Des clauses contractuelles garantissent-elles le respect des engagements de l’éditeur ?</t>
  </si>
  <si>
    <t>S’assurer que la version du progiciel installée dans 
l’organisation est la plus récente</t>
  </si>
  <si>
    <t>La version actuelle du progiciel correspond-elle à la dernière version stable publiée par l’éditeur ?</t>
  </si>
  <si>
    <t>Confirmer des tests de compatibilité avec la dernière version.</t>
  </si>
  <si>
    <t>Des tests de compatibilité avec les systèmes existants ont-ils été réalisés après la mise à jour ?</t>
  </si>
  <si>
    <t>Analyser des retours d’expérience des utilisateurs sur la dernière version.</t>
  </si>
  <si>
    <t>Les utilisateurs ont-ils été formés aux fonctionnalités des nouvelles versions ?</t>
  </si>
  <si>
    <t>Identifier des plans de migration vers la dernière version.</t>
  </si>
  <si>
    <t>Existe-t-il un calendrier formalisé pour les mises à jour futures ?</t>
  </si>
  <si>
    <t>Contrôler des preuves de formation des équipes sur la dernière version.</t>
  </si>
  <si>
    <t>Des alertes automatisées informent-elles des nouvelles versions disponibles ?</t>
  </si>
  <si>
    <t>S’assurer que les développements spécifiques sont bien suivis</t>
  </si>
  <si>
    <t>Vérifier des rapports de suivi des développements spécifiques.</t>
  </si>
  <si>
    <t>Des rapports de suivi des développements spécifiques (ex : tickets Jira, Git) sont-ils accessibles ?</t>
  </si>
  <si>
    <t>Confirmer des tests de performance des développements spécifiques.</t>
  </si>
  <si>
    <t>Des tests de performance et de sécurité ont-ils été appliqués aux développements personnalisés ?</t>
  </si>
  <si>
    <t>Analyser des retours d’expérience des utilisateurs sur les développements.</t>
  </si>
  <si>
    <t>Les utilisateurs ont-ils validé les fonctionnalités développées via des retours structurés ?</t>
  </si>
  <si>
    <t>Identifier des plans d’amélioration des développements.</t>
  </si>
  <si>
    <t>Existe-t-il un plan d’amélioration continue pour les développements spécifiques ?</t>
  </si>
  <si>
    <t>Contrôler des preuves de formation des équipes sur les développements.</t>
  </si>
  <si>
    <t>Des formations sur les nouvelles fonctionnalités développées sont-elles organisées ?</t>
  </si>
  <si>
    <t>Vérifier que l’entité est membre d’un club utilisateurs</t>
  </si>
  <si>
    <t>Vérifier des preuves d’adhésion à un club utilisateurs.</t>
  </si>
  <si>
    <t>Une preuve d’adhésion au club utilisateurs (ex : contrat, facture) est-elle disponible ?</t>
  </si>
  <si>
    <t>Confirmer des participations aux réunions du club utilisateurs.</t>
  </si>
  <si>
    <t>L’entité participe-t-elle activement aux réunions ou forums du club utilisateurs ?</t>
  </si>
  <si>
    <t>Analyser des retours d’expérience des utilisateurs sur le club.</t>
  </si>
  <si>
    <t>Des retours d’expérience ou bonnes pratiques partagées par le club ont-ils été mis en œuvre ?</t>
  </si>
  <si>
    <t>Identifier des plans de collaboration avec le club utilisateurs.</t>
  </si>
  <si>
    <t>Existe-t-il un plan pour tirer parti des ressources du club (ex : webinars, documentation) ?</t>
  </si>
  <si>
    <t>Contrôler des preuves de formation des équipes via le club.</t>
  </si>
  <si>
    <t>Les équipes internes ont-elles accès à des formations via le club utilisateurs ?</t>
  </si>
  <si>
    <t>S’assurer que l’entité a un contrat de maintenance avec 
l’éditeur</t>
  </si>
  <si>
    <t>Vérifier un contrat de maintenance signé avec l’éditeur.</t>
  </si>
  <si>
    <t>Un contrat de maintenance signé avec l’éditeur est-il archivé et accessible ?</t>
  </si>
  <si>
    <t>Confirmer des rapports de performance du support technique.</t>
  </si>
  <si>
    <t>Le contrat inclut-il des engagements clés (ex : temps de réponse, correctifs critiques) ?</t>
  </si>
  <si>
    <t>Analyser des retours d’expérience des utilisateurs sur le support.</t>
  </si>
  <si>
    <t>Des rapports mensuels/trimestriels du support technique sont-ils analysés ?</t>
  </si>
  <si>
    <t>Identifier des plans de renégociation du contrat.</t>
  </si>
  <si>
    <t>Existe-t-il des clauses de renégociation en cas de non-respect des engagements ?</t>
  </si>
  <si>
    <t>Contrôler des preuves de formation des équipes via le support.</t>
  </si>
  <si>
    <t>Les utilisateurs confirment-ils l’efficacité du support technique de l’éditeur ?</t>
  </si>
  <si>
    <t>S’assurer que les redevances de maintenance sont payées dans 
les délais</t>
  </si>
  <si>
    <t>Vérifier des preuves de paiement des redevances de maintenance.</t>
  </si>
  <si>
    <t>Des preuves de paiement des redevances (ex : relevés bancaires, factures) sont-elles disponibles ?</t>
  </si>
  <si>
    <t>Confirmer des rapports de suivi des paiements.</t>
  </si>
  <si>
    <t>Un suivi budgétaire des coûts de maintenance est-il réalisé trimestriellement ?</t>
  </si>
  <si>
    <t>Des retards de paiement ont-ils entraîné des suspensions de service ? Si oui, comment ont-ils été résolus ?</t>
  </si>
  <si>
    <t>Identifier des plans de réduction des coûts de maintenance.</t>
  </si>
  <si>
    <t>Existe-t-il une stratégie pour optimiser les coûts de maintenance (ex : négociations) ?</t>
  </si>
  <si>
    <t>Les équipes financières et techniques coordonnent-elles le suivi des paiements ?</t>
  </si>
  <si>
    <t xml:space="preserve">S’assurer qu’une clause dite d’ « Escrow Agreement » est 
présente dans le contrat </t>
  </si>
  <si>
    <t>Vérifier un contrat incluant une clause « Escrow Agreement ».</t>
  </si>
  <si>
    <t>Le contrat inclut-il une clause « Escrow Agreement » formalisée (accès au code source en cas de défaillance) ?</t>
  </si>
  <si>
    <t>Confirmer des rapports de suivi de la clause.</t>
  </si>
  <si>
    <t>Des audits réguliers vérifient-ils la validité de cette clause (ex : mise à jour des dépôts) ?</t>
  </si>
  <si>
    <t>Analyser des retours d’expérience des utilisateurs sur la clause.</t>
  </si>
  <si>
    <t>Les utilisateurs sont-ils informés des garanties apportées par cette clause ?</t>
  </si>
  <si>
    <t>Identifier des plans de renégociation de la clause.</t>
  </si>
  <si>
    <t>Existe-t-il un plan d’urgence activable si la clause est invoquée ?</t>
  </si>
  <si>
    <t>Contrôler des preuves de formation des équipes sur la clause.</t>
  </si>
  <si>
    <t>Des formations sur les implications de l’« Escrow Agreement » sont-elles dispensées ?</t>
  </si>
  <si>
    <t>Vérifier que les montées de versions sont suivies</t>
  </si>
  <si>
    <t>Vérifier des rapports de suivi des montées de versions.</t>
  </si>
  <si>
    <t>Un historique des montées de versions (ex : dates, notes de version) est-il documenté ?</t>
  </si>
  <si>
    <t>Confirmer des tests de compatibilité avec les nouvelles versions.</t>
  </si>
  <si>
    <t>Des tests de non-régression sont-ils effectués avant chaque déploiement ?</t>
  </si>
  <si>
    <t>Analyser des retours d’expérience des utilisateurs sur les montées.</t>
  </si>
  <si>
    <t>Les utilisateurs signalent-ils des problèmes post-mise à jour dans leurs retours ?</t>
  </si>
  <si>
    <t>Existe-t-il un processus de rollback en cas d’échec d’une montée de version ?</t>
  </si>
  <si>
    <t>Contrôler des preuves de formation des équipes sur les montées.</t>
  </si>
  <si>
    <t>Les équipes techniques sont-elles formées aux spécificités des nouvelles versions ?</t>
  </si>
  <si>
    <t>S’assurer qu’il existe des engagements et ou une visibilité 
suffisante pour la pérennité du progiciel</t>
  </si>
  <si>
    <t>Vérifier des rapports de pérennité de l’application.</t>
  </si>
  <si>
    <t>Des engagements écrits de l’éditeur sur la pérennité à long terme du progiciel sont-ils formalisés ?</t>
  </si>
  <si>
    <t>Confirmer des tests de performance sur la pérennité.</t>
  </si>
  <si>
    <t>Des tests de performance à horizon 3-5 ans ont-ils été réalisés (ex : scalabilité, compatibilité) ?</t>
  </si>
  <si>
    <t>Analyser des retours d’expérience des utilisateurs sur la pérennité.</t>
  </si>
  <si>
    <t>Les utilisateurs expriment-ils des inquiétudes quant à l’obsolescence du progiciel ?</t>
  </si>
  <si>
    <t>Identifier des plans de maintien de la pérennité.</t>
  </si>
  <si>
    <t>Un plan de secours (ex : migration vers une alternative) est-il prévu en cas de disparition du progiciel ?</t>
  </si>
  <si>
    <t>Contrôler des preuves de formation des équipes sur la pérennité.</t>
  </si>
  <si>
    <t>Des indicateurs de suivi de la pérennité (ex : roadmap éditeur) sont-ils partagés avec les parties prenantes ?</t>
  </si>
  <si>
    <t>Documents requis</t>
  </si>
  <si>
    <t>Objectifs et enjeux du projet ;</t>
  </si>
  <si>
    <t>Étude d'opportunité et expression des besoins ;</t>
  </si>
  <si>
    <t>Planification ;</t>
  </si>
  <si>
    <t>Instances de pilotage;</t>
  </si>
  <si>
    <t>Méthodes et outils;</t>
  </si>
  <si>
    <t>Qualité;</t>
  </si>
  <si>
    <t>Conception générale et analyse ;</t>
  </si>
  <si>
    <t>Conception détaillée ;</t>
  </si>
  <si>
    <t>Développement, réalisation ou paramétrage ;</t>
  </si>
  <si>
    <t>Tests et recettes ;</t>
  </si>
  <si>
    <t>Conduite du changement et mise en œuvre ;</t>
  </si>
  <si>
    <t>Documentation</t>
  </si>
  <si>
    <t>Structures mises en place à l'occasion du projet ;</t>
  </si>
  <si>
    <t>Gestion des évolutions ;</t>
  </si>
  <si>
    <t>Mise en production.</t>
  </si>
  <si>
    <t xml:space="preserve">S’assurer que le choix de recourir à un nouveau système est obtenu après optimisation des processus concernés et vérification que cette optimisation ne suffit pas à apporter par elle-même les gains de performance attendus ; </t>
  </si>
  <si>
    <t xml:space="preserve">S’assure que les objectifs et périmètres du projet sont définis, partagés et stabilisés ; </t>
  </si>
  <si>
    <t>S’assurer que les principales orientations du système cible ont été explicitées ;</t>
  </si>
  <si>
    <t>Objectifs de contrôle</t>
  </si>
  <si>
    <t xml:space="preserve">S’assurer que l'expression détaillée des besoins est formalisée dans un cahier des charges fait par la MOA ; </t>
  </si>
  <si>
    <t xml:space="preserve">S’assurer que le cahier des charges préconise une solution fonctionnellement et techniquement pertinente au regard des besoins exprimés ; </t>
  </si>
  <si>
    <t xml:space="preserve">S’assurer que les exigences utilisateurs, les populations ciblées, les options et principes de gestion retenus sont précisés et priorisés ; </t>
  </si>
  <si>
    <t xml:space="preserve">S’assurer que le projet est cohérent avec le plan directeur informatique ; </t>
  </si>
  <si>
    <t>S’assurer que le projet est cohérent avec le SI actuel ou futur ;</t>
  </si>
  <si>
    <t xml:space="preserve">S’assurer qu’il existe un planning directeur commun à tout le projet ; </t>
  </si>
  <si>
    <t xml:space="preserve">S’assurer qu’il existe un plan de projet initial ; </t>
  </si>
  <si>
    <t xml:space="preserve">S’assurer que ce plan de projet a été révisé ; </t>
  </si>
  <si>
    <t xml:space="preserve">S’assurer qu’il existe des plans détaillés ; </t>
  </si>
  <si>
    <t xml:space="preserve">S’assurer que ces plans ont été révisés ; </t>
  </si>
  <si>
    <t xml:space="preserve">S’assurer que la structure de pilotage est formalisée et connue de tous les acteurs ; </t>
  </si>
  <si>
    <t xml:space="preserve">S’assurer que les différentes instances de pilotage connaissent leurs niveaux de délégation ; </t>
  </si>
  <si>
    <t xml:space="preserve">S’assurer que les objectifs des délégations sont atteints ; </t>
  </si>
  <si>
    <t xml:space="preserve">S’assurer qu’il existe un comité de pilotage ; </t>
  </si>
  <si>
    <t xml:space="preserve">S’assurer qu’il existe un comité de projet ; </t>
  </si>
  <si>
    <t xml:space="preserve">S’assurer qu’il existe une méthode de conduite de projet et celle-ci est appliquée ; </t>
  </si>
  <si>
    <t xml:space="preserve">S’assurer que la méthode repose sur un découpage des projets en tâches ; </t>
  </si>
  <si>
    <t xml:space="preserve">S’assurer que la méthode repose sur une attribution formelle des responsabilités par tâche ; </t>
  </si>
  <si>
    <t xml:space="preserve">S’assurer que la méthode repose sur une identification précise des points de contrôle et des livrables ; </t>
  </si>
  <si>
    <t>S’assurer que la méthode repose sur un reporting des temps à travers une feuille de temps ;</t>
  </si>
  <si>
    <t xml:space="preserve">S’assurer qu’il existe un dispositif d'assurance qualité documenté ; </t>
  </si>
  <si>
    <t xml:space="preserve">S’assurer qu’il existe un manuel d'assurance qualité de l'entité ; </t>
  </si>
  <si>
    <t xml:space="preserve">S’assurer qu’il existe un plan d'assurance qualité du projet ; </t>
  </si>
  <si>
    <t xml:space="preserve">S’assurer que les objectifs de qualité du produit sont formalisés ; </t>
  </si>
  <si>
    <t xml:space="preserve">S’assurer qu’il existe une analyse des différents scénarios possibles en termes de solution retenue ; </t>
  </si>
  <si>
    <t xml:space="preserve">S’assurer que tous les scénarios ont été envisagés, même celui de ne rien faire ; </t>
  </si>
  <si>
    <t xml:space="preserve">S’assurer que les contraintes liées aux technologies (besoins en matériels, en formation, en RH, contraintes juridiques, faisabilité opérationnelle, …) ont été prises en compte ; </t>
  </si>
  <si>
    <t xml:space="preserve">S’assurer qu’une analyse économique (bénéfices attendus, coûts de développement, de formation, de maintenance, …) a été intégrée au choix de la solution ; </t>
  </si>
  <si>
    <t>S’assurer qu’une analyse des risques a été mise en place pour chaque alternative ;</t>
  </si>
  <si>
    <t xml:space="preserve">S’assurer qu’il existe une méthode d'analyse et de conception ; </t>
  </si>
  <si>
    <t xml:space="preserve">S’assurer que cette méthode est correctement utilisée ; </t>
  </si>
  <si>
    <t xml:space="preserve">S’assurer que cette méthode est maîtrisée par l'équipe projet ; </t>
  </si>
  <si>
    <t xml:space="preserve">S’assurer que les spécifications détaillées sont exhaustives par rapport au cahier des charges ; </t>
  </si>
  <si>
    <t>S’assurer qu’il existe des contrôles adaptés à chaque point critique du système (préventifs et correctifs) ;</t>
  </si>
  <si>
    <t xml:space="preserve">S’assurer qu’il existe une méthode de développement ; </t>
  </si>
  <si>
    <t xml:space="preserve">S’assurer que cette méthode est parfaitement maîtrisée par les développeurs ; </t>
  </si>
  <si>
    <t xml:space="preserve">S’assurer qu’il existe des normes de documentation ; </t>
  </si>
  <si>
    <t>S’assurer que ces normes sont appliquées par les développeurs ;</t>
  </si>
  <si>
    <t xml:space="preserve">S’assurer que la MOE réalise des tests ; </t>
  </si>
  <si>
    <t xml:space="preserve">S’assurer que la MOE s'assure que chacun des composants de l'application fonctionne tel qu'il a été décrit dans le dossier de spécifications ; </t>
  </si>
  <si>
    <t xml:space="preserve">S’assurer que la MOE réalise des tests sur l'ensemble des composants de l'application sur le plan fonctionnel et technique ; </t>
  </si>
  <si>
    <t xml:space="preserve">S’assurer que la MOE réalise des tests sur les interfaces de l'application dans le SI ; </t>
  </si>
  <si>
    <t>S’assurer que des tests utilisateurs sont réalisés ;</t>
  </si>
  <si>
    <t xml:space="preserve">S’assurer qu’il existe une synthèse de l'évaluation des changements ; </t>
  </si>
  <si>
    <t xml:space="preserve">S’assurer que l'évaluation des changements a été validée ; </t>
  </si>
  <si>
    <t xml:space="preserve">S’assurer que les entretiens réalisés sont représentatifs ; </t>
  </si>
  <si>
    <t xml:space="preserve">S’assurer que les utilisateurs participent à l'évaluation des changements ; </t>
  </si>
  <si>
    <t>S’assurer qu’il existe un plan de communication complet ;</t>
  </si>
  <si>
    <t xml:space="preserve">S’assurer qu’il existe un manuel d'utilisation ; </t>
  </si>
  <si>
    <t xml:space="preserve">S’assurer que le manuel utilisateur est conforme aux normes en vigueur ; </t>
  </si>
  <si>
    <t xml:space="preserve">S’assurer que le manuel d’utilisateur est disponible et compréhensible par l'ensemble des utilisateurs ; </t>
  </si>
  <si>
    <t xml:space="preserve">S’assurer que le manuel utilisateur comprend les objets du système et la description des dessins d'écran et des commandes disponibles ; </t>
  </si>
  <si>
    <t>S’assurer que le manuel utilisateur comprend les responsables concernant le redressement des erreurs ou anomalies ;</t>
  </si>
  <si>
    <t xml:space="preserve">S’assurer que les rôles et les responsabilités respectifs de la MOA et de la MOE sont clairement définis ; </t>
  </si>
  <si>
    <t xml:space="preserve">S’assurer que les prérogatives du chef de projet sont clairement définies ; </t>
  </si>
  <si>
    <t xml:space="preserve">S’assurer que le chef de projet dispose de l'autorité suffisante pour résoudre les éventuels conflits ; </t>
  </si>
  <si>
    <t xml:space="preserve">S’assurer que la MOA et la MOE disposent des compétences et des ressources managériales, techniques et fonctionnelles suffisantes ; </t>
  </si>
  <si>
    <t>S’assurer que les principales décisions et orientations du projet sont prises par le niveau de management adéquat ;</t>
  </si>
  <si>
    <t xml:space="preserve">S’assurer que les demandes d'évolution du périmètre sont fréquentes ; </t>
  </si>
  <si>
    <t xml:space="preserve">S’assurer que les demandes d'évolutions sont formalisées ; </t>
  </si>
  <si>
    <t xml:space="preserve">S’assurer qu’il existe une procédure de gestion des évolutions du périmètre ; </t>
  </si>
  <si>
    <t xml:space="preserve">S’assurer qu’une mesure d'impact est effectuée ; </t>
  </si>
  <si>
    <t>S’assurer qu’il existe une gestion des versions ;</t>
  </si>
  <si>
    <t xml:space="preserve">S’assurer que les responsabilités respectives des directions des projets et de la production sont clairement établies et les périmètres décrits respectent les principes de séparation des tâches ; </t>
  </si>
  <si>
    <t>S’assurer que les équipes projet et de production connaissent et respectent ce document ;</t>
  </si>
  <si>
    <t xml:space="preserve">POINT DE CONTRÔLE </t>
  </si>
  <si>
    <t xml:space="preserve">OBJECTIF DE CONTRÔLE </t>
  </si>
  <si>
    <t xml:space="preserve">CRITERE D'EVALUATION </t>
  </si>
  <si>
    <t xml:space="preserve">QUESTION D'EVALUATION </t>
  </si>
  <si>
    <t xml:space="preserve">ELEMENT REQUIS </t>
  </si>
  <si>
    <t>CONSEQUENCES</t>
  </si>
  <si>
    <t>Audit fiabilité et sécurité</t>
  </si>
  <si>
    <t>S’assurer qu’une structure de centre d’assistance (help-desk) 
(HD) est mise en place</t>
  </si>
  <si>
    <t>S’assurer qu’une procédure de gestion des demandes d’assistance est diffusée et connue des utilisateurs</t>
  </si>
  <si>
    <t xml:space="preserve">S’assurer qu’une procédure d'escalade mise en place </t>
  </si>
  <si>
    <t>S’assurer de la couverture géographique du HD</t>
  </si>
  <si>
    <t>S’assurer de la couverture fonctionnelle du HD</t>
  </si>
  <si>
    <t>Audit d'efficacité et de performance</t>
  </si>
  <si>
    <t>S’assurer qu’il existe une aide à la saisie pour la saisie des tickets</t>
  </si>
  <si>
    <t>S’assurer qu’il existe des revues qualité pour la saisie des tickets</t>
  </si>
  <si>
    <t>Vérifier l’existence d’une base de connaissance</t>
  </si>
  <si>
    <t>S’assurer qu’une procédure de mise à jour de la base de connaissance existe</t>
  </si>
  <si>
    <t>S’assurer que les appels sont enregistrés</t>
  </si>
  <si>
    <t>Vérifier la procédure de déploiement des mises à jour, d’un 
nouveau logiciel</t>
  </si>
  <si>
    <t>Vérifier les outils mis en place pour gérer les versions des 
logiciels</t>
  </si>
  <si>
    <t>Vérifier les outils mis en place pour gérer le matériel 
informatique</t>
  </si>
  <si>
    <t>S’assurer qu’il existe un processus spécifique pour le suivi des 
mises à jour sur les portables</t>
  </si>
  <si>
    <t>S’assurer que le déploiement de nouveaux logiciels ou mises à 
jour est possible à distance (utile pour les utilisateurs nomades)</t>
  </si>
  <si>
    <t>audit d'efficacité et de 
performance</t>
  </si>
  <si>
    <t xml:space="preserve">Vérifier comment est effectué l'inventaire des licences (logiciel, 
version, date de mise en production, nombre d'utilisateurs) </t>
  </si>
  <si>
    <t>S’assurer que les outils de type SAM (Software Asset 
Management) sont déployés</t>
  </si>
  <si>
    <t>S’assurer qu’il existe des revues régulières des licences</t>
  </si>
  <si>
    <t>S’assurer qu’il existe une base de données de gestion de 
configuration de type CMDB (Configuration Management Data Base)</t>
  </si>
  <si>
    <t>S’assurer que la DSI est sensibilisée aux enjeux de la maîtrise 
des licences ? (notamment en cas de contrôle)</t>
  </si>
  <si>
    <t xml:space="preserve"> Document formalisé décrivant la structure du help-desk.</t>
  </si>
  <si>
    <t xml:space="preserve"> Désignation d'une équipe dédiée avec rôles clairs.</t>
  </si>
  <si>
    <t xml:space="preserve"> Existence d'un SLA (accord de niveau de service).</t>
  </si>
  <si>
    <t xml:space="preserve"> Infrastructure technique opérationnelle (logiciels, bases de connaissances).</t>
  </si>
  <si>
    <t xml:space="preserve"> Mécanisme de suivi des performances (KPI).</t>
  </si>
  <si>
    <t xml:space="preserve"> Procédure documentée et versionnée.</t>
  </si>
  <si>
    <t xml:space="preserve"> Diffusion via des canaux officiels (intranet, email).</t>
  </si>
  <si>
    <t xml:space="preserve"> Formation obligatoire des utilisateurs.</t>
  </si>
  <si>
    <t xml:space="preserve"> Existence d'un FAQ accessible.</t>
  </si>
  <si>
    <t xml:space="preserve"> Mise à jour annuelle de la procédure.</t>
  </si>
  <si>
    <t xml:space="preserve"> Procédure d'escalade documentée.</t>
  </si>
  <si>
    <t xml:space="preserve"> Délais maximums définis pour chaque niveau.</t>
  </si>
  <si>
    <t xml:space="preserve"> Responsables désignés pour chaque type d'incident.</t>
  </si>
  <si>
    <t xml:space="preserve"> Historique des escalades traitées.</t>
  </si>
  <si>
    <t xml:space="preserve"> Tests annuels de la procédure.</t>
  </si>
  <si>
    <t xml:space="preserve"> Zones géographiques couvertes documentées.</t>
  </si>
  <si>
    <t xml:space="preserve"> Support multilingue si nécessaire.</t>
  </si>
  <si>
    <t xml:space="preserve"> Infrastructure locale (serveurs, équipes).</t>
  </si>
  <si>
    <t xml:space="preserve"> Délais de réponse identiques pour toutes les zones.</t>
  </si>
  <si>
    <t xml:space="preserve"> Mesure de la satisfaction par région.</t>
  </si>
  <si>
    <t xml:space="preserve"> Liste des fonctions supportées (IT, RH, etc.).</t>
  </si>
  <si>
    <t xml:space="preserve"> Experts métier identifiés pour chaque domaine.</t>
  </si>
  <si>
    <t xml:space="preserve"> Intégration avec les processus métiers.</t>
  </si>
  <si>
    <t xml:space="preserve"> SLA alignés sur les besoins fonctionnels.</t>
  </si>
  <si>
    <t xml:space="preserve"> Revue trimestrielle des besoins.</t>
  </si>
  <si>
    <t xml:space="preserve"> Existence d'un guide utilisateur accessible</t>
  </si>
  <si>
    <t xml:space="preserve"> Intégration de suggestions automatisées</t>
  </si>
  <si>
    <t xml:space="preserve"> Formation des utilisateurs documentée</t>
  </si>
  <si>
    <t xml:space="preserve"> Mesure du taux d'utilisation de l'aide</t>
  </si>
  <si>
    <t xml:space="preserve"> Mises à jour annuelles du support</t>
  </si>
  <si>
    <t xml:space="preserve"> Procédure de revue documentée</t>
  </si>
  <si>
    <t xml:space="preserve"> Échantillonnage hebdomadaire (≥5%)</t>
  </si>
  <si>
    <t xml:space="preserve"> Grille d'évaluation standardisée</t>
  </si>
  <si>
    <t xml:space="preserve"> Actions correctives tracées</t>
  </si>
  <si>
    <t xml:space="preserve"> Revue par un comité dédié</t>
  </si>
  <si>
    <t xml:space="preserve"> Accès centralisé</t>
  </si>
  <si>
    <t xml:space="preserve"> ≥80% des solutions documentées</t>
  </si>
  <si>
    <t xml:space="preserve"> Moteur de recherche fonctionnel</t>
  </si>
  <si>
    <t xml:space="preserve"> Contrôle d'accès RBAC</t>
  </si>
  <si>
    <t xml:space="preserve"> Archivage des anciennes versions</t>
  </si>
  <si>
    <t xml:space="preserve"> Rôles clairement définis</t>
  </si>
  <si>
    <t xml:space="preserve"> Cycle de mise à jour trimestriel</t>
  </si>
  <si>
    <t xml:space="preserve"> Validation par le RSSI</t>
  </si>
  <si>
    <t xml:space="preserve"> Journal des modifications</t>
  </si>
  <si>
    <t xml:space="preserve"> Tests post-mise à jour</t>
  </si>
  <si>
    <t xml:space="preserve"> Politique de conservation (6 mois min)</t>
  </si>
  <si>
    <t xml:space="preserve"> Chiffrement des enregistrements</t>
  </si>
  <si>
    <t xml:space="preserve"> Consentement utilisateur documenté</t>
  </si>
  <si>
    <t xml:space="preserve"> Accès restreint aux enregistrements</t>
  </si>
  <si>
    <t xml:space="preserve"> Procédure de suppression automatique</t>
  </si>
  <si>
    <t xml:space="preserve"> Un document validé par la direction décrit-il l'organisation du help-desk ?</t>
  </si>
  <si>
    <t xml:space="preserve"> L'équipe dispose-t-elle des compétences requises ?</t>
  </si>
  <si>
    <t xml:space="preserve"> Le SLA définit-il les délais de réponse ?</t>
  </si>
  <si>
    <t xml:space="preserve"> Les outils du help-desk sont-ils fonctionnels et sécurisés ?</t>
  </si>
  <si>
    <t xml:space="preserve"> Des indicateurs de performance sont-ils mesurés mensuellement ?</t>
  </si>
  <si>
    <t xml:space="preserve"> La procédure est-elle accessible sur l'intranet ?</t>
  </si>
  <si>
    <t xml:space="preserve"> Les utilisateurs ont-ils reçu une formation ?</t>
  </si>
  <si>
    <t xml:space="preserve"> Un FAQ est-il disponible pour les demandes courantes ?</t>
  </si>
  <si>
    <t xml:space="preserve"> La procédure a-t-elle été mise à jour dans les 12 mois ?</t>
  </si>
  <si>
    <t xml:space="preserve"> Des retours utilisateurs sont-ils collectés ?</t>
  </si>
  <si>
    <t xml:space="preserve"> Existe-t-il un circuit d'escalade pour les incidents critiques ?</t>
  </si>
  <si>
    <t xml:space="preserve"> Les délais d'escalade sont-ils respectés ?</t>
  </si>
  <si>
    <t xml:space="preserve"> Les responsables sont-ils joignables 24/7 ?</t>
  </si>
  <si>
    <t xml:space="preserve"> Des simulations d'urgence ont-elles été réalisées ?</t>
  </si>
  <si>
    <t xml:space="preserve"> Les escalades sont-elles analysées pour amélioration ?</t>
  </si>
  <si>
    <t xml:space="preserve"> Le help-desk couvre-t-il les filiales internationales ?</t>
  </si>
  <si>
    <t xml:space="preserve"> Les utilisateurs non francophones sont-ils assistés ?</t>
  </si>
  <si>
    <t xml:space="preserve"> Des équipes locales sont-elles déployées ?</t>
  </si>
  <si>
    <t xml:space="preserve"> Les délais de réponse sont-ils homogènes ?</t>
  </si>
  <si>
    <t xml:space="preserve"> La satisfaction est-elle mesurée par région ?</t>
  </si>
  <si>
    <t xml:space="preserve"> Toutes les fonctions critiques sont-elles couvertes ?</t>
  </si>
  <si>
    <t xml:space="preserve"> Des experts métier sont-ils associés au help-desk ?</t>
  </si>
  <si>
    <t xml:space="preserve"> Le help-desk participe-t-il aux réunions métiers ?</t>
  </si>
  <si>
    <t xml:space="preserve"> Les SLA sont-ils adaptés à chaque fonction ?</t>
  </si>
  <si>
    <t xml:space="preserve"> La couverture est-elle réévaluée régulièrement ?</t>
  </si>
  <si>
    <t xml:space="preserve"> Le guide est-il accessible depuis l'interface ?</t>
  </si>
  <si>
    <t xml:space="preserve"> Le système propose-t-il des suggestions ?</t>
  </si>
  <si>
    <t xml:space="preserve"> Les formations sont-elles attestées ?</t>
  </si>
  <si>
    <t xml:space="preserve"> Le taux d'utilisation est-il &gt;70% ?</t>
  </si>
  <si>
    <t xml:space="preserve"> Le support a-t-il été mis à jour cette année ?</t>
  </si>
  <si>
    <t xml:space="preserve"> Existe-t-il une procédure écrite ?</t>
  </si>
  <si>
    <t xml:space="preserve"> L'échantillonnage est-il respecté ?</t>
  </si>
  <si>
    <t xml:space="preserve"> La grille couvre-t-elle tous les critères ?</t>
  </si>
  <si>
    <t xml:space="preserve"> 90% des actions sont-elles closes ?</t>
  </si>
  <si>
    <t xml:space="preserve"> PV du comité existe-t-il ?</t>
  </si>
  <si>
    <t xml:space="preserve"> La base est-elle accessible à tous ?</t>
  </si>
  <si>
    <t xml:space="preserve"> Couvre-t-elle les incidents majeurs ?</t>
  </si>
  <si>
    <t xml:space="preserve"> Le moteur renvoie-t-il des résultats pertinents ?</t>
  </si>
  <si>
    <t xml:space="preserve"> Les droits sont-ils granularisés ?</t>
  </si>
  <si>
    <t xml:space="preserve"> Version 2023 est-elle archivée ?</t>
  </si>
  <si>
    <t xml:space="preserve"> Qui est responsable des mises à jour ?</t>
  </si>
  <si>
    <t xml:space="preserve"> Les mises à jour sont-elles planifiées ?</t>
  </si>
  <si>
    <t xml:space="preserve"> Le RSSI a-t-il signé la dernière version ?</t>
  </si>
  <si>
    <t xml:space="preserve"> Le journal est-il à jour ?</t>
  </si>
  <si>
    <t xml:space="preserve"> Tests automatisés existent-ils ?</t>
  </si>
  <si>
    <t xml:space="preserve"> Les enregistrements sont-ils conservés 6 mois ?</t>
  </si>
  <si>
    <t xml:space="preserve"> Sont-ils chiffrés (AES-256) ?</t>
  </si>
  <si>
    <t xml:space="preserve"> Les utilisateurs ont-ils consenti ?</t>
  </si>
  <si>
    <t xml:space="preserve"> Seuls les auditeurs y ont-ils accès ?</t>
  </si>
  <si>
    <t xml:space="preserve"> La suppression est-elle automatisée ?</t>
  </si>
  <si>
    <t xml:space="preserve"> Procès-verbal de création.</t>
  </si>
  <si>
    <t xml:space="preserve"> Organigramme et fiches de poste.</t>
  </si>
  <si>
    <t xml:space="preserve"> SLA signé.</t>
  </si>
  <si>
    <t xml:space="preserve"> Audit technique des outils.</t>
  </si>
  <si>
    <t xml:space="preserve"> Rapports de performance.</t>
  </si>
  <si>
    <t xml:space="preserve"> Procédure PDF datée.</t>
  </si>
  <si>
    <t xml:space="preserve"> Attestations de formation.</t>
  </si>
  <si>
    <t xml:space="preserve"> Accès au FAQ.</t>
  </si>
  <si>
    <t xml:space="preserve"> Historique des versions.</t>
  </si>
  <si>
    <t xml:space="preserve"> Enquêtes de satisfaction.</t>
  </si>
  <si>
    <t xml:space="preserve"> Procédure validée.</t>
  </si>
  <si>
    <t xml:space="preserve"> Logs de résolution.</t>
  </si>
  <si>
    <t xml:space="preserve"> Liste des contacts d'urgence.</t>
  </si>
  <si>
    <t xml:space="preserve"> Rapports de tests.</t>
  </si>
  <si>
    <t xml:space="preserve"> Analyses post-incident.</t>
  </si>
  <si>
    <t xml:space="preserve"> Carte des zones couvertes.</t>
  </si>
  <si>
    <t xml:space="preserve"> Traductions disponibles.</t>
  </si>
  <si>
    <t xml:space="preserve"> Preuves de présence locale.</t>
  </si>
  <si>
    <t xml:space="preserve"> Statistiques de réponse.</t>
  </si>
  <si>
    <t xml:space="preserve"> Enquêtes régionales.</t>
  </si>
  <si>
    <t xml:space="preserve"> Catalogue de services.</t>
  </si>
  <si>
    <t xml:space="preserve"> Fiches d'expertise.</t>
  </si>
  <si>
    <t xml:space="preserve"> PV de réunions.</t>
  </si>
  <si>
    <t xml:space="preserve"> SLA par fonction.</t>
  </si>
  <si>
    <t xml:space="preserve"> Comptes-rendus de revue.</t>
  </si>
  <si>
    <t xml:space="preserve"> Capture d'écran de l'aide</t>
  </si>
  <si>
    <t xml:space="preserve"> Logs des suggestions</t>
  </si>
  <si>
    <t xml:space="preserve"> Attestations de formation</t>
  </si>
  <si>
    <t xml:space="preserve"> Rapport d'analytics</t>
  </si>
  <si>
    <t xml:space="preserve"> Registre des versions</t>
  </si>
  <si>
    <t xml:space="preserve"> Procédure versionnée</t>
  </si>
  <si>
    <t xml:space="preserve"> Registre d'échantillonnage</t>
  </si>
  <si>
    <t xml:space="preserve"> Grille validée</t>
  </si>
  <si>
    <t xml:space="preserve"> Suivi des actions</t>
  </si>
  <si>
    <t xml:space="preserve"> PV trimestriels</t>
  </si>
  <si>
    <t xml:space="preserve"> URL d'accès</t>
  </si>
  <si>
    <t xml:space="preserve"> Inventaire des solutions</t>
  </si>
  <si>
    <t xml:space="preserve"> Tests de recherche</t>
  </si>
  <si>
    <t xml:space="preserve"> Matrice des droits</t>
  </si>
  <si>
    <t xml:space="preserve"> Backup des versions</t>
  </si>
  <si>
    <t xml:space="preserve"> Fiches de poste</t>
  </si>
  <si>
    <t xml:space="preserve"> Calendrier des mises à jour</t>
  </si>
  <si>
    <t xml:space="preserve"> Approbations</t>
  </si>
  <si>
    <t xml:space="preserve"> Log des changements</t>
  </si>
  <si>
    <t xml:space="preserve"> Rapports de tests</t>
  </si>
  <si>
    <t xml:space="preserve"> Politique documentée</t>
  </si>
  <si>
    <t xml:space="preserve"> Certificat de chiffrement</t>
  </si>
  <si>
    <t xml:space="preserve"> Registre des consentements</t>
  </si>
  <si>
    <t xml:space="preserve"> Logs d'accès</t>
  </si>
  <si>
    <t xml:space="preserve"> Scripts de purge</t>
  </si>
  <si>
    <t xml:space="preserve"> Structuration inefficace.</t>
  </si>
  <si>
    <t xml:space="preserve"> Compétences inadaptées.</t>
  </si>
  <si>
    <t xml:space="preserve"> Délais non respectés.</t>
  </si>
  <si>
    <t xml:space="preserve"> Outils obsolètes.</t>
  </si>
  <si>
    <t xml:space="preserve"> Décisions non data-driven.</t>
  </si>
  <si>
    <t xml:space="preserve"> Demandes ignorées.</t>
  </si>
  <si>
    <t xml:space="preserve"> Mauvaise utilisation des outils.</t>
  </si>
  <si>
    <t xml:space="preserve"> Surcharge du help-desk.</t>
  </si>
  <si>
    <t xml:space="preserve"> Procédures obsolètes.</t>
  </si>
  <si>
    <t xml:space="preserve"> Détérioration de l'expérience utilisateur.</t>
  </si>
  <si>
    <t xml:space="preserve"> Incidents non résolus.</t>
  </si>
  <si>
    <t xml:space="preserve"> Délais dépassés.</t>
  </si>
  <si>
    <t xml:space="preserve"> Responsables indisponibles.</t>
  </si>
  <si>
    <t xml:space="preserve"> Procédure non testée.</t>
  </si>
  <si>
    <t xml:space="preserve"> Répétition des erreurs.</t>
  </si>
  <si>
    <t xml:space="preserve"> Inégalités de service.</t>
  </si>
  <si>
    <t xml:space="preserve"> Barrières linguistiques.</t>
  </si>
  <si>
    <t xml:space="preserve"> Latence technique.</t>
  </si>
  <si>
    <t xml:space="preserve"> Insatisfaction régionale.</t>
  </si>
  <si>
    <t xml:space="preserve"> Conflits internes.</t>
  </si>
  <si>
    <t xml:space="preserve"> Demandes non traitées.</t>
  </si>
  <si>
    <t xml:space="preserve"> Décisions inadaptées.</t>
  </si>
  <si>
    <t xml:space="preserve"> Silotage des équipes.</t>
  </si>
  <si>
    <t xml:space="preserve"> SLA irréalistes.</t>
  </si>
  <si>
    <t xml:space="preserve"> Obsolescence des services.</t>
  </si>
  <si>
    <t xml:space="preserve"> Saisie erronée</t>
  </si>
  <si>
    <t xml:space="preserve"> Mauvaise adoption</t>
  </si>
  <si>
    <t xml:space="preserve"> Incompétence utilisateur</t>
  </si>
  <si>
    <t xml:space="preserve"> Outil sous-utilisé</t>
  </si>
  <si>
    <t xml:space="preserve"> Informations obsolètes</t>
  </si>
  <si>
    <t xml:space="preserve"> Qualité hétérogène</t>
  </si>
  <si>
    <t xml:space="preserve"> Problèmes non détectés</t>
  </si>
  <si>
    <t xml:space="preserve"> Évaluations subjectives</t>
  </si>
  <si>
    <t xml:space="preserve"> Corrections retardées</t>
  </si>
  <si>
    <t xml:space="preserve"> Décisions non alignées</t>
  </si>
  <si>
    <t xml:space="preserve"> Duplication d'efforts</t>
  </si>
  <si>
    <t xml:space="preserve"> Résolutions improvisées</t>
  </si>
  <si>
    <t xml:space="preserve"> Temps de recherche ×3</t>
  </si>
  <si>
    <t xml:space="preserve"> Fuites d'infos</t>
  </si>
  <si>
    <t xml:space="preserve"> Perte de savoir</t>
  </si>
  <si>
    <t xml:space="preserve"> Contenu obsolète</t>
  </si>
  <si>
    <t xml:space="preserve"> Retards critiques</t>
  </si>
  <si>
    <t xml:space="preserve"> Non-conformité</t>
  </si>
  <si>
    <t xml:space="preserve"> Traçabilité perdue</t>
  </si>
  <si>
    <t xml:space="preserve"> Rétrocompatibilité brisée</t>
  </si>
  <si>
    <t xml:space="preserve"> Preuves perdues</t>
  </si>
  <si>
    <t xml:space="preserve"> Données exposées</t>
  </si>
  <si>
    <t xml:space="preserve"> Violation RGPD</t>
  </si>
  <si>
    <t xml:space="preserve"> Utilisation abusive</t>
  </si>
  <si>
    <t xml:space="preserve"> Stockage illimité</t>
  </si>
  <si>
    <t xml:space="preserve"> Perte de crédibilité.</t>
  </si>
  <si>
    <t xml:space="preserve"> Erreurs récurrentes.</t>
  </si>
  <si>
    <t xml:space="preserve"> Insatisfaction clients.</t>
  </si>
  <si>
    <t xml:space="preserve"> Fuites de données.</t>
  </si>
  <si>
    <t xml:space="preserve"> Coûts de réorganisation.</t>
  </si>
  <si>
    <t xml:space="preserve"> Retards critiques.</t>
  </si>
  <si>
    <t xml:space="preserve"> Formation coûteuse.</t>
  </si>
  <si>
    <t xml:space="preserve"> Coûts de support supplémentaires.</t>
  </si>
  <si>
    <t xml:space="preserve"> Non-conformité réglementaire.</t>
  </si>
  <si>
    <t xml:space="preserve"> Perte de clients.</t>
  </si>
  <si>
    <t xml:space="preserve"> Interruptions opérationnelles.</t>
  </si>
  <si>
    <t xml:space="preserve"> Amendes pour non-respect de SLA.</t>
  </si>
  <si>
    <t xml:space="preserve"> Perte de confiance.</t>
  </si>
  <si>
    <t xml:space="preserve"> Crises non gérées.</t>
  </si>
  <si>
    <t xml:space="preserve"> Coûts juridiques.</t>
  </si>
  <si>
    <t xml:space="preserve"> Perte de parts de marché.</t>
  </si>
  <si>
    <t xml:space="preserve"> Contentieux linguistiques.</t>
  </si>
  <si>
    <t xml:space="preserve"> Coûts d'infrastructure.</t>
  </si>
  <si>
    <t xml:space="preserve"> Sanctions locales.</t>
  </si>
  <si>
    <t xml:space="preserve"> Réputation entachée.</t>
  </si>
  <si>
    <t xml:space="preserve"> Blocage des processus.</t>
  </si>
  <si>
    <t xml:space="preserve"> Erreurs stratégiques.</t>
  </si>
  <si>
    <t xml:space="preserve"> Frais de consultance externes.</t>
  </si>
  <si>
    <t xml:space="preserve"> Pénalités contractuelles.</t>
  </si>
  <si>
    <t xml:space="preserve"> Retard technologique.</t>
  </si>
  <si>
    <t xml:space="preserve"> Retards de traitement (+20% de temps)</t>
  </si>
  <si>
    <t xml:space="preserve"> Coûts de correction (5-15k€/an)</t>
  </si>
  <si>
    <t xml:space="preserve"> Re-formations coûteuses</t>
  </si>
  <si>
    <t xml:space="preserve"> ROI faible</t>
  </si>
  <si>
    <t xml:space="preserve"> 30% de tickets rejetés</t>
  </si>
  <si>
    <t xml:space="preserve"> Insatisfaction client</t>
  </si>
  <si>
    <t xml:space="preserve"> Litiges contractuels</t>
  </si>
  <si>
    <t xml:space="preserve"> Délais allongés</t>
  </si>
  <si>
    <t xml:space="preserve"> Perte de certification</t>
  </si>
  <si>
    <t xml:space="preserve"> +40% d'appels</t>
  </si>
  <si>
    <t xml:space="preserve"> Erreurs récurrentes</t>
  </si>
  <si>
    <t xml:space="preserve"> Coûts de formation</t>
  </si>
  <si>
    <t xml:space="preserve"> Amendes RGPD</t>
  </si>
  <si>
    <t xml:space="preserve"> Perte de compétences</t>
  </si>
  <si>
    <t xml:space="preserve"> Support inefficace</t>
  </si>
  <si>
    <t xml:space="preserve"> Pénalités contractuelles</t>
  </si>
  <si>
    <t xml:space="preserve"> Vulnérabilités sécurité</t>
  </si>
  <si>
    <t xml:space="preserve"> Litiges juridiques</t>
  </si>
  <si>
    <t xml:space="preserve"> Coûts de rollback</t>
  </si>
  <si>
    <t xml:space="preserve"> Non-recours juridique</t>
  </si>
  <si>
    <t xml:space="preserve"> Amendes (4% CA)</t>
  </si>
  <si>
    <t xml:space="preserve"> Perte de confiance</t>
  </si>
  <si>
    <t xml:space="preserve"> Réputation entachée</t>
  </si>
  <si>
    <t xml:space="preserve"> Coûts de stockage</t>
  </si>
  <si>
    <t>RISQUES</t>
  </si>
  <si>
    <t xml:space="preserve"> Procédure documentée avec matrice RACI</t>
  </si>
  <si>
    <t xml:space="preserve"> Tests automatisés (unitaires/intégration)</t>
  </si>
  <si>
    <t xml:space="preserve"> Fenêtre de maintenance approuvée par la direction</t>
  </si>
  <si>
    <t xml:space="preserve"> Journal des déploiements avec timestamp et checksum</t>
  </si>
  <si>
    <t xml:space="preserve"> Scan de vulnérabilités pré-production</t>
  </si>
  <si>
    <t xml:space="preserve"> Single Source of Truth (Git/Bitbucket)</t>
  </si>
  <si>
    <t xml:space="preserve"> Politique de branching (GitFlow)</t>
  </si>
  <si>
    <t xml:space="preserve"> Tagging sémantique (v1.2.3)</t>
  </si>
  <si>
    <t xml:space="preserve"> Synchronisation CMDB-SCM</t>
  </si>
  <si>
    <t xml:space="preserve"> Historique des changements sur 5 ans</t>
  </si>
  <si>
    <t xml:space="preserve"> CMDB à jour (≤7 jours)</t>
  </si>
  <si>
    <t xml:space="preserve"> Découverte automatique des assets</t>
  </si>
  <si>
    <t xml:space="preserve"> SBOM pour tous les logiciels</t>
  </si>
  <si>
    <t xml:space="preserve"> Alerte sur EOL/EOS</t>
  </si>
  <si>
    <t xml:space="preserve"> Rapport d'obsolescence trimestriel</t>
  </si>
  <si>
    <t xml:space="preserve"> Inventaire MDM exhaustif</t>
  </si>
  <si>
    <t xml:space="preserve"> Politique de patchs critiques (&lt;72h)</t>
  </si>
  <si>
    <t xml:space="preserve"> VPN obligatoire pour les mises à jour</t>
  </si>
  <si>
    <t xml:space="preserve"> Reporting de conformité hebdomadaire</t>
  </si>
  <si>
    <t xml:space="preserve"> Procédure pour appareils non connectés (&gt;30j)</t>
  </si>
  <si>
    <t xml:space="preserve"> Solution centralisée (SCCM/Ansible)</t>
  </si>
  <si>
    <t xml:space="preserve"> Bande passante garantie (≥10Mbps/device)</t>
  </si>
  <si>
    <t xml:space="preserve"> Rollback automatisé si échec</t>
  </si>
  <si>
    <t xml:space="preserve"> Journalisation complète (qui/quand/quoi)</t>
  </si>
  <si>
    <t xml:space="preserve"> Authentification MFA obligatoire</t>
  </si>
  <si>
    <t xml:space="preserve"> La matrice RACI inclut-elle un responsable de rollback ?</t>
  </si>
  <si>
    <t xml:space="preserve"> Le pipeline CI/CD exécute-t-il ≥95% de couverture de tests ?</t>
  </si>
  <si>
    <t xml:space="preserve"> La fenêtre est-elle communiquée 72h à l'avance ?</t>
  </si>
  <si>
    <t xml:space="preserve"> Le journal contient-il les hashs SHA-256 des packages ?</t>
  </si>
  <si>
    <t xml:space="preserve"> Le scan Nessus montre-t-il &lt;5 vulnérabilités critiques ?</t>
  </si>
  <si>
    <t xml:space="preserve"> 100% du code est-il dans le dépôt central ?</t>
  </si>
  <si>
    <t xml:space="preserve"> Existe-t-il un document de politique de branching ?</t>
  </si>
  <si>
    <t xml:space="preserve"> Les tags suivent-ils SEMVER ?</t>
  </si>
  <si>
    <t xml:space="preserve"> La CMDB reflète-t-elle la version en production ?</t>
  </si>
  <si>
    <t xml:space="preserve"> Peut-on retrouver le code d'il y a 3 ans ?</t>
  </si>
  <si>
    <t xml:space="preserve"> Le scan Lansweeper a-t-il &lt;5% d'écarts ?</t>
  </si>
  <si>
    <t xml:space="preserve"> Les nouveaux VMs sont-ils détectés en &lt;1h ?</t>
  </si>
  <si>
    <t xml:space="preserve"> Les BOM contiennent-ils les CPE ?</t>
  </si>
  <si>
    <t xml:space="preserve"> Les alertes EOL sont-elles envoyées 6 mois à l'avance ?</t>
  </si>
  <si>
    <t xml:space="preserve"> Le rapport identifie-t-il ≥90% des assets obsolètes ?</t>
  </si>
  <si>
    <t xml:space="preserve"> Le MDM couvre-t-il ≥98% des devices ?</t>
  </si>
  <si>
    <t xml:space="preserve"> Les patchs MS17-010 sont-ils déployés en &lt;72h ?</t>
  </si>
  <si>
    <t xml:space="preserve"> Le VPN est-il requis via Always On VPN ?</t>
  </si>
  <si>
    <t xml:space="preserve"> Le taux de conformité est-il &gt;95% ?</t>
  </si>
  <si>
    <t xml:space="preserve"> Existe-t-il un processus pour les "dormants" ?</t>
  </si>
  <si>
    <t xml:space="preserve"> 100% des devices sont-ils managés ?</t>
  </si>
  <si>
    <t xml:space="preserve"> Le débit est-il monitoré via PRTG ?</t>
  </si>
  <si>
    <t xml:space="preserve"> Le rollback s'exécute-t-il en &lt;15min ?</t>
  </si>
  <si>
    <t xml:space="preserve"> Les logs incluent-ils l'user Azure AD ?</t>
  </si>
  <si>
    <t xml:space="preserve"> La MFA est-elle activée via Conditional Access ?</t>
  </si>
  <si>
    <t xml:space="preserve"> Document RACI versionné</t>
  </si>
  <si>
    <t xml:space="preserve"> Rapport SonarQube</t>
  </si>
  <si>
    <t xml:space="preserve"> Email de notification</t>
  </si>
  <si>
    <t xml:space="preserve"> Logs Ansible/Jenkins</t>
  </si>
  <si>
    <t xml:space="preserve"> Rapport Nessus PDF</t>
  </si>
  <si>
    <t xml:space="preserve"> Audit Git avec git ls-remote</t>
  </si>
  <si>
    <t xml:space="preserve"> Politique PDF signée</t>
  </si>
  <si>
    <t xml:space="preserve"> Liste des tags (git tag -l)</t>
  </si>
  <si>
    <t xml:space="preserve"> Export CMDB en JSON</t>
  </si>
  <si>
    <t xml:space="preserve"> Backup LTO des dépôts</t>
  </si>
  <si>
    <t xml:space="preserve"> Diff CMDB/Lansweeper</t>
  </si>
  <si>
    <t xml:space="preserve"> Logs ServiceNow Discovery</t>
  </si>
  <si>
    <t xml:space="preserve"> Fichiers CycloneDX</t>
  </si>
  <si>
    <t xml:space="preserve"> Alertes SCOM/Qualys</t>
  </si>
  <si>
    <t xml:space="preserve"> Rapport PDF avec plan de remplacement</t>
  </si>
  <si>
    <t xml:space="preserve"> Rapport Intune/JAMF</t>
  </si>
  <si>
    <t xml:space="preserve"> Logs WSUS/SCCM</t>
  </si>
  <si>
    <t xml:space="preserve"> Config GPO/PowerShell</t>
  </si>
  <si>
    <t xml:space="preserve"> Dashboard Power BI</t>
  </si>
  <si>
    <t xml:space="preserve"> Procédure documentée</t>
  </si>
  <si>
    <t xml:space="preserve"> Console SCCM screenshot</t>
  </si>
  <si>
    <t xml:space="preserve"> Graphiques PRTG</t>
  </si>
  <si>
    <t xml:space="preserve"> Playbook Ansible</t>
  </si>
  <si>
    <t xml:space="preserve"> Logs Sentinel/SIEM</t>
  </si>
  <si>
    <t xml:space="preserve"> Rapport MFA Azure AD</t>
  </si>
  <si>
    <t xml:space="preserve"> Responsabilité floue</t>
  </si>
  <si>
    <t xml:space="preserve"> Régressions fonctionnelles</t>
  </si>
  <si>
    <t xml:space="preserve"> Conflits avec les utilisateurs</t>
  </si>
  <si>
    <t xml:space="preserve"> Altération des binaires</t>
  </si>
  <si>
    <t xml:space="preserve"> Exploits en production</t>
  </si>
  <si>
    <t xml:space="preserve"> Code fantôme</t>
  </si>
  <si>
    <t xml:space="preserve"> Merges chaotiques</t>
  </si>
  <si>
    <t xml:space="preserve"> Incompatibilités</t>
  </si>
  <si>
    <t xml:space="preserve"> Désynchronisation assets</t>
  </si>
  <si>
    <t xml:space="preserve"> Non-reproductibilité</t>
  </si>
  <si>
    <t xml:space="preserve"> Shadow IT</t>
  </si>
  <si>
    <t xml:space="preserve"> Assets non managés</t>
  </si>
  <si>
    <t xml:space="preserve"> Vulnérabilités inconnues</t>
  </si>
  <si>
    <t xml:space="preserve"> Panne critique</t>
  </si>
  <si>
    <t xml:space="preserve"> Coûts de maintien ×5</t>
  </si>
  <si>
    <t xml:space="preserve"> Portables non patchés</t>
  </si>
  <si>
    <t xml:space="preserve"> Breaches 0-day</t>
  </si>
  <si>
    <t xml:space="preserve"> Mises à jour corrompues</t>
  </si>
  <si>
    <t xml:space="preserve"> Backdoors persistantes</t>
  </si>
  <si>
    <t xml:space="preserve"> Désynchronisation</t>
  </si>
  <si>
    <t xml:space="preserve"> Échecs de déploiement</t>
  </si>
  <si>
    <t xml:space="preserve"> Bricking des devices</t>
  </si>
  <si>
    <t xml:space="preserve"> Actions non tracées</t>
  </si>
  <si>
    <t xml:space="preserve"> Accès compromis</t>
  </si>
  <si>
    <t xml:space="preserve"> 8h de troubleshooting (25k€)</t>
  </si>
  <si>
    <t xml:space="preserve"> 15% d'incidents post-déploiement</t>
  </si>
  <si>
    <t xml:space="preserve"> Amendes pour non-respect SLA</t>
  </si>
  <si>
    <t xml:space="preserve"> Compromission données</t>
  </si>
  <si>
    <t xml:space="preserve"> Sanctions RGPD (4% CA)</t>
  </si>
  <si>
    <t xml:space="preserve"> 40h de recherche de code</t>
  </si>
  <si>
    <t xml:space="preserve"> 30% de temps perdu en résolution</t>
  </si>
  <si>
    <t xml:space="preserve"> Coût de migration ×3</t>
  </si>
  <si>
    <t xml:space="preserve"> Erreurs d'inventaire</t>
  </si>
  <si>
    <t xml:space="preserve"> Non-conformité SOX</t>
  </si>
  <si>
    <t xml:space="preserve"> 60k€ de licences inutiles</t>
  </si>
  <si>
    <t xml:space="preserve"> 20h/semaine de gestion manuelle</t>
  </si>
  <si>
    <t xml:space="preserve"> Failures log4j-like</t>
  </si>
  <si>
    <t xml:space="preserve"> Indisponibilité majeure</t>
  </si>
  <si>
    <t xml:space="preserve"> Dépenses CAPEX imprévues</t>
  </si>
  <si>
    <t xml:space="preserve"> Infection ransomware</t>
  </si>
  <si>
    <t xml:space="preserve"> Fuite données (PII)</t>
  </si>
  <si>
    <t xml:space="preserve"> Coût de remediation 50k€</t>
  </si>
  <si>
    <t xml:space="preserve"> Suspension certifications</t>
  </si>
  <si>
    <t xml:space="preserve"> Coûts légaux (500k€+)</t>
  </si>
  <si>
    <t xml:space="preserve"> 200h de déploiements manuels</t>
  </si>
  <si>
    <t xml:space="preserve"> 30% de retries</t>
  </si>
  <si>
    <t xml:space="preserve"> Remplacement hardware</t>
  </si>
  <si>
    <t xml:space="preserve"> Non-repudiation impossible</t>
  </si>
  <si>
    <t xml:space="preserve"> Incident de sécurité majeur</t>
  </si>
  <si>
    <t>Qualité de l’inventaire des licences</t>
  </si>
  <si>
    <t>L’inventaire des licences est-il complet, à jour et documenté ?</t>
  </si>
  <si>
    <t>Base d’inventaire actualisée incluant logiciel, version, date, utilisateurs</t>
  </si>
  <si>
    <t>Données incomplètes ou erronées</t>
  </si>
  <si>
    <t>Risques juridiques, redressements ou surcoûts en cas de contrôle</t>
  </si>
  <si>
    <t>Utilisation d’outils SAM</t>
  </si>
  <si>
    <t>Des outils SAM sont-ils utilisés pour automatiser la gestion des licences ?</t>
  </si>
  <si>
    <t>Déploiement d’un outil SAM intégré aux systèmes d’information</t>
  </si>
  <si>
    <t>Absence de contrôle automatisé des actifs logiciels</t>
  </si>
  <si>
    <t>Mauvaise gestion des licences, surcoût ou pénalités</t>
  </si>
  <si>
    <t>Fréquence des revues de licences</t>
  </si>
  <si>
    <t>Les licences font-elles l’objet de revues régulières ?</t>
  </si>
  <si>
    <t>Planning annuel de revues avec rapports de conformité</t>
  </si>
  <si>
    <t>Logiciels non détectés ou non conformes</t>
  </si>
  <si>
    <t>Non-conformité contractuelle, amendes ou litiges</t>
  </si>
  <si>
    <t>Existence d’une CMDB opérationnelle</t>
  </si>
  <si>
    <t>Une base CMDB intègre-t-elle les composants logiciels et leurs statuts ?</t>
  </si>
  <si>
    <t>CMDB structurée, documentée et synchronisée avec le SI</t>
  </si>
  <si>
    <t>Désalignement entre l’infrastructure réelle et la base de référence</t>
  </si>
  <si>
    <t>Erreurs de gestion, décisions IT inefficaces</t>
  </si>
  <si>
    <t>Niveau de sensibilisation de la DSI</t>
  </si>
  <si>
    <t>La DSI est-elle formée aux risques liés à la non-conformité des licences ?</t>
  </si>
  <si>
    <t>Sessions de sensibilisation et documentation interne disponibles</t>
  </si>
  <si>
    <t>Méconnaissance des obligations légales en matière de licences</t>
  </si>
  <si>
    <t>Risques financiers et réputationnels accrus en cas de contrôle externe</t>
  </si>
  <si>
    <t>Inventaire des licences</t>
  </si>
  <si>
    <t>Comment est structuré l’inventaire des licences (logiciels, versions, dates, utilisateurs) ?</t>
  </si>
  <si>
    <t>Inventaire formalisé et mis à jour régulièrement</t>
  </si>
  <si>
    <t>Données inexactes ou incomplètes</t>
  </si>
  <si>
    <t>Risque de non-conformité et pénalités en cas d’audit</t>
  </si>
  <si>
    <t>Outils de gestion SAM</t>
  </si>
  <si>
    <t>Des outils de type SAM sont-ils déployés pour gérer les actifs logiciels ?</t>
  </si>
  <si>
    <t>Outil SAM fonctionnel et intégré au SI</t>
  </si>
  <si>
    <t>Manque de visibilité sur l’usage des licences</t>
  </si>
  <si>
    <t>Surcoûts liés aux licences inutilisées ou non déclarées</t>
  </si>
  <si>
    <t>Revue des licences</t>
  </si>
  <si>
    <t>Une revue périodique des licences est-elle effectuée ?</t>
  </si>
  <si>
    <t>Planning annuel de revues avec comptes-rendus</t>
  </si>
  <si>
    <t>Utilisation de logiciels non conformes</t>
  </si>
  <si>
    <t>Risques juridiques et atteinte à l’image de l’organisation</t>
  </si>
  <si>
    <t>Gestion des configurations via CMDB</t>
  </si>
  <si>
    <t>Une CMDB est-elle utilisée pour recenser les composants logiciels ?</t>
  </si>
  <si>
    <t>Base CMDB complète, structurée et synchronisée</t>
  </si>
  <si>
    <t>Désalignement entre infrastructure réelle et référencée</t>
  </si>
  <si>
    <t>Décisions IT inefficaces, erreurs dans la gestion des actifs</t>
  </si>
  <si>
    <t>Sensibilisation des équipes IT</t>
  </si>
  <si>
    <t>La DSI est-elle formée et sensibilisée à la gestion des licences ?</t>
  </si>
  <si>
    <t>Sessions de sensibilisation régulières, support documentaire</t>
  </si>
  <si>
    <t>Faible connaissance des obligations légales</t>
  </si>
  <si>
    <t>Manquements en cas de contrôle externe, sanctions possibles</t>
  </si>
  <si>
    <t>Existence d’un processus de revue</t>
  </si>
  <si>
    <t>Des revues de licences sont-elles planifiées régulièrement ?</t>
  </si>
  <si>
    <t>Planning annuel formalisé avec comptes rendus</t>
  </si>
  <si>
    <t>Suivi non systématique de la conformité</t>
  </si>
  <si>
    <t>Risques de non-renouvellement ou de dépassement de licence</t>
  </si>
  <si>
    <t>Implication des parties prenantes</t>
  </si>
  <si>
    <t>Qui participe aux revues de licences ?</t>
  </si>
  <si>
    <t>Comité avec DSI, achats, juridique</t>
  </si>
  <si>
    <t>Manque de coordination</t>
  </si>
  <si>
    <t>Erreurs d’évaluation ou sous-licenciement</t>
  </si>
  <si>
    <t>Traçabilité des résultats</t>
  </si>
  <si>
    <t>Les résultats des revues sont-ils archivés ?</t>
  </si>
  <si>
    <t>Rapports stockés dans un référentiel sécurisé</t>
  </si>
  <si>
    <t>Perte d’historique de conformité</t>
  </si>
  <si>
    <t>Difficulté à prouver la conformité lors d’un audit</t>
  </si>
  <si>
    <t>Prise en compte des évolutions</t>
  </si>
  <si>
    <t>Les changements dans le parc sont-ils intégrés aux revues ?</t>
  </si>
  <si>
    <t>Mécanisme de mise à jour intégré au processus</t>
  </si>
  <si>
    <t>Revues obsolètes ou incomplètes</t>
  </si>
  <si>
    <t>Non-détection de nouveaux logiciels ou d’usages</t>
  </si>
  <si>
    <t>Alignement avec les contrats éditeurs</t>
  </si>
  <si>
    <t>Les revues tiennent-elles compte des clauses contractuelles ?</t>
  </si>
  <si>
    <t>Liste des contrats intégrée dans la revue</t>
  </si>
  <si>
    <t>Écarts avec les droits d’usage</t>
  </si>
  <si>
    <t>Litiges ou redressements contractuels</t>
  </si>
  <si>
    <t>Existence d’une CMDB</t>
  </si>
  <si>
    <t>Existe-t-il une CMDB recensant les actifs logiciels ?</t>
  </si>
  <si>
    <t>Base de données centralisée et à jour</t>
  </si>
  <si>
    <t>Absence de référentiel fiable</t>
  </si>
  <si>
    <t>Décisions IT prises sur des données incomplètes</t>
  </si>
  <si>
    <t>Qualité des données</t>
  </si>
  <si>
    <t>La CMDB est-elle maintenue avec des données fiables ?</t>
  </si>
  <si>
    <t>Procédures de mise à jour régulière</t>
  </si>
  <si>
    <t>Données obsolètes ou inexactes</t>
  </si>
  <si>
    <t>Analyse erronée des besoins en licences</t>
  </si>
  <si>
    <t>Intégration avec d’autres outils</t>
  </si>
  <si>
    <t>La CMDB est-elle reliée aux outils SAM ou d’inventaire ?</t>
  </si>
  <si>
    <t>Interfaçage opérationnel et automatisé</t>
  </si>
  <si>
    <t>Données incohérentes ou redondantes</t>
  </si>
  <si>
    <t>Temps perdu à recouper manuellement les informations</t>
  </si>
  <si>
    <t>Gouvernance de la CMDB</t>
  </si>
  <si>
    <t>Qui est responsable de sa mise à jour ?</t>
  </si>
  <si>
    <t>RACI documenté avec rôles définis</t>
  </si>
  <si>
    <t>Absence de responsabilité claire</t>
  </si>
  <si>
    <t>CMDB inutilisée ou négligée</t>
  </si>
  <si>
    <t>Auditabilité</t>
  </si>
  <si>
    <t>La CMDB est-elle auditée régulièrement ?</t>
  </si>
  <si>
    <t>Rapports d’audit internes disponibles</t>
  </si>
  <si>
    <t>Manque de contrôle qualité</t>
  </si>
  <si>
    <t>Inexactitudes non détectées entraînant des écarts de conformité</t>
  </si>
  <si>
    <t>Niveau de formation de la DSI</t>
  </si>
  <si>
    <t>La DSI a-t-elle reçu une formation sur la gestion des licences ?</t>
  </si>
  <si>
    <t>Programmes de formation ou sensibilisation en place</t>
  </si>
  <si>
    <t>Méconnaissance des règles de conformité</t>
  </si>
  <si>
    <t>Mauvaises pratiques internes</t>
  </si>
  <si>
    <t>Communication interne</t>
  </si>
  <si>
    <t>Les enjeux des licences sont-ils régulièrement rappelés ?</t>
  </si>
  <si>
    <t>Supports internes de communication</t>
  </si>
  <si>
    <t>Oubli ou négligence des obligations</t>
  </si>
  <si>
    <t>Accumulation d’écarts non contrôlés</t>
  </si>
  <si>
    <t>Implication de la direction</t>
  </si>
  <si>
    <t>La direction est-elle impliquée dans la gouvernance des licences ?</t>
  </si>
  <si>
    <t>Réunions dédiées, pilotage par la gouvernance IT</t>
  </si>
  <si>
    <t>Manque de soutien stratégique</t>
  </si>
  <si>
    <t>Difficulté à appliquer des mesures correctives</t>
  </si>
  <si>
    <t>Réactivité en cas de contrôle</t>
  </si>
  <si>
    <t>Existe-t-il un plan d’action en cas d’audit éditeur ?</t>
  </si>
  <si>
    <t>Scénario d’audit formalisé avec référents désignés</t>
  </si>
  <si>
    <t>Mauvaise préparation aux audits</t>
  </si>
  <si>
    <t>Sanctions financières ou juridiques</t>
  </si>
  <si>
    <t>Culture de conformité</t>
  </si>
  <si>
    <t>La conformité logicielle est-elle intégrée à la culture de la DSI ?</t>
  </si>
  <si>
    <t>Politique de conformité connue et diffusée</t>
  </si>
  <si>
    <t>Approche réactive plutôt que préventive</t>
  </si>
  <si>
    <t>Risques chroniques de non-conformité</t>
  </si>
  <si>
    <t>Organigramme signé, charte du comité</t>
  </si>
  <si>
    <t>Rôles mal définis</t>
  </si>
  <si>
    <t>Mauvaise gouvernance</t>
  </si>
  <si>
    <t>Mise à jour annuelle recommandée</t>
  </si>
  <si>
    <t>PV de réunion, feuilles de présence</t>
  </si>
  <si>
    <t>Absence de suivi</t>
  </si>
  <si>
    <t>Décisions non appliquées</t>
  </si>
  <si>
    <t>Archiver tous les PV dans un répertoire partagé</t>
  </si>
  <si>
    <t>Dossiers RH, CV, diplômes</t>
  </si>
  <si>
    <t>Incompétence potentielle</t>
  </si>
  <si>
    <t>Mauvaises décisions</t>
  </si>
  <si>
    <t>Vérification annuelle recommandée</t>
  </si>
  <si>
    <t>Mandat signé, note de cadrage</t>
  </si>
  <si>
    <t>Objectifs flous</t>
  </si>
  <si>
    <t>Inefficacité</t>
  </si>
  <si>
    <t>Doit être communiqué à tous les membres</t>
  </si>
  <si>
    <t>Emails, bulletins, intranet</t>
  </si>
  <si>
    <t>Communication défaillante</t>
  </si>
  <si>
    <t>Non-exécution des décisions</t>
  </si>
  <si>
    <t>Utiliser une solution de diffusion centralisée</t>
  </si>
  <si>
    <t>Politique signée, version validée</t>
  </si>
  <si>
    <t>Politique inexistante</t>
  </si>
  <si>
    <t>Risques non couverts</t>
  </si>
  <si>
    <t>Stocker la politique dans un référentiel qualité</t>
  </si>
  <si>
    <t>Historique des versions</t>
  </si>
  <si>
    <t>Politique obsolète</t>
  </si>
  <si>
    <t>Actions inadaptées</t>
  </si>
  <si>
    <t>Date de mise à jour clairement indiquée</t>
  </si>
  <si>
    <t>Contenu de la politique</t>
  </si>
  <si>
    <t>Incohérence avec les normes</t>
  </si>
  <si>
    <t>Risques juridiques</t>
  </si>
  <si>
    <t>Intégrer explicitement les obligations légales</t>
  </si>
  <si>
    <t>Feuilles de signature, accusés numériques</t>
  </si>
  <si>
    <t>Non-application des règles</t>
  </si>
  <si>
    <t>Manque de responsabilité</t>
  </si>
  <si>
    <t>Traçabilité indispensable en cas d’audit</t>
  </si>
  <si>
    <t>Plan de formation, calendrier RH</t>
  </si>
  <si>
    <t>Employés non formés</t>
  </si>
  <si>
    <t>Erreurs ou négligences</t>
  </si>
  <si>
    <t>Prévoir au moins une session annuelle</t>
  </si>
  <si>
    <t>Fiches de poste, référentiel RH</t>
  </si>
  <si>
    <t>Ambiguïté des rôles</t>
  </si>
  <si>
    <t>Attribution inadéquate des droits</t>
  </si>
  <si>
    <t>Vérification à chaque embauche ou changement</t>
  </si>
  <si>
    <t>Chartes, feuilles de signature</t>
  </si>
  <si>
    <t>Mauvais usage des outils</t>
  </si>
  <si>
    <t>Failles de sécurité</t>
  </si>
  <si>
    <t>Intégrer la charte au processus d’arrivée</t>
  </si>
  <si>
    <t>Tableau des droits, journal de modifications</t>
  </si>
  <si>
    <t>Accès injustifiés</t>
  </si>
  <si>
    <t>Violations de données</t>
  </si>
  <si>
    <t>Mise à jour mensuelle conseillée</t>
  </si>
  <si>
    <t>Les comptes des utilisateurs sont-ils désactivés à la sortie ?</t>
  </si>
  <si>
    <t>Liste des départs, journal d'accès</t>
  </si>
  <si>
    <t>Comptes actifs après départ</t>
  </si>
  <si>
    <t>Intrusion potentielle</t>
  </si>
  <si>
    <t>Processus automatique recommandé</t>
  </si>
  <si>
    <t>Procédures, rapports de révision</t>
  </si>
  <si>
    <t>Droits non conformes</t>
  </si>
  <si>
    <t>Risques d’accès abusif</t>
  </si>
  <si>
    <t>Documenter chaque révision effectuée</t>
  </si>
  <si>
    <t>Rapport de risques</t>
  </si>
  <si>
    <t>Vision dépassée des risques</t>
  </si>
  <si>
    <t>Absence de planification adéquate</t>
  </si>
  <si>
    <t>Doit être actualisé annuellement</t>
  </si>
  <si>
    <t>Méthode mentionnée dans le rapport</t>
  </si>
  <si>
    <t>Faible crédibilité de l’analyse</t>
  </si>
  <si>
    <t>Recommandations inappropriées</t>
  </si>
  <si>
    <t>Préférer une méthode reconnue par l’ANSSI</t>
  </si>
  <si>
    <t>Rapport détaillé, tableau des risques</t>
  </si>
  <si>
    <t>Analyse superficielle</t>
  </si>
  <si>
    <t>Omission de menaces majeures</t>
  </si>
  <si>
    <t>Évaluation complète indispensable</t>
  </si>
  <si>
    <t>Plan d’action, fiches de suivi</t>
  </si>
  <si>
    <t>Actions non suivies</t>
  </si>
  <si>
    <t>Retards ou abandons</t>
  </si>
  <si>
    <t>Affecter clairement les responsables</t>
  </si>
  <si>
    <t>Captures d’écran, rapports, emails</t>
  </si>
  <si>
    <t>Aucune traçabilité</t>
  </si>
  <si>
    <t>Doute sur l’exécution</t>
  </si>
  <si>
    <t>Archiver toutes les preuves de réalisation</t>
  </si>
  <si>
    <t>Rapports d'analyse des risques, historique des mises à jour</t>
  </si>
  <si>
    <t>Décalage avec les menaces actuelles</t>
  </si>
  <si>
    <t>Exposition accrue, conformité non assurée</t>
  </si>
  <si>
    <t>Mettre un rappel semestriel de mise à jour</t>
  </si>
  <si>
    <t>Liste des risques, documentation RGPD, veille sécurité</t>
  </si>
  <si>
    <t>Oubli de menaces critiques</t>
  </si>
  <si>
    <t>Sanctions réglementaires, incidents non anticipés</t>
  </si>
  <si>
    <t>Intégrer une veille réglementaire automatisée</t>
  </si>
  <si>
    <t>Tableaux de bord, rapports de suivi, comptes-rendus de réunions</t>
  </si>
  <si>
    <t>Pilotage inefficace</t>
  </si>
  <si>
    <t>Mauvaise allocation des ressources, erreurs de priorisation</t>
  </si>
  <si>
    <t>Utiliser un outil de BI (PowerBI, Tableau)</t>
  </si>
  <si>
    <t>Procédure écrite, exemples de rapports envoyés</t>
  </si>
  <si>
    <t>Manque de transparence</t>
  </si>
  <si>
    <t>Sous-évaluation des enjeux par la direction</t>
  </si>
  <si>
    <t>Prévoir un point sécurité régulier en comité</t>
  </si>
  <si>
    <t>Attestations de formation, listes de présence, supports</t>
  </si>
  <si>
    <t>Personnel mal préparé</t>
  </si>
  <si>
    <t>Augmentation du risque humain</t>
  </si>
  <si>
    <t>Organiser des ateliers de simulation</t>
  </si>
  <si>
    <t>Un document classifiant les données par niveau de sensibilité est-il disponible ?</t>
  </si>
  <si>
    <t>Document de classification, référentiel documentaire</t>
  </si>
  <si>
    <t>Confusion dans la manipulation des données</t>
  </si>
  <si>
    <t>Fuites de données sensibles</t>
  </si>
  <si>
    <t>Associer des étiquettes visibles aux fichiers</t>
  </si>
  <si>
    <t>Historique de versions, validation de la DSI</t>
  </si>
  <si>
    <t>Classification obsolète</t>
  </si>
  <si>
    <t>Mauvaises décisions de sécurité</t>
  </si>
  <si>
    <t>Intégrer un processus de révision semestriel</t>
  </si>
  <si>
    <t>Fichiers de logs, rapports d’analyse, outils SIEM</t>
  </si>
  <si>
    <t>Accès anormaux non détectés</t>
  </si>
  <si>
    <t>Perte ou vol de données non tracé</t>
  </si>
  <si>
    <t>Automatiser l’analyse avec alertes</t>
  </si>
  <si>
    <t>Procédures écrites, plan de chiffrement, gestion des droits</t>
  </si>
  <si>
    <t>Risque élevé sur les données clés</t>
  </si>
  <si>
    <t>Atteinte à l’intégrité, disponibilité ou confidentialité</t>
  </si>
  <si>
    <t>S'assurer d'un chiffrement fort et accès restreint</t>
  </si>
  <si>
    <t>Des preuves de formation des utilisateurs sur la sécurité des données sont-elles disponibles ?</t>
  </si>
  <si>
    <t>Registres de formation, e-learnings validés</t>
  </si>
  <si>
    <t>Mauvaises pratiques utilisateurs</t>
  </si>
  <si>
    <t>Risques internes accrus</t>
  </si>
  <si>
    <t>Intégrer un module sécurité obligatoire à l’arrivée</t>
  </si>
  <si>
    <t>Un manuel d’administration mis à jour est-il disponible ?</t>
  </si>
  <si>
    <t>Dernière version du manuel, date de mise à jour</t>
  </si>
  <si>
    <t>Erreurs d’administration</t>
  </si>
  <si>
    <t>Incidents techniques récurrents</t>
  </si>
  <si>
    <t>Archiver les anciennes versions pour audit</t>
  </si>
  <si>
    <t>Les procédures clés (sauvegarde, restauration...) sont-elles couvertes dans le manuel ?</t>
  </si>
  <si>
    <t>Manuel, procédure de sauvegarde/restauration</t>
  </si>
  <si>
    <t>Incapacité à restaurer rapidement</t>
  </si>
  <si>
    <t>Perte de données, arrêt de service</t>
  </si>
  <si>
    <t>Réaliser un test de restauration trimestriel</t>
  </si>
  <si>
    <t>Des exemples de procédures détaillées sont-ils inclus ?</t>
  </si>
  <si>
    <t>Captures d’écran, guides pas-à-pas</t>
  </si>
  <si>
    <t>Interprétation variable des consignes</t>
  </si>
  <si>
    <t>Risques d’erreurs ou d’inefficacité</t>
  </si>
  <si>
    <t>Prévoir une mise à jour visuelle du manuel</t>
  </si>
  <si>
    <t>Des logs de consultation du manuel existent-ils ?</t>
  </si>
  <si>
    <t>Logs d’accès, portails internes</t>
  </si>
  <si>
    <t>Non-utilisation du manuel</t>
  </si>
  <si>
    <t>Procédures contournées, perte de maîtrise</t>
  </si>
  <si>
    <t>Suivi possible via intranet ou SharePoint</t>
  </si>
  <si>
    <t>Registre de formation, agendas, supports</t>
  </si>
  <si>
    <t>Compétences non actualisées</t>
  </si>
  <si>
    <t>Failles dans l’administration système</t>
  </si>
  <si>
    <t>Prévoir au moins 1 formation technique/an</t>
  </si>
  <si>
    <t>Procédures détaillées validées, documentation des processus</t>
  </si>
  <si>
    <t>Réponses désorganisées aux incidents critiques</t>
  </si>
  <si>
    <t>Allongement des temps de résolution, aggravation de l’impact</t>
  </si>
  <si>
    <t>Identifier et prioriser les processus critiques métier</t>
  </si>
  <si>
    <t>Procédures signées, liste des signataires</t>
  </si>
  <si>
    <t>Manque d’engagement ou de validation</t>
  </si>
  <si>
    <t>Contestation ou non-application</t>
  </si>
  <si>
    <t>Centraliser les signatures dans un répertoire partagé</t>
  </si>
  <si>
    <t>Journaux d’exécution, comptes rendus, tickets d’incident</t>
  </si>
  <si>
    <t>Procédures non respectées</t>
  </si>
  <si>
    <t>Failles de sécurité, erreurs opérationnelles</t>
  </si>
  <si>
    <t>Mettre en place un audit de conformité</t>
  </si>
  <si>
    <t>Tableaux de bord, KPI associés, référentiels ITIL</t>
  </si>
  <si>
    <t>Absence de pilotage objectif</t>
  </si>
  <si>
    <t>Dérives non détectées, inefficacité</t>
  </si>
  <si>
    <t>Utiliser des KPIs simples et régulièrement suivis</t>
  </si>
  <si>
    <t>Historique de modification, version actuelle</t>
  </si>
  <si>
    <t>Obsolescence des actions décrites</t>
  </si>
  <si>
    <t>Risques non maîtrisés, mauvaises pratiques</t>
  </si>
  <si>
    <t>Établir un calendrier de révision semestriel</t>
  </si>
  <si>
    <t>Un modèle standardisé de compte rendu mensuel est-il documenté ?</t>
  </si>
  <si>
    <t>Modèle de rapport, note de cadrage</t>
  </si>
  <si>
    <t>Hétérogénéité des remontées d'information</t>
  </si>
  <si>
    <t>Difficulté à consolider ou comparer les données</t>
  </si>
  <si>
    <t>Créer un template structuré validé par la DSI</t>
  </si>
  <si>
    <t>Le compte rendu contient-il des indicateurs de performance (KPI) pertinents pour le propriétaire ?</t>
  </si>
  <si>
    <t>Rapports mensuels, liste des KPIs</t>
  </si>
  <si>
    <t>Décisions prises sans base objective</t>
  </si>
  <si>
    <t>Mauvaise priorisation ou pilotage</t>
  </si>
  <si>
    <t>Impliquer le propriétaire dans la définition des KPI</t>
  </si>
  <si>
    <t>Compte rendu signé, horodaté</t>
  </si>
  <si>
    <t>Informations non relues, erreurs</t>
  </si>
  <si>
    <t>Diffusion d’informations erronées</t>
  </si>
  <si>
    <t>Utiliser une validation électronique automatique</t>
  </si>
  <si>
    <t>Suivi de transmission, planning</t>
  </si>
  <si>
    <t>Décalage entre état réel et informations reçues</t>
  </si>
  <si>
    <t>Retards d’action, mauvaises décisions</t>
  </si>
  <si>
    <t>Automatiser l’envoi avec accusé de réception</t>
  </si>
  <si>
    <t>Répertoire sécurisé, classement daté</t>
  </si>
  <si>
    <t>Perte d’historique</t>
  </si>
  <si>
    <t>Impossible de tracer ou auditer</t>
  </si>
  <si>
    <t>Utiliser un archivage avec droits restreints</t>
  </si>
  <si>
    <t>Un guide utilisateur ou manuel de procédures simplifiées est-il disponible ?</t>
  </si>
  <si>
    <t>Guide PDF, manuel de procédures</t>
  </si>
  <si>
    <t>Utilisation erronée des outils ou logiciels</t>
  </si>
  <si>
    <t>Failles opérationnelles, inefficacité</t>
  </si>
  <si>
    <t>Prévoir un format synthétique + version vidéo</t>
  </si>
  <si>
    <t>Manuel de procédures détaillé, organigramme</t>
  </si>
  <si>
    <t>Confusion des tâches</t>
  </si>
  <si>
    <t>Risques d’erreur ou de conflit d’autorité</t>
  </si>
  <si>
    <t>Mentionner les contacts de référence dans chaque section</t>
  </si>
  <si>
    <t>Le processus formel de mise à jour des versions du système est-il défini ?</t>
  </si>
  <si>
    <t>Procédure de mise à jour, planning des releases</t>
  </si>
  <si>
    <t>Versions non maîtrisées</t>
  </si>
  <si>
    <t>Vulnérabilités, incompatibilités</t>
  </si>
  <si>
    <t>Adopter une gouvernance des versions logicielle</t>
  </si>
  <si>
    <t>Liste des formats disponibles, accès intranet</t>
  </si>
  <si>
    <t>Inaccessibilité de l'information</t>
  </si>
  <si>
    <t>Perte de temps, non-respect des procédures</t>
  </si>
  <si>
    <t>Favoriser le format numérique interactif</t>
  </si>
  <si>
    <t>Un responsable est-il désigné pour la maintenance des documents ?</t>
  </si>
  <si>
    <t>Fiche de rôle, désignation officielle</t>
  </si>
  <si>
    <t>Mises à jour irrégulières</t>
  </si>
  <si>
    <t>Obsolescence des référentiels</t>
  </si>
  <si>
    <t>Nommer un référent documentaire par domaine</t>
  </si>
  <si>
    <t>Critères d'évaluations</t>
  </si>
  <si>
    <t>Questions d'évaluations</t>
  </si>
  <si>
    <t>Risques</t>
  </si>
  <si>
    <t>Conséquences</t>
  </si>
  <si>
    <t>Recommandation</t>
  </si>
  <si>
    <t>Coûts supplémentaires</t>
  </si>
  <si>
    <t>Les impacts organisationnels ont-ils été évalués ?</t>
  </si>
  <si>
    <t>Rapport d’impact</t>
  </si>
  <si>
    <t>Résistances au changement</t>
  </si>
  <si>
    <t>Prise en compte des parties prenantes</t>
  </si>
  <si>
    <t>S’assurer qu’une étude de la valeur et des études d’opportunité et d’impacts ont été réalisées ;</t>
  </si>
  <si>
    <t>Rapport d’analyse</t>
  </si>
  <si>
    <t>Rejet des changements</t>
  </si>
  <si>
    <t>Étude comparative</t>
  </si>
  <si>
    <t>S’assurer qu’un bilan critique des processus existants a été effectué ;</t>
  </si>
  <si>
    <t>Mauvais ROI</t>
  </si>
  <si>
    <t>Mauvais arbitrage</t>
  </si>
  <si>
    <t>Note de cadrage</t>
  </si>
  <si>
    <t>Incompréhensions</t>
  </si>
  <si>
    <t>Cahier des charges</t>
  </si>
  <si>
    <t>Retards et surcoûts</t>
  </si>
  <si>
    <t>PV de validation</t>
  </si>
  <si>
    <t>Schéma directeur</t>
  </si>
  <si>
    <t>Mauvaise conception</t>
  </si>
  <si>
    <t>Coûts de refonte</t>
  </si>
  <si>
    <t>Objectifs non atteints</t>
  </si>
  <si>
    <t>Analyse des besoins</t>
  </si>
  <si>
    <t>Résistance au changement</t>
  </si>
  <si>
    <t>Journal des modifications</t>
  </si>
  <si>
    <t>Le cahier des charges a-t-il été rédigé ?</t>
  </si>
  <si>
    <t>Oublis critiques</t>
  </si>
  <si>
    <t>Mauvais arbitrages</t>
  </si>
  <si>
    <t>Dysfonctionnements</t>
  </si>
  <si>
    <t>Perte d’adhésion</t>
  </si>
  <si>
    <t>Plan directeur</t>
  </si>
  <si>
    <t>Non-conformité</t>
  </si>
  <si>
    <t>Schéma d’architecture</t>
  </si>
  <si>
    <t>Fuite de données</t>
  </si>
  <si>
    <t>Bugs en production</t>
  </si>
  <si>
    <t>Manque de vision globale</t>
  </si>
  <si>
    <t>Partage du planning</t>
  </si>
  <si>
    <t>Obsolescence du plan</t>
  </si>
  <si>
    <t>Décisions inadaptées</t>
  </si>
  <si>
    <t>Mauvais pilotage</t>
  </si>
  <si>
    <t>Fréquence de révision</t>
  </si>
  <si>
    <t>Prise en compte des retours</t>
  </si>
  <si>
    <t>Rapports de suivi</t>
  </si>
  <si>
    <t>Communication des révisions</t>
  </si>
  <si>
    <t>Outils de suivi</t>
  </si>
  <si>
    <t>Manque de pilotage</t>
  </si>
  <si>
    <t>Historique des révisions</t>
  </si>
  <si>
    <t>Politique de gestion des accès, configurations</t>
  </si>
  <si>
    <t>Accès non contrôlé aux données</t>
  </si>
  <si>
    <t>Fuite de données sensibles, violation de conformité</t>
  </si>
  <si>
    <t>Implémenter et documenter un système RBAC</t>
  </si>
  <si>
    <t>Les logs d’accès aux données sensibles sur 30 jours sont-ils conservés ?</t>
  </si>
  <si>
    <t>Journaux d'accès, politique de rétention</t>
  </si>
  <si>
    <t>Absence de traçabilité des accès</t>
  </si>
  <si>
    <t>Impossible d’auditer en cas d’incident</t>
  </si>
  <si>
    <t>Mettre en place une journalisation centralisée avec rétention de 30 jours minimum</t>
  </si>
  <si>
    <t>Le nombre d’utilisateurs avec droits administrateurs est-il inférieur à 5 % du total ?</t>
  </si>
  <si>
    <t>Liste des utilisateurs, droits attribués</t>
  </si>
  <si>
    <t>Trop d’utilisateurs avec des privilèges élevés</t>
  </si>
  <si>
    <t>Hausse du risque d’erreurs critiques ou malveillantes</t>
  </si>
  <si>
    <t>Limiter les droits admin, revue régulière des accès</t>
  </si>
  <si>
    <t>Rapport de tests d’accès</t>
  </si>
  <si>
    <t>Accès non prévu validé par erreur</t>
  </si>
  <si>
    <t>Brèche de sécurité ou mauvaise configuration</t>
  </si>
  <si>
    <t>Prévoir des tests réguliers de non-conformité aux profils d'accès</t>
  </si>
  <si>
    <t>Procédure RH, registre des départs, journal</t>
  </si>
  <si>
    <t>Anciens employés ayant toujours accès</t>
  </si>
  <si>
    <t>Accès illégitime, fuite d’informations, compromission</t>
  </si>
  <si>
    <t>Automatiser la révocation des comptes dès départ enregistré</t>
  </si>
  <si>
    <t>Un workflow de création/suppression de profils (ex: Jira) est-il en place ?</t>
  </si>
  <si>
    <t>Diagramme du workflow, tickets de demandes</t>
  </si>
  <si>
    <t>Accès non documenté, erreurs de configuration</t>
  </si>
  <si>
    <t>Création ou suppression non contrôlée des droits d'accès</t>
  </si>
  <si>
    <t>Formaliser un workflow validé et automatisé</t>
  </si>
  <si>
    <t>Des traces de validation hiérarchique pour les profils aléatoires existent-elles ?</t>
  </si>
  <si>
    <t>Logs d'approbation, emails, tickets</t>
  </si>
  <si>
    <t>Absence de validation formelle</t>
  </si>
  <si>
    <t>Attribution de droits non justifiés</t>
  </si>
  <si>
    <t>Ajouter une étape de validation hiérarchique obligatoire</t>
  </si>
  <si>
    <t>Référentiel des profils, manuel utilisateur</t>
  </si>
  <si>
    <t>Hétérogénéité des droits</t>
  </si>
  <si>
    <t>Difficultés d’audit, risques d’accès inapproprié</t>
  </si>
  <si>
    <t>Maintenir un référentiel de profils à jour</t>
  </si>
  <si>
    <t>Un audit semestriel des droits est-il effectué ?</t>
  </si>
  <si>
    <t>Rapports d’audit, PV de réunions</t>
  </si>
  <si>
    <t>Accumulation de droits obsolètes</t>
  </si>
  <si>
    <t>Risque de compromission accru</t>
  </si>
  <si>
    <t>Effectuer un audit formel des droits tous les 6 mois</t>
  </si>
  <si>
    <t>Code de conduite, charte informatique</t>
  </si>
  <si>
    <t>Manque de dissuasion</t>
  </si>
  <si>
    <t>Répétition des fautes, faible culture de sécurité</t>
  </si>
  <si>
    <t>Inscrire les sanctions dans les politiques internes</t>
  </si>
  <si>
    <t>Politique d’authentification</t>
  </si>
  <si>
    <t>Usurpation d’identité</t>
  </si>
  <si>
    <t>Impossibilité de traçabilité</t>
  </si>
  <si>
    <t>Imposer l’identifiant unique pour chaque utilisateur</t>
  </si>
  <si>
    <t>Les comptes génériques (ex: "admin", "invité") sont-ils absents ?</t>
  </si>
  <si>
    <t>Liste des comptes utilisateurs</t>
  </si>
  <si>
    <t>Partage de compte, anonymat des actions</t>
  </si>
  <si>
    <t>Non-conformité RGPD, traçabilité impossible</t>
  </si>
  <si>
    <t>Supprimer les comptes génériques ou les restreindre drastiquement</t>
  </si>
  <si>
    <t>Diagramme d’architecture, logs de synchronisation</t>
  </si>
  <si>
    <t>Comptes désynchronisés ou incohérents</t>
  </si>
  <si>
    <t>Accès désactivé non répercuté ou mauvaise gestion des identités</t>
  </si>
  <si>
    <t>Intégrer tous les accès via un annuaire centralisé</t>
  </si>
  <si>
    <t>Une procédure d’identification des destinataires existe-t-elle ?</t>
  </si>
  <si>
    <t>Politique de gestion des données, registre des accès</t>
  </si>
  <si>
    <t>Envoi de données à de mauvais destinataires</t>
  </si>
  <si>
    <t>Fuite de données sensibles</t>
  </si>
  <si>
    <t>Identifier clairement les destinataires autorisés</t>
  </si>
  <si>
    <t>Les logs de connexion incluent-ils adresse IP et horodatage ?</t>
  </si>
  <si>
    <t>Journaux d’audit, outils de monitoring</t>
  </si>
  <si>
    <t>Traçabilité partielle</t>
  </si>
  <si>
    <t>Impossible de retracer certaines actions</t>
  </si>
  <si>
    <t>Enregistrer systématiquement l’IP et la date/heure de connexion</t>
  </si>
  <si>
    <t>Chaque utilisateur a-t-il un mot de passe unique ?</t>
  </si>
  <si>
    <t>Politique de sécurité, configuration des comptes</t>
  </si>
  <si>
    <t>Partage ou réutilisation de mots de passe</t>
  </si>
  <si>
    <t>Perte de traçabilité, risque de compromission</t>
  </si>
  <si>
    <t>Forcer l’unicité des mots de passe par utilisateur</t>
  </si>
  <si>
    <t>Une politique de complexité des mots de passe (caractères, majuscules, chiffres) est-elle appliquée ?</t>
  </si>
  <si>
    <t>Politique de mot de passe, configuration système</t>
  </si>
  <si>
    <t>Faiblesse des mots de passe</t>
  </si>
  <si>
    <t>Accès non autorisé par force brute ou dictionnaire</t>
  </si>
  <si>
    <t>Appliquer une politique forte de complexité et rotation régulière</t>
  </si>
  <si>
    <t>Des tests de rejet de mot de passe simple sont-ils réalisés ?</t>
  </si>
  <si>
    <t>Rapports de tests de sécurité</t>
  </si>
  <si>
    <t>Mots de passe faibles acceptés</t>
  </si>
  <si>
    <t>Vulnérabilité aux attaques automatisées</t>
  </si>
  <si>
    <t>Intégrer des tests automatisés dans le processus de création de compte</t>
  </si>
  <si>
    <t>Une procédure de réinitialisation sécurisée du mot de passe est-elle en place ?</t>
  </si>
  <si>
    <t>Procédure IT, documentation utilisateur</t>
  </si>
  <si>
    <t>Accès au compte via ingénierie sociale</t>
  </si>
  <si>
    <t>Compromission de comptes</t>
  </si>
  <si>
    <t>Mettre en place une vérification multi-étapes pour réinitialisation</t>
  </si>
  <si>
    <t>Des tests de la procédure ont-ils été réalisés ?</t>
  </si>
  <si>
    <t>Rapport de test, PV de validation</t>
  </si>
  <si>
    <t>Procédures non fonctionnelles en cas d’urgence</t>
  </si>
  <si>
    <t>Blocage d’accès, perte de productivité</t>
  </si>
  <si>
    <t>Tester régulièrement les procédures critiques</t>
  </si>
  <si>
    <t>Politique de sécurité, paramètres du système</t>
  </si>
  <si>
    <t>Tentatives illimitées de connexion</t>
  </si>
  <si>
    <t>Risques accrus de brute force</t>
  </si>
  <si>
    <t>Activer un verrouillage temporaire après X tentatives</t>
  </si>
  <si>
    <t>Paramétrage de la supervision, journal d’alertes</t>
  </si>
  <si>
    <t>Retard dans la détection d’attaques</t>
  </si>
  <si>
    <t>Intrusions non détectées à temps</t>
  </si>
  <si>
    <t>Configurer des alertes en temps réel</t>
  </si>
  <si>
    <t>Rapport de test, procédure IT</t>
  </si>
  <si>
    <t>Erreur humaine ou procédure incorrecte</t>
  </si>
  <si>
    <t>Compte bloqué, mauvaise réattribution</t>
  </si>
  <si>
    <t>Documenter et tester la procédure périodiquement</t>
  </si>
  <si>
    <t>Politique de sécurité, outil SIEM</t>
  </si>
  <si>
    <t>Activité malveillante non détectée</t>
  </si>
  <si>
    <t>Compromission prolongée sans réaction</t>
  </si>
  <si>
    <t>Mettre en place un suivi automatisé avec règles de détection</t>
  </si>
  <si>
    <t>Des logs d’accès aux fichiers sensibles sont-ils archivés et analysés ?</t>
  </si>
  <si>
    <t>Journaux d’accès, rapports d’audit</t>
  </si>
  <si>
    <t>Accès illégitime non détecté</t>
  </si>
  <si>
    <t>Fuite ou altération de données sensibles</t>
  </si>
  <si>
    <t>Archiver et analyser régulièrement les logs critiques</t>
  </si>
  <si>
    <t>Le mécanisme RBAC est-il configuré pour restreindre les fichiers selon les profils ?</t>
  </si>
  <si>
    <t>Politiques RBAC, paramétrages des fichiers</t>
  </si>
  <si>
    <t>Accès non restreint à des documents sensibles</t>
  </si>
  <si>
    <t>Divulgation d’informations confidentielles</t>
  </si>
  <si>
    <t>Configurer des ACLs strictes selon les profils définis</t>
  </si>
  <si>
    <t>Les accès aux données critiques sont-ils validés par un supérieur hiérarchique ?</t>
  </si>
  <si>
    <t>Formulaires de validation, workflow</t>
  </si>
  <si>
    <t>Droits attribués sans contrôle</t>
  </si>
  <si>
    <t>Attributions abusives ou inappropriées</t>
  </si>
  <si>
    <t>Rendre la validation managériale obligatoire pour les données sensibles</t>
  </si>
  <si>
    <t>Des preuves de validation sont-elles conservées ?</t>
  </si>
  <si>
    <t>Emails, tickets Jira, logs de validation</t>
  </si>
  <si>
    <t>Aucun historique d'approbation</t>
  </si>
  <si>
    <t>Difficulté à prouver la conformité ou remonter un incident</t>
  </si>
  <si>
    <t>Archiver les validations dans un système centralisé</t>
  </si>
  <si>
    <t>Les droits sont-ils désactivés pour les accès non utilisés depuis 30 jours ?</t>
  </si>
  <si>
    <t>Relevés d’activité, rapport d’audit</t>
  </si>
  <si>
    <t>Maintien de droits obsolètes</t>
  </si>
  <si>
    <t>Risque de compromission par comptes inactifs</t>
  </si>
  <si>
    <t>Automatiser la désactivation des comptes inactifs</t>
  </si>
  <si>
    <t>Des alertes sont-elles configurées pour les accès utilisateurs non autorisés ?</t>
  </si>
  <si>
    <t>Outils de monitoring, rapports de sécurité</t>
  </si>
  <si>
    <t>Intrusion non détectée</t>
  </si>
  <si>
    <t>Accès frauduleux prolongé</t>
  </si>
  <si>
    <t>Définir des règles d’alerte sur comportements suspects</t>
  </si>
  <si>
    <t>Une procédure de désactivation des comptes administratifs (ex: suppression de données) ?</t>
  </si>
  <si>
    <t>Procédure IT, journal des comptes</t>
  </si>
  <si>
    <t>Comptes puissants non désactivés après usage</t>
  </si>
  <si>
    <t>Risque élevé d’abus ou d’erreur</t>
  </si>
  <si>
    <t>Créer une procédure d’expiration/désactivation ciblée</t>
  </si>
  <si>
    <t>La traçabilité des actions administratives est-elle testée ?</t>
  </si>
  <si>
    <t>Logs système, rapport de tests</t>
  </si>
  <si>
    <t>Actions non traçables</t>
  </si>
  <si>
    <t>Impossible d’identifier un administrateur fautif</t>
  </si>
  <si>
    <t>Tester régulièrement la qualité des logs</t>
  </si>
  <si>
    <t>La traçabilité des actions critiques d’un utilisateur est-elle planifiée ?</t>
  </si>
  <si>
    <t>Politique de journalisation</t>
  </si>
  <si>
    <t>Incapacité à reconstituer une chronologie précise</t>
  </si>
  <si>
    <t>Inclure les actions critiques dans les logs par défaut</t>
  </si>
  <si>
    <t>Des exemples de documents sources sont-ils archivés avec les données saisies ?</t>
  </si>
  <si>
    <t>Base de données, GED, workflow</t>
  </si>
  <si>
    <t>Absence de preuve ou de vérification</t>
  </si>
  <si>
    <t>Données non vérifiables</t>
  </si>
  <si>
    <t>Conserver systématiquement les pièces jointes et documents justificatifs</t>
  </si>
  <si>
    <t>La table d’audit est-elle synchronisée avec le journal d’intégrité ?</t>
  </si>
  <si>
    <t>Base de données, outils de contrôle d’intégrité</t>
  </si>
  <si>
    <t>Audit partiel ou incohérent</t>
  </si>
  <si>
    <t>Informations inexploitables ou erronées</t>
  </si>
  <si>
    <t>Synchroniser les systèmes de logs et audits</t>
  </si>
  <si>
    <t>Des tests de reprise des données après une saisie ont-ils été réalisés ?</t>
  </si>
  <si>
    <t>Rapport de tests, procédures de sauvegarde</t>
  </si>
  <si>
    <t>Perte de données en cas de panne ou incident</t>
  </si>
  <si>
    <t>Saisie à refaire, interruption de service</t>
  </si>
  <si>
    <t>Réaliser des tests de restauration réguliers</t>
  </si>
  <si>
    <t>Les données saisies sont-elles validées au moment de la saisie ?</t>
  </si>
  <si>
    <t>Spécifications fonctionnelles, code source</t>
  </si>
  <si>
    <t>Saisie erronée ou incohérente</t>
  </si>
  <si>
    <t>Mauvaise qualité de données</t>
  </si>
  <si>
    <t>Appliquer des règles de validation côté client et serveur</t>
  </si>
  <si>
    <t>Les champs obligatoires sont-ils identifiés par des indicateurs clairs ?</t>
  </si>
  <si>
    <t>Interfaces utilisateur, maquettes</t>
  </si>
  <si>
    <t>Omission de données importantes</t>
  </si>
  <si>
    <t>Incomplétude des dossiers, erreurs métier</t>
  </si>
  <si>
    <t>Rendre visuellement explicites les champs obligatoires</t>
  </si>
  <si>
    <t>Les utilisateurs confirment-ils que le message d’erreur les aide à corriger leurs erreurs ?</t>
  </si>
  <si>
    <t>Retour utilisateurs, tests UX</t>
  </si>
  <si>
    <t>Messages d’erreur non compréhensibles</t>
  </si>
  <si>
    <t>Abandon ou saisie incorrecte persistante</t>
  </si>
  <si>
    <t>Tester les messages avec les utilisateurs, les rendre pédagogiques</t>
  </si>
  <si>
    <t>Des tests de validation sur formulaire ont-ils été réalisés ?</t>
  </si>
  <si>
    <t>Rapports de test fonctionnel</t>
  </si>
  <si>
    <t>Failles ou erreurs de validation</t>
  </si>
  <si>
    <t>Contournement du contrôle, enregistrement invalide</t>
  </si>
  <si>
    <t>Intégrer des scénarios de test de validation dans la QA</t>
  </si>
  <si>
    <t>Un message de confirmation est-il affiché après chaque saisie ?</t>
  </si>
  <si>
    <t>Maquettes, spécifications fonctionnelles</t>
  </si>
  <si>
    <t>Saisie non perçue comme réussie</t>
  </si>
  <si>
    <t>Doubles enregistrements ou abandon par doute</t>
  </si>
  <si>
    <t>Toujours afficher un accusé clair de succès ou d’échec</t>
  </si>
  <si>
    <t>Un système de journalisation des modifications est-il en place ?</t>
  </si>
  <si>
    <t>Journaux d’événements, logs applicatifs</t>
  </si>
  <si>
    <t>Modifications non tracées</t>
  </si>
  <si>
    <t>Impossible d’identifier l’auteur des changements</t>
  </si>
  <si>
    <t>Mettre en place une journalisation fine des changements</t>
  </si>
  <si>
    <t>Les messages de journalisation sont-ils exploitables ?</t>
  </si>
  <si>
    <t>Journaux, outils de supervision</t>
  </si>
  <si>
    <t>Journaux incompréhensibles ou trop verbeux</t>
  </si>
  <si>
    <t>Analyse difficile, perte de temps en cas d’incident</t>
  </si>
  <si>
    <t>Structurer les logs et former les équipes à leur interprétation</t>
  </si>
  <si>
    <t>Des horodatages précis (date + heure + utilisateur) sont-ils présents ?</t>
  </si>
  <si>
    <t>Fichier de log, base de données</t>
  </si>
  <si>
    <t>Manque de contexte temporel</t>
  </si>
  <si>
    <t>Impossible de corréler les événements</t>
  </si>
  <si>
    <t>Ajouter un horodatage complet et standardisé à chaque événement</t>
  </si>
  <si>
    <t>Des données critiques sont-elles systématiquement revues et validées ?</t>
  </si>
  <si>
    <t>Procédures de validation, PV de contrôles</t>
  </si>
  <si>
    <t>Données erronées non détectées</t>
  </si>
  <si>
    <t>Décisions prises sur des données fausses</t>
  </si>
  <si>
    <t>Imposer une relecture/validation des données sensibles</t>
  </si>
  <si>
    <t>Schéma de base, spécifications fonctionnelles</t>
  </si>
  <si>
    <t>Perte de l’état antérieur des données</t>
  </si>
  <si>
    <t>Impossible de retracer l’évolution des informations</t>
  </si>
  <si>
    <t>Mettre en place une table d’historique ou un système de versionning</t>
  </si>
  <si>
    <t>Interfaces utilisateur, base de données</t>
  </si>
  <si>
    <t>Utilisateur sans visibilité sur les modifications</t>
  </si>
  <si>
    <t>Perte de confiance, erreurs non détectées</t>
  </si>
  <si>
    <t>Intégrer l’historique dans l’interface de consultation</t>
  </si>
  <si>
    <t>Organigramme, politique de gouvernance</t>
  </si>
  <si>
    <t>Données mal gérées ou sans supervision</t>
  </si>
  <si>
    <t>Responsabilités floues, absence de redevabilité</t>
  </si>
  <si>
    <t>Désigner un responsable pour chaque domaine de données</t>
  </si>
  <si>
    <t>Procédures internes, manuel qualité</t>
  </si>
  <si>
    <t>Données erronées conservées</t>
  </si>
  <si>
    <t>Mauvaise qualité de la base, décisions erronées</t>
  </si>
  <si>
    <t>Mettre en place une procédure claire de correction validée</t>
  </si>
  <si>
    <t>Plan d’archivage, registre de traitement</t>
  </si>
  <si>
    <t>Encombrement du système, RGPD non respecté</t>
  </si>
  <si>
    <t>Ralentissement, surcharge, non-conformité légale</t>
  </si>
  <si>
    <t>Définir un cycle de vie des données conforme aux obligations</t>
  </si>
  <si>
    <t>Règles d’accès, configuration des systèmes</t>
  </si>
  <si>
    <t>Accès non filtré à des archives sensibles</t>
  </si>
  <si>
    <t>Fuite de données anciennes</t>
  </si>
  <si>
    <t>Restreindre les accès aux archives selon des profils spécifiques</t>
  </si>
  <si>
    <t>Journaux d’accès, outil de supervision</t>
  </si>
  <si>
    <t>Accès non tracé aux archives</t>
  </si>
  <si>
    <t>Impossibilité de détecter des accès frauduleux</t>
  </si>
  <si>
    <t>Appliquer la même politique de traçabilité qu’aux données actives</t>
  </si>
  <si>
    <t>Rapport de sauvegarde, outil de backup</t>
  </si>
  <si>
    <t>Perte de données</t>
  </si>
  <si>
    <t>Activité paralysée en cas d’incident</t>
  </si>
  <si>
    <t>Mettre en œuvre une politique de sauvegarde avec fréquence adaptée</t>
  </si>
  <si>
    <t>Infrastructure IT, plan de reprise</t>
  </si>
  <si>
    <t>Vol ou corruption des sauvegardes</t>
  </si>
  <si>
    <t>Données critiques inexploitables en cas de besoin</t>
  </si>
  <si>
    <t>Stocker les sauvegardes chiffrées dans un site hors ligne ou cloud sécurisé</t>
  </si>
  <si>
    <t>Procédure de test, rapport d’essai</t>
  </si>
  <si>
    <t>Sauvegardes inutilisables en cas d’urgence</t>
  </si>
  <si>
    <t>Perte définitive de données</t>
  </si>
  <si>
    <t>Tester régulièrement la restauration des sauvegardes</t>
  </si>
  <si>
    <t>Configuration de la solution de backup</t>
  </si>
  <si>
    <t>Perte de sauvegardes critiques</t>
  </si>
  <si>
    <t>Données irrécupérables</t>
  </si>
  <si>
    <t>Mettre en place une politique de rétention et des protections contre suppression</t>
  </si>
  <si>
    <t>Politique de sécurité, rapports de configuration</t>
  </si>
  <si>
    <t>Exposition des données en cas de vol</t>
  </si>
  <si>
    <t>Confidentialité des données compromise</t>
  </si>
  <si>
    <t>Utiliser un chiffrement fort sur toutes les sauvegardes</t>
  </si>
  <si>
    <t>Manuel de restauration, procédure technique</t>
  </si>
  <si>
    <t>Dépendance à un tiers, délai en cas d’incident</t>
  </si>
  <si>
    <t>Temps d’arrêt prolongé</t>
  </si>
  <si>
    <t>Former le personnel interne à la restauration en autonomie</t>
  </si>
  <si>
    <t>Plan de reprise d’activité (PRA), documentation IT</t>
  </si>
  <si>
    <t>Réaction improvisée en cas de crise</t>
  </si>
  <si>
    <t>Prolongation ou aggravation de l'incident</t>
  </si>
  <si>
    <t>Formaliser et tester un PRA régulièrement</t>
  </si>
  <si>
    <t>Versions du PRA, PV de réunions</t>
  </si>
  <si>
    <t>Procédure obsolète</t>
  </si>
  <si>
    <t>Inefficacité lors d’un incident réel</t>
  </si>
  <si>
    <t>Prévoir une revue périodique du PRA</t>
  </si>
  <si>
    <t>Rapports de test, calendrier de simulation</t>
  </si>
  <si>
    <t>Procédure non testée en conditions réelles</t>
  </si>
  <si>
    <t>Temps d’arrêt plus long que prévu</t>
  </si>
  <si>
    <t>Réaliser des tests réguliers en conditions simulées</t>
  </si>
  <si>
    <t>Fiches de formation, PV de sensibilisation</t>
  </si>
  <si>
    <t>Incompréhension ou erreurs en cas de crise</t>
  </si>
  <si>
    <t>Mauvaise exécution du plan, perte de contrôle</t>
  </si>
  <si>
    <t>Organiser des sessions de formation et des exercices pratiques</t>
  </si>
  <si>
    <t>PCA documenté, analyse d’impact</t>
  </si>
  <si>
    <t>Arrêt prolongé des services</t>
  </si>
  <si>
    <t>Perte d’exploitation, perte de confiance clients</t>
  </si>
  <si>
    <t>Mettre en place un PCA parallèle au PRA</t>
  </si>
  <si>
    <t>Cartographie des processus critiques, analyse BIA</t>
  </si>
  <si>
    <t>Inadéquation entre IT et besoins métiers</t>
  </si>
  <si>
    <t>Redémarrage partiel ou inefficace des activités</t>
  </si>
  <si>
    <t>Faire collaborer les métiers et l’IT dans l’élaboration du PCA</t>
  </si>
  <si>
    <t>PV de tests, rapports d’incident simulé</t>
  </si>
  <si>
    <t>PCA inutilisable en cas réel</t>
  </si>
  <si>
    <t>Désorganisation, redondance des efforts</t>
  </si>
  <si>
    <t>Simuler régulièrement des bascules et en tirer des retours</t>
  </si>
  <si>
    <t>Tableaux de bord, documentation PCA</t>
  </si>
  <si>
    <t>Manque de visibilité sur l’efficacité du PCA</t>
  </si>
  <si>
    <t>Difficulté à détecter les défaillances du dispositif</t>
  </si>
  <si>
    <t>Définir des KPI pour le PCA (ex. temps de bascule, taux de réussite)</t>
  </si>
  <si>
    <t>Organigramme, plan PCA</t>
  </si>
  <si>
    <t>Flou organisationnel en cas de crise</t>
  </si>
  <si>
    <t>Absence de coordination, inefficacité</t>
  </si>
  <si>
    <t>Nommer des responsables PCA avec rôle clair et moyens d’action</t>
  </si>
  <si>
    <t>Procédure de communication, comptes-rendus de test</t>
  </si>
  <si>
    <t>Communication inefficace ou impossible</t>
  </si>
  <si>
    <t>Mauvaise coordination, décisions erronées</t>
  </si>
  <si>
    <t>Tester régulièrement les canaux alternatifs (email, SMS, messagerie instantanée, etc.)</t>
  </si>
  <si>
    <t>Inventaire technique, fiches de configuration</t>
  </si>
  <si>
    <t>Temps perdu pour rétablir les services</t>
  </si>
  <si>
    <t>Allongement des interruptions</t>
  </si>
  <si>
    <t>Centraliser et maintenir à jour les configurations critiques</t>
  </si>
  <si>
    <t>Cartographie applicative, analyse BIA</t>
  </si>
  <si>
    <t>Négligence de services essentiels</t>
  </si>
  <si>
    <t>Arrêt d’activités clés sans solution rapide</t>
  </si>
  <si>
    <t>Identifier et classer les applications critiques dans un référentiel</t>
  </si>
  <si>
    <t>Rapport BIA, réunion de coordination</t>
  </si>
  <si>
    <t>Absence de hiérarchisation des priorités</t>
  </si>
  <si>
    <t>Mauvaise gestion des ressources en cas de crise</t>
  </si>
  <si>
    <t>Réaliser une BIA pour orienter les plans de continuité</t>
  </si>
  <si>
    <t>Rapports d’incidents, PV de retour d’expérience</t>
  </si>
  <si>
    <t>Répétition des mêmes erreurs</t>
  </si>
  <si>
    <t>Échec à tirer les leçons des crises précédentes</t>
  </si>
  <si>
    <t>Mettre en place un processus formel de retour d’expérience (REX)</t>
  </si>
  <si>
    <t>Outil de gestion des incidents (ticketing), base de connaissances</t>
  </si>
  <si>
    <t>Oubli ou sous-estimation des incidents passés</t>
  </si>
  <si>
    <t>Accumulation de problèmes non traités</t>
  </si>
  <si>
    <t>Consolider une base d’incidents pour suivi et analyse</t>
  </si>
  <si>
    <t>Statistiques d’incidents, priorisation des tickets</t>
  </si>
  <si>
    <t>Perpétuation de failles connues</t>
  </si>
  <si>
    <t>Perte de confiance, augmentation des risques</t>
  </si>
  <si>
    <t>Mettre en place une priorisation dynamique basée sur la fréquence</t>
  </si>
  <si>
    <t>Tableaux de bord, SLA</t>
  </si>
  <si>
    <t>Aucune pression sur le respect des délais</t>
  </si>
  <si>
    <t>Allongement des pannes, dégradation du service</t>
  </si>
  <si>
    <t>Suivre les SLA et alerter en cas de dérive</t>
  </si>
  <si>
    <t>Manuel de gestion des incidents, procédure ITIL</t>
  </si>
  <si>
    <t>Traitement aléatoire ou incohérent des incidents</t>
  </si>
  <si>
    <t>Confusion, perte de temps, aggravation des problèmes</t>
  </si>
  <si>
    <t>Formaliser et diffuser une procédure claire de gestion des incidents</t>
  </si>
  <si>
    <t>Classification des incidents, base de tickets</t>
  </si>
  <si>
    <t>Traitement non priorisé</t>
  </si>
  <si>
    <t>Risques critiques non traités à temps</t>
  </si>
  <si>
    <t>Définir des niveaux de criticité et les associer à des délais de résolution</t>
  </si>
  <si>
    <t>Organigramme de crise, procédure d’escalade</t>
  </si>
  <si>
    <t>Mauvaise coordination en cas de crise</t>
  </si>
  <si>
    <t>Temps de réponse trop long, décisions désorganisées</t>
  </si>
  <si>
    <t>Créer une équipe dédiée à la gestion de crise avec déclenchement automatique</t>
  </si>
  <si>
    <t>Outil de ticketing, rapport d’incidents</t>
  </si>
  <si>
    <t>Absence de suivi formel</t>
  </si>
  <si>
    <t>Aucune traçabilité ni répartition des responsabilités</t>
  </si>
  <si>
    <t>Utiliser un outil centralisé (ex : GLPI, Jira, ServiceNow)</t>
  </si>
  <si>
    <t>Portail support, procédures de déclaration</t>
  </si>
  <si>
    <t>Non-déclaration des incidents mineurs ou majeurs</t>
  </si>
  <si>
    <t>Problèmes non traités, récurrence des erreurs</t>
  </si>
  <si>
    <t>Mettre à disposition un formulaire ou un canal de support accessible</t>
  </si>
  <si>
    <t>Comptes-rendus de comité, liste des incidents majeurs</t>
  </si>
  <si>
    <t>Non-prise en compte stratégique des défaillances</t>
  </si>
  <si>
    <t>Répétition de problèmes importants sans correction systémique</t>
  </si>
  <si>
    <t>Intégrer l’analyse des incidents critiques dans les réunions de direction</t>
  </si>
  <si>
    <t>FAQ interne, base de résolution</t>
  </si>
  <si>
    <t>Résolution à chaque fois “from scratch”</t>
  </si>
  <si>
    <t>Perte de temps, productivité affaiblie</t>
  </si>
  <si>
    <t>Alimenter une base de connaissances issue des incidents passés</t>
  </si>
  <si>
    <t>Outil de monitoring, règles de supervision</t>
  </si>
  <si>
    <t>Anomalies non détectées à temps</t>
  </si>
  <si>
    <t>Réaction trop lente à des incidents graves</t>
  </si>
  <si>
    <t>Définir des alertes automatiques pour les seuils critiques</t>
  </si>
  <si>
    <t>Rapports de veille, abonnements aux bulletins de sécurité</t>
  </si>
  <si>
    <t>Exploitation de failles connues</t>
  </si>
  <si>
    <t>Intrusion, compromission de données</t>
  </si>
  <si>
    <t>Assurer une veille régulière sur les vulnérabilités (CERT, CVE, etc.)</t>
  </si>
  <si>
    <t>Plan de patch management, processus de sécurité</t>
  </si>
  <si>
    <t>Faille non corrigée rapidement</t>
  </si>
  <si>
    <t>Détournement ou attaque informatique</t>
  </si>
  <si>
    <t>Définir un protocole d’intervention rapide avec priorisation des failles critiques</t>
  </si>
  <si>
    <t>Politique de sécurité, calendrier de mise à jour</t>
  </si>
  <si>
    <t>Retard dans l’application des mises à jour</t>
  </si>
  <si>
    <t>Systèmes vulnérables, failles non corrigées</t>
  </si>
  <si>
    <t>Mettre en œuvre une politique claire de patch management avec échéancier</t>
  </si>
  <si>
    <t>Procédure de test, environnement de préproduction</t>
  </si>
  <si>
    <t>Mises à jour défaillantes en production</t>
  </si>
  <si>
    <t>Interruption de service, régressions fonctionnelles</t>
  </si>
  <si>
    <t>Déployer les mises à jour sur un environnement de test avant production</t>
  </si>
  <si>
    <t>Inventaire matériel, plan de renouvellement</t>
  </si>
  <si>
    <t>Dépendance à des systèmes non maintenus</t>
  </si>
  <si>
    <t>Pannes fréquentes, incompatibilités, failles non corrigées</t>
  </si>
  <si>
    <t>Élaborer un plan de renouvellement du matériel et des logiciels</t>
  </si>
  <si>
    <t>Plan budgétaire, stratégie IT</t>
  </si>
  <si>
    <t>Sous-financement des mises à jour ou renouvellements</t>
  </si>
  <si>
    <t>Dégradation progressive du système</t>
  </si>
  <si>
    <t>Allouer un budget annuel pour la maintenance préventive et corrective</t>
  </si>
  <si>
    <t>Rapports d’audit, plan d’amélioration</t>
  </si>
  <si>
    <t>Failles non identifiées</t>
  </si>
  <si>
    <t>Risques majeurs non anticipés</t>
  </si>
  <si>
    <t>Prévoir des audits de sécurité annuels ou semestriels, réalisés par des tiers externes</t>
  </si>
  <si>
    <t>Réponses</t>
  </si>
  <si>
    <t>OUI</t>
  </si>
  <si>
    <t>NON</t>
  </si>
  <si>
    <t>PAS</t>
  </si>
  <si>
    <t>Perte de traçabilité</t>
  </si>
  <si>
    <t>Impossibilité de détecter les modifications non autorisées</t>
  </si>
  <si>
    <t>Mettre en place une politique de conservation minimale</t>
  </si>
  <si>
    <t>Rapport d'audit</t>
  </si>
  <si>
    <t>Absence de détection des anomalies</t>
  </si>
  <si>
    <t>Risque accru de cyberattaques et falsifications</t>
  </si>
  <si>
    <t>Utiliser un système d'alerte automatique</t>
  </si>
  <si>
    <t>Liste des autorisations</t>
  </si>
  <si>
    <t>Fuite d'informations sensibles</t>
  </si>
  <si>
    <t>Exposition de données critiques à des tiers non autorisés</t>
  </si>
  <si>
    <t>Mettre en place une gestion stricte des droits</t>
  </si>
  <si>
    <t>Plan de sauvegarde</t>
  </si>
  <si>
    <t>Perte ou corruption de données</t>
  </si>
  <si>
    <t>Impossibilité de reconstituer les événements en cas d'incident</t>
  </si>
  <si>
    <t>Utiliser un stockage chiffré et redondant</t>
  </si>
  <si>
    <t>Rapport de vérification</t>
  </si>
  <si>
    <t>Accumulation d'erreurs non détectées</t>
  </si>
  <si>
    <t>Manque de conformité et risques opérationnels</t>
  </si>
  <si>
    <t>Établir une fréquence d'audit stricte</t>
  </si>
  <si>
    <t>Politique de gestion des accès</t>
  </si>
  <si>
    <t>Altération ou suppression des logs</t>
  </si>
  <si>
    <t>Fausses informations et impossibilité d’investigation</t>
  </si>
  <si>
    <t>Utiliser des contrôles d’intégrité et des permissions strictes</t>
  </si>
  <si>
    <t>Procédures de sauvegarde</t>
  </si>
  <si>
    <t>Perte irrémédiable des logs</t>
  </si>
  <si>
    <t>Difficulté à analyser les événements passés</t>
  </si>
  <si>
    <t>Définir un plan de sauvegarde avec stockage sécurisé</t>
  </si>
  <si>
    <t>Fiches techniques de sécurité</t>
  </si>
  <si>
    <t>Exposition des données sensibles</t>
  </si>
  <si>
    <t>Risque de vol ou manipulation des informations</t>
  </si>
  <si>
    <t>Chiffrer les logs pour garantir leur confidentialité</t>
  </si>
  <si>
    <t>Rapports de contrôle d'accès</t>
  </si>
  <si>
    <t>Intrusions non détectées</t>
  </si>
  <si>
    <t>Possibilité d’accès illégal à des informations sensibles</t>
  </si>
  <si>
    <t>Activer la journalisation des accès avec alertes automatiques</t>
  </si>
  <si>
    <t>Politique d'archivage</t>
  </si>
  <si>
    <t>Accumulation excessive ou suppression prématurée</t>
  </si>
  <si>
    <t>Non-conformité aux réglementations et perte de données historiques</t>
  </si>
  <si>
    <t>Mettre en place une stratégie d’archivage efficace</t>
  </si>
  <si>
    <t>Oui</t>
  </si>
  <si>
    <t>Code source</t>
  </si>
  <si>
    <t>Code mal écrit</t>
  </si>
  <si>
    <t>Bugs fréquents</t>
  </si>
  <si>
    <t>Utiliser un linter pour vérifier le style du code</t>
  </si>
  <si>
    <t>Liste des tests</t>
  </si>
  <si>
    <t>Tests incomplets</t>
  </si>
  <si>
    <t>Défaillance de l'application</t>
  </si>
  <si>
    <t>Mettre à jour les tests pour couvrir tous les cas</t>
  </si>
  <si>
    <t>Non</t>
  </si>
  <si>
    <t>Documentation du code</t>
  </si>
  <si>
    <t>Manque de clarté</t>
  </si>
  <si>
    <t>Difficulté à maintenir le code</t>
  </si>
  <si>
    <t>Ajouter des commentaires détaillés et un README</t>
  </si>
  <si>
    <t>Rapport de sécurité</t>
  </si>
  <si>
    <t>Intrusion</t>
  </si>
  <si>
    <t>Auditer régulièrement la sécurité</t>
  </si>
  <si>
    <t>Downtime de l’application</t>
  </si>
  <si>
    <t>Automatiser les sauvegardes pour éviter les oublis</t>
  </si>
  <si>
    <t>Liste des mises à jour</t>
  </si>
  <si>
    <t>Vulnérabilité</t>
  </si>
  <si>
    <t>Attaque de sécurité</t>
  </si>
  <si>
    <t>Appliquer les mises à jour dès qu'elles sont disponibles</t>
  </si>
  <si>
    <t>Rapport sur la qualité des données</t>
  </si>
  <si>
    <t>Données incorrectes</t>
  </si>
  <si>
    <t>Mauvaises prédictions</t>
  </si>
  <si>
    <t>Implémenter une validation stricte des données</t>
  </si>
  <si>
    <t>Politique de confidentialité</t>
  </si>
  <si>
    <t>Atteinte à la vie privée</t>
  </si>
  <si>
    <t>Chiffrer les données sensibles</t>
  </si>
  <si>
    <t>Liste des sources de données</t>
  </si>
  <si>
    <t>Données biaisées</t>
  </si>
  <si>
    <t>Vérifier les sources avant d'intégrer les données</t>
  </si>
  <si>
    <t>Rapport de formation des modèles</t>
  </si>
  <si>
    <t>Modèle sous-performant</t>
  </si>
  <si>
    <t>Mauvais résultats</t>
  </si>
  <si>
    <t>Ajouter plus de données d'entraînement</t>
  </si>
  <si>
    <t>Rapport de validation</t>
  </si>
  <si>
    <t>Sur-apprentissage</t>
  </si>
  <si>
    <t>Prédictions inexactes</t>
  </si>
  <si>
    <t>Utiliser un ensemble de test séparé pour la validation</t>
  </si>
  <si>
    <t>Rapport d'évaluation</t>
  </si>
  <si>
    <t>Métriques inadaptées</t>
  </si>
  <si>
    <t>Mauvaise interprétation des résultats</t>
  </si>
  <si>
    <t>Utiliser plusieurs métriques (précision, rappel, etc.)</t>
  </si>
  <si>
    <t>Journal de mise à jour</t>
  </si>
  <si>
    <t>Obsolescence du modèle</t>
  </si>
  <si>
    <t>Prédictions moins fiables</t>
  </si>
  <si>
    <t>Mettre en place une procédure de réentraînement périodique</t>
  </si>
  <si>
    <t>Rapport d’explicabilité</t>
  </si>
  <si>
    <t>Modèle opaque</t>
  </si>
  <si>
    <t>Difficulté d’audit et de justification</t>
  </si>
  <si>
    <t>Utiliser des méthodes d’explicabilité (SHAP, LIME, etc.)</t>
  </si>
  <si>
    <t>Retour utilisateur</t>
  </si>
  <si>
    <t>Interface confuse</t>
  </si>
  <si>
    <t>Abandon de l’utilisateur</t>
  </si>
  <si>
    <t>Effectuer des tests utilisateurs réguliers</t>
  </si>
  <si>
    <t>Audit accessibilité</t>
  </si>
  <si>
    <t>Exclusion d’utilisateurs</t>
  </si>
  <si>
    <t>Inaccessibilité pour certains profils</t>
  </si>
  <si>
    <t>Adapter le design aux normes WCAG</t>
  </si>
  <si>
    <t>Rapport de tests</t>
  </si>
  <si>
    <t>Incompatibilité</t>
  </si>
  <si>
    <t>Perte d’utilisateurs</t>
  </si>
  <si>
    <t>Tester sur différentes tailles et types d'écrans</t>
  </si>
  <si>
    <t>Rapport de performance</t>
  </si>
  <si>
    <t>Temps trop long</t>
  </si>
  <si>
    <t>Mauvaise expérience utilisateur</t>
  </si>
  <si>
    <t>Optimiser les assets et le code frontend</t>
  </si>
  <si>
    <t>Scénarios d’erreur</t>
  </si>
  <si>
    <t>Incompréhension</t>
  </si>
  <si>
    <t>Frustration de l’utilisateur</t>
  </si>
  <si>
    <t>Ajouter des messages d’erreur clairs et utiles</t>
  </si>
  <si>
    <t>Gantt ou planning</t>
  </si>
  <si>
    <t>Dérive temporelle</t>
  </si>
  <si>
    <t>Retard dans la livraison</t>
  </si>
  <si>
    <t>Réévaluer régulièrement les échéances</t>
  </si>
  <si>
    <t>Bilan financier</t>
  </si>
  <si>
    <t>Dépassement de budget</t>
  </si>
  <si>
    <t>Manque de ressources</t>
  </si>
  <si>
    <t>Mettre à jour le budget en fonction des imprévus</t>
  </si>
  <si>
    <t>Domaines</t>
  </si>
  <si>
    <t>Criticités</t>
  </si>
  <si>
    <t>Recommandations</t>
  </si>
  <si>
    <t>Facteurs clés de succès</t>
  </si>
  <si>
    <t>Vérifier qu’une politique de sécurité est définie et correspond à l'activité de l'Organisation</t>
  </si>
  <si>
    <t>Vérifier qu’une démarche de mise en œuvre de la gestion de la sécurité est adoptée et compatible avec la culture de l'Organisation</t>
  </si>
  <si>
    <t>Vérifier que la direction assure un soutien total et un engagement visible pour la sécurité</t>
  </si>
  <si>
    <t>Vérifier que les exigences de sécurité et les risques sont compris et évalués</t>
  </si>
  <si>
    <t>Vérifier que l’ensemble des responsables et des employés sont sensibilisés et informés</t>
  </si>
  <si>
    <t>Vérifier que les lignes directrices de la politique de sécurité et des normes de sécurité de l'information sont distribuées à tous les employés et à tous les fournisseurs</t>
  </si>
  <si>
    <t>Vérifier que les acteurs de la sécurité sont formés de manière appropriée</t>
  </si>
  <si>
    <t>Vérifier qu’un système de mesure complet est mis en place afin d'évaluer l'efficacité de la gestion de la sécurité de l'information et pour collecter les suggestions d'amélioration</t>
  </si>
  <si>
    <t>Politique de sécurité</t>
  </si>
  <si>
    <t>S’assurer qu’il existe une politique de sécurité formalisée avec une implication de la direction générale et une définition claire des responsabilités</t>
  </si>
  <si>
    <t>S’assurer que la communication se fait à tous les utilisateurs sous une forme pertinente, accessible et compréhensible au lecteur</t>
  </si>
  <si>
    <t>S’assurer qu’une revue régulière de la politique est réalisée afin de vérifier son adéquation avec</t>
  </si>
  <si>
    <t>S’assurer que la démarche de sécurité inclut la totalité de l’informatique et non les seuls réseaux, serveurs et applications.</t>
  </si>
  <si>
    <t>Organisation de la sécurité</t>
  </si>
  <si>
    <t>S’assurer qu’il existe une structure dédiée à la gestion de la sécurité de l'information</t>
  </si>
  <si>
    <t>Vérifier qu’il y a une attribution claire des responsabilités</t>
  </si>
  <si>
    <t>S’assurer qu’un propriétaire est désigné, il est responsable de la mise en œuvre et du suivi des évolutions à apporter</t>
  </si>
  <si>
    <t>S’assurer qu’il existe des procédures d'autorisation de nouveaux matériels ou logiciels</t>
  </si>
  <si>
    <t>S’assurer qu’il existe des procédures applicables à l'accès aux informations de l'organisation par des tiers</t>
  </si>
  <si>
    <t>S’assurer que des modalités de protection de l'information confiée à des sous-traitants existent</t>
  </si>
  <si>
    <t>Vérifier qu'il existe des modalités de réaction aux incidents de sécurité et aux défauts de fonctionnement</t>
  </si>
  <si>
    <t>S’assurer qu’il existe une revue régulière de la sécurité par des audits aussi bien internes qu'externes</t>
  </si>
  <si>
    <t>Classification et contrôle des actifs</t>
  </si>
  <si>
    <t>Vérifier que les actifs sont inventoriés et hiérarchisés par valeur pour l'organisation</t>
  </si>
  <si>
    <t>Vérifier que pour tout actif important, un propriétaire est désigné et informé de ses responsabilités</t>
  </si>
  <si>
    <t>Vérifier qu'il existe un système de classification qui définit un ensemble approprié de niveaux de protection</t>
  </si>
  <si>
    <t>Vérifier que chaque actif a fait l'objet d'une étude visant à déterminer son niveau de classification</t>
  </si>
  <si>
    <t>Sécurité du personnel</t>
  </si>
  <si>
    <t>Vérifier que les postes et les ressources sont définis</t>
  </si>
  <si>
    <t>Vérifier qu’il existe un programme de formation pour tous les personnels</t>
  </si>
  <si>
    <t>Vérifier que le programme de formation prenne en compte la spécificité des postes de travail et des profils</t>
  </si>
  <si>
    <t>Vérifier que tous les personnels participent aux formations</t>
  </si>
  <si>
    <t>Vérifier que des évaluations « anté » et « post » formation sont réalisées pour évaluer l’impact de ces dernières</t>
  </si>
  <si>
    <t>S’assurer que des sondages existent pour évaluer l’impact des formations dans le travail quotidien des utilisateurs</t>
  </si>
  <si>
    <t>Sécurité : gestion des communications et des opérations</t>
  </si>
  <si>
    <t>Vérifier que la documentation des procédures et les responsabilités opérationnelles existe</t>
  </si>
  <si>
    <t>Vérifier que le contrôle des modifications opérationnelles est réalisé</t>
  </si>
  <si>
    <t>Vérifier que des procédures de gestion des incidents existent</t>
  </si>
  <si>
    <t>Vérifier que la séparation des fonctions et des infrastructures existe</t>
  </si>
  <si>
    <t>Vérifier qu’une étude de sécurité en cas de gestion externe des infrastructures a été réalisée</t>
  </si>
  <si>
    <t>Vérifier que les mesures de protection contre les infections logiques existent</t>
  </si>
  <si>
    <t>Vérifier que les sauvegardes des données sont réalisées</t>
  </si>
  <si>
    <t>Vérifier que les modalités de gestion des supports de données sont clairement définies</t>
  </si>
  <si>
    <t>Vérifier que les modalités de gestion des supports de données sont appliquées.</t>
  </si>
  <si>
    <t>Conformité</t>
  </si>
  <si>
    <t>Vérifier que les politique et procédures de sécurité internalisent les exigences légales et réglementaires</t>
  </si>
  <si>
    <t>Vérifier que la convergence vers le cadre règlementaire national est recherchée</t>
  </si>
  <si>
    <t>S’assurer qu’un document retraçant le gap entre l’état actuel des politiques et procédures de sécurité interne et le cadre réglementaire existe et est tenu à jour</t>
  </si>
  <si>
    <t>S’assurer que tous les audits réglementaires sont réalisés</t>
  </si>
  <si>
    <t>S’assurer qu’un responsable conformité est désigné</t>
  </si>
  <si>
    <t>Gestion des identifiants et des mots de passe</t>
  </si>
  <si>
    <t>Vérifier qu'il y a un seul utilisateur par identifiant</t>
  </si>
  <si>
    <t>Vérifier que les identifiants inutilisés pendant un certain délai sont révoqués</t>
  </si>
  <si>
    <t>Vérifier que des règles de gestion de la casse des mots de passe existent</t>
  </si>
  <si>
    <t>Vérifier que ces règles sont respectées</t>
  </si>
  <si>
    <t>Vérifier qu’il existe une procédure de gestion des mots de passe</t>
  </si>
  <si>
    <t>Vérifier que la procédure de gestion des mots de passe statue sur leur réutilisation</t>
  </si>
  <si>
    <t>Vérifier que la procédure de gestion des mots de passe statue sur leur stockage</t>
  </si>
  <si>
    <t>Vérifier que la procédure de gestion des mots de passe statue sur leur diffusion</t>
  </si>
  <si>
    <t>Vérifier que la procédure de gestion des mots de passe statue sur leur réinitialisation</t>
  </si>
  <si>
    <t>Contrôle des accès</t>
  </si>
  <si>
    <t>Vérifier que la définition et la documentation de la politique de contrôle d'accès existent</t>
  </si>
  <si>
    <t>S’assurer que la gestion des accès utilisateurs est effective</t>
  </si>
  <si>
    <t>S’assurer que l'utilisation de mots de passe et de systèmes de déconnexion automatique est effective</t>
  </si>
  <si>
    <t>Vérifier que le contrôle des accès aux réseaux est effectif</t>
  </si>
  <si>
    <t>Vérifier que le contrôle d'accès aux systèmes d'exploitation est effectif</t>
  </si>
  <si>
    <t>Vérifier que le contrôle d'accès aux applications est effectif</t>
  </si>
  <si>
    <t>Vérifier que la gestion de l'informatique mobile est prise en compte</t>
  </si>
  <si>
    <t>Vérifier que des suites sont systématiquement données aux incidents</t>
  </si>
  <si>
    <t>Développement et maintenance des systèmes</t>
  </si>
  <si>
    <t>S’assurer que les exigences de sécurité des systèmes existent</t>
  </si>
  <si>
    <t>S’assurer que la sécurité des systèmes d'application est effective</t>
  </si>
  <si>
    <t>S’assurer qu’un protocole de recette existe</t>
  </si>
  <si>
    <t>S’assurer que le protocole de recette a été testé</t>
  </si>
  <si>
    <t>S’assurer que la sécurité des fichiers est prise en compte</t>
  </si>
  <si>
    <t>Rapport de feedback utilisateur</t>
  </si>
  <si>
    <t>Manque de traçabilité des erreurs</t>
  </si>
  <si>
    <t>Mauvaise qualité des états et décisions erronées</t>
  </si>
  <si>
    <t>Mettre en place un système de collecte et suivi des retours</t>
  </si>
  <si>
    <t>Liste des accès autorisés</t>
  </si>
  <si>
    <t>Accès non contrôlé aux informations</t>
  </si>
  <si>
    <t>Risque de fraude ou de divulgation de données sensibles</t>
  </si>
  <si>
    <t>Implémenter un contrôle strict basé sur les rôles</t>
  </si>
  <si>
    <t>Programme de formation</t>
  </si>
  <si>
    <t>Méconnaissance des contrôles de sécurité</t>
  </si>
  <si>
    <t>Exposition accrue aux erreurs et menaces</t>
  </si>
  <si>
    <t>Organiser des sessions de formation régulières</t>
  </si>
  <si>
    <t>Rapport d'audit des logs</t>
  </si>
  <si>
    <t>Difficulté à retracer les activités en cas d'incident</t>
  </si>
  <si>
    <t>Déployer une solution de monitoring et d'analyse des logs</t>
  </si>
  <si>
    <t>Documentation des processus</t>
  </si>
  <si>
    <t>Décisions prises sans validation formelle</t>
  </si>
  <si>
    <t>Risque d'erreurs comptables ou opérationnelles</t>
  </si>
  <si>
    <t>Établir un workflow de validation détaillé</t>
  </si>
  <si>
    <t>Journal des accès et logs d’activité</t>
  </si>
  <si>
    <t>Absence de traçabilité</t>
  </si>
  <si>
    <t>Difficile de détecter les accès non autorisés</t>
  </si>
  <si>
    <t>Activer la journalisation détaillée avec horodatage</t>
  </si>
  <si>
    <t>Rapports de suivi d’anomalies</t>
  </si>
  <si>
    <t>Faible réactivité aux incidents</t>
  </si>
  <si>
    <t>Retard dans la correction des erreurs pouvant impacter la prise de décision</t>
  </si>
  <si>
    <t>Mettre en place un système de détection et alerte automatique</t>
  </si>
  <si>
    <t>Plan de continuité et de reprise</t>
  </si>
  <si>
    <t>Indisponibilité des données en cas d’incident</t>
  </si>
  <si>
    <t>Perturbation des opérations critiques</t>
  </si>
  <si>
    <t>Établir des stratégies de sauvegarde et de récupération</t>
  </si>
  <si>
    <t>Manuel de gouvernance et responsabilités</t>
  </si>
  <si>
    <t>Confusion sur les responsabilités</t>
  </si>
  <si>
    <t>Manque de contrôle efficace et erreurs dans l’audit</t>
  </si>
  <si>
    <t>Définir clairement les rôles et former les auditeurs</t>
  </si>
  <si>
    <t>Liste des comptes et historique d’activité</t>
  </si>
  <si>
    <t>Accès non justifié à des ressources sensibles</t>
  </si>
  <si>
    <t>Risque d’exploitation de comptes inactifs par des attaquants</t>
  </si>
  <si>
    <t>Implémenter une politique de désactivation des comptes inactifs</t>
  </si>
  <si>
    <t>Registre des mises à jour</t>
  </si>
  <si>
    <t>Logiciels obsolètes et vulnérabilités</t>
  </si>
  <si>
    <t>Exposition aux cyberattaques et failles de sécurité</t>
  </si>
  <si>
    <t>Mettre en place un processus de suivi et vérification des mises à jour</t>
  </si>
  <si>
    <t>Rapport d’audit indépendant</t>
  </si>
  <si>
    <t>Manque de contrôle objectif et régulier</t>
  </si>
  <si>
    <t>Risques de non-conformité et pertes financières</t>
  </si>
  <si>
    <t>Organiser des audits externes annuels</t>
  </si>
  <si>
    <t>Documentation des mises à jour</t>
  </si>
  <si>
    <t>Failles de sécurité non corrigées</t>
  </si>
  <si>
    <t>Risque accru de cyberattaques et accès non autorisé</t>
  </si>
  <si>
    <t>Mettre en place une procédure de mise à jour et test régulier</t>
  </si>
  <si>
    <t>Perte ou corruption des données</t>
  </si>
  <si>
    <t>Incapacité à récupérer des données critiques en cas d'incident</t>
  </si>
  <si>
    <t>Automatiser les sauvegardes et effectuer des vérifications régulières</t>
  </si>
  <si>
    <t>Manuel de gestion des incidents</t>
  </si>
  <si>
    <t>Réponse inadéquate aux incidents</t>
  </si>
  <si>
    <t>Temps de résolution prolongé et impact sur la disponibilité du service</t>
  </si>
  <si>
    <t>Définir un processus clair avec des actions correctives rapides</t>
  </si>
  <si>
    <t>Système de surveillance des accès</t>
  </si>
  <si>
    <t>Perte de contrôle sur l’accès aux données sensibles</t>
  </si>
  <si>
    <t>Mettre en place une solution de surveillance active avec alertes</t>
  </si>
  <si>
    <t>Historique des modifications</t>
  </si>
  <si>
    <t>Altération non contrôlée des états</t>
  </si>
  <si>
    <t>Manipulation de données pouvant nuire à la prise de décision</t>
  </si>
  <si>
    <t>Implémenter des contrôles d’intégrité et des journaux de modifications détaillés</t>
  </si>
  <si>
    <t>Workflow de validation</t>
  </si>
  <si>
    <t>Modifications non vérifiées</t>
  </si>
  <si>
    <t>Risque d’erreurs majeures ou de falsification des données</t>
  </si>
  <si>
    <t>Mettre en place un système de validation avant publication</t>
  </si>
  <si>
    <t>Documentation des logiciels et conformité</t>
  </si>
  <si>
    <t>Utilisation de logiciels vulnérables</t>
  </si>
  <si>
    <t>Exposition aux cyberattaques et instabilité des systèmes</t>
  </si>
  <si>
    <t>Mettre à jour régulièrement les logiciels et effectuer des tests de sécurité</t>
  </si>
  <si>
    <t>Rapport d’audit interne</t>
  </si>
  <si>
    <t>Manque de contrôle et détection tardive des anomalies</t>
  </si>
  <si>
    <t>Risques de non-conformité et inefficacité des processus</t>
  </si>
  <si>
    <t>Établir un calendrier d’audits réguliers et assurer le suivi des correctifs</t>
  </si>
  <si>
    <t>Spécifications techniques validées</t>
  </si>
  <si>
    <t>Risque de malentendus et erreurs de conception</t>
  </si>
  <si>
    <t>Formaliser la validation et signature des spécifications</t>
  </si>
  <si>
    <t>Rapports de revue de code</t>
  </si>
  <si>
    <t>Absence de contrôle qualité du code</t>
  </si>
  <si>
    <t>Introduction d’erreurs ou failles de sécurité dans le code</t>
  </si>
  <si>
    <t>Imposer une revue systématique du code avant validation</t>
  </si>
  <si>
    <t>Documentation du workflow de validation</t>
  </si>
  <si>
    <t>Déploiements non contrôlés</t>
  </si>
  <si>
    <t>Risque de bugs en production</t>
  </si>
  <si>
    <t>Instaurer une validation stricte à chaque étape</t>
  </si>
  <si>
    <t>Manuel de déploiement</t>
  </si>
  <si>
    <t>Processus non documenté</t>
  </si>
  <si>
    <t>Difficulté pour les nouveaux membres à appliquer les procédures</t>
  </si>
  <si>
    <t>Documenter et standardiser les processus de déploiement</t>
  </si>
  <si>
    <t>Liste des permissions d’accès</t>
  </si>
  <si>
    <t>Accès non sécurisé</t>
  </si>
  <si>
    <t>Risque d’exfiltration de données sensibles</t>
  </si>
  <si>
    <t>Restreindre l’accès et auditer régulièrement les permissions</t>
  </si>
  <si>
    <t>Logs d’accès</t>
  </si>
  <si>
    <t>Impossibilité d’analyser les incidents de sécurité</t>
  </si>
  <si>
    <t>Mettre en place une politique de conservation des logs</t>
  </si>
  <si>
    <t>Documentation de séparation des environnements</t>
  </si>
  <si>
    <t>Confusion entre les environnements</t>
  </si>
  <si>
    <t>Risque d’incidents liés à des configurations inadaptées</t>
  </si>
  <si>
    <t>Appliquer strictement la séparation et interdire les accès croisés</t>
  </si>
  <si>
    <t>Document de gestion des clés</t>
  </si>
  <si>
    <t>Clés compromises</t>
  </si>
  <si>
    <t>Accès non autorisé aux systèmes sensibles</t>
  </si>
  <si>
    <t>Centraliser et sécuriser la gestion des clés</t>
  </si>
  <si>
    <t>Système de monitoring</t>
  </si>
  <si>
    <t>Absence de détection proactive</t>
  </si>
  <si>
    <t>Mettre en place un mécanisme d’alerte automatique</t>
  </si>
  <si>
    <t>Documentation des rôles</t>
  </si>
  <si>
    <t>Chevauchement des responsabilités</t>
  </si>
  <si>
    <t>Manque de contrôle et gestion incohérente</t>
  </si>
  <si>
    <t>Clarifier les rôles et attribuer des permissions adaptées</t>
  </si>
  <si>
    <t>Déclaration de conformité</t>
  </si>
  <si>
    <t>Conflits pouvant influencer les décisions techniques</t>
  </si>
  <si>
    <t>Manque d'objectivité et prise de décisions biaisées</t>
  </si>
  <si>
    <t>Mettre en place des contrôles de transparence et déclarations d’intérêt</t>
  </si>
  <si>
    <t>Journal des accès</t>
  </si>
  <si>
    <t>Violation de la séparation des tâches</t>
  </si>
  <si>
    <t>Risque de déploiement non contrôlé et de failles de sécurité</t>
  </si>
  <si>
    <t>Restreindre les droits d’accès et auditer les actions</t>
  </si>
  <si>
    <t>Rapport de gestion des accès</t>
  </si>
  <si>
    <t>Permissions obsolètes et inadéquates</t>
  </si>
  <si>
    <t>Risque d’accès non autorisé et exposition des données sensibles</t>
  </si>
  <si>
    <t>Mettre en place une revue régulière et des ajustements automatiques</t>
  </si>
  <si>
    <t>Politique de sécurité et sanctions</t>
  </si>
  <si>
    <t>Manque de dissuasion et application laxiste</t>
  </si>
  <si>
    <t>Risque d’abus et non-respect des bonnes pratiques</t>
  </si>
  <si>
    <t>Instaurer des sanctions claires et appliquées</t>
  </si>
  <si>
    <t>Dossier RH et certificats</t>
  </si>
  <si>
    <t>Manque de compétences mises à jour</t>
  </si>
  <si>
    <t>Dégradation de la qualité des interventions</t>
  </si>
  <si>
    <t>Vérifier périodiquement les qualifications et organiser des formations</t>
  </si>
  <si>
    <t>Plan de formation et historique des sessions</t>
  </si>
  <si>
    <t>Absence de montée en compétence</t>
  </si>
  <si>
    <t>Failles techniques dues à des connaissances insuffisantes</t>
  </si>
  <si>
    <t>Mettre en place un plan de formation obligatoire et suivi</t>
  </si>
  <si>
    <t>Rapports de performance</t>
  </si>
  <si>
    <t>Manque de suivi des résultats</t>
  </si>
  <si>
    <t>Difficulté à identifier les points d’amélioration</t>
  </si>
  <si>
    <t>Intégrer une évaluation continue et ajustements nécessaires</t>
  </si>
  <si>
    <t>Résultats des simulations</t>
  </si>
  <si>
    <t>Temps de réponse inadéquat</t>
  </si>
  <si>
    <t>Impact opérationnel en cas d’incident réel</t>
  </si>
  <si>
    <t>Organiser des simulations régulières pour améliorer la réactivité</t>
  </si>
  <si>
    <t>Stratégie RH et prévisions de recrutement</t>
  </si>
  <si>
    <t>Manque de personnel qualifié</t>
  </si>
  <si>
    <t>Difficulté à gérer la charge de travail et les incidents</t>
  </si>
  <si>
    <t>Planifier des recrutements en fonction des besoins futurs</t>
  </si>
  <si>
    <t>Manuel de maintenance validé</t>
  </si>
  <si>
    <t>Absence de directives formelles</t>
  </si>
  <si>
    <t>Interventions incohérentes et manque de fiabilité</t>
  </si>
  <si>
    <t>Rédiger et faire valider les procédures par la direction</t>
  </si>
  <si>
    <t>Historique des mises à jour</t>
  </si>
  <si>
    <t>Procédures obsolètes</t>
  </si>
  <si>
    <t>Inefficacité dans la gestion des incidents</t>
  </si>
  <si>
    <t>Mettre en place un processus de mise à jour périodique</t>
  </si>
  <si>
    <t>Registre des interventions</t>
  </si>
  <si>
    <t>Manque de traçabilité</t>
  </si>
  <si>
    <t>Difficulté à analyser les problèmes récurrents</t>
  </si>
  <si>
    <t>Assurer une conservation des logs et faciliter les audits</t>
  </si>
  <si>
    <t>Rapport de test et résultats des simulations</t>
  </si>
  <si>
    <t>Processus non validé</t>
  </si>
  <si>
    <t>Manque de fiabilité en cas de crise réelle</t>
  </si>
  <si>
    <t>Organiser des tests et ajuster en fonction des résultats</t>
  </si>
  <si>
    <t>Tableau de suivi des KPIs</t>
  </si>
  <si>
    <t>Absence de mesure d’efficacité</t>
  </si>
  <si>
    <t>Impossible d’identifier les améliorations à apporter</t>
  </si>
  <si>
    <t>Définir des KPIs clairs et assurer un suivi régulier</t>
  </si>
  <si>
    <t>Registre des versions déployées</t>
  </si>
  <si>
    <t>Absence de suivi des mises à jour</t>
  </si>
  <si>
    <t>Difficulté à retracer les changements et à diagnostiquer les erreurs</t>
  </si>
  <si>
    <t>Formaliser la documentation des versions avec un historique centralisé</t>
  </si>
  <si>
    <t>Plan de test et protocoles</t>
  </si>
  <si>
    <t>Tests non standardisés</t>
  </si>
  <si>
    <t>Risque d’erreurs en production et manque de fiabilité</t>
  </si>
  <si>
    <t>Mettre en place des procédures claires et validées</t>
  </si>
  <si>
    <t>Rapports de validation des tests</t>
  </si>
  <si>
    <t>Absence de preuve des tests effectués</t>
  </si>
  <si>
    <t>Difficulté à justifier la conformité et la stabilité du système</t>
  </si>
  <si>
    <t>Instaurer un processus de reporting détaillé des tests</t>
  </si>
  <si>
    <t>Processus non maîtrisé</t>
  </si>
  <si>
    <t>Déploiement anarchique pouvant entraîner des erreurs critiques</t>
  </si>
  <si>
    <t>Structurer la documentation des procédures et les rendre accessibles</t>
  </si>
  <si>
    <t>Notifications et communications internes</t>
  </si>
  <si>
    <t>Difficulté d’adaptation aux évolutions et confusion</t>
  </si>
  <si>
    <t>Mettre en place un système de communication proactif</t>
  </si>
  <si>
    <t>Plan de communication</t>
  </si>
  <si>
    <t>Absence d’information</t>
  </si>
  <si>
    <t>Mauvaise prise en main des nouvelles fonctionnalités</t>
  </si>
  <si>
    <t>Intégrer un canal d’information avant chaque mise à jour</t>
  </si>
  <si>
    <t>Document de workflow</t>
  </si>
  <si>
    <t>Transferts non contrôlés</t>
  </si>
  <si>
    <t>Risque de corruption de données et de dysfonctionnements</t>
  </si>
  <si>
    <t>Implémenter un processus de validation avant chaque changement d’environnement</t>
  </si>
  <si>
    <t>Référentiel documentaire</t>
  </si>
  <si>
    <t>Documentation dispersée</t>
  </si>
  <si>
    <t>Difficulté à retrouver les informations clés</t>
  </si>
  <si>
    <t>Regrouper les documents dans un espace unique et accessible</t>
  </si>
  <si>
    <t>Plan de gestion documentaire</t>
  </si>
  <si>
    <t>Absence de planification</t>
  </si>
  <si>
    <t>Manque de suivi des évolutions et perte d’informations essentielles</t>
  </si>
  <si>
    <t>Anticiper la mise à jour et organiser des revues régulières</t>
  </si>
  <si>
    <t>Incohérences documentaires</t>
  </si>
  <si>
    <t>Impossible de retracer les modifications et garantir la cohérence</t>
  </si>
  <si>
    <t>Assurer une gestion centralisée et un suivi rigoureux</t>
  </si>
  <si>
    <t>Certificat de conformité</t>
  </si>
  <si>
    <t>Failles dans la gestion des accès</t>
  </si>
  <si>
    <t>Accès non autorisé aux données sensibles</t>
  </si>
  <si>
    <t>Effectuer des audits réguliers et mettre à jour les outils selon les normes</t>
  </si>
  <si>
    <t>Procédures de contrôle interne</t>
  </si>
  <si>
    <t>Incohérences comptables</t>
  </si>
  <si>
    <t>Prises de décisions erronées et risques financiers</t>
  </si>
  <si>
    <t>Instaurer un double contrôle avant publication</t>
  </si>
  <si>
    <t>Système de protection des logs</t>
  </si>
  <si>
    <t>Manipulation non détectée</t>
  </si>
  <si>
    <t>Altération des preuves en cas d’audit</t>
  </si>
  <si>
    <t>Activer des protections contre la modification et auditer les accès</t>
  </si>
  <si>
    <t>Rapports d’analyse des accès</t>
  </si>
  <si>
    <t>Accès anormal non détecté</t>
  </si>
  <si>
    <t>Risque de fuite ou altération des données</t>
  </si>
  <si>
    <t>Mettre en place une surveillance active avec alertes</t>
  </si>
  <si>
    <t>Plan de sauvegarde et test de récupération</t>
  </si>
  <si>
    <t>Perte définitive des données en cas d’incident</t>
  </si>
  <si>
    <t>Impossibilité de restaurer des informations critiques</t>
  </si>
  <si>
    <t>Définir une stratégie de sauvegarde multi-site et tester la récupération</t>
  </si>
  <si>
    <t>Rapports de test de résilience</t>
  </si>
  <si>
    <t>Défaillance du système en cas de forte charge ou attaque</t>
  </si>
  <si>
    <t>Planifier des tests de charge et sécurité périodiques</t>
  </si>
  <si>
    <t>Procédure de gestion des départs</t>
  </si>
  <si>
    <t>Accès non révoqués</t>
  </si>
  <si>
    <t>Utilisation abusive des identifiants après départ</t>
  </si>
  <si>
    <t>Automatiser la désactivation des accès immédiatement après le départ</t>
  </si>
  <si>
    <t>Guide de sécurité informatique</t>
  </si>
  <si>
    <t>Absence de contrôle des postes utilisateurs</t>
  </si>
  <si>
    <t>Introduction de malwares et failles de sécurité</t>
  </si>
  <si>
    <t>Définir et appliquer strictement une politique de sécurité des postes</t>
  </si>
  <si>
    <t>Audit de conformité</t>
  </si>
  <si>
    <t>Manque de conformité</t>
  </si>
  <si>
    <t>Risques légaux et sanctions financières</t>
  </si>
  <si>
    <t>Organiser des revues de conformité régulières</t>
  </si>
  <si>
    <t>Résultats des tests de récupération</t>
  </si>
  <si>
    <t>Sauvegarde inutilisable en cas de crise</t>
  </si>
  <si>
    <t>Perte de données vitales et perturbation des opérations</t>
  </si>
  <si>
    <t>Vérifier la restauration des sauvegardes périodiquement</t>
  </si>
  <si>
    <t>Registre des logs</t>
  </si>
  <si>
    <t>Difficulté à identifier les changements et à auditer les modifications</t>
  </si>
  <si>
    <t>Implémenter une politique de conservation minimale</t>
  </si>
  <si>
    <t>Documentation du versioning</t>
  </si>
  <si>
    <t>Absence de contrôle des versions</t>
  </si>
  <si>
    <t>Risque de pertes ou d’erreurs dans les modifications</t>
  </si>
  <si>
    <t>Utiliser un système de versioning structuré</t>
  </si>
  <si>
    <t>Rapports de conformité</t>
  </si>
  <si>
    <t>Manque de suivi des normes</t>
  </si>
  <si>
    <t>Logiciels non conformes aux exigences internes</t>
  </si>
  <si>
    <t>Réaliser des audits réguliers de conformité</t>
  </si>
  <si>
    <t>Système de détection d’anomalies</t>
  </si>
  <si>
    <t>Introduction de bugs et failles de sécurité</t>
  </si>
  <si>
    <t>Mettre en place des outils de contrôle automatique et revue de code</t>
  </si>
  <si>
    <t>Documentation de correction</t>
  </si>
  <si>
    <t>Anomalies non corrigées</t>
  </si>
  <si>
    <t>Accumulation d’erreurs pouvant impacter la stabilité du système</t>
  </si>
  <si>
    <t>Mettre en place un workflow de correction systématique</t>
  </si>
  <si>
    <t>Journal des exécutions batch</t>
  </si>
  <si>
    <t>Absence de suivi des opérations</t>
  </si>
  <si>
    <t>Impossible de retracer les erreurs et incidents</t>
  </si>
  <si>
    <t>Mettre en place une politique d’archivage et de contrôle des logs</t>
  </si>
  <si>
    <t>Planification des batchs</t>
  </si>
  <si>
    <t>Mauvaise gestion des traitements</t>
  </si>
  <si>
    <t>Retard ou surcharge des processus batch</t>
  </si>
  <si>
    <t>Assurer une communication et mise à jour régulière du calendrier</t>
  </si>
  <si>
    <t>Non-optimisation des ressources</t>
  </si>
  <si>
    <t>Traitements inefficaces et ralentissement du système</t>
  </si>
  <si>
    <t>Mettre en place une analyse périodique des performances</t>
  </si>
  <si>
    <t>Résultats des tests</t>
  </si>
  <si>
    <t>Défauts non identifiés avant production</t>
  </si>
  <si>
    <t>Risque élevé de bugs en environnement réel</t>
  </si>
  <si>
    <t>Effectuer des tests de robustesse et ajustements avant mise en production</t>
  </si>
  <si>
    <t>Guide de correction</t>
  </si>
  <si>
    <t>Interventions non maîtrisées</t>
  </si>
  <si>
    <t>Risque de correction inadaptée ou de récidive</t>
  </si>
  <si>
    <t>Centraliser et formaliser les procédures de correction</t>
  </si>
  <si>
    <t>Document de PCA validé</t>
  </si>
  <si>
    <t>Absence de plan en cas d’incident majeur</t>
  </si>
  <si>
    <t>Délai de récupération prolongé et perturbation des services</t>
  </si>
  <si>
    <t>Établir un plan de secours validé et testé</t>
  </si>
  <si>
    <t>Risque de non-adéquation avec les menaces actuelles</t>
  </si>
  <si>
    <t>Assurer une mise à jour semestrielle du plan</t>
  </si>
  <si>
    <t>Rapports de tests</t>
  </si>
  <si>
    <t>Processus non vérifié</t>
  </si>
  <si>
    <t>Récupération difficile ou impossible des données</t>
  </si>
  <si>
    <t>Planifier des tests de restauration périodiques</t>
  </si>
  <si>
    <t>Inefficacité du plan en situation réelle</t>
  </si>
  <si>
    <t>Faible capacité de réponse aux incidents graves</t>
  </si>
  <si>
    <t>Effectuer des simulations réalistes et adapter le plan en conséquence</t>
  </si>
  <si>
    <t>Politique de sécurité validée</t>
  </si>
  <si>
    <t>Absence de cadre formel</t>
  </si>
  <si>
    <t>Risques de mauvaises pratiques en cybersécurité</t>
  </si>
  <si>
    <t>Mettre en place une politique validée et accessible</t>
  </si>
  <si>
    <t>Manque de suivi</t>
  </si>
  <si>
    <t>Difficulté à détecter les écarts de sécurité</t>
  </si>
  <si>
    <t>Instaurer une revue trimestrielle de conformité</t>
  </si>
  <si>
    <t>Processus non testé</t>
  </si>
  <si>
    <t>Failles non identifiées en cas de cyberattaque</t>
  </si>
  <si>
    <t>Organiser des simulations régulières et ajuster les mesures</t>
  </si>
  <si>
    <t>Politiques obsolètes</t>
  </si>
  <si>
    <t>Exposition accrue aux menaces émergentes</t>
  </si>
  <si>
    <t>Mettre en place une révision annuelle avec mise à jour des contrôles</t>
  </si>
  <si>
    <t>Logs d’authentification</t>
  </si>
  <si>
    <t>Exploitation de comptes mal protégés</t>
  </si>
  <si>
    <t>Implémenter un contrôle strict des accès et renforcer l’authentification</t>
  </si>
  <si>
    <t>Système de surveillance</t>
  </si>
  <si>
    <t>Détection insuffisante des intrusions</t>
  </si>
  <si>
    <t>Risques accrus de compromission des données</t>
  </si>
  <si>
    <t>Mettre en place un monitoring actif et des alertes en temps réel</t>
  </si>
  <si>
    <t>Processus de gestion des identités</t>
  </si>
  <si>
    <t>Utilisation abusive après départ</t>
  </si>
  <si>
    <t>Automatiser la désactivation des accès immédiatement</t>
  </si>
  <si>
    <t>Rapports d’audit</t>
  </si>
  <si>
    <t>Manque de contrôle sur les permissions</t>
  </si>
  <si>
    <t>Risques d’accès non autorisés</t>
  </si>
  <si>
    <t>Organiser une vérification régulière des permissions utilisateur</t>
  </si>
  <si>
    <t>Plan de maintenance validé</t>
  </si>
  <si>
    <t>Interventions non coordonnées et risques accrus</t>
  </si>
  <si>
    <t>Définir un calendrier précis et validé par la direction</t>
  </si>
  <si>
    <t>Documentation des tests</t>
  </si>
  <si>
    <t>Risque d’erreurs en production et incohérence des résultats</t>
  </si>
  <si>
    <t>Structurer les tests et documenter les résultats avec analyses approfondies</t>
  </si>
  <si>
    <t>Workflow de correction</t>
  </si>
  <si>
    <t>Corrections non vérifiées</t>
  </si>
  <si>
    <t>Risque de persistance des erreurs et instabilité des systèmes</t>
  </si>
  <si>
    <t>Mettre en place un processus de validation avant application des corrections</t>
  </si>
  <si>
    <t>Matrice des rôles et responsabilités</t>
  </si>
  <si>
    <t>Manque de clarté sur les attributions</t>
  </si>
  <si>
    <t>Risques d’incohérence et de duplication des efforts</t>
  </si>
  <si>
    <t>Documenter une matrice claire des responsabilités</t>
  </si>
  <si>
    <t>Journal des mises à jour</t>
  </si>
  <si>
    <t>Retard dans l’application des correctifs</t>
  </si>
  <si>
    <t>Risque de vulnérabilités exploitables</t>
  </si>
  <si>
    <t>Automatiser les mises à jour et surveiller les délais de déploiement</t>
  </si>
  <si>
    <t>Rapport de conformité</t>
  </si>
  <si>
    <t>Absence de contrôle qualité</t>
  </si>
  <si>
    <t>Accumulation d’erreurs et faibles performances</t>
  </si>
  <si>
    <t>Effectuer des contrôles réguliers et aligner les pratiques sur les standards</t>
  </si>
  <si>
    <t>Difficulté à adapter les opérations aux évolutions</t>
  </si>
  <si>
    <t>Mettre en place un mécanisme de notification systématique</t>
  </si>
  <si>
    <t>Réponse inefficace aux incidents</t>
  </si>
  <si>
    <t>Impact prolongé en cas de crise</t>
  </si>
  <si>
    <t>Structurer une procédure de gestion et sensibiliser les équipes</t>
  </si>
  <si>
    <t>Rapports d’analyse post-incident</t>
  </si>
  <si>
    <t>Corrections inefficaces</t>
  </si>
  <si>
    <t>Risque de récidive et accumulation d’erreurs</t>
  </si>
  <si>
    <t>Instaurer un suivi rigoureux des corrections avec ajustements</t>
  </si>
  <si>
    <t>Méconnaissance des procédures</t>
  </si>
  <si>
    <t>Mauvaise application des processus et risque d’erreurs</t>
  </si>
  <si>
    <t>Organiser des formations périodiques et mesurer les acquis</t>
  </si>
  <si>
    <t>Rapports de test de charge</t>
  </si>
  <si>
    <t>Manque d’anticipation des performances</t>
  </si>
  <si>
    <t>Dégradations du service et ralentissements</t>
  </si>
  <si>
    <t>Planifier des tests de montée en charge avant chaque déploiement</t>
  </si>
  <si>
    <t>Manuel de gestion des correctifs</t>
  </si>
  <si>
    <t>Logiciels vulnérables et exposition aux cyberattaques</t>
  </si>
  <si>
    <t>Automatiser le suivi et l’application des correctifs critiques</t>
  </si>
  <si>
    <t>Rapports d’audit de sécurité</t>
  </si>
  <si>
    <t>Failles non détectées</t>
  </si>
  <si>
    <t>Exploitation possible par des attaquants</t>
  </si>
  <si>
    <t>Réaliser des audits de vulnérabilités périodiques</t>
  </si>
  <si>
    <t>Document de gestion de crise</t>
  </si>
  <si>
    <t>Manque de préparation</t>
  </si>
  <si>
    <t>Réaction inefficace en cas d’incident majeur</t>
  </si>
  <si>
    <t>Établir et diffuser un plan détaillé à toutes les équipes concernées</t>
  </si>
  <si>
    <t>Organigramme et fiches de responsabilité</t>
  </si>
  <si>
    <t>Retard dans la prise en charge des incidents</t>
  </si>
  <si>
    <t>Structurer une équipe dédiée avec responsabilités définies</t>
  </si>
  <si>
    <t>Registre des équipements</t>
  </si>
  <si>
    <t>Actifs non suivis</t>
  </si>
  <si>
    <t>Risque de perte ou mauvaise gestion des ressources</t>
  </si>
  <si>
    <t>Mettre à jour régulièrement l’inventaire et assurer son suivi</t>
  </si>
  <si>
    <t>Résultats des tests de restauration</t>
  </si>
  <si>
    <t>Sauvegardes inutilisables en cas de crise</t>
  </si>
  <si>
    <t>Perte définitive de données critiques</t>
  </si>
  <si>
    <t>Vérifier les sauvegardes par des tests de restauration périodiques</t>
  </si>
  <si>
    <t>Plan de gestion des équipements</t>
  </si>
  <si>
    <t>Utilisation de matériels obsolètes</t>
  </si>
  <si>
    <t>Défaillances techniques et coûts de maintenance élevés</t>
  </si>
  <si>
    <t>Planifier un cycle de renouvellement en fonction des besoins</t>
  </si>
  <si>
    <t>Système de monitoring réseau</t>
  </si>
  <si>
    <t>Problèmes de performance non détectés</t>
  </si>
  <si>
    <t>Mettre en place une solution de surveillance réseau proactive</t>
  </si>
  <si>
    <t>Failles dans l’identification des utilisateurs</t>
  </si>
  <si>
    <t>Risque d’usurpation d’identité et accès non autorisé</t>
  </si>
  <si>
    <t>Imposer l’authentification multi-facteurs pour les systèmes sensibles</t>
  </si>
  <si>
    <t>Inventaire des sauvegardes</t>
  </si>
  <si>
    <t>Perte de données essentielles</t>
  </si>
  <si>
    <t>Impact sur la continuité de service</t>
  </si>
  <si>
    <t>Vérifier l’intégrité et l’exhaustivité des sauvegardes</t>
  </si>
  <si>
    <t>Registre des emplacements de stockage</t>
  </si>
  <si>
    <t>Données vulnérables aux attaques ou pertes physiques</t>
  </si>
  <si>
    <t>Impossibilité de récupération après incident</t>
  </si>
  <si>
    <t>Stocker les sauvegardes dans des sites sécurisés avec chiffrement</t>
  </si>
  <si>
    <t>Plan de reprise d’activité</t>
  </si>
  <si>
    <t>Absence de garantie sur les délais de récupération</t>
  </si>
  <si>
    <t>Temps d’arrêt prolongé en cas d’incident</t>
  </si>
  <si>
    <t>Définir et tester les objectifs RTO/RPO régulièrement</t>
  </si>
  <si>
    <t>Journal des sauvegardes</t>
  </si>
  <si>
    <t>Non-exécution ou échec de sauvegarde</t>
  </si>
  <si>
    <t>Perte irrémédiable de données</t>
  </si>
  <si>
    <t>Mettre en place un suivi des logs et alertes</t>
  </si>
  <si>
    <t>Documentation du système de sauvegarde</t>
  </si>
  <si>
    <t>Erreur humaine ou non-exécution</t>
  </si>
  <si>
    <t>Sauvegardes incomplètes ou défaillantes</t>
  </si>
  <si>
    <t>Automatiser les sauvegardes et surveiller les erreurs</t>
  </si>
  <si>
    <t>Perte définitive des informations critiques</t>
  </si>
  <si>
    <t>Effectuer des tests de restauration périodiques</t>
  </si>
  <si>
    <t>Politique de protection des sauvegardes</t>
  </si>
  <si>
    <t>Altération des sauvegardes</t>
  </si>
  <si>
    <t>Appliquer des contrôles d’accès et des protections contre la modification</t>
  </si>
  <si>
    <t>Non-détection des erreurs</t>
  </si>
  <si>
    <t>Perte de données non détectée à temps</t>
  </si>
  <si>
    <t>Mettre en place un système d’alerte automatique</t>
  </si>
  <si>
    <t>Rapports d’audit des accès</t>
  </si>
  <si>
    <t>Accès non surveillés</t>
  </si>
  <si>
    <t>Risque de compromission ou d’abus</t>
  </si>
  <si>
    <t>Instaurer des contrôles périodiques sur les accès critiques</t>
  </si>
  <si>
    <t>Exfiltration non détectée de données</t>
  </si>
  <si>
    <t>Perte ou vol d’informations sensibles</t>
  </si>
  <si>
    <t>Mettre en place une surveillance active des accès</t>
  </si>
  <si>
    <t>Accès non autorisé</t>
  </si>
  <si>
    <t>Risques d’erreurs et manipulations non contrôlées</t>
  </si>
  <si>
    <t>Effectuer des audits réguliers et restreindre les permissions</t>
  </si>
  <si>
    <t>Plan de sauvegarde validé</t>
  </si>
  <si>
    <t>Absence de restauration des configurations</t>
  </si>
  <si>
    <t>Perturbation ou interruption prolongée du service</t>
  </si>
  <si>
    <t>Documenter et tester la sauvegarde des configurations critiques</t>
  </si>
  <si>
    <t>Temps de réaction insuffisant</t>
  </si>
  <si>
    <t>Perte de contrôle sur les accès sensibles</t>
  </si>
  <si>
    <t>Définir une procédure rapide et efficace de gestion des accès suspects</t>
  </si>
  <si>
    <t>Détection tardive des intrusions</t>
  </si>
  <si>
    <t>Exploitation de failles de sécurité</t>
  </si>
  <si>
    <t>Mettre en place un système de détection avancé avec alertes</t>
  </si>
  <si>
    <t>Plan de formation</t>
  </si>
  <si>
    <t>Manque de sensibilisation</t>
  </si>
  <si>
    <t>Pratiques non conformes et risques accrus</t>
  </si>
  <si>
    <t>Mettre en place des sessions de formation obligatoires</t>
  </si>
  <si>
    <t>Dégradations du service et interruptions imprévues</t>
  </si>
  <si>
    <t>Effectuer des tests de performance avant chaque déploiement</t>
  </si>
  <si>
    <t>Documentation des environnements</t>
  </si>
  <si>
    <t>Confusion et erreurs de configuration</t>
  </si>
  <si>
    <t>Impacts négatifs sur la stabilité du système</t>
  </si>
  <si>
    <t>Assurer une séparation stricte des environnements</t>
  </si>
  <si>
    <t>Logs des connexions distantes</t>
  </si>
  <si>
    <t>Intrusions et accès non sécurisés</t>
  </si>
  <si>
    <t>Compromission des systèmes critiques</t>
  </si>
  <si>
    <t>Restreindre et monitorer les connexions à distance</t>
  </si>
  <si>
    <t>Temps de récupération prolongé et perturbation du service</t>
  </si>
  <si>
    <t>Effectuer des tests annuels et ajuster les procédures</t>
  </si>
  <si>
    <t>Organigramme et fiches de mission</t>
  </si>
  <si>
    <t>Réponse désorganisée</t>
  </si>
  <si>
    <t>Inefficacité dans la gestion des incidents majeurs</t>
  </si>
  <si>
    <t>Définir clairement les rôles et organiser des formations</t>
  </si>
  <si>
    <t>Logs et systèmes de monitoring</t>
  </si>
  <si>
    <t>Menaces non détectées</t>
  </si>
  <si>
    <t>Failles exploitables par des attaquants</t>
  </si>
  <si>
    <t>Déployer un monitoring actif avec alertes automatiques</t>
  </si>
  <si>
    <t>Rapports d’analyse des logs</t>
  </si>
  <si>
    <t>Intrusions non identifiées</t>
  </si>
  <si>
    <t>Risques de compromission et perte de contrôle sur les accès</t>
  </si>
  <si>
    <t>Instaurer une surveillance active avec revue des logs</t>
  </si>
  <si>
    <t>Plan de validation</t>
  </si>
  <si>
    <t>Bugs ou incompatibilités</t>
  </si>
  <si>
    <t>Systèmes vulnérables ou instables après mise à jour</t>
  </si>
  <si>
    <t>Mettre en place un processus de test rigoureux</t>
  </si>
  <si>
    <t>Retard ou absence de mises à jour</t>
  </si>
  <si>
    <t>Exposition aux vulnérabilités et risques accrus</t>
  </si>
  <si>
    <t>Structurer une politique claire avec suivi des mises à jour</t>
  </si>
  <si>
    <t>Mauvaise application des bonnes pratiques et risques accrus</t>
  </si>
  <si>
    <t>Organiser des formations régulières adaptées aux besoins</t>
  </si>
  <si>
    <t>Exploitation abusive des outils</t>
  </si>
  <si>
    <t>Risques de sabotage interne ou mauvaise configuration</t>
  </si>
  <si>
    <t>Restreindre strictement les accès et auditer les permissions</t>
  </si>
  <si>
    <t>Registre des incidents</t>
  </si>
  <si>
    <t>Manque de suivi et correction</t>
  </si>
  <si>
    <t>Répétition des mêmes failles et incidents non corrigés</t>
  </si>
  <si>
    <t>Mettre en place un suivi structuré avec actions correctives</t>
  </si>
  <si>
    <t>Procédure de communication</t>
  </si>
  <si>
    <t>Confusion en situation critique</t>
  </si>
  <si>
    <t>Mauvaise gestion de l’information et panique</t>
  </si>
  <si>
    <t>Définir des protocoles de communication clairs et validés</t>
  </si>
  <si>
    <t>Logs des accès et analyses périodiques</t>
  </si>
  <si>
    <t>Risques de fuite et manipulation des données sensibles</t>
  </si>
  <si>
    <t>Instaurer une surveillance renforcée avec alertes en cas d’accès suspect</t>
  </si>
  <si>
    <t>Rapports de tests de récupération</t>
  </si>
  <si>
    <t>Absence de validation</t>
  </si>
  <si>
    <t>Impossibilité de récupérer les données en cas d’incident</t>
  </si>
  <si>
    <t>Effectuer des tests périodiques et ajuster les procédures selon les résultats</t>
  </si>
  <si>
    <t>Coordination insuffisante</t>
  </si>
  <si>
    <t>Réaction lente et inefficace en cas de crise</t>
  </si>
  <si>
    <t>Définir une équipe spécialisée et l'entraîner aux interventions critiques</t>
  </si>
  <si>
    <t>Plan de test des mises à jour</t>
  </si>
  <si>
    <t>Bugs ou failles introduites</t>
  </si>
  <si>
    <t>Système vulnérable et instable</t>
  </si>
  <si>
    <t>Mettre en place une validation stricte avant déploiement</t>
  </si>
  <si>
    <t>Répétition des failles et risque d’exploitation accrue</t>
  </si>
  <si>
    <t>Instaurer une analyse approfondie et un suivi des corrections appliquées</t>
  </si>
  <si>
    <t>Rapport de gestion des permissions</t>
  </si>
  <si>
    <t>Privilèges non contrôlés</t>
  </si>
  <si>
    <t>Risque d’accès abusif ou malveillant</t>
  </si>
  <si>
    <t>Effectuer un audit semestriel des droits et ajuster selon les besoins</t>
  </si>
  <si>
    <t>Manuel de gestion des identités</t>
  </si>
  <si>
    <t>Confusion dans la gestion des accès</t>
  </si>
  <si>
    <t>Possibles erreurs de permission et exposition des données sensibles</t>
  </si>
  <si>
    <t>Mettre en place une gestion centralisée et documentée des identités</t>
  </si>
  <si>
    <t>Logs de surveillance et alertes de sécurité</t>
  </si>
  <si>
    <t>Exploitation possible des vulnérabilités</t>
  </si>
  <si>
    <t>Mettre en place un IDS/IPS avec notifications en temps réel</t>
  </si>
  <si>
    <t>Accès non justifié</t>
  </si>
  <si>
    <t>Rapports de contrôle</t>
  </si>
  <si>
    <t>Manque de suivi et de correction des anomalies</t>
  </si>
  <si>
    <t>Mettre en place un processus de validation systématique</t>
  </si>
  <si>
    <t>Document du schéma-directeur</t>
  </si>
  <si>
    <t>Absence de plan stratégique</t>
  </si>
  <si>
    <t>Manque de cohérence dans les évolutions du SI</t>
  </si>
  <si>
    <t>Mettre à jour et valider le schéma-directeur annuellement</t>
  </si>
  <si>
    <t>Analyse stratégique</t>
  </si>
  <si>
    <t>Décalage entre SI et besoins métier</t>
  </si>
  <si>
    <t>Inefficacité des outils et perte de compétitivité</t>
  </si>
  <si>
    <t>Assurer une revue régulière pour aligner SI et stratégie métier</t>
  </si>
  <si>
    <t>Absence de suivi des évolutions</t>
  </si>
  <si>
    <t>Risque de décisions basées sur des informations obsolètes</t>
  </si>
  <si>
    <t>Documenter et archiver les mises à jour du schéma-directeur</t>
  </si>
  <si>
    <t>Difficulté à coordonner les actions et projets SI</t>
  </si>
  <si>
    <t>Assurer une diffusion claire et accessible aux parties prenantes</t>
  </si>
  <si>
    <t>Rapport d’évaluation</t>
  </si>
  <si>
    <t>Absence de mesure de l’efficacité</t>
  </si>
  <si>
    <t>Risque de non-conformité aux objectifs métier</t>
  </si>
  <si>
    <t>Mettre en place des indicateurs de suivi et des évaluations périodiques</t>
  </si>
  <si>
    <t>Rapport validé</t>
  </si>
  <si>
    <t>Absence de validation officielle</t>
  </si>
  <si>
    <t>Manque de prise en compte des recommandations</t>
  </si>
  <si>
    <t>Formaliser et valider les évaluations stratégiques</t>
  </si>
  <si>
    <t>Analyse fonctionnelle et stratégique</t>
  </si>
  <si>
    <t>Décalage entre les fonctionnalités et les besoins métier</t>
  </si>
  <si>
    <t>Inefficacité opérationnelle et faible adoption</t>
  </si>
  <si>
    <t>Réaliser une analyse comparative et ajuster les fonctionnalités</t>
  </si>
  <si>
    <t>Tableau de bord des KPI</t>
  </si>
  <si>
    <t>Difficulté à évaluer l’impact réel de l’application</t>
  </si>
  <si>
    <t>Définir des indicateurs clairs et suivre leur évolution</t>
  </si>
  <si>
    <t>Plan d’action stratégique</t>
  </si>
  <si>
    <t>Écarts non corrigés</t>
  </si>
  <si>
    <t>Mettre en place un plan d’amélioration avec suivi des actions</t>
  </si>
  <si>
    <t>Rapport de communication</t>
  </si>
  <si>
    <t>Difficulté à coordonner les actions correctives</t>
  </si>
  <si>
    <t>Assurer une diffusion claire des résultats et des recommandations</t>
  </si>
  <si>
    <t>Spécifications validées</t>
  </si>
  <si>
    <t>Absence de référence officielle</t>
  </si>
  <si>
    <t>Risque de confusion et d’erreurs dans le développement</t>
  </si>
  <si>
    <t>Archiver les spécifications validées et les mettre à jour régulièrement</t>
  </si>
  <si>
    <t>Étude comparative des solutions</t>
  </si>
  <si>
    <t>Choix non structuré</t>
  </si>
  <si>
    <t>Adoption d’une solution inadaptée aux besoins</t>
  </si>
  <si>
    <t>Définir des critères clairs et les prioriser avant sélection</t>
  </si>
  <si>
    <t>Comptes rendus de réunions et enquêtes</t>
  </si>
  <si>
    <t>Manque de prise en compte des besoins utilisateurs</t>
  </si>
  <si>
    <t>Faible adoption et insatisfaction</t>
  </si>
  <si>
    <t>Intégrer les retours utilisateurs dès la phase de conception</t>
  </si>
  <si>
    <t>Spécifications figées</t>
  </si>
  <si>
    <t>Difficulté à adapter l’application aux évolutions des besoins</t>
  </si>
  <si>
    <t>Mettre en place un processus de mise à jour basé sur les retours utilisateurs</t>
  </si>
  <si>
    <t>Procès-verbal de validation</t>
  </si>
  <si>
    <t>Risque d’erreurs et d’incohérences dans le développement</t>
  </si>
  <si>
    <t>Mettre en place un processus de validation officiel</t>
  </si>
  <si>
    <t>Documentation utilisateur</t>
  </si>
  <si>
    <t>Manque de clarté sur les responsabilités</t>
  </si>
  <si>
    <t>Difficulté pour les utilisateurs à exécuter leurs tâches correctement</t>
  </si>
  <si>
    <t>Rédiger et diffuser des fiches de poste détaillées</t>
  </si>
  <si>
    <t>Plan de formation et attestations</t>
  </si>
  <si>
    <t>Manque de maîtrise des outils</t>
  </si>
  <si>
    <t>Faible adoption et erreurs fréquentes</t>
  </si>
  <si>
    <t>Organiser des sessions de formation adaptées aux besoins</t>
  </si>
  <si>
    <t>Difficulté à identifier les améliorations nécessaires</t>
  </si>
  <si>
    <t>Mettre en place des formations régulières et adaptées</t>
  </si>
  <si>
    <t>Risque d’incohérence et d’inefficacité</t>
  </si>
  <si>
    <t>Assurer une mise à jour systématique des tâches</t>
  </si>
  <si>
    <t>Journal des activités</t>
  </si>
  <si>
    <t>Difficulté à analyser les performances et incidents</t>
  </si>
  <si>
    <t>Rapports de test</t>
  </si>
  <si>
    <t>Risque de dysfonctionnement en cas de basculement</t>
  </si>
  <si>
    <t>Effectuer des tests réguliers et ajuster les configurations</t>
  </si>
  <si>
    <t>Rapports de suivi des performances</t>
  </si>
  <si>
    <t>Difficulté à identifier les optimisations nécessaires</t>
  </si>
  <si>
    <t>Mettre en place un suivi régulier des indicateurs</t>
  </si>
  <si>
    <t>Plan de transition validé</t>
  </si>
  <si>
    <t>Absence de stratégie de migration</t>
  </si>
  <si>
    <t>Risque de dépendance prolongée aux anciens systèmes</t>
  </si>
  <si>
    <t>Définir un plan de migration avec échéances précises</t>
  </si>
  <si>
    <t>Difficulté à basculer vers les systèmes de secours</t>
  </si>
  <si>
    <t>Organiser des sessions de formation adaptées</t>
  </si>
  <si>
    <t>Absence de validation des performances</t>
  </si>
  <si>
    <t>Risque d’incohérence et de mauvaise gestion des ressources</t>
  </si>
  <si>
    <t>Mettre en place un processus de comparaison et validation</t>
  </si>
  <si>
    <t>Rapports d’analyse</t>
  </si>
  <si>
    <t>Difficulté à mesurer l’impact des évolutions</t>
  </si>
  <si>
    <t>Définir des indicateurs clairs et assurer un suivi régulier</t>
  </si>
  <si>
    <t>Plan de mise en œuvre</t>
  </si>
  <si>
    <t>Recommandations non appliquées</t>
  </si>
  <si>
    <t>Risque de stagnation et de non-amélioration</t>
  </si>
  <si>
    <t>Établir un plan d’action avec suivi des mises en œuvre</t>
  </si>
  <si>
    <t>Élevée</t>
  </si>
  <si>
    <t>Moyenne</t>
  </si>
  <si>
    <t>Gestion des permissions</t>
  </si>
  <si>
    <t>Les permissions d’accès sont-elles revues régulièrement ?</t>
  </si>
  <si>
    <t>ÉLEVÉ</t>
  </si>
  <si>
    <t>Risque de compromission et fuite de données</t>
  </si>
  <si>
    <t>Instaurer des contrôles stricts et des audits périodiques</t>
  </si>
  <si>
    <t>Authentification renforcée</t>
  </si>
  <si>
    <t>Une authentification multi-facteurs est-elle activée pour les systèmes critiques ?</t>
  </si>
  <si>
    <t>Vol d’identifiants</t>
  </si>
  <si>
    <t>MOYEN</t>
  </si>
  <si>
    <t>Risque d’accès non autorisé</t>
  </si>
  <si>
    <t>Renforcer la surveillance et l'éducation des utilisateurs</t>
  </si>
  <si>
    <t>Suivi des connexions</t>
  </si>
  <si>
    <t>Les journaux des accès sont-ils conservés et analysés périodiquement ?</t>
  </si>
  <si>
    <t>Compromission du système et exfiltration de données</t>
  </si>
  <si>
    <t>Mettre en place une surveillance renforcée avec alertes automatiques</t>
  </si>
  <si>
    <t>Gestion des accès à distance</t>
  </si>
  <si>
    <t>Les accès distants aux systèmes critiques sont-ils sécurisés ?</t>
  </si>
  <si>
    <t>Exploitation de failles</t>
  </si>
  <si>
    <t>Risque de prise de contrôle par un attaquant</t>
  </si>
  <si>
    <t>Restreindre et monitorer les accès distants</t>
  </si>
  <si>
    <t>Revue des comptes utilisateurs</t>
  </si>
  <si>
    <t>Une revue semestrielle des comptes est-elle réalisée pour éviter les accès inutiles ?</t>
  </si>
  <si>
    <t>Registre des comptes</t>
  </si>
  <si>
    <t>Comptes fantômes exploités</t>
  </si>
  <si>
    <t>Risque de fraude interne</t>
  </si>
  <si>
    <t>Appliquer une politique stricte de désactivation des comptes inactifs</t>
  </si>
  <si>
    <t>Plan de sécurité validé</t>
  </si>
  <si>
    <t>Un plan formel de sécurité est-il établi ?</t>
  </si>
  <si>
    <t>Plan de sécurité</t>
  </si>
  <si>
    <t>Absence de directives claires</t>
  </si>
  <si>
    <t>Mise en œuvre incohérente des mesures</t>
  </si>
  <si>
    <t>Formaliser un plan de sécurité clair et validé</t>
  </si>
  <si>
    <t>Responsabilité définie</t>
  </si>
  <si>
    <t>Les rôles de sécurité sont-ils attribués ?</t>
  </si>
  <si>
    <t>Organigramme de sécurité</t>
  </si>
  <si>
    <t>Ambiguïté des responsabilités</t>
  </si>
  <si>
    <t>Retard dans les réponses aux incidents</t>
  </si>
  <si>
    <t>Clarifier et communiquer les responsabilités</t>
  </si>
  <si>
    <t>Alignement stratégique</t>
  </si>
  <si>
    <t>Le plan sécurité est-il aligné avec les objectifs de l’entreprise ?</t>
  </si>
  <si>
    <t>Plan stratégique</t>
  </si>
  <si>
    <t>Objectifs incompatibles</t>
  </si>
  <si>
    <t>Inefficacité des actions de sécurité</t>
  </si>
  <si>
    <t>Réviser le plan pour alignement avec la stratégie</t>
  </si>
  <si>
    <t>Budget dédié</t>
  </si>
  <si>
    <t>Un budget spécifique est-il alloué à la sécurité ?</t>
  </si>
  <si>
    <t>Plan budgétaire</t>
  </si>
  <si>
    <t>Sous-financement</t>
  </si>
  <si>
    <t>Incapacité à mettre en œuvre les mesures critiques</t>
  </si>
  <si>
    <t>Allouer un budget annuel dédié à la cybersécurité</t>
  </si>
  <si>
    <t>Suivi de mise en œuvre</t>
  </si>
  <si>
    <t>Y a-t-il un suivi régulier de l’avancement des mesures ?</t>
  </si>
  <si>
    <t>Tableaux de bord de suivi</t>
  </si>
  <si>
    <t>Avancement non maîtrisé</t>
  </si>
  <si>
    <t>Retards ou échecs dans les actions de sécurité</t>
  </si>
  <si>
    <t>Mettre en place un comité de pilotage régulier</t>
  </si>
  <si>
    <t>Engagement formel</t>
  </si>
  <si>
    <t>Y a-t-il une déclaration de politique de sécurité signée ?</t>
  </si>
  <si>
    <t>Déclaration de politique</t>
  </si>
  <si>
    <t>Manque d’engagement visible</t>
  </si>
  <si>
    <t>Manque d’adhésion des employés</t>
  </si>
  <si>
    <t>Obtenir l’approbation formelle de la direction</t>
  </si>
  <si>
    <t>Communication régulière</t>
  </si>
  <si>
    <t>La direction communique-t-elle sur la sécurité ?</t>
  </si>
  <si>
    <t>Courriels/notes internes</t>
  </si>
  <si>
    <t>Manque de communication</t>
  </si>
  <si>
    <t>Faible sensibilisation</t>
  </si>
  <si>
    <t>Mettre en place des communications trimestrielles</t>
  </si>
  <si>
    <t>Participation aux comités</t>
  </si>
  <si>
    <t>La direction participe-t-elle aux comités de sécurité ?</t>
  </si>
  <si>
    <t>Procès-verbaux</t>
  </si>
  <si>
    <t>Déconnexion des enjeux réels</t>
  </si>
  <si>
    <t>Décisions inadaptées aux besoins</t>
  </si>
  <si>
    <t>Impliquer la direction dans les réunions clés</t>
  </si>
  <si>
    <t>Ressources allouées</t>
  </si>
  <si>
    <t>La direction alloue-t-elle des ressources suffisantes ?</t>
  </si>
  <si>
    <t>Budget, plan RH</t>
  </si>
  <si>
    <t>Sous-équipement</t>
  </si>
  <si>
    <t>Projet de sécurité non viable</t>
  </si>
  <si>
    <t>Allouer des ressources humaines et techniques suffisantes</t>
  </si>
  <si>
    <t>Suivi des KPI</t>
  </si>
  <si>
    <t>Les indicateurs de sécurité sont-ils suivis par la direction ?</t>
  </si>
  <si>
    <t>Tableau de bord</t>
  </si>
  <si>
    <t>Absence de pilotage</t>
  </si>
  <si>
    <t>Réactions tardives aux incidents</t>
  </si>
  <si>
    <t>Intégrer les KPI cybersécurité dans les comités exécutifs</t>
  </si>
  <si>
    <t>Cartographie des risques</t>
  </si>
  <si>
    <t>Une cartographie des risques est-elle disponible ?</t>
  </si>
  <si>
    <t>Risques non identifiés</t>
  </si>
  <si>
    <t>Mauvaise anticipation des menaces</t>
  </si>
  <si>
    <t>Élaborer une cartographie des risques annuelle</t>
  </si>
  <si>
    <t>Analyse d’impact</t>
  </si>
  <si>
    <t>Une analyse d’impact est-elle réalisée ?</t>
  </si>
  <si>
    <t>Analyse BIA</t>
  </si>
  <si>
    <t>Perte de données critiques non évaluée</t>
  </si>
  <si>
    <t>Incapacité à hiérarchiser les actions</t>
  </si>
  <si>
    <t>Réaliser une analyse d’impact métier</t>
  </si>
  <si>
    <t>Évaluation périodique</t>
  </si>
  <si>
    <t>Une évaluation des risques est-elle faite régulièrement ?</t>
  </si>
  <si>
    <t>Obsolescence de l’évaluation</t>
  </si>
  <si>
    <t>Non-conformité ou inefficacité</t>
  </si>
  <si>
    <t>Mettre en place un cycle annuel de révision</t>
  </si>
  <si>
    <t>Utilise-t-on des outils pour évaluer les risques ?</t>
  </si>
  <si>
    <t>Plateforme GRC</t>
  </si>
  <si>
    <t>Évaluation manuelle et incomplète</t>
  </si>
  <si>
    <t>Mauvaise traçabilité</t>
  </si>
  <si>
    <t>Mettre en œuvre un outil de gestion des risques</t>
  </si>
  <si>
    <t>Implication des métiers</t>
  </si>
  <si>
    <t>Les métiers participent-ils à l’évaluation des risques ?</t>
  </si>
  <si>
    <t>Compte-rendus d’ateliers</t>
  </si>
  <si>
    <t>Risques non adaptés à la réalité</t>
  </si>
  <si>
    <t>Déconnexion entre IT et terrain</t>
  </si>
  <si>
    <t>Organiser des ateliers réguliers avec les métiers</t>
  </si>
  <si>
    <t>Liste des référents</t>
  </si>
  <si>
    <t>Diffusion interne</t>
  </si>
  <si>
    <t>La politique est-elle communiquée à tous ?</t>
  </si>
  <si>
    <t>Registre de diffusion</t>
  </si>
  <si>
    <t>Employés mal informés</t>
  </si>
  <si>
    <t>Non-respect des règles</t>
  </si>
  <si>
    <t>Mettre à jour et distribuer le document à tous</t>
  </si>
  <si>
    <t>Diffusion externe</t>
  </si>
  <si>
    <t>Les partenaires reçoivent-ils les consignes ?</t>
  </si>
  <si>
    <t>Contrats fournisseurs</t>
  </si>
  <si>
    <t>Prestataires non conformes</t>
  </si>
  <si>
    <t>Risques via les tiers</t>
  </si>
  <si>
    <t>Intégrer les exigences dans les contrats</t>
  </si>
  <si>
    <t>Accessibilité</t>
  </si>
  <si>
    <t>La politique est-elle facilement consultable ?</t>
  </si>
  <si>
    <t>Intranet</t>
  </si>
  <si>
    <t>Inaccessibilité</t>
  </si>
  <si>
    <t>FAIBLE</t>
  </si>
  <si>
    <t>Héberger le document sur l’intranet</t>
  </si>
  <si>
    <t>Traçabilité des accusés</t>
  </si>
  <si>
    <t>Les lectures sont-elles tracées ?</t>
  </si>
  <si>
    <t>Accusés de réception</t>
  </si>
  <si>
    <t>Non vérification</t>
  </si>
  <si>
    <t>Responsabilité difficile à établir</t>
  </si>
  <si>
    <t>Utiliser des plateformes avec signature numérique</t>
  </si>
  <si>
    <t>Mises à jour</t>
  </si>
  <si>
    <t>La politique est-elle mise à jour régulièrement ?</t>
  </si>
  <si>
    <t>Obsolescence</t>
  </si>
  <si>
    <t>Déploiement de pratiques dépassées</t>
  </si>
  <si>
    <t>Planifier une révision annuelle</t>
  </si>
  <si>
    <t>Formation continue</t>
  </si>
  <si>
    <t>Une formation annuelle est-elle suivie ?</t>
  </si>
  <si>
    <t>Dossier RH</t>
  </si>
  <si>
    <t>Perte de compétence</t>
  </si>
  <si>
    <t>Erreurs de configuration</t>
  </si>
  <si>
    <t>Créer un plan de formation annuel</t>
  </si>
  <si>
    <t>Certifications</t>
  </si>
  <si>
    <t>Les personnels clés sont-ils certifiés ?</t>
  </si>
  <si>
    <t>Diplômes / attestations</t>
  </si>
  <si>
    <t>Manque d’expertise</t>
  </si>
  <si>
    <t>Défauts dans les configurations</t>
  </si>
  <si>
    <t>Inciter à la certification (ISO, CEH, etc.)</t>
  </si>
  <si>
    <t>Évaluation des compétences</t>
  </si>
  <si>
    <t>Y a-t-il une évaluation annuelle des compétences ?</t>
  </si>
  <si>
    <t>Évaluation RH</t>
  </si>
  <si>
    <t>Inadéquation des postes</t>
  </si>
  <si>
    <t>Faiblesses non identifiées</t>
  </si>
  <si>
    <t>Mettre en place une grille d’évaluation</t>
  </si>
  <si>
    <t>Mise à jour sur les menaces</t>
  </si>
  <si>
    <t>Les équipes sont-elles tenues informées des nouvelles menaces ?</t>
  </si>
  <si>
    <t>Veille cyber</t>
  </si>
  <si>
    <t>Connaissance dépassée</t>
  </si>
  <si>
    <t>Non-réaction aux attaques modernes</t>
  </si>
  <si>
    <t>Organiser des webinaires ou bulletins réguliers</t>
  </si>
  <si>
    <t>Formation aux outils</t>
  </si>
  <si>
    <t>Les équipes sont-elles formées aux outils utilisés ?</t>
  </si>
  <si>
    <t>Dossier de formation technique</t>
  </si>
  <si>
    <t>Dysfonctionnements ou failles</t>
  </si>
  <si>
    <t>Organiser des ateliers pratiques réguliers</t>
  </si>
  <si>
    <t>Définition des KPI</t>
  </si>
  <si>
    <t>Des indicateurs de performance en sécurité sont-ils définis ?</t>
  </si>
  <si>
    <t>Liste des KPI</t>
  </si>
  <si>
    <t>Absence de mesure</t>
  </si>
  <si>
    <t>Pilotage à l’aveugle</t>
  </si>
  <si>
    <t>Définir des KPI clairs (ex. : incidents/mois, taux de conformité)</t>
  </si>
  <si>
    <t>Suivi des incidents</t>
  </si>
  <si>
    <t>Les incidents de sécurité sont-ils suivis avec des métriques ?</t>
  </si>
  <si>
    <t>Sous-estimation des failles</t>
  </si>
  <si>
    <t>Retards de réaction et mauvaise priorisation</t>
  </si>
  <si>
    <t>Mettre en place un système de classification des incidents</t>
  </si>
  <si>
    <t>Tableaux de bord</t>
  </si>
  <si>
    <t>Y a-t-il des tableaux de bord pour visualiser la performance sécurité ?</t>
  </si>
  <si>
    <t>Tableaux de bord mensuels</t>
  </si>
  <si>
    <t>Données dispersées</t>
  </si>
  <si>
    <t>Manque de visibilité pour la direction</t>
  </si>
  <si>
    <t>Créer des dashboards accessibles et mis à jour régulièrement</t>
  </si>
  <si>
    <t>Revues périodiques</t>
  </si>
  <si>
    <t>Des revues de performance sont-elles organisées ?</t>
  </si>
  <si>
    <t>PV de réunions sécurité</t>
  </si>
  <si>
    <t>Absence de retour d’expérience</t>
  </si>
  <si>
    <t>Répétition des erreurs passées</t>
  </si>
  <si>
    <t>Mettre en place une revue semestrielle formelle</t>
  </si>
  <si>
    <t>Collecte des retours</t>
  </si>
  <si>
    <t>Les utilisateurs peuvent-ils remonter des suggestions ou problèmes ?</t>
  </si>
  <si>
    <t>Enquêtes internes</t>
  </si>
  <si>
    <t>Silence des utilisateurs</t>
  </si>
  <si>
    <t>Manque d’amélioration continue</t>
  </si>
  <si>
    <t>Instaurer un canal de feedback (ex. formulaire anonyme)</t>
  </si>
  <si>
    <t>La politique de sécurité est-elle documentée et validée par la direction ?</t>
  </si>
  <si>
    <t>Comportements incohérents ou non conformes</t>
  </si>
  <si>
    <t>Rédiger une politique formelle validée par la direction</t>
  </si>
  <si>
    <t>La direction générale est-elle impliquée dans la définition des orientations de sécurité ?</t>
  </si>
  <si>
    <t>PV de réunions de pilotage</t>
  </si>
  <si>
    <t>Désengagement stratégique</t>
  </si>
  <si>
    <t>Perte de crédibilité des actions de sécurité</t>
  </si>
  <si>
    <t>Impliquer la direction dans les décisions sécurité</t>
  </si>
  <si>
    <t>Les rôles et responsabilités en matière de sécurité sont-ils définis ?</t>
  </si>
  <si>
    <t>Organigramme, fiches de poste</t>
  </si>
  <si>
    <t>Ambiguïté dans la gestion des incidents</t>
  </si>
  <si>
    <t>Retards ou erreurs dans les réponses aux incidents</t>
  </si>
  <si>
    <t>Documenter les responsabilités dans la politique sécurité</t>
  </si>
  <si>
    <t>La politique est-elle alignée avec la stratégie globale de l’entreprise ?</t>
  </si>
  <si>
    <t>Plan stratégique + Politique sécurité</t>
  </si>
  <si>
    <t>Politique inefficace ou inadaptée</t>
  </si>
  <si>
    <t>Incohérence dans les mesures de sécurité appliquées</t>
  </si>
  <si>
    <t>Revoir annuellement l’alignement stratégique</t>
  </si>
  <si>
    <t>La politique est-elle diffusée aux collaborateurs concernés ?</t>
  </si>
  <si>
    <t>Preuves de diffusion (emails, intranet, formations)</t>
  </si>
  <si>
    <t>Non-adhésion des employés</t>
  </si>
  <si>
    <t>Non-respect des règles de sécurité</t>
  </si>
  <si>
    <t>Organiser une communication claire et continue</t>
  </si>
  <si>
    <t>Existence d’une politique de sécurité formalisée</t>
  </si>
  <si>
    <t>Implication de la direction dans la sécurité</t>
  </si>
  <si>
    <t>Définition claire des responsabilités</t>
  </si>
  <si>
    <t>Alignement avec les objectifs de l’entreprise</t>
  </si>
  <si>
    <t>Communication de la politique aux parties prenantes</t>
  </si>
  <si>
    <t>Quels canaux sont utilisés pour diffuser la politique de sécurité ?</t>
  </si>
  <si>
    <t>Captures d’écran intranet, planning des sessions</t>
  </si>
  <si>
    <t>Mauvaise réception de l’information</t>
  </si>
  <si>
    <t>Règles de sécurité ignorées</t>
  </si>
  <si>
    <t>Multiplier les canaux de diffusion</t>
  </si>
  <si>
    <t>Le contenu est-il adapté au niveau de compréhension des utilisateurs ?</t>
  </si>
  <si>
    <t>Copie de la politique simplifiée</t>
  </si>
  <si>
    <t>Incompréhension des règles</t>
  </si>
  <si>
    <t>Erreurs humaines ou négligence</t>
  </si>
  <si>
    <t>Utiliser un langage clair et simple</t>
  </si>
  <si>
    <t>La politique est-elle facilement accessible à tout moment ?</t>
  </si>
  <si>
    <t>Lien intranet, capture de l’espace documentaire</t>
  </si>
  <si>
    <t>Accès limité à l’information</t>
  </si>
  <si>
    <t>Employés non informés</t>
  </si>
  <si>
    <t>Assurer une accessibilité 24/7</t>
  </si>
  <si>
    <t>Existe-t-il une traçabilité de la lecture ou réception de la politique ?</t>
  </si>
  <si>
    <t>Registre de validation électronique</t>
  </si>
  <si>
    <t>Non-lecture du document</t>
  </si>
  <si>
    <t>Inapplicabilité des règles</t>
  </si>
  <si>
    <t>Mettre en place un accusé de lecture obligatoire</t>
  </si>
  <si>
    <t>À quelle fréquence la politique est-elle rappelée ou diffusée ?</t>
  </si>
  <si>
    <t>Historique des communications</t>
  </si>
  <si>
    <t>Oubli progressif des consignes</t>
  </si>
  <si>
    <t>Non-respect progressif des règles</t>
  </si>
  <si>
    <t>Programmer des rappels réguliers (newsletters, formations)</t>
  </si>
  <si>
    <t>Moyens de diffusion utilisés</t>
  </si>
  <si>
    <t>Pertinence du contenu pour le public cible</t>
  </si>
  <si>
    <t>Accessibilité des documents</t>
  </si>
  <si>
    <t>Suivi de la bonne réception</t>
  </si>
  <si>
    <t>Fréquence de la communication</t>
  </si>
  <si>
    <t>À quelle fréquence la politique de sécurité est-elle revue ?</t>
  </si>
  <si>
    <t>Rapport de revue annuelle</t>
  </si>
  <si>
    <t>Inadéquation avec les risques actuels</t>
  </si>
  <si>
    <t>Fixer une fréquence de révision obligatoire</t>
  </si>
  <si>
    <t>Qui est responsable de la révision de la politique ?</t>
  </si>
  <si>
    <t>Procédure de revue</t>
  </si>
  <si>
    <t>Absence de suivi structuré</t>
  </si>
  <si>
    <t>Politique non mise à jour</t>
  </si>
  <si>
    <t>Désigner formellement un responsable de revue</t>
  </si>
  <si>
    <t>La politique tient-elle compte des lois en vigueur (ex : RGPD) ?</t>
  </si>
  <si>
    <t>Veille juridique, RGPD, normes ISO</t>
  </si>
  <si>
    <t>Non-conformité légale</t>
  </si>
  <si>
    <t>Sanctions juridiques ou financières</t>
  </si>
  <si>
    <t>Mettre à jour la politique selon les exigences légales</t>
  </si>
  <si>
    <t>Les nouveaux risques sont-ils intégrés dans la politique lors de la révision ?</t>
  </si>
  <si>
    <t>Rapport d’analyse de risques</t>
  </si>
  <si>
    <t>Exposition accrue à de nouvelles menaces</t>
  </si>
  <si>
    <t>Réviser la politique suite à chaque analyse de risques</t>
  </si>
  <si>
    <t>La nouvelle version de la politique est-elle validée par la direction ?</t>
  </si>
  <si>
    <t>Compte-rendu de validation</t>
  </si>
  <si>
    <t>Absence de légitimité</t>
  </si>
  <si>
    <t>Remise en question par les utilisateurs</t>
  </si>
  <si>
    <t>Formaliser un processus de validation systématique</t>
  </si>
  <si>
    <t>Responsabilité de la revue</t>
  </si>
  <si>
    <t>Prise en compte de la réglementation</t>
  </si>
  <si>
    <t>Prise en compte des nouveaux risques</t>
  </si>
  <si>
    <t>Validation des mises à jour</t>
  </si>
  <si>
    <t>La politique de sécurité couvre-t-elle les postes de travail des utilisateurs ?</t>
  </si>
  <si>
    <t>Politique de sécurité + procédures associées</t>
  </si>
  <si>
    <t>Points d’entrée non protégés</t>
  </si>
  <si>
    <t>Intrusions via terminaux utilisateurs</t>
  </si>
  <si>
    <t>Appliquer les règles de sécurité aux postes clients</t>
  </si>
  <si>
    <t>Les terminaux mobiles (smartphones, tablettes) sont-ils inclus dans la démarche ?</t>
  </si>
  <si>
    <t>Politique BYOD, contrat utilisateur, outil MDM</t>
  </si>
  <si>
    <t>Perte ou vol de données</t>
  </si>
  <si>
    <t>Mettre en place une gestion des mobiles (MDM)</t>
  </si>
  <si>
    <t>Les applications métiers sont-elles intégrées à l’analyse de risques ?</t>
  </si>
  <si>
    <t>Registre des applications, rapport de risques</t>
  </si>
  <si>
    <t>Logiciels vulnérables</t>
  </si>
  <si>
    <t>Exploitation de failles applicatives</t>
  </si>
  <si>
    <t>Intégrer les applications métiers dans l’analyse de risques</t>
  </si>
  <si>
    <t>La protection des bases de données est-elle prise en compte ?</t>
  </si>
  <si>
    <t>Procédure de sauvegarde, politique d’accès aux données</t>
  </si>
  <si>
    <t>Perte ou vol de données critiques</t>
  </si>
  <si>
    <t>Interruption de service ou compromission</t>
  </si>
  <si>
    <t>Sécuriser et contrôler les accès aux bases de données</t>
  </si>
  <si>
    <t>Les environnements cloud sont-ils inclus dans la stratégie de sécurité ?</t>
  </si>
  <si>
    <t>Politique cloud, contrat avec le fournisseur</t>
  </si>
  <si>
    <t>Risques liés au fournisseur (rupture, faille)</t>
  </si>
  <si>
    <t>Perte de contrôle sur les données</t>
  </si>
  <si>
    <t>Formaliser une politique de sécurité cloud complète</t>
  </si>
  <si>
    <t>Couverture des postes de travail</t>
  </si>
  <si>
    <t>Inclusion des périphériques mobiles</t>
  </si>
  <si>
    <t>Sécurité des logiciels métiers</t>
  </si>
  <si>
    <t>Sécurité des bases de données</t>
  </si>
  <si>
    <t>Intégration des environnements cloud</t>
  </si>
  <si>
    <t>Les données sensibles sont-elles chiffrées lors de leur stockage et transmission ?</t>
  </si>
  <si>
    <t>Politique de chiffrement, rapports de conformité</t>
  </si>
  <si>
    <t>Vol ou interception de données sensibles</t>
  </si>
  <si>
    <t>Fuite de données personnelles ou confidentielles</t>
  </si>
  <si>
    <t>Renforcer le chiffrement pour toutes les données sensibles</t>
  </si>
  <si>
    <t>Les accès aux données sensibles sont-ils restreints et contrôlés ?</t>
  </si>
  <si>
    <t>Registre des accès, politique d’accès</t>
  </si>
  <si>
    <t>Accès non autorisé aux données</t>
  </si>
  <si>
    <t>Exposition des données aux personnes non autorisées</t>
  </si>
  <si>
    <t>Mettre en œuvre un contrôle d’accès strict et régulier</t>
  </si>
  <si>
    <t>Les données sensibles sont-elles sauvegardées de manière sécurisée ?</t>
  </si>
  <si>
    <t>Politique de sauvegarde, rapports de test de restauration</t>
  </si>
  <si>
    <t>Perte de données suite à une défaillance</t>
  </si>
  <si>
    <t>Perte irréversible de données</t>
  </si>
  <si>
    <t>Mettre en place des tests réguliers de restauration de sauvegarde</t>
  </si>
  <si>
    <t>Les données sensibles sont-elles protégées lors de leur transmission (réseaux, email, etc.) ?</t>
  </si>
  <si>
    <t>Politique de transmission sécurisée, logs de transfert</t>
  </si>
  <si>
    <t>Interception de données lors de la transmission</t>
  </si>
  <si>
    <t>Accès non autorisé aux informations pendant leur transfert</t>
  </si>
  <si>
    <t>Revoir les protocoles de transmission et les renforcer (SSL/TLS)</t>
  </si>
  <si>
    <t>Les utilisateurs sont-ils formés aux bonnes pratiques de gestion des données sensibles ?</t>
  </si>
  <si>
    <t>Plan de formation, supports pédagogiques</t>
  </si>
  <si>
    <t>Manipulation incorrecte des données sensibles</t>
  </si>
  <si>
    <t>Divulgation accidentelle ou exposition non intentionnelle</t>
  </si>
  <si>
    <t>Renforcer la formation continue sur la gestion sécurisée des données sensibles</t>
  </si>
  <si>
    <t>Chiffrement des données sensibles</t>
  </si>
  <si>
    <t>Contrôle d'accès aux données sensibles</t>
  </si>
  <si>
    <t>Sauvegarde sécurisée des données</t>
  </si>
  <si>
    <t>Sécurisation de la transmission des données</t>
  </si>
  <si>
    <t>Sensibilisation des utilisateurs à la sécurité des données</t>
  </si>
  <si>
    <t>Les responsabilités sont-elles clairement définies dans l’organisation ?</t>
  </si>
  <si>
    <t>Organigrammes, fiches de poste</t>
  </si>
  <si>
    <t>Confusion sur les rôles</t>
  </si>
  <si>
    <t>Erreurs dans la gestion des incidents</t>
  </si>
  <si>
    <t>Revoir les descriptions de poste et clarifier les responsabilités</t>
  </si>
  <si>
    <t>Les responsabilités sont-elles formalisées et accessibles à tous ?</t>
  </si>
  <si>
    <t>Intranet, documentation interne</t>
  </si>
  <si>
    <t>Non-adhésion aux responsabilités</t>
  </si>
  <si>
    <t>Mauvaise application des règles de sécurité</t>
  </si>
  <si>
    <t>Rendre les responsabilités accessibles et visibles</t>
  </si>
  <si>
    <t>Les responsabilités sont-elles validées par la direction ?</t>
  </si>
  <si>
    <t>Comptes-rendus de réunion</t>
  </si>
  <si>
    <t>Manque d’adhésion direction</t>
  </si>
  <si>
    <t>Non-prise en charge des risques de sécurité</t>
  </si>
  <si>
    <t>Impliquer davantage la direction dans l'attribution des responsabilités</t>
  </si>
  <si>
    <t>Les actions correctives suite à des incidents sont-elles attribuées à une personne ?</t>
  </si>
  <si>
    <t>Rapport d'incident, analyse post-incident</t>
  </si>
  <si>
    <t>Non-résolution des incidents</t>
  </si>
  <si>
    <t>Assigner un responsable pour chaque action corrective</t>
  </si>
  <si>
    <t>Les responsabilités sont-elles réévaluées périodiquement ?</t>
  </si>
  <si>
    <t>Rapport d'évaluation annuelle</t>
  </si>
  <si>
    <t>Incohérence due à l’évolution des rôles</t>
  </si>
  <si>
    <t>Manque d’agilité dans l’organisation</t>
  </si>
  <si>
    <t>Effectuer une réévaluation régulière des responsabilités</t>
  </si>
  <si>
    <t>Attribution des responsabilités</t>
  </si>
  <si>
    <t>Documentation des responsabilités</t>
  </si>
  <si>
    <t>Validation des responsabilités</t>
  </si>
  <si>
    <t>Responsabilité des actions correctives</t>
  </si>
  <si>
    <t>Mise à jour des responsabilités</t>
  </si>
  <si>
    <t>Un propriétaire est-il désigné pour chaque processus ou domaine clé ?</t>
  </si>
  <si>
    <t>Organigramme, contrats de responsabilité</t>
  </si>
  <si>
    <t>Manque de responsabilisation</t>
  </si>
  <si>
    <t>Faible réactivité aux besoins de changement</t>
  </si>
  <si>
    <t>Désigner clairement un propriétaire pour chaque domaine</t>
  </si>
  <si>
    <t>Le propriétaire suit-il les évolutions et mises à jour régulièrement ?</t>
  </si>
  <si>
    <t>Rapports mensuels, procès-verbaux</t>
  </si>
  <si>
    <t>Négligence des mises à jour</t>
  </si>
  <si>
    <t>Retards dans l’implémentation de nouvelles solutions</t>
  </si>
  <si>
    <t>Mettre en place des rappels mensuels pour le suivi</t>
  </si>
  <si>
    <t>Les changements proposés par le propriétaire sont-ils correctement implémentés ?</t>
  </si>
  <si>
    <t>Plan de projet, rapports de validation</t>
  </si>
  <si>
    <t>Retards dans l’implémentation des changements</t>
  </si>
  <si>
    <t>Non-conformité aux exigences métier</t>
  </si>
  <si>
    <t>Établir une procédure formelle pour la mise en œuvre</t>
  </si>
  <si>
    <t>Le propriétaire est-il impliqué dans les décisions stratégiques concernant son domaine ?</t>
  </si>
  <si>
    <t>Décisions prises sans implication de l’expert</t>
  </si>
  <si>
    <t>Décisions inadaptées aux besoins réels</t>
  </si>
  <si>
    <t>Assurer la présence du propriétaire dans les réunions stratégiques</t>
  </si>
  <si>
    <t>Le rôle du propriétaire est-il réévalué régulièrement pour ajuster les priorités ?</t>
  </si>
  <si>
    <t>Rapport d’évaluation annuelle</t>
  </si>
  <si>
    <t>Inadaptation aux évolutions organisationnelles</t>
  </si>
  <si>
    <t>Inefficacité à long terme des processus</t>
  </si>
  <si>
    <t>Réaliser des évaluations régulières du rôle du propriétaire</t>
  </si>
  <si>
    <t>Désignation du propriétaire</t>
  </si>
  <si>
    <t>Suivi des évolutions</t>
  </si>
  <si>
    <t>Mise en œuvre des changements</t>
  </si>
  <si>
    <t>Implication du propriétaire dans les décisions</t>
  </si>
  <si>
    <t>Réévaluation des responsabilités</t>
  </si>
  <si>
    <t>Existe-t-il une procédure formalisée pour l’autorisation de nouveaux matériels ou logiciels ?</t>
  </si>
  <si>
    <t>Procédure d’autorisation, guide de l’utilisateur</t>
  </si>
  <si>
    <t>Matériel non sécurisé utilisé</t>
  </si>
  <si>
    <t>Compromission du système</t>
  </si>
  <si>
    <t>Formaliser et diffuser la procédure d’autorisation</t>
  </si>
  <si>
    <t>Les nouveaux matériels ou logiciels sont-ils validés pour leur sécurité avant leur adoption ?</t>
  </si>
  <si>
    <t>Rapport de validation de sécurité</t>
  </si>
  <si>
    <t>Introduction de failles de sécurité</t>
  </si>
  <si>
    <t>Les demandes d’ajout de matériel ou logiciel sont-elles bien documentées ?</t>
  </si>
  <si>
    <t>Formulaire de demande, registre des demandes</t>
  </si>
  <si>
    <t>Non-suivi des demandes</t>
  </si>
  <si>
    <t>Erreurs ou oublis dans la gestion des demandes</t>
  </si>
  <si>
    <t>Assurer un suivi et une documentation de chaque demande</t>
  </si>
  <si>
    <t>Existe-t-il un processus d’approbation formel pour l’ajout de nouveaux matériels ou logiciels ?</t>
  </si>
  <si>
    <t>Procès-verbaux d’approbation</t>
  </si>
  <si>
    <t>Non-conformité avec les politiques internes</t>
  </si>
  <si>
    <t>Perte de contrôle sur l'infrastructure IT</t>
  </si>
  <si>
    <t>Assurer une approbation formelle et régulière des ajouts</t>
  </si>
  <si>
    <t>Les utilisateurs sont-ils formés sur la procédure d’autorisation ?</t>
  </si>
  <si>
    <t>Plan de formation, supports de formation</t>
  </si>
  <si>
    <t>Non-respect des procédures</t>
  </si>
  <si>
    <t>Introduction de matériel ou logiciel non autorisé</t>
  </si>
  <si>
    <t>Renforcer la formation continue sur les procédures internes</t>
  </si>
  <si>
    <t>Existence d'une procédure d'autorisation</t>
  </si>
  <si>
    <t>Validation de la sécurité</t>
  </si>
  <si>
    <t>Documentation des demandes</t>
  </si>
  <si>
    <t>Processus d'approbation</t>
  </si>
  <si>
    <t>Formation des utilisateurs</t>
  </si>
  <si>
    <t>Existe-t-il une procédure spécifique pour l’accès des tiers aux informations sensibles ?</t>
  </si>
  <si>
    <t>Politique de sécurité, procédure d’accès aux tiers</t>
  </si>
  <si>
    <t>Accès non autorisé à des informations sensibles</t>
  </si>
  <si>
    <t>Renforcer les procédures de contrôle d’accès aux tiers</t>
  </si>
  <si>
    <t>Les tiers ont-ils un processus d’évaluation de sécurité avant d’obtenir un accès ?</t>
  </si>
  <si>
    <t>Rapport d’évaluation de sécurité</t>
  </si>
  <si>
    <t>Exposition aux risques de non-conformité des tiers</t>
  </si>
  <si>
    <t>Fuite de données ou compromission de sécurité</t>
  </si>
  <si>
    <t>Effectuer des audits de sécurité des tiers avant tout partenariat</t>
  </si>
  <si>
    <t>Les droits d'accès sont-ils restreints en fonction des besoins des tiers ?</t>
  </si>
  <si>
    <t>Registre des accès, contrats avec les tiers</t>
  </si>
  <si>
    <t>Accès excessif aux informations</t>
  </si>
  <si>
    <t>Exploitation abusive des informations</t>
  </si>
  <si>
    <t>Restreindre l’accès uniquement aux informations nécessaires</t>
  </si>
  <si>
    <t>Existe-t-il un mécanisme de surveillance des activités des tiers accédant aux informations ?</t>
  </si>
  <si>
    <t>Logs de surveillance, rapports d’audit</t>
  </si>
  <si>
    <t>Activités malveillantes non détectées</t>
  </si>
  <si>
    <t>Compromission non détectée</t>
  </si>
  <si>
    <t>Mettre en place un suivi régulier des accès des tiers</t>
  </si>
  <si>
    <t>Les tiers sont-ils formés sur la politique de sécurité et les règles d’accès aux données ?</t>
  </si>
  <si>
    <t>Plan de formation, contrats de confidentialité</t>
  </si>
  <si>
    <t>Fuite de données dues à une mauvaise gestion</t>
  </si>
  <si>
    <t>Organiser des formations régulières pour les tiers sur les règles de sécurité</t>
  </si>
  <si>
    <t>Procédures d'accès</t>
  </si>
  <si>
    <t>Validation des tiers</t>
  </si>
  <si>
    <t>Contrôle des droits d’accès</t>
  </si>
  <si>
    <t>Surveillance de l’accès des tiers</t>
  </si>
  <si>
    <t>Formation et sensibilisation</t>
  </si>
  <si>
    <t>Existe-t-il un contrat formel spécifiant les modalités de protection des informations ?</t>
  </si>
  <si>
    <t>Contrats de sous-traitance, accords de confidentialité</t>
  </si>
  <si>
    <t>Absence de garanties de sécurité</t>
  </si>
  <si>
    <t>Fuite ou perte de données sensibles</t>
  </si>
  <si>
    <t>Exiger des clauses de sécurité strictes dans tous les contrats</t>
  </si>
  <si>
    <t>Les sous-traitants sont-ils évalués pour leur niveau de sécurité avant la contractualisation ?</t>
  </si>
  <si>
    <t>Non-conformité de sécurité des sous-traitants</t>
  </si>
  <si>
    <t>Risques accrus de compromission de données</t>
  </si>
  <si>
    <t>Réaliser une évaluation régulière de sécurité des sous-traitants</t>
  </si>
  <si>
    <t>Les sous-traitants ont-ils un accès restreint aux informations sensibles ?</t>
  </si>
  <si>
    <t>Registre des accès, documentation contractuelle</t>
  </si>
  <si>
    <t>Accès excessif aux informations sensibles</t>
  </si>
  <si>
    <t>Exploitation abusive des données par un sous-traitant</t>
  </si>
  <si>
    <t>Limiter les accès et les auditer régulièrement</t>
  </si>
  <si>
    <t>Les pratiques de sécurité des sous-traitants sont-elles régulièrement révisées ?</t>
  </si>
  <si>
    <t>Rapports de révision, rapports d’audit</t>
  </si>
  <si>
    <t>Non-conformité persistante avec les standards de sécurité</t>
  </si>
  <si>
    <t>Compromission des informations et non-détection des failles</t>
  </si>
  <si>
    <t>Effectuer des audits de sécurité réguliers auprès des sous-traitants</t>
  </si>
  <si>
    <t>Les sous-traitants sont-ils formés aux exigences de sécurité de l’entreprise ?</t>
  </si>
  <si>
    <t>Programme de formation, liste des participants</t>
  </si>
  <si>
    <t>Perte ou fuite d’informations confidentielles</t>
  </si>
  <si>
    <t>Mettre en place une formation continue pour les sous-traitants</t>
  </si>
  <si>
    <t>Contrat de sous-traitance</t>
  </si>
  <si>
    <t>Évaluation de la sécurité des sous-traitants</t>
  </si>
  <si>
    <t>Contrôle d’accès aux informations sensibles</t>
  </si>
  <si>
    <t>Révision des pratiques de sécurité</t>
  </si>
  <si>
    <t>Formation des sous-traitants</t>
  </si>
  <si>
    <t>Existe-t-il un plan formel pour la gestion des incidents de sécurité ?</t>
  </si>
  <si>
    <t>Plan de gestion des incidents, procédures associées</t>
  </si>
  <si>
    <t>Absence de réactivité</t>
  </si>
  <si>
    <t>Prolongation des incidents et dégradation du service</t>
  </si>
  <si>
    <t>Définir un plan de gestion des incidents complet et testé</t>
  </si>
  <si>
    <t>Les incidents de sécurité sont-ils facilement identifiables et signalés ?</t>
  </si>
  <si>
    <t>Rapport de détection des incidents, logs</t>
  </si>
  <si>
    <t>Détection tardive des incidents</t>
  </si>
  <si>
    <t>Délai d’intervention trop long</t>
  </si>
  <si>
    <t>Mettre en place un système de détection en temps réel</t>
  </si>
  <si>
    <t>Les responsabilités pour la gestion des incidents sont-elles clairement définies ?</t>
  </si>
  <si>
    <t>Plan d’intervention, organigramme des responsables</t>
  </si>
  <si>
    <t>Absence de coordination</t>
  </si>
  <si>
    <t>Intervention inefficace lors des incidents</t>
  </si>
  <si>
    <t>Assurer la clarté des responsabilités et la communication</t>
  </si>
  <si>
    <t>Existe-t-il une procédure de notification des incidents à la direction ?</t>
  </si>
  <si>
    <t>Procédure de notification, comptes-rendus</t>
  </si>
  <si>
    <t>Non-notification à la direction</t>
  </si>
  <si>
    <t>Retard dans les actions correctives</t>
  </si>
  <si>
    <t>Formaliser et automatiser la notification des incidents</t>
  </si>
  <si>
    <t>Un processus de revue est-il effectué après chaque incident ?</t>
  </si>
  <si>
    <t>Rapport d’analyse post-incident</t>
  </si>
  <si>
    <t>Non-apprentissage des incidents passés</t>
  </si>
  <si>
    <t>Répétition des incidents similaires</t>
  </si>
  <si>
    <t>Mettre en place une revue systématique des incidents après leur gestion</t>
  </si>
  <si>
    <t>Existence d’un plan de gestion des incidents</t>
  </si>
  <si>
    <t>Identification des incidents</t>
  </si>
  <si>
    <t>Responsabilités des intervenants</t>
  </si>
  <si>
    <t>Processus de notification des incidents</t>
  </si>
  <si>
    <t>Révision post-incident</t>
  </si>
  <si>
    <t>Les audits de sécurité sont-ils réalisés régulièrement (interne et externe) ?</t>
  </si>
  <si>
    <t>Rapport d’audit annuel, plan d’audit</t>
  </si>
  <si>
    <t>Absence de révision régulière</t>
  </si>
  <si>
    <t>Détérioration des mesures de sécurité</t>
  </si>
  <si>
    <t>Établir une fréquence fixe pour les audits internes et externes</t>
  </si>
  <si>
    <t>Les audits couvrent-ils l’ensemble des domaines de la sécurité ?</t>
  </si>
  <si>
    <t>Plan d’audit, rapport d’audit</t>
  </si>
  <si>
    <t>Manque de couverture</t>
  </si>
  <si>
    <t>Points de vulnérabilité non identifiés</t>
  </si>
  <si>
    <t>Étendre la portée des audits pour couvrir tous les domaines</t>
  </si>
  <si>
    <t>Les auditeurs internes et externes ont-ils les compétences nécessaires pour évaluer la sécurité ?</t>
  </si>
  <si>
    <t>Certificats des auditeurs, rapports de qualification</t>
  </si>
  <si>
    <t>Audits incomplets ou erronés</t>
  </si>
  <si>
    <t>Identification erronée des risques</t>
  </si>
  <si>
    <t>Valider régulièrement les qualifications des auditeurs</t>
  </si>
  <si>
    <t>Les recommandations issues des audits sont-elles suivies et appliquées ?</t>
  </si>
  <si>
    <t>Rapport de suivi des recommandations</t>
  </si>
  <si>
    <t>Non-application des recommandations</t>
  </si>
  <si>
    <t>Maintien des vulnérabilités découvertes</t>
  </si>
  <si>
    <t>Assurer un suivi rigoureux des recommandations après chaque audit</t>
  </si>
  <si>
    <t>Les résultats des audits sont-ils communiqués à toutes les parties prenantes ?</t>
  </si>
  <si>
    <t>Comptes-rendus des résultats d’audit</t>
  </si>
  <si>
    <t>Manque de communication des résultats</t>
  </si>
  <si>
    <t>Absence de mesures correctives</t>
  </si>
  <si>
    <t>Rendre les résultats d’audit accessibles à toutes les parties concernées</t>
  </si>
  <si>
    <t>Fréquence des audits</t>
  </si>
  <si>
    <t>Portée des audits</t>
  </si>
  <si>
    <t>Compétence des auditeurs</t>
  </si>
  <si>
    <t>Suivi des recommandations d’audit</t>
  </si>
  <si>
    <t>Transparence des résultats</t>
  </si>
  <si>
    <t>Existe-t-il un inventaire complet des actifs de l'organisation ?</t>
  </si>
  <si>
    <t>Inventaire des actifs</t>
  </si>
  <si>
    <t>Absence d’inventaire complet</t>
  </si>
  <si>
    <t>Difficulté à évaluer la valeur des actifs et leur gestion</t>
  </si>
  <si>
    <t>Maintenir un inventaire centralisé et régulièrement mis à jour</t>
  </si>
  <si>
    <t>Les actifs sont-ils classés par catégories selon leur importance pour l'organisation ?</t>
  </si>
  <si>
    <t>Inventaire des actifs, liste des catégories</t>
  </si>
  <si>
    <t>Mauvaise gestion des actifs critiques</t>
  </si>
  <si>
    <t>Risques accrus de perte ou de compromission</t>
  </si>
  <si>
    <t>Définir clairement des catégories et hiérarchiser les actifs en fonction de leur valeur</t>
  </si>
  <si>
    <t>Les actifs sont-ils hiérarchisés en fonction de leur valeur pour l'organisation ?</t>
  </si>
  <si>
    <t>Liste des actifs et leur valeur</t>
  </si>
  <si>
    <t>Hiérarchisation incorrecte des actifs</t>
  </si>
  <si>
    <t>Affectation incorrecte des ressources de sécurité</t>
  </si>
  <si>
    <t>Revoir la hiérarchisation périodiquement en fonction des évolutions de l'organisation</t>
  </si>
  <si>
    <t>L'inventaire est-il mis à jour régulièrement pour refléter les changements ?</t>
  </si>
  <si>
    <t>Inventaire mis à jour, rapports d’audit</t>
  </si>
  <si>
    <t>Inventaire obsolète</t>
  </si>
  <si>
    <t>Risque de ne pas prendre en compte les nouveaux actifs ou les changements</t>
  </si>
  <si>
    <t>Mettre en place une procédure pour la mise à jour régulière de l’inventaire</t>
  </si>
  <si>
    <t>L'inventaire des actifs est-il vérifié par des audits internes ?</t>
  </si>
  <si>
    <t>Rapports d'audit</t>
  </si>
  <si>
    <t>Disparités dans l'inventaire</t>
  </si>
  <si>
    <t>Perte d’actifs importants ou incorrects dans l’inventaire</t>
  </si>
  <si>
    <t>Effectuer des audits internes réguliers pour valider la précision de l’inventaire</t>
  </si>
  <si>
    <t>Un propriétaire est-il désigné pour chaque actif important ?</t>
  </si>
  <si>
    <t>Liste des actifs et des propriétaires</t>
  </si>
  <si>
    <t>Absence de responsable désigné</t>
  </si>
  <si>
    <t>Désigner un responsable pour chaque actif important et documenter les responsabilités</t>
  </si>
  <si>
    <t>Les propriétaires d'actifs sont-ils informés de leurs responsabilités ?</t>
  </si>
  <si>
    <t>Documentation de la formation, contrats</t>
  </si>
  <si>
    <t>Manque de responsabilité et d'engagement</t>
  </si>
  <si>
    <t>Négligence dans la gestion des actifs</t>
  </si>
  <si>
    <t>Organiser des sessions de formation sur les responsabilités des propriétaires d'actifs</t>
  </si>
  <si>
    <t>Les responsabilités des propriétaires d'actifs sont-elles réévaluées périodiquement ?</t>
  </si>
  <si>
    <t>Rapports de révision</t>
  </si>
  <si>
    <t>Responsabilités mal définies ou obsolètes</t>
  </si>
  <si>
    <t>Mauvaise gestion des priorités</t>
  </si>
  <si>
    <t>Réévaluer les responsabilités des propriétaires à intervalles réguliers</t>
  </si>
  <si>
    <t>Les responsabilités des propriétaires sont-elles bien documentées ?</t>
  </si>
  <si>
    <t>Description des responsabilités, organigrammes</t>
  </si>
  <si>
    <t>Manque de coordination dans la gestion des actifs</t>
  </si>
  <si>
    <t>Formaliser les responsabilités et les rendre accessibles à tous les acteurs concernés</t>
  </si>
  <si>
    <t>Un suivi est-il effectué pour garantir que les propriétaires remplissent leurs obligations ?</t>
  </si>
  <si>
    <t>Rapports de suivi, audits internes</t>
  </si>
  <si>
    <t>Non-respect des responsabilités</t>
  </si>
  <si>
    <t>Perte de contrôle sur les actifs critiques</t>
  </si>
  <si>
    <t>Mettre en place un suivi régulier pour vérifier que les responsabilités sont respectées</t>
  </si>
  <si>
    <t>Existe-t-il un système formel de classification des actifs en fonction de leur sensibilité ?</t>
  </si>
  <si>
    <t>Système de classification des données</t>
  </si>
  <si>
    <t>Classification inappropriée des actifs</t>
  </si>
  <si>
    <t>Définir et appliquer un système de classification adapté à la sensibilité des actifs</t>
  </si>
  <si>
    <t>Les niveaux de protection sont-ils adaptés en fonction de la classification des actifs ?</t>
  </si>
  <si>
    <t>Politique de sécurité, procédures de classification</t>
  </si>
  <si>
    <t>Protection insuffisante pour les actifs sensibles</t>
  </si>
  <si>
    <t>Compromission d'informations sensibles</t>
  </si>
  <si>
    <t>Adapter et mettre à jour les niveaux de protection pour chaque actif en fonction de sa classification</t>
  </si>
  <si>
    <t>La classification des actifs est-elle revue périodiquement pour s'assurer de sa pertinence ?</t>
  </si>
  <si>
    <t>Rapports de révision de classification</t>
  </si>
  <si>
    <t>Perte de données sensibles ou d'importance</t>
  </si>
  <si>
    <t>Effectuer des révisions périodiques pour s'assurer que les classifications restent appropriées</t>
  </si>
  <si>
    <t>Le système de classification est-il accessible aux personnes responsables de la gestion des actifs ?</t>
  </si>
  <si>
    <t>Documentation du système de classification</t>
  </si>
  <si>
    <t>Non-adhésion au système de classification</t>
  </si>
  <si>
    <t>Erreurs dans la classification ou la gestion des actifs</t>
  </si>
  <si>
    <t>Assurer une formation continue sur l’utilisation du système de classification</t>
  </si>
  <si>
    <t>Le système de classification respecte-t-il les normes et réglementations en vigueur ?</t>
  </si>
  <si>
    <t>Certificats de conformité, audits de sécurité</t>
  </si>
  <si>
    <t>Non-conformité réglementaire</t>
  </si>
  <si>
    <t>Sanctions légales ou atteinte à la réputation</t>
  </si>
  <si>
    <t>Assurer la mise en conformité avec les réglementations pertinentes</t>
  </si>
  <si>
    <t>Chaque actif a-t-il fait l'objet d'une analyse pour déterminer son niveau de classification ?</t>
  </si>
  <si>
    <t>Rapport d'analyse de classification</t>
  </si>
  <si>
    <t>Classification incorrecte</t>
  </si>
  <si>
    <t>Mauvaise gestion des risques liés aux actifs</t>
  </si>
  <si>
    <t>Mettre en place un processus formel d'analyse pour chaque nouvel actif</t>
  </si>
  <si>
    <t>Les critères de classification sont-ils bien définis et appliqués à tous les actifs ?</t>
  </si>
  <si>
    <t>Politique de classification</t>
  </si>
  <si>
    <t>Classification inappropriée</t>
  </si>
  <si>
    <t>Exposition non contrôlée aux risques</t>
  </si>
  <si>
    <t>Revoir et ajuster les critères de classification périodiquement</t>
  </si>
  <si>
    <t>Les parties prenantes sont-elles impliquées dans l'analyse de la classification des actifs ?</t>
  </si>
  <si>
    <t>Compte-rendu des réunions, liste des parties prenantes</t>
  </si>
  <si>
    <t>Non-prise en compte des spécificités des départements</t>
  </si>
  <si>
    <t>Classification erronée basée sur des informations partielles</t>
  </si>
  <si>
    <t>Impliquer toutes les parties prenantes concernées dans le processus d'analyse</t>
  </si>
  <si>
    <t>Les classifications sont-elles mises à jour lorsqu'il y a des changements dans l'organisation ou les actifs ?</t>
  </si>
  <si>
    <t>Rapport de mise à jour de la classification</t>
  </si>
  <si>
    <t>Gestion inappropriée des actifs</t>
  </si>
  <si>
    <t>Effectuer une réévaluation des actifs lors de tout changement important</t>
  </si>
  <si>
    <t>Les résultats de l'étude de classification sont-ils bien documentés et accessibles ?</t>
  </si>
  <si>
    <t>Rapport de classification, base de données des actifs</t>
  </si>
  <si>
    <t>Manque de documentation</t>
  </si>
  <si>
    <t>Perte d'informations critiques ou mal classées</t>
  </si>
  <si>
    <t>Centraliser la documentation et faciliter l'accès aux informations pertinentes</t>
  </si>
  <si>
    <t>Les postes et les responsabilités sont-ils clairement définis dans l'organisation ?</t>
  </si>
  <si>
    <t>Organigramme, description des postes</t>
  </si>
  <si>
    <t>Ambiguïté dans les rôles</t>
  </si>
  <si>
    <t>Confusion dans la gestion des ressources</t>
  </si>
  <si>
    <t>Formaliser les responsabilités et veiller à leur mise à jour</t>
  </si>
  <si>
    <t>Les ressources nécessaires pour chaque poste sont-elles identifiées et attribuées ?</t>
  </si>
  <si>
    <t>Liste des ressources allouées, description des postes</t>
  </si>
  <si>
    <t>Manque de ressources pour certains postes</t>
  </si>
  <si>
    <t>Performance inefficace due à un manque de ressources</t>
  </si>
  <si>
    <t>Réévaluer régulièrement les besoins en ressources pour chaque poste</t>
  </si>
  <si>
    <t>Les utilisateurs ont-ils accès aux ressources nécessaires pour accomplir leurs tâches ?</t>
  </si>
  <si>
    <t>Plan de formation, liste des ressources attribuées</t>
  </si>
  <si>
    <t>Ressources mal adaptées aux besoins des utilisateurs</t>
  </si>
  <si>
    <t>Inefficacité dans l'exécution des tâches</t>
  </si>
  <si>
    <t>Revoir les ressources attribuées et les adapter aux besoins spécifiques</t>
  </si>
  <si>
    <t>Les rôles et responsabilités sont-ils réévalués régulièrement pour s'assurer qu'ils sont toujours pertinents ?</t>
  </si>
  <si>
    <t>Rapport de réévaluation, organigramme</t>
  </si>
  <si>
    <t>Rôles non adaptés à l'évolution de l'organisation</t>
  </si>
  <si>
    <t>Désorganisation ou confusion dans les processus</t>
  </si>
  <si>
    <t>Organiser des réévaluations régulières des rôles et responsabilités</t>
  </si>
  <si>
    <t>Les rôles et responsabilités sont-ils documentés et accessibles à tous ?</t>
  </si>
  <si>
    <t>Documentation des postes et responsabilités</t>
  </si>
  <si>
    <t>Manque d'accès à la documentation</t>
  </si>
  <si>
    <t>Assurer l'accessibilité de la documentation pour tous les utilisateurs concernés</t>
  </si>
  <si>
    <t>Existe-t-il un programme de formation formel pour tous les personnels ?</t>
  </si>
  <si>
    <t>Programme de formation, plan de développement des compétences</t>
  </si>
  <si>
    <t>Absence de formation structurée</t>
  </si>
  <si>
    <t>Compétences insuffisantes pour gérer les risques</t>
  </si>
  <si>
    <t>Mettre en place un programme de formation formalisé et adapté</t>
  </si>
  <si>
    <t>Le programme de formation est-il mis à jour en fonction des évolutions de l'organisation et des risques ?</t>
  </si>
  <si>
    <t>Rapports de mise à jour, plan de formation actualisé</t>
  </si>
  <si>
    <t>Programme obsolète</t>
  </si>
  <si>
    <t>Inadaptation aux nouvelles menaces et exigences</t>
  </si>
  <si>
    <t>Mettre à jour le programme de formation régulièrement pour refléter les nouvelles tendances et besoins</t>
  </si>
  <si>
    <t>Le suivi des formations est-il effectué pour garantir leur efficacité ?</t>
  </si>
  <si>
    <t>Rapport de suivi, évaluations des formations</t>
  </si>
  <si>
    <t>Manque de suivi post-formation</t>
  </si>
  <si>
    <t>Perte d'efficacité des formations</t>
  </si>
  <si>
    <t>Implémenter un suivi systématique après chaque session de formation</t>
  </si>
  <si>
    <t>La formation est-elle accessible à tous les employés de l'organisation ?</t>
  </si>
  <si>
    <t>Registre des participants, programme de formation</t>
  </si>
  <si>
    <t>Non-accessibilité pour certains employés</t>
  </si>
  <si>
    <t>Formation inégale parmi les employés</t>
  </si>
  <si>
    <t>S’assurer que tous les employés ont accès au programme et le compléter</t>
  </si>
  <si>
    <t>L’impact des formations est-il mesuré pour évaluer leur efficacité ?</t>
  </si>
  <si>
    <t>Évaluations post-formation, rapports d’impact</t>
  </si>
  <si>
    <t>Impact de la formation non mesuré</t>
  </si>
  <si>
    <t>Difficulté à évaluer l’efficacité de la formation</t>
  </si>
  <si>
    <t>Introduire un processus formel d’évaluation de l’efficacité des formations</t>
  </si>
  <si>
    <t>Le programme de formation est-il adapté en fonction des rôles et des responsabilités des employés ?</t>
  </si>
  <si>
    <t>Programme de formation, descriptions de rôles</t>
  </si>
  <si>
    <t>Formation non pertinente pour certains postes</t>
  </si>
  <si>
    <t>Manque de compétences spécifiques dans des domaines clés</t>
  </si>
  <si>
    <t>Adapter les formations en fonction des exigences spécifiques des postes</t>
  </si>
  <si>
    <t>Les besoins de formation sont-ils identifiés en fonction des profils des employés ?</t>
  </si>
  <si>
    <t>Rapport d’évaluation des besoins, bilan des compétences</t>
  </si>
  <si>
    <t>Identification incorrecte des besoins de formation</t>
  </si>
  <si>
    <t>Inefficacité de la formation en raison de besoins mal identifiés</t>
  </si>
  <si>
    <t>Mettre en place une procédure systématique d’évaluation des besoins de formation</t>
  </si>
  <si>
    <t>Le contenu de la formation est-il personnalisé pour répondre aux besoins des différents profils ?</t>
  </si>
  <si>
    <t>Programme de formation personnalisé, questionnaires d’évaluation</t>
  </si>
  <si>
    <t>Manque de personnalisation</t>
  </si>
  <si>
    <t>Formation inefficace ou non adaptée</t>
  </si>
  <si>
    <t>Personnaliser davantage le contenu de la formation pour chaque profil</t>
  </si>
  <si>
    <t>Les évaluations de formation sont-elles adaptées aux profils des employés ?</t>
  </si>
  <si>
    <t>Rapports d’évaluation, résultats des tests</t>
  </si>
  <si>
    <t>Evaluation inadaptée aux profils</t>
  </si>
  <si>
    <t>Mauvaise mesure de l’efficacité de la formation</t>
  </si>
  <si>
    <t>Adapter les évaluations en fonction des spécificités des profils</t>
  </si>
  <si>
    <t>Existe-t-il un suivi post-formation spécifique pour chaque profil de poste ?</t>
  </si>
  <si>
    <t>Rapport de suivi, bilan de compétence post-formation</t>
  </si>
  <si>
    <t>Suivi général et non spécifique</t>
  </si>
  <si>
    <t>Absence de développement post-formation pour certains employés</t>
  </si>
  <si>
    <t>Mettre en place des suivis post-formation ciblés pour chaque profil</t>
  </si>
  <si>
    <t>Tous les personnels participent-ils aux formations prévues ?</t>
  </si>
  <si>
    <t>Registre de présence</t>
  </si>
  <si>
    <t>Non-participation de certains employés</t>
  </si>
  <si>
    <t>Manque de compétences sur des aspects cruciaux</t>
  </si>
  <si>
    <t>S’assurer que la participation à la formation est obligatoire</t>
  </si>
  <si>
    <t>Les formations sont-elles planifiées de manière à ce que tous les personnels puissent y participer ?</t>
  </si>
  <si>
    <t>Plan de formation, calendrier des sessions</t>
  </si>
  <si>
    <t>Absence de planning adapté</t>
  </si>
  <si>
    <t>Délai dans l'acquisition de compétences essentielles</t>
  </si>
  <si>
    <t>Adapter les plannings aux horaires des employés pour assurer une meilleure participation</t>
  </si>
  <si>
    <t>Des incitations existent-elles pour encourager la participation à la formation ?</t>
  </si>
  <si>
    <t>Documents sur les incitations</t>
  </si>
  <si>
    <t>Faible participation volontaire</t>
  </si>
  <si>
    <t>Manque d’adhésion à la formation</t>
  </si>
  <si>
    <t>Introduire des incitations pour encourager la participation active</t>
  </si>
  <si>
    <t>La participation des employés est-elle suivie et contrôlée ?</t>
  </si>
  <si>
    <t>Rapport de suivi, registre de participation</t>
  </si>
  <si>
    <t>Non-suivi de la participation</t>
  </si>
  <si>
    <t>Non-adhésion aux formations par certains employés</t>
  </si>
  <si>
    <t>Mettre en place un suivi détaillé pour s'assurer que tous les employés participent</t>
  </si>
  <si>
    <t>Les formations sont-elles obligatoires pour certains profils ?</t>
  </si>
  <si>
    <t>Règlementation interne, liste des formations obligatoires</t>
  </si>
  <si>
    <t>Non-participation aux formations obligatoires</t>
  </si>
  <si>
    <t>Risque de non-conformité aux exigences internes ou légales</t>
  </si>
  <si>
    <t>Rendre certaines formations obligatoires pour les rôles spécifiques</t>
  </si>
  <si>
    <t>Des évaluations sont-elles effectuées avant la formation pour mesurer le niveau de départ ?</t>
  </si>
  <si>
    <t>Rapport d’évaluation préalable</t>
  </si>
  <si>
    <t>Absence d’évaluation initiale</t>
  </si>
  <si>
    <t>Mauvaise évaluation de l'impact de la formation</t>
  </si>
  <si>
    <t>Mettre en place une évaluation systématique avant chaque formation</t>
  </si>
  <si>
    <t>Des évaluations sont-elles réalisées après chaque formation pour mesurer l’acquisition des compétences ?</t>
  </si>
  <si>
    <t>Rapport d’évaluation post-formation</t>
  </si>
  <si>
    <t>Absence de suivi post-formation</t>
  </si>
  <si>
    <t>Incompréhension de l’impact réel de la formation</t>
  </si>
  <si>
    <t>Assurer la mise en place de tests ou évaluations post-formation systématiques</t>
  </si>
  <si>
    <t>Les résultats de l'évaluation antérieure sont-ils comparés aux résultats post-formation ?</t>
  </si>
  <si>
    <t>Rapport de comparaison des évaluations</t>
  </si>
  <si>
    <t>Absence de comparaison</t>
  </si>
  <si>
    <t>Difficulté à mesurer l’efficacité de la formation</t>
  </si>
  <si>
    <t>Mettre en place une procédure pour comparer les résultats des évaluations anté et post-formation</t>
  </si>
  <si>
    <t>Un suivi est-il effectué pour vérifier que les compétences acquises sont appliquées dans le travail quotidien ?</t>
  </si>
  <si>
    <t>Rapport de suivi</t>
  </si>
  <si>
    <t>Manque d’application des compétences</t>
  </si>
  <si>
    <t>Inefficacité des formations si les compétences ne sont pas appliquées</t>
  </si>
  <si>
    <t>Organiser des suivis réguliers pour mesurer l'application des compétences acquises</t>
  </si>
  <si>
    <t>Les résultats des évaluations sont-ils utilisés pour améliorer le programme de formation ?</t>
  </si>
  <si>
    <t>Rapport d’évaluation et plan de mise à jour</t>
  </si>
  <si>
    <t>Formation non adaptée aux besoins réels</t>
  </si>
  <si>
    <t>Formation non alignée avec les besoins organisationnels</t>
  </si>
  <si>
    <t>Utiliser les résultats des évaluations pour ajuster et améliorer les contenus et méthodes de formation</t>
  </si>
  <si>
    <t>Des sondages sont-ils utilisés pour évaluer l'impact des formations sur le travail des utilisateurs ?</t>
  </si>
  <si>
    <t>Résultats des sondages</t>
  </si>
  <si>
    <t>Absence de retour d’information</t>
  </si>
  <si>
    <t>Difficulté à évaluer l'impact réel des formations</t>
  </si>
  <si>
    <t>Mettre en place des sondages réguliers pour recueillir des retours sur l'application des formations</t>
  </si>
  <si>
    <t>Les sondages sont-ils réalisés à une fréquence appropriée pour évaluer l'impact continu ?</t>
  </si>
  <si>
    <t>Rapports des sondages</t>
  </si>
  <si>
    <t>Sondages trop espacés</t>
  </si>
  <si>
    <t>Manque de réactivité face aux problèmes d’application</t>
  </si>
  <si>
    <t>Mettre en place des sondages à intervalles plus rapprochés pour évaluer l'impact immédiat et à long terme</t>
  </si>
  <si>
    <t>Les résultats des sondages sont-ils analysés pour identifier des tendances et des besoins de formation supplémentaires ?</t>
  </si>
  <si>
    <t>Rapport d’analyse des sondages</t>
  </si>
  <si>
    <t>Résultats mal interprétés</t>
  </si>
  <si>
    <t>Mauvaise identification des domaines nécessitant des améliorations</t>
  </si>
  <si>
    <t>Analyser les résultats de manière approfondie pour détecter des besoins de formation supplémentaires</t>
  </si>
  <si>
    <t>Le feedback des utilisateurs est-il pris en compte pour ajuster les formations futures ?</t>
  </si>
  <si>
    <t>Synthèse des retours des utilisateurs</t>
  </si>
  <si>
    <t>Non-considération des retours</t>
  </si>
  <si>
    <t>Inadaptation continue des formations aux besoins réels des utilisateurs</t>
  </si>
  <si>
    <t>Organiser des réunions régulières pour discuter des retours et ajuster le programme de formation</t>
  </si>
  <si>
    <t>Les sondages mesurent-ils l'impact des formations sur la productivité et l'efficacité des employés ?</t>
  </si>
  <si>
    <t>Résultats des sondages, rapports d'analyse</t>
  </si>
  <si>
    <t>Manque de mesure de l'impact sur la performance</t>
  </si>
  <si>
    <t>Absence de lien clair entre la formation et l'amélioration de la performance</t>
  </si>
  <si>
    <t>Ajouter des questions spécifiques sur l'impact des formations sur la productivité et la performance des employés</t>
  </si>
  <si>
    <t>Existence d'un inventaire</t>
  </si>
  <si>
    <t>Catégorisation des actifs</t>
  </si>
  <si>
    <t>Hiérarchisation par valeur</t>
  </si>
  <si>
    <t>Mise à jour de l'inventaire</t>
  </si>
  <si>
    <t>Vérification de l’inventaire</t>
  </si>
  <si>
    <t>Désignation des propriétaires</t>
  </si>
  <si>
    <t>Sensibilisation aux responsabilités</t>
  </si>
  <si>
    <t>Révision des responsabilités</t>
  </si>
  <si>
    <t>Suivi des responsabilités</t>
  </si>
  <si>
    <t>Existence d’un système de classification</t>
  </si>
  <si>
    <t>Adaptation des niveaux de protection</t>
  </si>
  <si>
    <t>Révision de la classification</t>
  </si>
  <si>
    <t>Accessibilité du système de classification</t>
  </si>
  <si>
    <t>Conformité avec les normes</t>
  </si>
  <si>
    <t>Étude d'impact pour chaque actif</t>
  </si>
  <si>
    <t>Critères de classification</t>
  </si>
  <si>
    <t>Mise à jour des classifications</t>
  </si>
  <si>
    <t>Documentation des classifications</t>
  </si>
  <si>
    <t>Définition des rôles</t>
  </si>
  <si>
    <t>Ressources attribuées</t>
  </si>
  <si>
    <t>Mise à jour des rôles</t>
  </si>
  <si>
    <t>Existence du programme de formation</t>
  </si>
  <si>
    <t>Actualisation de la formation</t>
  </si>
  <si>
    <t>Suivi de la formation</t>
  </si>
  <si>
    <t>Accessibilité de la formation</t>
  </si>
  <si>
    <t>Évaluation de l’impact de la formation</t>
  </si>
  <si>
    <t>Adaptation de la formation</t>
  </si>
  <si>
    <t>Identification des besoins de formation</t>
  </si>
  <si>
    <t>Personnalisation du contenu de formation</t>
  </si>
  <si>
    <t>Evaluation spécifique de la formation</t>
  </si>
  <si>
    <t>Suivi post-formation pour chaque profil</t>
  </si>
  <si>
    <t>Taux de participation</t>
  </si>
  <si>
    <t>Planification de la formation</t>
  </si>
  <si>
    <t>Incitations à la participation</t>
  </si>
  <si>
    <t>Suivi de la participation</t>
  </si>
  <si>
    <t>Conformité des formations obligatoires</t>
  </si>
  <si>
    <t>Évaluations préalables</t>
  </si>
  <si>
    <t>Évaluations post-formation</t>
  </si>
  <si>
    <t>Comparaison des résultats</t>
  </si>
  <si>
    <t>Suivi de l’application des compétences</t>
  </si>
  <si>
    <t>Amélioration continue</t>
  </si>
  <si>
    <t>Existence de sondages</t>
  </si>
  <si>
    <t>Fréquence des sondages</t>
  </si>
  <si>
    <t>Analyse des résultats</t>
  </si>
  <si>
    <t>Feedback des utilisateurs</t>
  </si>
  <si>
    <t>Impact sur la productivité</t>
  </si>
  <si>
    <t>Existe-t-il une documentation formelle des procédures opérationnelles ?</t>
  </si>
  <si>
    <t>Manuel des procédures</t>
  </si>
  <si>
    <t>Mauvaise exécution des tâches</t>
  </si>
  <si>
    <t>Interruptions de service</t>
  </si>
  <si>
    <t>Documenter et mettre à jour toutes les procédures</t>
  </si>
  <si>
    <t>Les responsabilités opérationnelles sont-elles définies par écrit ?</t>
  </si>
  <si>
    <t>Ambiguïté dans l’exécution</t>
  </si>
  <si>
    <t>Conflits de tâches</t>
  </si>
  <si>
    <t>Définir clairement les rôles et responsabilités</t>
  </si>
  <si>
    <t>La documentation est-elle mise à jour régulièrement ?</t>
  </si>
  <si>
    <t>Erreurs d’application</t>
  </si>
  <si>
    <t>Prévoir une revue annuelle</t>
  </si>
  <si>
    <t>La documentation est-elle facilement accessible au personnel ?</t>
  </si>
  <si>
    <t>Guide d’accès à la documentation</t>
  </si>
  <si>
    <t>Non-utilisation des procédures</t>
  </si>
  <si>
    <t>Perte de temps, erreurs</t>
  </si>
  <si>
    <t>Assurer l’accessibilité numérique des documents</t>
  </si>
  <si>
    <t>Les procédures sont-elles validées par la direction ?</t>
  </si>
  <si>
    <t>Manque de légitimité</t>
  </si>
  <si>
    <t>Non-application des procédures</t>
  </si>
  <si>
    <t>Intégrer un processus de validation officiel</t>
  </si>
  <si>
    <t>Existe-t-il un registre de modifications ?</t>
  </si>
  <si>
    <t>Registre de changements</t>
  </si>
  <si>
    <t>Changements non maîtrisés</t>
  </si>
  <si>
    <t>Suivre tous les changements via un registre dédié</t>
  </si>
  <si>
    <t>Toute modification est-elle validée avant déploiement ?</t>
  </si>
  <si>
    <t>Implémentations non conformes</t>
  </si>
  <si>
    <t>Interruptions ou pertes de données</t>
  </si>
  <si>
    <t>Mettre en place une validation systématique</t>
  </si>
  <si>
    <t>Les équipes concernées sont-elles informées ?</t>
  </si>
  <si>
    <t>Journal de diffusion</t>
  </si>
  <si>
    <t>Mauvaise coordination</t>
  </si>
  <si>
    <t>Conflits entre équipes</t>
  </si>
  <si>
    <t>Instaurer un processus de communication en cas de changement</t>
  </si>
  <si>
    <t>Des tests sont-ils réalisés avant la mise en production ?</t>
  </si>
  <si>
    <t>Défaillances techniques</t>
  </si>
  <si>
    <t>Interruption de services critiques</t>
  </si>
  <si>
    <t>Instituer des phases de tests obligatoires</t>
  </si>
  <si>
    <t>Y a-t-il une évaluation après mise en service ?</t>
  </si>
  <si>
    <t>Rapport post-mise en service</t>
  </si>
  <si>
    <t>Erreurs non détectées</t>
  </si>
  <si>
    <t>Régressions ou instabilités</t>
  </si>
  <si>
    <t>Mettre en place des revues post-mise en production</t>
  </si>
  <si>
    <t>Existe-t-il une procédure de gestion des incidents ?</t>
  </si>
  <si>
    <t>Plan de gestion des incidents</t>
  </si>
  <si>
    <t>Réaction inadéquate</t>
  </si>
  <si>
    <t>Amplification des impacts</t>
  </si>
  <si>
    <t>Documenter une procédure claire</t>
  </si>
  <si>
    <t>Y a-t-il des référents incidents ?</t>
  </si>
  <si>
    <t>Manque de réactivité</t>
  </si>
  <si>
    <t>Prolongement de l’incident</t>
  </si>
  <si>
    <t>Désigner et former des responsables d’incidents</t>
  </si>
  <si>
    <t>Les incidents sont-ils enregistrés ?</t>
  </si>
  <si>
    <t>Registre d’incidents</t>
  </si>
  <si>
    <t>Incidents récurrents non traités</t>
  </si>
  <si>
    <t>Tenir un registre systématique</t>
  </si>
  <si>
    <t>Une analyse est-elle faite après chaque incident ?</t>
  </si>
  <si>
    <t>Rapport post-mortem</t>
  </si>
  <si>
    <t>Faible amélioration continue</t>
  </si>
  <si>
    <t>Mettre en place des revues d’incident</t>
  </si>
  <si>
    <t>Y a-t-il une procédure d’alerte ?</t>
  </si>
  <si>
    <t>Procédure d’alerte interne</t>
  </si>
  <si>
    <t>Désorganisation lors d’incident</t>
  </si>
  <si>
    <t>Délai d’intervention accru</t>
  </si>
  <si>
    <t>Prévoir une communication d’urgence structurée</t>
  </si>
  <si>
    <t>Les responsabilités sont-elles séparées pour limiter les conflits d’intérêt ?</t>
  </si>
  <si>
    <t>Organigramme fonctionnel</t>
  </si>
  <si>
    <t>Fraude interne</t>
  </si>
  <si>
    <t>Mettre en place la séparation des fonctions sensibles</t>
  </si>
  <si>
    <t>Les environnements de dev/test/prod sont-ils séparés ?</t>
  </si>
  <si>
    <t>Architecture système</t>
  </si>
  <si>
    <t>Instabilité du système</t>
  </si>
  <si>
    <t>Isoler physiquement ou virtuellement les environnements</t>
  </si>
  <si>
    <t>Les accès sont-ils limités selon les rôles ?</t>
  </si>
  <si>
    <t>Journal des droits d’accès</t>
  </si>
  <si>
    <t>Accès non approprié</t>
  </si>
  <si>
    <t>Exploitation malveillante</t>
  </si>
  <si>
    <t>Mettre en œuvre le principe du moindre privilège</t>
  </si>
  <si>
    <t>Les fonctions sensibles sont-elles surveillées ?</t>
  </si>
  <si>
    <t>Journal de surveillance</t>
  </si>
  <si>
    <t>Déviations non détectées</t>
  </si>
  <si>
    <t>Activités non conformes</t>
  </si>
  <si>
    <t>Mettre en place une surveillance renforcée</t>
  </si>
  <si>
    <t>Des audits vérifient-ils la séparation des rôles ?</t>
  </si>
  <si>
    <t>Rapport d’audit</t>
  </si>
  <si>
    <t>Sanctions légales</t>
  </si>
  <si>
    <t>Réaliser des audits périodiques sur les accès et les rôles</t>
  </si>
  <si>
    <t>Une étude de sécurité a-t-elle été menée pour les services externalisés ?</t>
  </si>
  <si>
    <t>Étude de risques</t>
  </si>
  <si>
    <t>Failles dans les services externalisés</t>
  </si>
  <si>
    <t>Exposition à des vulnérabilités</t>
  </si>
  <si>
    <t>Réaliser une analyse de risque avant toute externalisation</t>
  </si>
  <si>
    <t>Le fournisseur a-t-il été évalué sur ses pratiques de sécurité ?</t>
  </si>
  <si>
    <t>Rapport d’évaluation fournisseur</t>
  </si>
  <si>
    <t>Partenaire non fiable</t>
  </si>
  <si>
    <t>Compromission des données</t>
  </si>
  <si>
    <t>Intégrer des critères de sécurité dans les appels d'offres</t>
  </si>
  <si>
    <t>Le contrat inclut-il des exigences de sécurité ?</t>
  </si>
  <si>
    <t>Contrat de service</t>
  </si>
  <si>
    <t>Absence de recours en cas d'incident</t>
  </si>
  <si>
    <t>Pertes contractuelles</t>
  </si>
  <si>
    <t>Ajouter des clauses spécifiques sur la sécurité</t>
  </si>
  <si>
    <t>Existe-t-il un contrôle continu du fournisseur ?</t>
  </si>
  <si>
    <t>Manque de contrôle régulier</t>
  </si>
  <si>
    <t>Dégradation du niveau de service</t>
  </si>
  <si>
    <t>Planifier des revues périodiques</t>
  </si>
  <si>
    <t>Une réévaluation annuelle est-elle prévue ?</t>
  </si>
  <si>
    <t>Calendrier de revue</t>
  </si>
  <si>
    <t>Inadéquation des mesures dans le temps</t>
  </si>
  <si>
    <t>Risques non actualisés</t>
  </si>
  <si>
    <t>Réviser chaque année l’analyse de sécurité fournisseur</t>
  </si>
  <si>
    <t>Un antivirus est-il installé sur tous les postes ?</t>
  </si>
  <si>
    <t>Infections non détectées</t>
  </si>
  <si>
    <t>Corruption de données</t>
  </si>
  <si>
    <t>Installer un antivirus à jour</t>
  </si>
  <si>
    <t>Les signatures virales sont-elles mises à jour automatiquement ?</t>
  </si>
  <si>
    <t>Rapport de mises à jour</t>
  </si>
  <si>
    <t>Protection obsolète</t>
  </si>
  <si>
    <t>Ouverture à des malwares récents</t>
  </si>
  <si>
    <t>Activer les mises à jour automatiques</t>
  </si>
  <si>
    <t>Y a-t-il une politique d’utilisation des périphériques amovibles ?</t>
  </si>
  <si>
    <t>Politique de sécurité IT</t>
  </si>
  <si>
    <t>Introduction de malwares</t>
  </si>
  <si>
    <t>Infection du réseau interne</t>
  </si>
  <si>
    <t>Restreindre et surveiller l’usage des périphériques</t>
  </si>
  <si>
    <t>Un pare-feu est-il activé sur tous les équipements ?</t>
  </si>
  <si>
    <t>Configuration réseau</t>
  </si>
  <si>
    <t>Intrusions extérieures</t>
  </si>
  <si>
    <t>Atteinte à la confidentialité</t>
  </si>
  <si>
    <t>S’assurer de l’activation du pare-feu partout</t>
  </si>
  <si>
    <t>Les utilisateurs sont-ils formés à reconnaître les menaces ?</t>
  </si>
  <si>
    <t>Attestation de formation</t>
  </si>
  <si>
    <t>Contamination par erreur humaine</t>
  </si>
  <si>
    <t>Phishing, ransomware</t>
  </si>
  <si>
    <t>Sensibiliser régulièrement aux menaces courantes</t>
  </si>
  <si>
    <t>Existe-t-il un plan de sauvegarde ?</t>
  </si>
  <si>
    <t>Politique de sauvegarde</t>
  </si>
  <si>
    <t>Élaborer un plan de sauvegarde robuste</t>
  </si>
  <si>
    <t>À quelle fréquence les sauvegardes sont-elles faites ?</t>
  </si>
  <si>
    <t>Journal de sauvegarde</t>
  </si>
  <si>
    <t>Données obsolètes sauvegardées</t>
  </si>
  <si>
    <t>Difficultés de restauration</t>
  </si>
  <si>
    <t>Programmer des sauvegardes fréquentes</t>
  </si>
  <si>
    <t>Des tests de restauration sont-ils effectués ?</t>
  </si>
  <si>
    <t>Sauvegardes inexploitables</t>
  </si>
  <si>
    <t>Planifier des tests réguliers</t>
  </si>
  <si>
    <t>Y a-t-il des copies hors site ?</t>
  </si>
  <si>
    <t>Contrat avec hébergeur secondaire</t>
  </si>
  <si>
    <t>Perte totale en cas de sinistre local</t>
  </si>
  <si>
    <t>Perte irréversible</t>
  </si>
  <si>
    <t>Conserver des copies en site distant ou cloud</t>
  </si>
  <si>
    <t>L’accès aux sauvegardes est-il restreint ?</t>
  </si>
  <si>
    <t>Altération ou vol de données</t>
  </si>
  <si>
    <t>Fuite d’informations sensibles</t>
  </si>
  <si>
    <t>Restreindre les droits d’accès aux sauvegardes</t>
  </si>
  <si>
    <t>Existe-t-il une politique de gestion des supports ?</t>
  </si>
  <si>
    <t>Politique documentaire</t>
  </si>
  <si>
    <t>Supports non tracés</t>
  </si>
  <si>
    <t>Perte ou vol d'informations</t>
  </si>
  <si>
    <t>Documenter et diffuser les procédures de gestion</t>
  </si>
  <si>
    <t>Les supports sont-ils identifiés clairement ?</t>
  </si>
  <si>
    <t>Registre d’identification</t>
  </si>
  <si>
    <t>Mauvaise manipulation</t>
  </si>
  <si>
    <t>Perte de données ou confusion</t>
  </si>
  <si>
    <t>Étiqueter tous les supports selon un standard</t>
  </si>
  <si>
    <t>L’accès aux supports est-il contrôlé ?</t>
  </si>
  <si>
    <t>Liste des droits</t>
  </si>
  <si>
    <t>Risques d’accès non autorisé</t>
  </si>
  <si>
    <t>Divulgation d’informations sensibles</t>
  </si>
  <si>
    <t>Mettre en place des contrôles d’accès physiques et logiques</t>
  </si>
  <si>
    <t>Les supports sont-ils stockés dans des lieux sécurisés ?</t>
  </si>
  <si>
    <t>Contrat de stockage</t>
  </si>
  <si>
    <t>Vol ou perte physique</t>
  </si>
  <si>
    <t>Manque de conformité réglementaire</t>
  </si>
  <si>
    <t>Sécuriser l’espace de stockage</t>
  </si>
  <si>
    <t>Les déplacements des supports sont-ils tracés ?</t>
  </si>
  <si>
    <t>Journal des mouvements</t>
  </si>
  <si>
    <t>Support égaré ou non restitué</t>
  </si>
  <si>
    <t>Données perdues ou exploitées</t>
  </si>
  <si>
    <t>Suivre tous les déplacements via un registre</t>
  </si>
  <si>
    <t>La politique est-elle respectée par les employés ?</t>
  </si>
  <si>
    <t>Amendes ou sanctions</t>
  </si>
  <si>
    <t>Réaliser des audits de conformité réguliers</t>
  </si>
  <si>
    <t>Des vérifications sont-elles faites sur l’état des supports ?</t>
  </si>
  <si>
    <t>Checklists de contrôle</t>
  </si>
  <si>
    <t>Support endommagé utilisé</t>
  </si>
  <si>
    <t>Corruption des données</t>
  </si>
  <si>
    <t>Contrôler régulièrement l’état physique des supports</t>
  </si>
  <si>
    <t>Le personnel est-il formé à la manipulation des supports ?</t>
  </si>
  <si>
    <t>Erreurs humaines</t>
  </si>
  <si>
    <t>Suppressions ou corruptions accidentelles</t>
  </si>
  <si>
    <t>Former tous les utilisateurs concernés</t>
  </si>
  <si>
    <t>Les incidents liés aux supports sont-ils enregistrés ?</t>
  </si>
  <si>
    <t>Répétition d’erreurs</t>
  </si>
  <si>
    <t>Incidents récurrents non maîtrisés</t>
  </si>
  <si>
    <t>Centraliser les remontées d’incidents pour analyse</t>
  </si>
  <si>
    <t>Les supports obsolètes sont-ils éliminés correctement ?</t>
  </si>
  <si>
    <t>Certificat de destruction</t>
  </si>
  <si>
    <t>Fuite d'informations</t>
  </si>
  <si>
    <t>Divulgation non maîtrisée</t>
  </si>
  <si>
    <t>Prévoir un processus de destruction certifié</t>
  </si>
  <si>
    <t>Procédures formalisées</t>
  </si>
  <si>
    <t>Attribution claire</t>
  </si>
  <si>
    <t>Mise à jour régulière</t>
  </si>
  <si>
    <t>Validation des procédures</t>
  </si>
  <si>
    <t>Suivi des changements</t>
  </si>
  <si>
    <t>Procédures de validation</t>
  </si>
  <si>
    <t>Notification</t>
  </si>
  <si>
    <t>Tests avant déploiement</t>
  </si>
  <si>
    <t>Suivi post-mise en production</t>
  </si>
  <si>
    <t>Responsables désignés</t>
  </si>
  <si>
    <t>3ournalisation</t>
  </si>
  <si>
    <t>Analyse post-incident</t>
  </si>
  <si>
    <t>Communication</t>
  </si>
  <si>
    <t>Cloisonnement des rôles</t>
  </si>
  <si>
    <t>Environnements distincts</t>
  </si>
  <si>
    <t>Surveillance des fonctions critiques</t>
  </si>
  <si>
    <t>Audit périodique</t>
  </si>
  <si>
    <t>Étude de sécurité formalisée</t>
  </si>
  <si>
    <t>Fournisseur évalué</t>
  </si>
  <si>
    <t>Clauses contractuelles</t>
  </si>
  <si>
    <t>Suivi périodique</t>
  </si>
  <si>
    <t>Revue annuelle</t>
  </si>
  <si>
    <t>Antivirus installé</t>
  </si>
  <si>
    <t>Mises à jour automatiques</t>
  </si>
  <si>
    <t>Politique d’usage</t>
  </si>
  <si>
    <t>Pare-feu actif</t>
  </si>
  <si>
    <t>Formation utilisateurs</t>
  </si>
  <si>
    <t>Sauvegarde régulière</t>
  </si>
  <si>
    <t>Tests de restauration</t>
  </si>
  <si>
    <t>Sauvegardes hors site</t>
  </si>
  <si>
    <t>Accès sécurisé</t>
  </si>
  <si>
    <t>Politique de gestion</t>
  </si>
  <si>
    <t>Procédures d’étiquetage</t>
  </si>
  <si>
    <t>Accès limité</t>
  </si>
  <si>
    <t>Stockage sécurisé</t>
  </si>
  <si>
    <t>Traçabilité des mouvements</t>
  </si>
  <si>
    <t>Application de la politique</t>
  </si>
  <si>
    <t>Vérifications périodiques</t>
  </si>
  <si>
    <t>Formation du personnel</t>
  </si>
  <si>
    <t>Mise hors service sécurisée</t>
  </si>
  <si>
    <t>Existence d’une politique écrite</t>
  </si>
  <si>
    <t>Une politique de sécurité mentionne-t-elle les obligations légales ?</t>
  </si>
  <si>
    <t>Amendes, poursuites juridiques</t>
  </si>
  <si>
    <t>Référencer explicitement les lois dans la politique</t>
  </si>
  <si>
    <t>Mises à jour réglementaires</t>
  </si>
  <si>
    <t>Les mises à jour de lois sont-elles suivies ?</t>
  </si>
  <si>
    <t>Veille réglementaire</t>
  </si>
  <si>
    <t>Obsolescence des procédures</t>
  </si>
  <si>
    <t>Procédures inadéquates</t>
  </si>
  <si>
    <t>Mettre en place un processus de veille</t>
  </si>
  <si>
    <t>Référencement explicite</t>
  </si>
  <si>
    <t>Les textes légaux sont-ils listés dans les documents ?</t>
  </si>
  <si>
    <t>Politique de conformité</t>
  </si>
  <si>
    <t>Oubli d’obligations légales</t>
  </si>
  <si>
    <t>Sanctions</t>
  </si>
  <si>
    <t>Ajouter une section dédiée aux références légales</t>
  </si>
  <si>
    <t>Documentation des obligations</t>
  </si>
  <si>
    <t>Un tableau de conformité est-il disponible ?</t>
  </si>
  <si>
    <t>Table de conformité</t>
  </si>
  <si>
    <t>Opaqueness du respect légal</t>
  </si>
  <si>
    <t>Risques difficiles à détecter</t>
  </si>
  <si>
    <t>Créer un mapping entre politique et exigences</t>
  </si>
  <si>
    <t>Validation juridique</t>
  </si>
  <si>
    <t>Le service juridique est-il impliqué ?</t>
  </si>
  <si>
    <t>Compte-rendu réunions</t>
  </si>
  <si>
    <t>Erreurs d'interprétation</t>
  </si>
  <si>
    <t>Failles dans l'application de la loi</t>
  </si>
  <si>
    <t>Intégrer le juridique dans les revues de sécurité</t>
  </si>
  <si>
    <t>La direction vise-t-elle une conformité au cadre national ?</t>
  </si>
  <si>
    <t>Plan de conformité</t>
  </si>
  <si>
    <t>Décalage réglementaire</t>
  </si>
  <si>
    <t>Retard de mise en conformité</t>
  </si>
  <si>
    <t>Inscrire la conformité dans les objectifs annuels</t>
  </si>
  <si>
    <t>Benchmarking</t>
  </si>
  <si>
    <t>Des comparaisons avec les exigences nationales sont-elles faites ?</t>
  </si>
  <si>
    <t>Méconnaissance des standards</t>
  </si>
  <si>
    <t>Incohérence des pratiques</t>
  </si>
  <si>
    <t>Réaliser une étude comparative avec le cadre local</t>
  </si>
  <si>
    <t>Participation à des forums</t>
  </si>
  <si>
    <t>L’organisation échange-t-elle avec des instances nationales ?</t>
  </si>
  <si>
    <t>Comptes-rendus</t>
  </si>
  <si>
    <t>Isolement réglementaire</t>
  </si>
  <si>
    <t>Perte d’information stratégique</t>
  </si>
  <si>
    <t>Participer à des groupes sectoriels ou forums légaux</t>
  </si>
  <si>
    <t>Cartographie des écarts</t>
  </si>
  <si>
    <t>Une cartographie des écarts est-elle en place ?</t>
  </si>
  <si>
    <t>Document de gap analysis</t>
  </si>
  <si>
    <t>Non-identification des non-conformités</t>
  </si>
  <si>
    <t>Sanctions en cas d’audit</t>
  </si>
  <si>
    <t>Mettre à jour régulièrement la cartographie des écarts</t>
  </si>
  <si>
    <t>Audit externe</t>
  </si>
  <si>
    <t>Un audit réglementaire externe a-t-il été réalisé ?</t>
  </si>
  <si>
    <t>Absence de vision objective</t>
  </si>
  <si>
    <t>Découverte tardive d’écarts</t>
  </si>
  <si>
    <t>Planifier un audit externe annuel</t>
  </si>
  <si>
    <t>Existence du document</t>
  </si>
  <si>
    <t>Le document de "gap analysis" est-il disponible ?</t>
  </si>
  <si>
    <t>Gap analysis</t>
  </si>
  <si>
    <t>Non-conformité non identifiée</t>
  </si>
  <si>
    <t>Non-respect des exigences</t>
  </si>
  <si>
    <t>Rédiger une cartographie d’écarts complète</t>
  </si>
  <si>
    <t>Est-il mis à jour régulièrement ?</t>
  </si>
  <si>
    <t>Planning de mise à jour</t>
  </si>
  <si>
    <t>Décisions basées sur des données périmées</t>
  </si>
  <si>
    <t>Mauvaises priorités</t>
  </si>
  <si>
    <t>Planifier une mise à jour annuelle</t>
  </si>
  <si>
    <t>Validation</t>
  </si>
  <si>
    <t>Est-il validé par la direction ?</t>
  </si>
  <si>
    <t>Faible engagement de la direction</t>
  </si>
  <si>
    <t>Absence de priorisation</t>
  </si>
  <si>
    <t>Intégrer la validation dans le comité de pilotage</t>
  </si>
  <si>
    <t>Est-il diffusé aux responsables concernés ?</t>
  </si>
  <si>
    <t>Liste de diffusion</t>
  </si>
  <si>
    <t>Manque d’appropriation</t>
  </si>
  <si>
    <t>Retard dans les plans d'action</t>
  </si>
  <si>
    <t>Communiquer à tous les niveaux concernés</t>
  </si>
  <si>
    <t>Plans d’action associés</t>
  </si>
  <si>
    <t>Des plans d’actions sont-ils liés aux écarts ?</t>
  </si>
  <si>
    <t>Plan d’action conformité</t>
  </si>
  <si>
    <t>Écarts non traités</t>
  </si>
  <si>
    <t>Sanctions lors d’audit</t>
  </si>
  <si>
    <t>Élaborer un plan d’action pour chaque écart</t>
  </si>
  <si>
    <t>Planning établi</t>
  </si>
  <si>
    <t>Un planning d’audit est-il défini ?</t>
  </si>
  <si>
    <t>Plan d’audit</t>
  </si>
  <si>
    <t>Omission d’un audit</t>
  </si>
  <si>
    <t>Non-respect du calendrier</t>
  </si>
  <si>
    <t>Établir un calendrier pluriannuel d’audits</t>
  </si>
  <si>
    <t>Réalisation effective</t>
  </si>
  <si>
    <t>Les audits prévus sont-ils réalisés ?</t>
  </si>
  <si>
    <t>Audit manqué</t>
  </si>
  <si>
    <t>Non-conformité non détectée</t>
  </si>
  <si>
    <t>Suivre les réalisations via un tableau de bord</t>
  </si>
  <si>
    <t>Rapport structuré</t>
  </si>
  <si>
    <t>Un rapport est-il produit pour chaque audit ?</t>
  </si>
  <si>
    <t>Rapport final</t>
  </si>
  <si>
    <t>Résultats flous</t>
  </si>
  <si>
    <t>Plans d’action incomplets</t>
  </si>
  <si>
    <t>Utiliser un modèle structuré de rapport</t>
  </si>
  <si>
    <t>Suivi post-audit</t>
  </si>
  <si>
    <t>Les recommandations sont-elles suivies ?</t>
  </si>
  <si>
    <t>Plan de suivi</t>
  </si>
  <si>
    <t>Répétition d’écarts</t>
  </si>
  <si>
    <t>Mettre en place un suivi des actions correctives</t>
  </si>
  <si>
    <t>Les auditeurs sont-ils qualifiés ?</t>
  </si>
  <si>
    <t>CV/audit internes</t>
  </si>
  <si>
    <t>Mauvaise évaluation des pratiques</t>
  </si>
  <si>
    <t>Former ou recruter des auditeurs certifiés</t>
  </si>
  <si>
    <t>Existence du poste</t>
  </si>
  <si>
    <t>Un responsable conformité est-il nommé ?</t>
  </si>
  <si>
    <t>Organigramme</t>
  </si>
  <si>
    <t>Non-pilotage des actions</t>
  </si>
  <si>
    <t>Désigner formellement un responsable</t>
  </si>
  <si>
    <t>Fiche de poste</t>
  </si>
  <si>
    <t>Ses missions sont-elles clairement définies ?</t>
  </si>
  <si>
    <t>Incompréhension du rôle</t>
  </si>
  <si>
    <t>Faible efficacité</t>
  </si>
  <si>
    <t>Rédiger une fiche précise avec responsabilités</t>
  </si>
  <si>
    <t>Moyens disponibles</t>
  </si>
  <si>
    <t>Dispose-t-il de ressources nécessaires ?</t>
  </si>
  <si>
    <t>Budget / planning</t>
  </si>
  <si>
    <t>Inaction ou blocage</t>
  </si>
  <si>
    <t>Doter le responsable des moyens humains et matériels</t>
  </si>
  <si>
    <t>Interlocuteur identifié</t>
  </si>
  <si>
    <t>Est-il connu dans l’organisation ?</t>
  </si>
  <si>
    <t>Actions en silo</t>
  </si>
  <si>
    <t>Diffuser largement ses coordonnées</t>
  </si>
  <si>
    <t>Formation et expertise</t>
  </si>
  <si>
    <t>A-t-il été formé à la conformité ?</t>
  </si>
  <si>
    <t>Certificat de formation</t>
  </si>
  <si>
    <t>Mauvaise interprétation de la réglementation</t>
  </si>
  <si>
    <t>Prévoir des formations continues sur la conformité</t>
  </si>
  <si>
    <t>Attribution nominative</t>
  </si>
  <si>
    <t>Chaque identifiant est-il attribué à un seul utilisateur ?</t>
  </si>
  <si>
    <t>Registre des utilisateurs</t>
  </si>
  <si>
    <t>Usage non traçable</t>
  </si>
  <si>
    <t>Impossibilité d'identifier un responsable</t>
  </si>
  <si>
    <t>Utiliser des comptes nominatifs uniquement</t>
  </si>
  <si>
    <t>Absence de comptes partagés</t>
  </si>
  <si>
    <t>Des comptes génériques sont-ils utilisés ?</t>
  </si>
  <si>
    <t>Rapport d’audit SI</t>
  </si>
  <si>
    <t>Anonymat des actions</t>
  </si>
  <si>
    <t>Difficultés en cas d’incident</t>
  </si>
  <si>
    <t>Supprimer les comptes partagés</t>
  </si>
  <si>
    <t>Journalisation activée</t>
  </si>
  <si>
    <t>Les accès sont-ils logués avec l’identifiant utilisateur ?</t>
  </si>
  <si>
    <t>Non-repérabilité</t>
  </si>
  <si>
    <t>Analyse impossible d’un incident</t>
  </si>
  <si>
    <t>Activer et conserver les logs d’accès</t>
  </si>
  <si>
    <t>Gestion des départs</t>
  </si>
  <si>
    <t>Les identifiants sont-ils désactivés lors des départs ?</t>
  </si>
  <si>
    <t>Procédure RH/SI</t>
  </si>
  <si>
    <t>Usage abusif d’anciens comptes</t>
  </si>
  <si>
    <t>Synchroniser les processus RH et SI</t>
  </si>
  <si>
    <t>Procédure de création</t>
  </si>
  <si>
    <t>Existe-t-il une procédure de création des identifiants ?</t>
  </si>
  <si>
    <t>Procédure d’accès</t>
  </si>
  <si>
    <t>Création non maîtrisée</t>
  </si>
  <si>
    <t>Documenter et contrôler la création des comptes</t>
  </si>
  <si>
    <t>Politique d’inactivité</t>
  </si>
  <si>
    <t>Une durée maximale d’inactivité est-elle définie ?</t>
  </si>
  <si>
    <t>Utilisation frauduleuse</t>
  </si>
  <si>
    <t>Accès à des comptes obsolètes</t>
  </si>
  <si>
    <t>Fixer une durée (ex. 90 jours) d’inactivité maximale</t>
  </si>
  <si>
    <t>Surveillance des connexions</t>
  </si>
  <si>
    <t>Les connexions inactives sont-elles détectées ?</t>
  </si>
  <si>
    <t>Rapports de surveillance</t>
  </si>
  <si>
    <t>Comptes dormants</t>
  </si>
  <si>
    <t>Difficulté de supervision</t>
  </si>
  <si>
    <t>Utiliser un outil de détection automatique</t>
  </si>
  <si>
    <t>Révocation automatique</t>
  </si>
  <si>
    <t>Les comptes inactifs sont-ils désactivés automatiquement ?</t>
  </si>
  <si>
    <t>Scripts de gestion AD</t>
  </si>
  <si>
    <t>Inertie administrative</t>
  </si>
  <si>
    <t>Failles de sécurité persistantes</t>
  </si>
  <si>
    <t>Une revue périodique est-elle réalisée ?</t>
  </si>
  <si>
    <t>Rapport de revue des comptes</t>
  </si>
  <si>
    <t>Maintien de comptes inutiles</t>
  </si>
  <si>
    <t>Charges administratives</t>
  </si>
  <si>
    <t>Mettre en place une revue trimestrielle</t>
  </si>
  <si>
    <t>Traçabilité</t>
  </si>
  <si>
    <t>Ces désactivations sont-elles enregistrées ?</t>
  </si>
  <si>
    <t>Historique des actions SI</t>
  </si>
  <si>
    <t>Absence d’historique</t>
  </si>
  <si>
    <t>Incapacité à remonter les actions</t>
  </si>
  <si>
    <t>Centraliser les journaux de désactivation</t>
  </si>
  <si>
    <t>Règles de complexité</t>
  </si>
  <si>
    <t>Une politique de complexité est-elle définie ?</t>
  </si>
  <si>
    <t>Politique des mots de passe</t>
  </si>
  <si>
    <t>Mots de passe faibles</t>
  </si>
  <si>
    <t>Intrusion par force brute</t>
  </si>
  <si>
    <t>Appliquer une complexité minimale (maj, min, chiffres, symboles)</t>
  </si>
  <si>
    <t>Longueur minimale</t>
  </si>
  <si>
    <t>Une longueur minimale est-elle imposée ?</t>
  </si>
  <si>
    <t>Procédure de sécurité</t>
  </si>
  <si>
    <t>Facilité de deviner un mot de passe</t>
  </si>
  <si>
    <t>Exiger au moins 12 caractères</t>
  </si>
  <si>
    <t>Contrôle technique</t>
  </si>
  <si>
    <t>Le système empêche-t-il les mots de passe trop simples ?</t>
  </si>
  <si>
    <t>Capture d’écran de paramétrage</t>
  </si>
  <si>
    <t>Contournement de la politique</t>
  </si>
  <si>
    <t>Intrusion ou vol d’identifiants</t>
  </si>
  <si>
    <t>Implémenter un contrôle automatique</t>
  </si>
  <si>
    <t>Historique des mots de passe</t>
  </si>
  <si>
    <t>Le système empêche-t-il la réutilisation des anciens mots de passe ?</t>
  </si>
  <si>
    <t>Politique de réutilisation</t>
  </si>
  <si>
    <t>Réutilisation trop fréquente</t>
  </si>
  <si>
    <t>Faiblesse de protection</t>
  </si>
  <si>
    <t>Interdire les 5 derniers mots de passe</t>
  </si>
  <si>
    <t>Test de robustesse</t>
  </si>
  <si>
    <t>Des tests de robustesse sont-ils effectués ?</t>
  </si>
  <si>
    <t>Rapport de test d’intrusion</t>
  </si>
  <si>
    <t>Vulnérabilité persistante</t>
  </si>
  <si>
    <t>Intégrer un test dans les audits de sécurité</t>
  </si>
  <si>
    <t>Vérification technique</t>
  </si>
  <si>
    <t>Des outils vérifient-ils les mots de passe à la création ?</t>
  </si>
  <si>
    <t>Configuration système</t>
  </si>
  <si>
    <t>Mot de passe simple accepté</t>
  </si>
  <si>
    <t>Implémenter une vérification forte dans le SI</t>
  </si>
  <si>
    <t>Audit régulier</t>
  </si>
  <si>
    <t>Un audit de conformité des mots de passe est-il mené ?</t>
  </si>
  <si>
    <t>Politique non appliquée</t>
  </si>
  <si>
    <t>Faille non détectée</t>
  </si>
  <si>
    <t>Intégrer des audits dans le plan annuel</t>
  </si>
  <si>
    <t>Rejets d’authentification</t>
  </si>
  <si>
    <t>Des statistiques sur les rejets de connexions sont-elles analysées ?</t>
  </si>
  <si>
    <t>Journal des connexions</t>
  </si>
  <si>
    <t>Absence de surveillance</t>
  </si>
  <si>
    <t>Détection lente de menaces</t>
  </si>
  <si>
    <t>Mettre en place un tableau de bord SI</t>
  </si>
  <si>
    <t>Sensibilisation</t>
  </si>
  <si>
    <t>Les utilisateurs sont-ils sensibilisés aux règles ?</t>
  </si>
  <si>
    <t>Programme de sensibilisation</t>
  </si>
  <si>
    <t>Non-respect par ignorance</t>
  </si>
  <si>
    <t>Accès par négligence</t>
  </si>
  <si>
    <t>Organiser des campagnes régulières</t>
  </si>
  <si>
    <t>Sanctions internes</t>
  </si>
  <si>
    <t>Des mesures existent-elles en cas de non-respect ?</t>
  </si>
  <si>
    <t>Règlement intérieur</t>
  </si>
  <si>
    <t>Récidive non dissuadée</t>
  </si>
  <si>
    <t>Manque d’autorité du SI</t>
  </si>
  <si>
    <t>Définir une échelle de sanctions claires</t>
  </si>
  <si>
    <t>Politique formalisée</t>
  </si>
  <si>
    <t>La politique interdit-elle la réutilisation fréquente ?</t>
  </si>
  <si>
    <t>Répétition de mots de passe vulnérables</t>
  </si>
  <si>
    <t>Attaque facilitée</t>
  </si>
  <si>
    <t>Imposer un historique de mots de passe non réutilisables</t>
  </si>
  <si>
    <t>Application technique</t>
  </si>
  <si>
    <t>Le système empêche-t-il techniquement la réutilisation ?</t>
  </si>
  <si>
    <t>Paramétrage SI</t>
  </si>
  <si>
    <t>Contournement de la règle</t>
  </si>
  <si>
    <t>Faible sécurité</t>
  </si>
  <si>
    <t>Configurer l'historique des anciens mots de passe</t>
  </si>
  <si>
    <t>Les utilisateurs sont-ils informés de cette règle ?</t>
  </si>
  <si>
    <t>Support de formation</t>
  </si>
  <si>
    <t>Non-respect involontaire</t>
  </si>
  <si>
    <t>Baisse de la sécurité globale</t>
  </si>
  <si>
    <t>Intégrer la règle dans la sensibilisation annuelle</t>
  </si>
  <si>
    <t>Vérification automatique</t>
  </si>
  <si>
    <t>Une vérification automatique est-elle en place ?</t>
  </si>
  <si>
    <t>Journal système</t>
  </si>
  <si>
    <t>Récurrence non détectée</t>
  </si>
  <si>
    <t>Risque persistant</t>
  </si>
  <si>
    <t>Mettre en place une alerte en cas de tentative</t>
  </si>
  <si>
    <t>Revue régulière</t>
  </si>
  <si>
    <t>La règle est-elle revue périodiquement ?</t>
  </si>
  <si>
    <t>Procédure de révision</t>
  </si>
  <si>
    <t>Adaptation insuffisante aux menaces</t>
  </si>
  <si>
    <t>Prévoir une mise à jour annuelle de la politique</t>
  </si>
  <si>
    <t>Méthode de stockage</t>
  </si>
  <si>
    <t>Les mots de passe sont-ils stockés de manière chiffrée ?</t>
  </si>
  <si>
    <t>Compromission des identifiants</t>
  </si>
  <si>
    <t>Intrusion dans le système</t>
  </si>
  <si>
    <t>Utiliser des algorithmes de hachage forts (ex. bcrypt)</t>
  </si>
  <si>
    <t>Accès restreint</t>
  </si>
  <si>
    <t>L’accès aux zones de stockage est-il restreint ?</t>
  </si>
  <si>
    <t>Droits d’accès</t>
  </si>
  <si>
    <t>Fuite interne</t>
  </si>
  <si>
    <t>Vol d'identifiants</t>
  </si>
  <si>
    <t>Restreindre au strict nécessaire (principe du moindre privilège)</t>
  </si>
  <si>
    <t>Des contrôles sont-ils réalisés sur le stockage ?</t>
  </si>
  <si>
    <t>Dérive non détectée</t>
  </si>
  <si>
    <t>Perte de confidentialité</t>
  </si>
  <si>
    <t>Réaliser un audit tous les 6 mois</t>
  </si>
  <si>
    <t>Aucune sauvegarde en clair</t>
  </si>
  <si>
    <t>Les mots de passe ne sont-ils jamais sauvegardés en clair ?</t>
  </si>
  <si>
    <t>Procédure de sauvegarde</t>
  </si>
  <si>
    <t>Révélation massive</t>
  </si>
  <si>
    <t>Compromission à grande échelle</t>
  </si>
  <si>
    <t>Interdire le stockage en clair dans toute sauvegarde</t>
  </si>
  <si>
    <t>Conformité réglementaire</t>
  </si>
  <si>
    <t>Le stockage respecte-t-il les normes (ex. RGPD) ?</t>
  </si>
  <si>
    <t>Politique RGPD</t>
  </si>
  <si>
    <t>Sanctions juridiques</t>
  </si>
  <si>
    <t>Assurer la conformité avec les régulations en vigueur</t>
  </si>
  <si>
    <t>Canaux sécurisés</t>
  </si>
  <si>
    <t>Les mots de passe sont-ils communiqués via des canaux sécurisés ?</t>
  </si>
  <si>
    <t>Interception par des tiers</t>
  </si>
  <si>
    <t>Intrusion non autorisée</t>
  </si>
  <si>
    <t>Utiliser des canaux chiffrés (ex. SSO ou portail sécurisé)</t>
  </si>
  <si>
    <t>Transmission initiale</t>
  </si>
  <si>
    <t>La remise initiale est-elle sécurisée ?</t>
  </si>
  <si>
    <t>Procédure de création de compte</t>
  </si>
  <si>
    <t>Diffusion non maîtrisée</t>
  </si>
  <si>
    <t>Envoyer via canal sécurisé avec changement obligatoire au 1er login</t>
  </si>
  <si>
    <t>Trace de transmission</t>
  </si>
  <si>
    <t>La transmission est-elle tracée ?</t>
  </si>
  <si>
    <t>Journal d’administration</t>
  </si>
  <si>
    <t>Non traçabilité</t>
  </si>
  <si>
    <t>Impossibilité de détecter une fuite</t>
  </si>
  <si>
    <t>Loguer toute transmission manuelle exceptionnelle</t>
  </si>
  <si>
    <t>Interdiction de partager</t>
  </si>
  <si>
    <t>Le partage de mots de passe est-il explicitement interdit ?</t>
  </si>
  <si>
    <t>Règlement interne</t>
  </si>
  <si>
    <t>Partage entre utilisateurs</t>
  </si>
  <si>
    <t>Perte de responsabilité individuelle</t>
  </si>
  <si>
    <t>Rappeler la règle dans les formations et guides utilisateurs</t>
  </si>
  <si>
    <t>Formation</t>
  </si>
  <si>
    <t>Les utilisateurs sont-ils formés à la non-diffusion ?</t>
  </si>
  <si>
    <t>Diffusion involontaire</t>
  </si>
  <si>
    <t>Vulnérabilité par négligence</t>
  </si>
  <si>
    <t>Ajouter un module dans la formation de sécurité</t>
  </si>
  <si>
    <t>Authentification préalable</t>
  </si>
  <si>
    <t>Une vérification d’identité est-elle exigée ?</t>
  </si>
  <si>
    <t>Procédure de réinitialisation</t>
  </si>
  <si>
    <t>Usurpation d'identité</t>
  </si>
  <si>
    <t>Compromission du compte</t>
  </si>
  <si>
    <t>Ajouter une étape de vérification (ex. OTP, mail pro)</t>
  </si>
  <si>
    <t>Notification utilisateur</t>
  </si>
  <si>
    <t>L’utilisateur est-il notifié lors d’une réinitialisation ?</t>
  </si>
  <si>
    <t>Modèle de notification</t>
  </si>
  <si>
    <t>Changement non autorisé</t>
  </si>
  <si>
    <t>Prise de contrôle du compte</t>
  </si>
  <si>
    <t>Mettre en place une alerte email/sms</t>
  </si>
  <si>
    <t>Historique protégé</t>
  </si>
  <si>
    <t>La réinitialisation impose-t-elle un mot de passe inédit ?</t>
  </si>
  <si>
    <t>Réutilisation d’un mot de passe compromis</t>
  </si>
  <si>
    <t>Retour à un mot de passe vulnérable</t>
  </si>
  <si>
    <t>Forcer un mot de passe non utilisé auparavant</t>
  </si>
  <si>
    <t>Délai de validité</t>
  </si>
  <si>
    <t>Le lien ou code de réinitialisation a-t-il une durée limitée ?</t>
  </si>
  <si>
    <t>Paramétrage système</t>
  </si>
  <si>
    <t>Utilisation différée du lien</t>
  </si>
  <si>
    <t>Accès frauduleux ultérieur</t>
  </si>
  <si>
    <t>Limiter la durée de validité à 10-15 minutes</t>
  </si>
  <si>
    <t>Canal sécurisé</t>
  </si>
  <si>
    <t>Le lien/code de réinitialisation est-il envoyé via un canal sûr ?</t>
  </si>
  <si>
    <t>Procédure d'envoi</t>
  </si>
  <si>
    <t>Interception possible</t>
  </si>
  <si>
    <t>Vol de compte</t>
  </si>
  <si>
    <t>Envoyer uniquement par canal chiffré (email sécurisé ou app dédiée)</t>
  </si>
  <si>
    <t>Existence d’un document formel</t>
  </si>
  <si>
    <t>Une politique de contrôle d'accès est-elle formellement définie ?</t>
  </si>
  <si>
    <t>Politique de contrôle d’accès</t>
  </si>
  <si>
    <t>Accès non contrôlés</t>
  </si>
  <si>
    <t>Fuite ou destruction de données</t>
  </si>
  <si>
    <t>Élaborer une politique claire, validée par la direction</t>
  </si>
  <si>
    <t>Diffusion de la politique</t>
  </si>
  <si>
    <t>Est-elle connue et diffusée auprès des employés ?</t>
  </si>
  <si>
    <t>Procédure de communication interne</t>
  </si>
  <si>
    <t>Comportements non conformes</t>
  </si>
  <si>
    <t>Diffuser lors des formations et via l’intranet</t>
  </si>
  <si>
    <t>Périodicité de mise à jour</t>
  </si>
  <si>
    <t>La politique est-elle revue périodiquement ?</t>
  </si>
  <si>
    <t>Inadéquation avec les menaces</t>
  </si>
  <si>
    <t>Prévoir une révision annuelle</t>
  </si>
  <si>
    <t>Validation par la direction</t>
  </si>
  <si>
    <t>La politique a-t-elle été approuvée par la direction ?</t>
  </si>
  <si>
    <t>Faible application</t>
  </si>
  <si>
    <t>Impliquer systématiquement la direction</t>
  </si>
  <si>
    <t>Adéquation aux besoins métiers</t>
  </si>
  <si>
    <t>Est-elle alignée avec les besoins de l’organisation ?</t>
  </si>
  <si>
    <t>Politique inefficace</t>
  </si>
  <si>
    <t>Blocages ou failles</t>
  </si>
  <si>
    <t>Revoir en concertation avec les responsables métiers</t>
  </si>
  <si>
    <t>Création formalisée</t>
  </si>
  <si>
    <t>Les accès sont-ils créés sur demande validée ?</t>
  </si>
  <si>
    <t>Demandes d’accès signées</t>
  </si>
  <si>
    <t>Usurpation ou espionnage</t>
  </si>
  <si>
    <t>Appliquer des circuits d’approbation systématiques</t>
  </si>
  <si>
    <t>Revue des accès</t>
  </si>
  <si>
    <t>Une revue régulière des droits est-elle faite ?</t>
  </si>
  <si>
    <t>Journal de revue des accès</t>
  </si>
  <si>
    <t>Persistance d'anciens droits</t>
  </si>
  <si>
    <t>Faire une revue tous les 6 mois minimum</t>
  </si>
  <si>
    <t>Suppression des accès</t>
  </si>
  <si>
    <t>Les accès sont-ils supprimés à la sortie des employés ?</t>
  </si>
  <si>
    <t>Checklist de départ</t>
  </si>
  <si>
    <t>Maintien d’accès dormant</t>
  </si>
  <si>
    <t>Intrusion post-départ</t>
  </si>
  <si>
    <t>Automatiser la suppression à la sortie</t>
  </si>
  <si>
    <t>Gestion des rôles</t>
  </si>
  <si>
    <t>Un système de rôles est-il utilisé ?</t>
  </si>
  <si>
    <t>Matrice des rôles</t>
  </si>
  <si>
    <t>Attribution manuelle excessive</t>
  </si>
  <si>
    <t>Failles humaines</t>
  </si>
  <si>
    <t>Implémenter une gestion par profils</t>
  </si>
  <si>
    <t>Suivi des anomalies</t>
  </si>
  <si>
    <t>Les erreurs d’attribution sont-elles suivies ?</t>
  </si>
  <si>
    <t>Répétition des erreurs</t>
  </si>
  <si>
    <t>Difficulté de traçabilité</t>
  </si>
  <si>
    <t>Mettre en place un suivi avec indicateurs</t>
  </si>
  <si>
    <t>Complexité exigée</t>
  </si>
  <si>
    <t>Des mots de passe complexes sont-ils exigés ?</t>
  </si>
  <si>
    <t>Politique de mots de passe</t>
  </si>
  <si>
    <t>Intrusion externe</t>
  </si>
  <si>
    <t>Appliquer une politique avec casse, chiffres et symboles</t>
  </si>
  <si>
    <t>Politique de durée</t>
  </si>
  <si>
    <t>Une durée maximale est-elle définie ?</t>
  </si>
  <si>
    <t>Paramétrage sécurité</t>
  </si>
  <si>
    <t>Mots de passe oubliés ou trop anciens</t>
  </si>
  <si>
    <t>Risque de réutilisation</t>
  </si>
  <si>
    <t>Changer tous les 90 jours max</t>
  </si>
  <si>
    <t>Verrouillage de session</t>
  </si>
  <si>
    <t>Une déconnexion automatique est-elle activée ?</t>
  </si>
  <si>
    <t>Paramètres systèmes</t>
  </si>
  <si>
    <t>Sessions laissées ouvertes</t>
  </si>
  <si>
    <t>Activer après 10 min d’inactivité</t>
  </si>
  <si>
    <t>Réutilisation interdite</t>
  </si>
  <si>
    <t>La réutilisation des anciens mots de passe est-elle bloquée ?</t>
  </si>
  <si>
    <t>Politique sécurité</t>
  </si>
  <si>
    <t>Usage d’anciens mots compromis</t>
  </si>
  <si>
    <t>Réduction de la protection</t>
  </si>
  <si>
    <t>Interdire la réutilisation sur 5 cycles min</t>
  </si>
  <si>
    <t>Les employés sont-ils informés des bonnes pratiques ?</t>
  </si>
  <si>
    <t>Négligence dans la gestion</t>
  </si>
  <si>
    <t>Former annuellement sur les bonnes pratiques</t>
  </si>
  <si>
    <t>Authentification réseau</t>
  </si>
  <si>
    <t>Un mécanisme d’authentification est-il en place pour accéder au réseau ?</t>
  </si>
  <si>
    <t>Politique d’accès réseau</t>
  </si>
  <si>
    <t>Intrusion dans le réseau</t>
  </si>
  <si>
    <t>Espionnage, sabotage</t>
  </si>
  <si>
    <t>Utiliser des identifiants personnels et logs</t>
  </si>
  <si>
    <t>Segmentation réseau</t>
  </si>
  <si>
    <t>Le réseau est-il segmenté selon les niveaux de sensibilité ?</t>
  </si>
  <si>
    <t>Schéma réseau</t>
  </si>
  <si>
    <t>Propagation rapide de menaces</t>
  </si>
  <si>
    <t>Attaque généralisée</t>
  </si>
  <si>
    <t>Implémenter VLAN et firewall par zone</t>
  </si>
  <si>
    <t>Surveillance active</t>
  </si>
  <si>
    <t>Une surveillance réseau est-elle en place ?</t>
  </si>
  <si>
    <t>Dommages persistants</t>
  </si>
  <si>
    <t>Déployer IDS/IPS et corréler les alertes</t>
  </si>
  <si>
    <t>Accès distant sécurisé</t>
  </si>
  <si>
    <t>Les connexions à distance sont-elles sécurisées ?</t>
  </si>
  <si>
    <t>Politique VPN</t>
  </si>
  <si>
    <t>Imposer VPN avec double authentification</t>
  </si>
  <si>
    <t>Contrôle des connexions</t>
  </si>
  <si>
    <t>Les équipements connectés sont-ils autorisés et contrôlés ?</t>
  </si>
  <si>
    <t>Liste des équipements</t>
  </si>
  <si>
    <t>Appareils inconnus sur le réseau</t>
  </si>
  <si>
    <t>Risque de malware</t>
  </si>
  <si>
    <t>Mettre en place un NAC (Network Access Control)</t>
  </si>
  <si>
    <t>Comptes utilisateurs</t>
  </si>
  <si>
    <t>Les comptes utilisateurs sont-ils nominatifs ?</t>
  </si>
  <si>
    <t>Liste des comptes</t>
  </si>
  <si>
    <t>Activité non traçable</t>
  </si>
  <si>
    <t>Imputabilité impossible</t>
  </si>
  <si>
    <t>Interdire les comptes partagés</t>
  </si>
  <si>
    <t>La journalisation est-elle activée ?</t>
  </si>
  <si>
    <t>Difficile de détecter une intrusion</t>
  </si>
  <si>
    <t>Activer logs sur tous les OS critiques</t>
  </si>
  <si>
    <t>Droits limités</t>
  </si>
  <si>
    <t>Les droits d'administration sont-ils restreints ?</t>
  </si>
  <si>
    <t>Usage abusif de privilèges</t>
  </si>
  <si>
    <t>Compromission totale</t>
  </si>
  <si>
    <t>Séparer comptes admin et utilisateurs</t>
  </si>
  <si>
    <t>Les OS sont-ils mis à jour ?</t>
  </si>
  <si>
    <t>Historique de patch</t>
  </si>
  <si>
    <t>Vulnérabilités exploitables</t>
  </si>
  <si>
    <t>Infection par ransomware</t>
  </si>
  <si>
    <t>Automatiser les mises à jour critiques</t>
  </si>
  <si>
    <t>Mécanismes de verrouillage</t>
  </si>
  <si>
    <t>Des verrouillages automatiques sont-ils en place ?</t>
  </si>
  <si>
    <t>Politique de verrouillage</t>
  </si>
  <si>
    <t>Accès non surveillé</t>
  </si>
  <si>
    <t>Forcer un verrouillage après 5 min</t>
  </si>
  <si>
    <t>Accès nominatif</t>
  </si>
  <si>
    <t>Les utilisateurs s’authentifient-ils individuellement ?</t>
  </si>
  <si>
    <t>Base utilisateurs applicatifs</t>
  </si>
  <si>
    <t>Partage de comptes</t>
  </si>
  <si>
    <t>Interdire comptes génériques</t>
  </si>
  <si>
    <t>Droit d'accès par rôle</t>
  </si>
  <si>
    <t>L'accès est-il défini par rôle ?</t>
  </si>
  <si>
    <t>Matrice des accès applicatifs</t>
  </si>
  <si>
    <t>Accès excessif</t>
  </si>
  <si>
    <t>Fuite d’information</t>
  </si>
  <si>
    <t>Mettre en place RBAC (Role-Based Access Control)</t>
  </si>
  <si>
    <t>Séparation des environnements</t>
  </si>
  <si>
    <t>Les environnements dev/test/prod sont-ils séparés ?</t>
  </si>
  <si>
    <t>Fuite de données en prod</t>
  </si>
  <si>
    <t>Impact sur continuité</t>
  </si>
  <si>
    <t>Isoler chaque environnement</t>
  </si>
  <si>
    <t>Double authentification</t>
  </si>
  <si>
    <t>Y a-t-il une double authentification ?</t>
  </si>
  <si>
    <t>Vol d’accès applicatif</t>
  </si>
  <si>
    <t>Mettre en place MFA</t>
  </si>
  <si>
    <t>Suivi des accès</t>
  </si>
  <si>
    <t>Les accès sont-ils enregistrés et analysés ?</t>
  </si>
  <si>
    <t>Logs applicatifs</t>
  </si>
  <si>
    <t>Détection tardive d’abus</t>
  </si>
  <si>
    <t>Déployer une solution de SIEM</t>
  </si>
  <si>
    <t>Politique mobile</t>
  </si>
  <si>
    <t>Existe-t-il une politique de gestion des appareils mobiles ?</t>
  </si>
  <si>
    <t>Politique sécurité mobile</t>
  </si>
  <si>
    <t>Utilisation non contrôlée des appareils</t>
  </si>
  <si>
    <t>Perte de données sensibles</t>
  </si>
  <si>
    <t>Élaborer une politique de sécurité pour terminaux mobiles</t>
  </si>
  <si>
    <t>Sécurité des connexions</t>
  </si>
  <si>
    <t>Les connexions mobiles sont-elles sécurisées ?</t>
  </si>
  <si>
    <t>Configuration VPN mobile</t>
  </si>
  <si>
    <t>Interception des communications</t>
  </si>
  <si>
    <t>Exposition d’informations confidentielles</t>
  </si>
  <si>
    <t>Imposer l’usage de VPN chiffrés</t>
  </si>
  <si>
    <t>L'accès aux données sensibles est-il restreint depuis mobile ?</t>
  </si>
  <si>
    <t>Politique d'accès</t>
  </si>
  <si>
    <t>Fuite d’informations</t>
  </si>
  <si>
    <t>Limiter les accès mobiles aux données critiques</t>
  </si>
  <si>
    <t>Chiffrement des données</t>
  </si>
  <si>
    <t>Les données mobiles sont-elles chiffrées ?</t>
  </si>
  <si>
    <t>Politique MDM</t>
  </si>
  <si>
    <t>Données lisibles en cas de vol</t>
  </si>
  <si>
    <t>Compromission d'informations</t>
  </si>
  <si>
    <t>Activer le chiffrement complet des appareils</t>
  </si>
  <si>
    <t>Effacement à distance</t>
  </si>
  <si>
    <t>Un mécanisme de wipe à distance est-il en place ?</t>
  </si>
  <si>
    <t>Procédure IT mobile</t>
  </si>
  <si>
    <t>Données non effaçables en cas de vol</t>
  </si>
  <si>
    <t>Accès aux données par un tiers</t>
  </si>
  <si>
    <t>Intégrer cette fonction via MDM</t>
  </si>
  <si>
    <t>Procédure d'incident</t>
  </si>
  <si>
    <t>Plan de réponse aux incidents</t>
  </si>
  <si>
    <t>Temps de rétablissement prolongé</t>
  </si>
  <si>
    <t>Définir les étapes claires de gestion</t>
  </si>
  <si>
    <t>Chaque incident est-il documenté et tracé ?</t>
  </si>
  <si>
    <t>Journal des incidents</t>
  </si>
  <si>
    <t>Pas d’historique</t>
  </si>
  <si>
    <t>Mettre en place un registre formel</t>
  </si>
  <si>
    <t>Les incidents sont-ils communiqués aux parties prenantes ?</t>
  </si>
  <si>
    <t>Politique de communication</t>
  </si>
  <si>
    <t>Réaction incohérente</t>
  </si>
  <si>
    <t>Définir les rôles de communication</t>
  </si>
  <si>
    <t>Une analyse post mortem est-elle effectuée ?</t>
  </si>
  <si>
    <t>Reproduction d'incidents</t>
  </si>
  <si>
    <t>Réduction de la confiance interne</t>
  </si>
  <si>
    <t>Mettre en place des retours d'expérience</t>
  </si>
  <si>
    <t>Mesures correctives</t>
  </si>
  <si>
    <t>Des mesures sont-elles prises après chaque incident ?</t>
  </si>
  <si>
    <t>Registre de suivi</t>
  </si>
  <si>
    <t>Répétition du même incident</t>
  </si>
  <si>
    <t>Augmentation de la vulnérabilité</t>
  </si>
  <si>
    <t>Implémenter une vérification systématique</t>
  </si>
  <si>
    <t>Cahier des charges sécurité</t>
  </si>
  <si>
    <t>Un cahier des charges sécurité est-il produit ?</t>
  </si>
  <si>
    <t>Spécifications fonctionnelles</t>
  </si>
  <si>
    <t>Failles dans les systèmes</t>
  </si>
  <si>
    <t>Systèmes exposés</t>
  </si>
  <si>
    <t>Intégrer la sécurité dès la conception</t>
  </si>
  <si>
    <t>Intégration dans le cycle projet</t>
  </si>
  <si>
    <t>Les exigences de sécurité sont-elles intégrées dès le début ?</t>
  </si>
  <si>
    <t>Plan projet</t>
  </si>
  <si>
    <t>Retards ou surcoûts</t>
  </si>
  <si>
    <t>Modifications coûteuses tardives</t>
  </si>
  <si>
    <t>Impliquer un RSSI dès la phase d'étude</t>
  </si>
  <si>
    <t>Tests de sécurité</t>
  </si>
  <si>
    <t>Plan de test</t>
  </si>
  <si>
    <t>Vulnérabilités en prod</t>
  </si>
  <si>
    <t>Exploitation par un attaquant</t>
  </si>
  <si>
    <t>Effectuer des tests de sécurité (pentests)</t>
  </si>
  <si>
    <t>Documentation de conformité</t>
  </si>
  <si>
    <t>La documentation couvre-t-elle les exigences de sécurité ?</t>
  </si>
  <si>
    <t>Dossier d’architecture</t>
  </si>
  <si>
    <t>Dérives de conformité</t>
  </si>
  <si>
    <t>Inclure des exigences normatives</t>
  </si>
  <si>
    <t>Approbation des exigences</t>
  </si>
  <si>
    <t>Les exigences sont-elles validées par les parties prenantes ?</t>
  </si>
  <si>
    <t>Mauvaise implémentation</t>
  </si>
  <si>
    <t>Résultats non adaptés</t>
  </si>
  <si>
    <t>Organiser des comités de validation sécurité</t>
  </si>
  <si>
    <t>Contrôle d’accès aux fichiers</t>
  </si>
  <si>
    <t>Les fichiers sensibles sont-ils protégés par des droits d'accès ?</t>
  </si>
  <si>
    <t>Politique d’accès</t>
  </si>
  <si>
    <t>Implémenter des ACL strictes</t>
  </si>
  <si>
    <t>Traçabilité des accès</t>
  </si>
  <si>
    <t>Les accès aux fichiers sont-ils enregistrés ?</t>
  </si>
  <si>
    <t>Accès non détecté</t>
  </si>
  <si>
    <t>Aucune piste en cas d’incident</t>
  </si>
  <si>
    <t>Activer l’audit des accès</t>
  </si>
  <si>
    <t>Recette fonctionnelle</t>
  </si>
  <si>
    <t>La recette inclut-elle une vérification de la sécurité ?</t>
  </si>
  <si>
    <t>Cahier de recette</t>
  </si>
  <si>
    <t>Mise en service non sécurisée</t>
  </si>
  <si>
    <t>Fonctionnalité exposée</t>
  </si>
  <si>
    <t>Ajouter des cas de tests sécurité</t>
  </si>
  <si>
    <t>Environnement de recette isolé</t>
  </si>
  <si>
    <t>La recette se fait-elle dans un environnement isolé ?</t>
  </si>
  <si>
    <t>Architecture de test</t>
  </si>
  <si>
    <t>Contamination des environnements</t>
  </si>
  <si>
    <t>Impact sur la production</t>
  </si>
  <si>
    <t>Séparer totalement les environnements</t>
  </si>
  <si>
    <t>Validation sécurité avant production</t>
  </si>
  <si>
    <t>La sécurité est-elle validée avant mise en production ?</t>
  </si>
  <si>
    <t>PV de mise en prod</t>
  </si>
  <si>
    <t>Déploiement de failles</t>
  </si>
  <si>
    <t>Exploitation dès le jour 1</t>
  </si>
  <si>
    <t>Ajouter un go/no-go basé sur la sécurité</t>
  </si>
  <si>
    <t>Réponse</t>
  </si>
  <si>
    <t>Existence formelle</t>
  </si>
  <si>
    <t>Un protocole de recette est-il documenté ?</t>
  </si>
  <si>
    <t>Mise en production d'erreurs</t>
  </si>
  <si>
    <t>Rédiger un protocole de recette normalisé</t>
  </si>
  <si>
    <t>Validation utilisateurs</t>
  </si>
  <si>
    <t>Les utilisateurs valident-ils les fonctionnalités ?</t>
  </si>
  <si>
    <t>PV de recette utilisateur</t>
  </si>
  <si>
    <t>Fonctions non conformes</t>
  </si>
  <si>
    <t>Insatisfaction métier</t>
  </si>
  <si>
    <t>Impliquer le métier dans les tests</t>
  </si>
  <si>
    <t>Cas de test sécurité</t>
  </si>
  <si>
    <t>Des cas de test sécurité sont-ils inclus ?</t>
  </si>
  <si>
    <t>Introduction de vulnérabilités</t>
  </si>
  <si>
    <t>Ajouter systématiquement des tests sécurité</t>
  </si>
  <si>
    <t>Indépendance de la recette</t>
  </si>
  <si>
    <t>La recette est-elle réalisée par une équipe tierce ?</t>
  </si>
  <si>
    <t>Procédure de recette</t>
  </si>
  <si>
    <t>Conflit d’intérêts</t>
  </si>
  <si>
    <t>Manque d'objectivité</t>
  </si>
  <si>
    <t>Impliquer un tiers dans la recette</t>
  </si>
  <si>
    <t>Archivage</t>
  </si>
  <si>
    <t>Les résultats de recette sont-ils archivés ?</t>
  </si>
  <si>
    <t>Archivage des PV</t>
  </si>
  <si>
    <t>Absence de preuve</t>
  </si>
  <si>
    <t>Difficulté à prouver la validation</t>
  </si>
  <si>
    <t>Archiver tous les PV et anomalies</t>
  </si>
  <si>
    <t>Pare-feux actifs</t>
  </si>
  <si>
    <t>Un pare-feu est-il installé et actif ?</t>
  </si>
  <si>
    <t>Rapport de configuration</t>
  </si>
  <si>
    <t>Compromission du réseau</t>
  </si>
  <si>
    <t>Surveiller les règles de filtrage</t>
  </si>
  <si>
    <t>VLANs séparés</t>
  </si>
  <si>
    <t>Les réseaux critiques sont-ils isolés ?</t>
  </si>
  <si>
    <t>Propagation d’attaques</t>
  </si>
  <si>
    <t>Blocage du SI complet</t>
  </si>
  <si>
    <t>Segmenter les réseaux selon leur usage</t>
  </si>
  <si>
    <t>Contrôle d’accès distant</t>
  </si>
  <si>
    <t>L’accès distant est-il sécurisé ?</t>
  </si>
  <si>
    <t>Politique VPN / RDP</t>
  </si>
  <si>
    <t>Interception de données</t>
  </si>
  <si>
    <t>Vol de données</t>
  </si>
  <si>
    <t>Utiliser des VPN et des protocoles chiffrés</t>
  </si>
  <si>
    <t>Surveillance réseau</t>
  </si>
  <si>
    <t>Un système de détection d’intrusion est-il actif ?</t>
  </si>
  <si>
    <t>Journal IDS/IPS</t>
  </si>
  <si>
    <t>Attaque prolongée</t>
  </si>
  <si>
    <t>Installer un IDS ou SIEM</t>
  </si>
  <si>
    <t>Protocoles chiffrés</t>
  </si>
  <si>
    <t>Les communications réseau sont-elles chiffrées ?</t>
  </si>
  <si>
    <t>Exposition des données</t>
  </si>
  <si>
    <t>Utiliser TLS/HTTPS, etc.</t>
  </si>
  <si>
    <t>Plan de continuité</t>
  </si>
  <si>
    <t>Existe-t-il un PCA formel ?</t>
  </si>
  <si>
    <t>Plan de Continuité d’Activité</t>
  </si>
  <si>
    <t>Arrêt prolongé</t>
  </si>
  <si>
    <t>Perte d’activité</t>
  </si>
  <si>
    <t>Élaborer un PCA documenté</t>
  </si>
  <si>
    <t>Sites de repli</t>
  </si>
  <si>
    <t>Un site de secours est-il prévu ?</t>
  </si>
  <si>
    <t>Contrat ou plan de secours</t>
  </si>
  <si>
    <t>Inaccessibilité des services</t>
  </si>
  <si>
    <t>Perte de données et services</t>
  </si>
  <si>
    <t>Prévoir une infrastructure de secours</t>
  </si>
  <si>
    <t>Tests du PCA</t>
  </si>
  <si>
    <t>Le PCA est-il testé ?</t>
  </si>
  <si>
    <t>Rapport de test PCA</t>
  </si>
  <si>
    <t>Inefficacité du plan</t>
  </si>
  <si>
    <t>Pertes lors de sinistres</t>
  </si>
  <si>
    <t>Tester le plan au moins annuellement</t>
  </si>
  <si>
    <t>Mise à jour du PCA</t>
  </si>
  <si>
    <t>Le plan est-il mis à jour régulièrement ?</t>
  </si>
  <si>
    <t>Inadéquation</t>
  </si>
  <si>
    <t>Inefficacité en crise</t>
  </si>
  <si>
    <t>Mettre à jour le PCA après chaque changement majeur</t>
  </si>
  <si>
    <t>Le personnel est-il formé au PCA ?</t>
  </si>
  <si>
    <t>Feuilles de présence formation</t>
  </si>
  <si>
    <t>Réactions inadaptées</t>
  </si>
  <si>
    <t>Organiser des formations annuelles</t>
  </si>
  <si>
    <t>Existence d’une étude de valeur</t>
  </si>
  <si>
    <t>Une étude de valeur a-t-elle été menée ?</t>
  </si>
  <si>
    <t>Étude de valeur</t>
  </si>
  <si>
    <t>Mauvaise estimation des bénéfices attendus</t>
  </si>
  <si>
    <t>Investissement peu rentable</t>
  </si>
  <si>
    <t>Réaliser systématiquement une étude de valeur préalable</t>
  </si>
  <si>
    <t>Analyse des coûts/bénéfices</t>
  </si>
  <si>
    <t>Une analyse coût/bénéfice a-t-elle été réalisée ?</t>
  </si>
  <si>
    <t>Rapport d’analyse économique</t>
  </si>
  <si>
    <t>Décision sur des bases incomplètes</t>
  </si>
  <si>
    <t>Intégrer systématiquement cette analyse à la phase d’opportunité</t>
  </si>
  <si>
    <t>Prise en compte des impacts organisationnels</t>
  </si>
  <si>
    <t>Retards de mise en œuvre</t>
  </si>
  <si>
    <t>Anticiper les changements organisationnels</t>
  </si>
  <si>
    <t>Participation des métiers</t>
  </si>
  <si>
    <t>Les utilisateurs finaux ont-ils été consultés ?</t>
  </si>
  <si>
    <t>PV de réunions</t>
  </si>
  <si>
    <t>Inadéquation du système aux besoins</t>
  </si>
  <si>
    <t>Refus d’adoption</t>
  </si>
  <si>
    <t>Impliquer les métiers dès l’étude d’opportunité</t>
  </si>
  <si>
    <t>Comparaison avec d’autres options</t>
  </si>
  <si>
    <t>D’autres options ont-elles été évaluées ?</t>
  </si>
  <si>
    <t>Benchmark</t>
  </si>
  <si>
    <t>Décision biaisée</t>
  </si>
  <si>
    <t>Choix sous-optimal</t>
  </si>
  <si>
    <t>Évaluer au moins deux scénarios alternatifs</t>
  </si>
  <si>
    <t>Existence d’un état des lieux</t>
  </si>
  <si>
    <t>Un état des lieux des processus a-t-il été effectué ?</t>
  </si>
  <si>
    <t>Rapport d’état des lieux</t>
  </si>
  <si>
    <t>Conception basée sur des données erronées</t>
  </si>
  <si>
    <t>Réaliser une cartographie détaillée</t>
  </si>
  <si>
    <t>Identification des dysfonctionnements</t>
  </si>
  <si>
    <t>Les dysfonctionnements ont-ils été listés ?</t>
  </si>
  <si>
    <t>Diagnostic des processus</t>
  </si>
  <si>
    <t>Système inefficace</t>
  </si>
  <si>
    <t>Mener des ateliers d’analyse</t>
  </si>
  <si>
    <t>Consultation des utilisateurs</t>
  </si>
  <si>
    <t>Les utilisateurs ont-ils participé à l’analyse ?</t>
  </si>
  <si>
    <t>Sous-estimation des problèmes réels</t>
  </si>
  <si>
    <t>Mécontentement</t>
  </si>
  <si>
    <t>Associer les utilisateurs dans le diagnostic</t>
  </si>
  <si>
    <t>Les processus sont-ils documentés ?</t>
  </si>
  <si>
    <t>Procédures internes</t>
  </si>
  <si>
    <t>Zones d’ombre dans l’analyse</t>
  </si>
  <si>
    <t>Documenter les procédures avant l’analyse</t>
  </si>
  <si>
    <t>Existence d’indicateurs</t>
  </si>
  <si>
    <t>Des indicateurs de performance sont-ils suivis ?</t>
  </si>
  <si>
    <t>Incapacité à mesurer les améliorations</t>
  </si>
  <si>
    <t>Pertes de gains potentiels</t>
  </si>
  <si>
    <t>Définir des KPI pertinents avant projet</t>
  </si>
  <si>
    <t>Analyse préalable des processus</t>
  </si>
  <si>
    <t>Une optimisation des processus a-t-elle été tentée ?</t>
  </si>
  <si>
    <t>Rapport d’optimisation</t>
  </si>
  <si>
    <t>Mise en œuvre d’un projet inutile</t>
  </si>
  <si>
    <t>Gaspillage de ressources</t>
  </si>
  <si>
    <t>Tenter d’améliorer les processus avant tout projet</t>
  </si>
  <si>
    <t>Justification du recours au système</t>
  </si>
  <si>
    <t>Le nouveau système est-il justifié par des limites identifiées ?</t>
  </si>
  <si>
    <t>Rapport d’étude de faisabilité</t>
  </si>
  <si>
    <t>Système inadapté aux enjeux</t>
  </si>
  <si>
    <t>Coût élevé pour faible valeur ajoutée</t>
  </si>
  <si>
    <t>Valider l’écart entre besoins et solutions</t>
  </si>
  <si>
    <t>Analyse comparative "avant/après"</t>
  </si>
  <si>
    <t>Une analyse comparative a-t-elle été faite ?</t>
  </si>
  <si>
    <t>Rapport d’analyse comparative</t>
  </si>
  <si>
    <t>Absence de preuve de bénéfice</t>
  </si>
  <si>
    <t>Difficultés de validation budgétaire</t>
  </si>
  <si>
    <t>Réaliser une analyse d’impact</t>
  </si>
  <si>
    <t>Intégration des retours d’expérience</t>
  </si>
  <si>
    <t>Les projets passés ont-ils été analysés ?</t>
  </si>
  <si>
    <t>Compte-rendus d’expériences précédentes</t>
  </si>
  <si>
    <t>Répétition d’erreurs passées</t>
  </si>
  <si>
    <t>Projet rejeté</t>
  </si>
  <si>
    <t>Capitaliser sur les expériences antérieures</t>
  </si>
  <si>
    <t>Implication des directions métier</t>
  </si>
  <si>
    <t>Les métiers ont-ils validé le besoin ?</t>
  </si>
  <si>
    <t>PV de validation métier</t>
  </si>
  <si>
    <t>Faible adhésion</t>
  </si>
  <si>
    <t>Valider avec les utilisateurs finaux</t>
  </si>
  <si>
    <t>Définition claire des objectifs</t>
  </si>
  <si>
    <t>Les objectifs sont-ils clairement définis ?</t>
  </si>
  <si>
    <t>Document d’objectifs</t>
  </si>
  <si>
    <t>Dérive de périmètre</t>
  </si>
  <si>
    <t>Définir des objectifs SMART</t>
  </si>
  <si>
    <t>Validation des objectifs par la direction</t>
  </si>
  <si>
    <t>La direction a-t-elle validé les objectifs ?</t>
  </si>
  <si>
    <t>PV de comité de pilotage</t>
  </si>
  <si>
    <t>Décalage entre stratégie et projet</t>
  </si>
  <si>
    <t>Perte d’alignement stratégique</t>
  </si>
  <si>
    <t>Impliquer la direction dès le départ</t>
  </si>
  <si>
    <t>Communication du périmètre aux acteurs</t>
  </si>
  <si>
    <t>Le périmètre est-il connu de tous les acteurs ?</t>
  </si>
  <si>
    <t>Plan de communication projet</t>
  </si>
  <si>
    <t>Conflits de responsabilités</t>
  </si>
  <si>
    <t>Communiquer en amont</t>
  </si>
  <si>
    <t>Existence d’un cadrage formalisé</t>
  </si>
  <si>
    <t>Un document de cadrage est-il disponible ?</t>
  </si>
  <si>
    <t>Ambiguïté dans les limites</t>
  </si>
  <si>
    <t>Mauvaise planification</t>
  </si>
  <si>
    <t>Formaliser un document de cadrage précis</t>
  </si>
  <si>
    <t>Stabilisation du périmètre</t>
  </si>
  <si>
    <t>Le périmètre a-t-il été figé avant lancement ?</t>
  </si>
  <si>
    <t>PV de validation de périmètre</t>
  </si>
  <si>
    <t>Modifications en cours de projet</t>
  </si>
  <si>
    <t>Retards / surcoûts</t>
  </si>
  <si>
    <t>Fixer une phase de validation ferme</t>
  </si>
  <si>
    <t>Présentation des orientations dans les documents</t>
  </si>
  <si>
    <t>Les orientations sont-elles formalisées ?</t>
  </si>
  <si>
    <t>Document d’architecture cible</t>
  </si>
  <si>
    <t>Ambiguïté sur les choix techniques</t>
  </si>
  <si>
    <t>Retards d’implémentation</t>
  </si>
  <si>
    <t>Documenter l’architecture cible</t>
  </si>
  <si>
    <t>Validation des orientations par les métiers</t>
  </si>
  <si>
    <t>Les métiers valident-ils les orientations ?</t>
  </si>
  <si>
    <t>PV de réunion</t>
  </si>
  <si>
    <t>Détournement des usages</t>
  </si>
  <si>
    <t>Impliquer les utilisateurs en amont</t>
  </si>
  <si>
    <t>Existence d’un document d’urbanisation SI</t>
  </si>
  <si>
    <t>L’urbanisation du SI a-t-elle été prise en compte ?</t>
  </si>
  <si>
    <t>Incohérence avec le SI existant</t>
  </si>
  <si>
    <t>Intégrer le système dans une vision globale</t>
  </si>
  <si>
    <t>Prise en compte des enjeux métier</t>
  </si>
  <si>
    <t>Les orientations tiennent-elles compte des enjeux métier ?</t>
  </si>
  <si>
    <t>Analyse d’impacts</t>
  </si>
  <si>
    <t>Système peu pertinent</t>
  </si>
  <si>
    <t>Perte d’efficacité</t>
  </si>
  <si>
    <t>Aligner les objectifs métiers et techniques</t>
  </si>
  <si>
    <t>Mise à jour du document d’orientation</t>
  </si>
  <si>
    <t>Le document est-il mis à jour régulièrement ?</t>
  </si>
  <si>
    <t>Historique de versions</t>
  </si>
  <si>
    <t>Décalage avec les réalités du projet</t>
  </si>
  <si>
    <t>Maintenir un document vivant et évolutif</t>
  </si>
  <si>
    <t>Existence du cahier des charges</t>
  </si>
  <si>
    <t>Absence de vision claire</t>
  </si>
  <si>
    <t>Mauvaise conception du système</t>
  </si>
  <si>
    <t>Formaliser un CDC complet validé</t>
  </si>
  <si>
    <t>Origine des besoins</t>
  </si>
  <si>
    <t>Les besoins ont-ils été exprimés par la MOA ?</t>
  </si>
  <si>
    <t>Compte rendu d’ateliers MOA</t>
  </si>
  <si>
    <t>Décalage avec les attentes réelles</t>
  </si>
  <si>
    <t>Inadéquation fonctionnelle</t>
  </si>
  <si>
    <t>Impliquer directement les utilisateurs</t>
  </si>
  <si>
    <t>Validation du CDC par les utilisateurs</t>
  </si>
  <si>
    <t>Les utilisateurs ont-ils validé le document ?</t>
  </si>
  <si>
    <t>Rejets ou résistances</t>
  </si>
  <si>
    <t>Retard ou échec de projet</t>
  </si>
  <si>
    <t>Impliquer les utilisateurs finaux pour validation</t>
  </si>
  <si>
    <t>Traçabilité des besoins</t>
  </si>
  <si>
    <t>Les besoins sont-ils tracés dans le CDC ?</t>
  </si>
  <si>
    <t>Matrice de traçabilité</t>
  </si>
  <si>
    <t>Risque de non-couverture</t>
  </si>
  <si>
    <t>Lacunes fonctionnelles</t>
  </si>
  <si>
    <t>Structurer les besoins avec des indicateurs clairs</t>
  </si>
  <si>
    <t>Révision du CDC</t>
  </si>
  <si>
    <t>Le CDC est-il mis à jour ?</t>
  </si>
  <si>
    <t>Écarts dans le développement</t>
  </si>
  <si>
    <t>Prévoir un processus de mise à jour contrôlée</t>
  </si>
  <si>
    <t>Analyse fonctionnelle</t>
  </si>
  <si>
    <t>Pertinence technique</t>
  </si>
  <si>
    <t>Analyse technique</t>
  </si>
  <si>
    <t>Référencement dans le plan directeur</t>
  </si>
  <si>
    <t>Le projet est-il inscrit dans le plan ?</t>
  </si>
  <si>
    <t>Projet isolé sans vision long terme</t>
  </si>
  <si>
    <t>Difficultés d'intégration</t>
  </si>
  <si>
    <t>Intégrer tous les projets au plan directeur</t>
  </si>
  <si>
    <t>Cohérence avec les priorités stratégiques</t>
  </si>
  <si>
    <t>Le projet répond-il aux priorités ?</t>
  </si>
  <si>
    <t>Schéma stratégique</t>
  </si>
  <si>
    <t>Perte de valeur</t>
  </si>
  <si>
    <t>Déviation des objectifs SI</t>
  </si>
  <si>
    <t>Aligner projet et feuille de route stratégique</t>
  </si>
  <si>
    <t>Synchronisation avec les autres projets</t>
  </si>
  <si>
    <t>Le calendrier est-il coordonné ?</t>
  </si>
  <si>
    <t>Planning transversal</t>
  </si>
  <si>
    <t>Conflits de ressources</t>
  </si>
  <si>
    <t>Retards croisés</t>
  </si>
  <si>
    <t>Harmoniser les calendriers projets</t>
  </si>
  <si>
    <t>Validation du projet par la DSI</t>
  </si>
  <si>
    <t>La DSI a-t-elle validé le projet ?</t>
  </si>
  <si>
    <t>Absence de gouvernance</t>
  </si>
  <si>
    <t>Difficulté à obtenir les ressources</t>
  </si>
  <si>
    <t>Intégrer le projet dans le portefeuille SI</t>
  </si>
  <si>
    <t>Suivi par comité stratégique</t>
  </si>
  <si>
    <t>Le projet est-il suivi par un comité SI ?</t>
  </si>
  <si>
    <t>Compte rendu comité SI</t>
  </si>
  <si>
    <t>Décrochage du pilotage</t>
  </si>
  <si>
    <t>Projet à la dérive</t>
  </si>
  <si>
    <t>Instaurer un pilotage stratégique régulier</t>
  </si>
  <si>
    <t>Analyse d’impacts sur le SI existant</t>
  </si>
  <si>
    <t>Une étude d’impact sur le SI actuel a-t-elle été réalisée ?</t>
  </si>
  <si>
    <t>Rapport d’impact SI</t>
  </si>
  <si>
    <t>Incompatibilité avec les systèmes actuels</t>
  </si>
  <si>
    <t>Dysfonctionnements en production</t>
  </si>
  <si>
    <t>Réaliser systématiquement une analyse d’impact technique</t>
  </si>
  <si>
    <t>Intégration dans l’architecture cible</t>
  </si>
  <si>
    <t>Le projet respecte-t-il l’architecture cible définie ?</t>
  </si>
  <si>
    <t>Schéma d’architecture cible</t>
  </si>
  <si>
    <t>Perte de cohérence du SI</t>
  </si>
  <si>
    <t>Augmentation des coûts de maintenance</t>
  </si>
  <si>
    <t>Aligner le projet avec l’urbanisation du SI</t>
  </si>
  <si>
    <t>Réutilisation des composants existants</t>
  </si>
  <si>
    <t>Des briques existantes sont-elles réutilisées ?</t>
  </si>
  <si>
    <t>Référentiel des composants SI</t>
  </si>
  <si>
    <t>Redondance fonctionnelle</t>
  </si>
  <si>
    <t>Favoriser la mutualisation des composants</t>
  </si>
  <si>
    <t>Compatibilité avec les normes SI internes</t>
  </si>
  <si>
    <t>La solution respecte-t-elle les normes SI de l’organisation ?</t>
  </si>
  <si>
    <t>Référentiel de normes internes</t>
  </si>
  <si>
    <t>Non-conformité technique</t>
  </si>
  <si>
    <t>Difficulté d’évolutivité</t>
  </si>
  <si>
    <t>Appliquer les standards techniques dès la conception</t>
  </si>
  <si>
    <t>Coordination avec la DSI</t>
  </si>
  <si>
    <t>Le projet est-il suivi techniquement par la DSI ?</t>
  </si>
  <si>
    <t>PV de suivi technique</t>
  </si>
  <si>
    <t>Isolement des équipes projet</t>
  </si>
  <si>
    <t>Maintenir une coordination étroite avec la DSI</t>
  </si>
  <si>
    <t>Adéquation fonctionnelle</t>
  </si>
  <si>
    <t>La solution proposée répond-elle aux besoins exprimés ?</t>
  </si>
  <si>
    <t>Cahier des charges fonctionnel</t>
  </si>
  <si>
    <t>Inadéquation entre solution et attentes</t>
  </si>
  <si>
    <t>Non-adhésion des utilisateurs</t>
  </si>
  <si>
    <t>Revoir les besoins avec les utilisateurs et ajuster la solution</t>
  </si>
  <si>
    <t>La solution est-elle techniquement réaliste et maîtrisable ?</t>
  </si>
  <si>
    <t>Étude de faisabilité</t>
  </si>
  <si>
    <t>Implémentation complexe</t>
  </si>
  <si>
    <t>Retards ou abandon de projet</t>
  </si>
  <si>
    <t>Évaluer systématiquement la faisabilité technique</t>
  </si>
  <si>
    <t>Prise en compte des contraintes opérationnelles</t>
  </si>
  <si>
    <t>Le cahier des charges intègre-t-il les contraintes de déploiement ?</t>
  </si>
  <si>
    <t>Cahier des charges détaillé</t>
  </si>
  <si>
    <t>Blocages en phase de mise en œuvre</t>
  </si>
  <si>
    <t>Problèmes en production</t>
  </si>
  <si>
    <t>Intégrer l’équipe d’exploitation dans la phase de cadrage</t>
  </si>
  <si>
    <t>Analyse des scénarios alternatifs</t>
  </si>
  <si>
    <t>Des scénarios alternatifs ont-ils été envisagés et comparés ?</t>
  </si>
  <si>
    <t>Étude comparative de solutions</t>
  </si>
  <si>
    <t>Mauvais choix stratégique</t>
  </si>
  <si>
    <t>Coûts supplémentaires pour réajuster</t>
  </si>
  <si>
    <t>Réaliser une analyse multicritère avant le choix</t>
  </si>
  <si>
    <t>Alignement avec les priorités métiers</t>
  </si>
  <si>
    <t>La solution respecte-t-elle les priorités métiers ?</t>
  </si>
  <si>
    <t>Cahier des charges validé par MOA</t>
  </si>
  <si>
    <t>Conflits d’usage ou de gestion</t>
  </si>
  <si>
    <t>Perte d’efficacité métier</t>
  </si>
  <si>
    <t>Co-construire la solution avec les représentants métiers</t>
  </si>
  <si>
    <t>Identification des utilisateurs cibles</t>
  </si>
  <si>
    <t>Les populations ciblées sont-elles clairement identifiées ?</t>
  </si>
  <si>
    <t>Analyse des parties prenantes</t>
  </si>
  <si>
    <t>Fonctionnalités inadaptées</t>
  </si>
  <si>
    <t>Rejet de la solution par certains profils</t>
  </si>
  <si>
    <t>Mener des ateliers utilisateurs en amont</t>
  </si>
  <si>
    <t>Hiérarchisation des besoins</t>
  </si>
  <si>
    <t>Les besoins sont-ils classés par ordre de priorité ?</t>
  </si>
  <si>
    <t>Cahier des charges utilisateur</t>
  </si>
  <si>
    <t>Focalisation sur des besoins secondaires</t>
  </si>
  <si>
    <t>Inefficacité fonctionnelle</t>
  </si>
  <si>
    <t>Prioriser les exigences en concertation avec les métiers</t>
  </si>
  <si>
    <t>Définition des options de gestion</t>
  </si>
  <si>
    <t>Les options de gestion sont-elles formalisées ?</t>
  </si>
  <si>
    <t>Document de gestion des processus</t>
  </si>
  <si>
    <t>Ambiguïté dans les processus métiers</t>
  </si>
  <si>
    <t>Mauvaise adoption opérationnelle</t>
  </si>
  <si>
    <t>Documenter clairement les choix de gestion retenus</t>
  </si>
  <si>
    <t>Validation par les utilisateurs</t>
  </si>
  <si>
    <t>Les exigences ont-elles été validées par les utilisateurs finaux ?</t>
  </si>
  <si>
    <t>PV de validation ou comptes rendus d’ateliers</t>
  </si>
  <si>
    <t>Mauvaise prise en compte des besoins réels</t>
  </si>
  <si>
    <t>Révision tardive du projet</t>
  </si>
  <si>
    <t>Intégrer des points de validation utilisateurs à chaque phase</t>
  </si>
  <si>
    <t>Documentation des exigences</t>
  </si>
  <si>
    <t>Les exigences sont-elles documentées de manière structurée ?</t>
  </si>
  <si>
    <t>Cahier des exigences utilisateur</t>
  </si>
  <si>
    <t>Perte d’information ou oubli de besoins</t>
  </si>
  <si>
    <t>Spécification incomplète</t>
  </si>
  <si>
    <t>Utiliser un modèle structuré pour la rédaction des exigences</t>
  </si>
  <si>
    <t>Existence du planning directeur</t>
  </si>
  <si>
    <t>Le planning directeur du projet existe-t-il ?</t>
  </si>
  <si>
    <t>Planning directeur validé</t>
  </si>
  <si>
    <t>Retards ou chevauchements d'activités</t>
  </si>
  <si>
    <t>Mettre à jour régulièrement le planning</t>
  </si>
  <si>
    <t>Le planning est-il communiqué à toutes les parties prenantes ?</t>
  </si>
  <si>
    <t>Emails de diffusion, CR de réunion</t>
  </si>
  <si>
    <t>Risques de désalignement entre équipes</t>
  </si>
  <si>
    <t>Formaliser la communication du planning</t>
  </si>
  <si>
    <t>Répartition des jalons</t>
  </si>
  <si>
    <t>Les jalons majeurs sont-ils identifiés dans le planning ?</t>
  </si>
  <si>
    <t>Planning projet</t>
  </si>
  <si>
    <t>Difficulté de pilotage</t>
  </si>
  <si>
    <t>Non-respect des délais critiques</t>
  </si>
  <si>
    <t>Définir des points de contrôle réguliers</t>
  </si>
  <si>
    <t>Mise à jour du planning</t>
  </si>
  <si>
    <t>Le planning est-il révisé à chaque changement majeur ?</t>
  </si>
  <si>
    <t>Historique des versions du planning</t>
  </si>
  <si>
    <t>Incohérences projet / terrain</t>
  </si>
  <si>
    <t>Décalage entre planification et exécution</t>
  </si>
  <si>
    <t>Mettre en place un processus de mise à jour continue</t>
  </si>
  <si>
    <t>Alignement avec les autres plannings</t>
  </si>
  <si>
    <t>Le planning est-il synchronisé avec ceux des autres projets liés ?</t>
  </si>
  <si>
    <t>Plannings des projets connexes</t>
  </si>
  <si>
    <t>Dérives budgétaires ou temporelles</t>
  </si>
  <si>
    <t>Instaurer une revue croisée des plannings</t>
  </si>
  <si>
    <t>Le plan de projet initial existe-t-il ?</t>
  </si>
  <si>
    <t>Plan de projet validé</t>
  </si>
  <si>
    <t>Absence de ligne directrice</t>
  </si>
  <si>
    <t>Projet mal cadré ou désorganisé</t>
  </si>
  <si>
    <t>Élaborer le plan avant tout démarrage</t>
  </si>
  <si>
    <t>Contenu structuré</t>
  </si>
  <si>
    <t>Le plan couvre-t-il les aspects budget, délai, risques, qualité ?</t>
  </si>
  <si>
    <t>Plan projet détaillé</t>
  </si>
  <si>
    <t>Mauvaise anticipation</t>
  </si>
  <si>
    <t>Réajustements fréquents</t>
  </si>
  <si>
    <t>Utiliser un modèle structuré et validé</t>
  </si>
  <si>
    <t>Le plan est-il validé par toutes les parties prenantes ?</t>
  </si>
  <si>
    <t>Manque d’adhésion</t>
  </si>
  <si>
    <t>Blocages ou tensions en cours de projet</t>
  </si>
  <si>
    <t>Organiser une réunion de validation collective</t>
  </si>
  <si>
    <t>Mise à jour</t>
  </si>
  <si>
    <t>Le plan a-t-il été mis à jour suite à des changements de contexte ?</t>
  </si>
  <si>
    <t>Mauvais alignement avec la réalité</t>
  </si>
  <si>
    <t>Prévoir une revue périodique du plan</t>
  </si>
  <si>
    <t>Référencement</t>
  </si>
  <si>
    <t>Le plan est-il référencé dans les outils de gestion de projet ?</t>
  </si>
  <si>
    <t>Non-consultation du plan</t>
  </si>
  <si>
    <t>Informations oubliées ou ignorées</t>
  </si>
  <si>
    <t>Centraliser tous les documents de pilotage</t>
  </si>
  <si>
    <t>Révision périodique</t>
  </si>
  <si>
    <t>Le plan de projet est-il révisé périodiquement ?</t>
  </si>
  <si>
    <t>Retards dans les ajustements</t>
  </si>
  <si>
    <t>Inadéquation entre le plan et l’avancement réel</t>
  </si>
  <si>
    <t>Mettre en place des révisions régulières (mensuelles)</t>
  </si>
  <si>
    <t>Prise en compte des imprévus</t>
  </si>
  <si>
    <t>Les modifications imprévues sont-elles prises en compte dans les révisions ?</t>
  </si>
  <si>
    <t>Journaux de modifications</t>
  </si>
  <si>
    <t>Non-prise en compte des imprévus</t>
  </si>
  <si>
    <t>Risque de déviation par rapport aux objectifs</t>
  </si>
  <si>
    <t>Intégrer un processus de gestion des changements dans le plan</t>
  </si>
  <si>
    <t>Appropriabilité des révisions</t>
  </si>
  <si>
    <t>Les révisions sont-elles comprises et acceptées par toutes les parties prenantes ?</t>
  </si>
  <si>
    <t>PV de révision, communications</t>
  </si>
  <si>
    <t>Non-adhésion des parties prenantes</t>
  </si>
  <si>
    <t>Blocage ou mauvaise coopération</t>
  </si>
  <si>
    <t>Organiser des sessions de validation après chaque révision</t>
  </si>
  <si>
    <t>Impact des révisions</t>
  </si>
  <si>
    <t>Les révisions ont-elles un impact sur le calendrier global ?</t>
  </si>
  <si>
    <t>Plan révisé et plan d’action</t>
  </si>
  <si>
    <t>Décalage de délais</t>
  </si>
  <si>
    <t>Risques de retard ou de dépassement</t>
  </si>
  <si>
    <t>Analyser l’impact des révisions sur les délais avant validation</t>
  </si>
  <si>
    <t>Suivi des révisions</t>
  </si>
  <si>
    <t>Les révisions sont-elles suivies de manière proactive ?</t>
  </si>
  <si>
    <t>Liste de suivi des actions</t>
  </si>
  <si>
    <t>Rejets ou oublis dans l’exécution</t>
  </si>
  <si>
    <t>Mettre en place un suivi formalisé des actions après chaque révision</t>
  </si>
  <si>
    <t>Existence de plans détaillés</t>
  </si>
  <si>
    <t>Des plans détaillés pour chaque domaine (budget, ressources, risques) existent-ils ?</t>
  </si>
  <si>
    <t>Plans détaillés validés</t>
  </si>
  <si>
    <t>Absence de détails opérationnels</t>
  </si>
  <si>
    <t>Difficulté d’exécution, imprévus</t>
  </si>
  <si>
    <t>Déléguer des responsables pour chaque domaine spécifique</t>
  </si>
  <si>
    <t>Détail des ressources</t>
  </si>
  <si>
    <t>Les ressources humaines et matérielles nécessaires sont-elles clairement définies ?</t>
  </si>
  <si>
    <t>Planning de ressources</t>
  </si>
  <si>
    <t>Manque de ressources, surcharges</t>
  </si>
  <si>
    <t>Incapacité à respecter le planning</t>
  </si>
  <si>
    <t>Mettre à jour la planification des ressources selon les besoins</t>
  </si>
  <si>
    <t>Allocation des tâches</t>
  </si>
  <si>
    <t>Les tâches sont-elles bien réparties et assignées à des responsables spécifiques ?</t>
  </si>
  <si>
    <t>Grille de répartition des tâches</t>
  </si>
  <si>
    <t>Confusion dans les responsabilités</t>
  </si>
  <si>
    <t>Tâches non réalisées ou mal réalisées</t>
  </si>
  <si>
    <t>Revue périodique de la répartition des tâches</t>
  </si>
  <si>
    <t>Validation des plans</t>
  </si>
  <si>
    <t>Les plans détaillés ont-ils été validés par toutes les parties prenantes ?</t>
  </si>
  <si>
    <t>Dérives, mauvaise coopération</t>
  </si>
  <si>
    <t>Assurer une validation par toutes les parties prenantes</t>
  </si>
  <si>
    <t>Suivi des plans</t>
  </si>
  <si>
    <t>Un suivi des plans détaillés est-il effectué pour s’assurer qu’ils sont respectés ?</t>
  </si>
  <si>
    <t>Tableau de bord de suivi</t>
  </si>
  <si>
    <t>Non-respect des délais ou budget</t>
  </si>
  <si>
    <t>Risques de dépassement de budget ou de temps</t>
  </si>
  <si>
    <t>Mettre en place un tableau de bord de suivi quotidien</t>
  </si>
  <si>
    <t>Les plans sont-ils révisés régulièrement en fonction de l’évolution du projet ?</t>
  </si>
  <si>
    <t>Journal des révisions</t>
  </si>
  <si>
    <t>Retards dans l’adaptation</t>
  </si>
  <si>
    <t>Risques de mauvaise gestion du projet</t>
  </si>
  <si>
    <t>Prévoir des révisions chaque mois ou dès qu'un changement majeur se produit</t>
  </si>
  <si>
    <t>Adaptation aux changements</t>
  </si>
  <si>
    <t>Les révisions intègrent-elles les changements internes et externes ?</t>
  </si>
  <si>
    <t>Plan de révision avec impact</t>
  </si>
  <si>
    <t>Non-prise en compte des changements</t>
  </si>
  <si>
    <t>Dérives et blocages</t>
  </si>
  <si>
    <t>Mettre en place un processus de gestion des modifications</t>
  </si>
  <si>
    <t>Suivi des impacts</t>
  </si>
  <si>
    <t>L'impact des révisions sur les coûts et les délais est-il suivi ?</t>
  </si>
  <si>
    <t>Rapport d’impact de révision</t>
  </si>
  <si>
    <t>Non-respect des nouveaux délais</t>
  </si>
  <si>
    <t>Augmentation des coûts et des délais</t>
  </si>
  <si>
    <t>Définir un suivi précis de l’impact des révisions</t>
  </si>
  <si>
    <t>Les révisions sont-elles communiquées à tous les acteurs du projet ?</t>
  </si>
  <si>
    <t>Désalignement des parties prenantes</t>
  </si>
  <si>
    <t>Conflits et confusion</t>
  </si>
  <si>
    <t>Organiser des réunions de présentation des révisions</t>
  </si>
  <si>
    <t>Formalisation des révisions</t>
  </si>
  <si>
    <t>Les révisions sont-elles bien documentées et archivées ?</t>
  </si>
  <si>
    <t>Archivage des révisions</t>
  </si>
  <si>
    <t>Pertes de révisions précédentes</t>
  </si>
  <si>
    <t>Mettre en place un système de gestion documentaire centralisé</t>
  </si>
  <si>
    <t>Formalisation de la structure</t>
  </si>
  <si>
    <t>La structure de pilotage est-elle formalisée et documentée ?</t>
  </si>
  <si>
    <t>Organigramme, documents de gouvernance</t>
  </si>
  <si>
    <t>Confusion des rôles et responsabilités</t>
  </si>
  <si>
    <t>Mettre à jour régulièrement la documentation</t>
  </si>
  <si>
    <t>Communication de la structure</t>
  </si>
  <si>
    <t>La structure de pilotage est-elle bien communiquée à tous les acteurs ?</t>
  </si>
  <si>
    <t>Note de communication interne</t>
  </si>
  <si>
    <t>Conflits ou actions en décalage avec la stratégie</t>
  </si>
  <si>
    <t>Organiser des réunions régulières pour clarifier les rôles</t>
  </si>
  <si>
    <t>Accessibilité de l’information</t>
  </si>
  <si>
    <t>Les informations sur la structure de pilotage sont-elles facilement accessibles ?</t>
  </si>
  <si>
    <t>Intranet ou manuel de gouvernance</t>
  </si>
  <si>
    <t>Difficulté d’accès à l’information</t>
  </si>
  <si>
    <t>Lenteur de décision</t>
  </si>
  <si>
    <t>Créer un accès centralisé à la documentation</t>
  </si>
  <si>
    <t>La structure de pilotage prend-elle en compte toutes les parties prenantes ?</t>
  </si>
  <si>
    <t>Liste des parties prenantes, organigramme</t>
  </si>
  <si>
    <t>Exclusion de parties prenantes clés</t>
  </si>
  <si>
    <t>Retards ou mauvaise direction stratégique</t>
  </si>
  <si>
    <t>Revoir la structure pour s'assurer de la représentation de tous les acteurs</t>
  </si>
  <si>
    <t>Evolution de la structure</t>
  </si>
  <si>
    <t>La structure de pilotage est-elle revue lors de changements majeurs dans le projet ?</t>
  </si>
  <si>
    <t>Non-adaptation de la structure</t>
  </si>
  <si>
    <t>Dysfonctionnements en cas de réajustement nécessaire</t>
  </si>
  <si>
    <t>Mettre en place une révision régulière de la structure</t>
  </si>
  <si>
    <t>Clarté des délégations</t>
  </si>
  <si>
    <t>Les niveaux de délégation sont-ils clairement définis ?</t>
  </si>
  <si>
    <t>Organigramme avec niveaux de délégation</t>
  </si>
  <si>
    <t>Ambiguïté sur les responsabilités</t>
  </si>
  <si>
    <t>Retards, manque de direction</t>
  </si>
  <si>
    <t>Clarifier les niveaux de délégation dans la documentation</t>
  </si>
  <si>
    <t>Acceptation des délégations</t>
  </si>
  <si>
    <t>Les responsables acceptent-ils et comprennent-ils leurs délégations ?</t>
  </si>
  <si>
    <t>PV de réunion, courriers de confirmation</t>
  </si>
  <si>
    <t>Rejet des responsabilités</t>
  </si>
  <si>
    <t>Blocage de l'avancement du projet</t>
  </si>
  <si>
    <t>Confirmer l’acceptation formelle des délégations par les acteurs</t>
  </si>
  <si>
    <t>Communication des délégations</t>
  </si>
  <si>
    <t>Les délégations sont-elles communiquées de manière efficace ?</t>
  </si>
  <si>
    <t>Liste de diffusion, emails</t>
  </si>
  <si>
    <t>Délégations non suivies</t>
  </si>
  <si>
    <t>Incohérence dans les décisions</t>
  </si>
  <si>
    <t>Organiser des réunions de clarification des délégations</t>
  </si>
  <si>
    <t>Suivi des délégations</t>
  </si>
  <si>
    <t>Un suivi est-il effectué pour vérifier la bonne exécution des délégations ?</t>
  </si>
  <si>
    <t>Tableau de suivi des délégations</t>
  </si>
  <si>
    <t>Mauvais contrôle des actions</t>
  </si>
  <si>
    <t>Risques de non-exécution</t>
  </si>
  <si>
    <t>Mettre en place un tableau de suivi et une vérification régulière</t>
  </si>
  <si>
    <t>Mise à jour des délégations</t>
  </si>
  <si>
    <t>Les délégations sont-elles régulièrement mises à jour ?</t>
  </si>
  <si>
    <t>Historique des délégations</t>
  </si>
  <si>
    <t>Non-adaptation aux évolutions du projet</t>
  </si>
  <si>
    <t>Problèmes de gestion de projet</t>
  </si>
  <si>
    <t>Intégrer une révision régulière des délégations dans les réunions</t>
  </si>
  <si>
    <t>Atteinte des objectifs</t>
  </si>
  <si>
    <t>Les objectifs des délégations sont-ils atteints dans les délais ?</t>
  </si>
  <si>
    <t>Rapport de suivi des objectifs</t>
  </si>
  <si>
    <t>Non-atteinte des objectifs</t>
  </si>
  <si>
    <t>Retards, non-atteinte des résultats</t>
  </si>
  <si>
    <t>Organiser des points de suivi réguliers pour évaluer les progrès</t>
  </si>
  <si>
    <t>Contrôle de performance</t>
  </si>
  <si>
    <t>Des indicateurs de performance ont-ils été définis pour chaque délégation ?</t>
  </si>
  <si>
    <t>KPI définis, rapports d’avancement</t>
  </si>
  <si>
    <t>Manque de performance mesurable</t>
  </si>
  <si>
    <t>Difficulté d’évaluer l’efficacité des actions</t>
  </si>
  <si>
    <t>Définir des indicateurs mesurables et clairs pour chaque délégation</t>
  </si>
  <si>
    <t>Suivi de l'avancement</t>
  </si>
  <si>
    <t>L’avancement des actions déléguées est-il régulièrement suivi ?</t>
  </si>
  <si>
    <t>Retards ou actions non réalisées</t>
  </si>
  <si>
    <t>Risque de retard sur l'ensemble du projet</t>
  </si>
  <si>
    <t>Assurer un suivi hebdomadaire de l’avancement des délégations</t>
  </si>
  <si>
    <t>Réajustement des actions</t>
  </si>
  <si>
    <t>Les actions sont-elles réajustées en cas de non-atteinte des objectifs ?</t>
  </si>
  <si>
    <t>Compte rendu de réunion, plan d’action</t>
  </si>
  <si>
    <t>Non-ajustement des actions</t>
  </si>
  <si>
    <t>Impact négatif sur le projet</t>
  </si>
  <si>
    <t>Créer un plan d’action en cas de retard ou d’échec de délégation</t>
  </si>
  <si>
    <t>Validation des résultats</t>
  </si>
  <si>
    <t>Les résultats des délégations sont-ils validés par les parties prenantes ?</t>
  </si>
  <si>
    <t>Validation des livrables</t>
  </si>
  <si>
    <t>Résultats non validés</t>
  </si>
  <si>
    <t>Non-conformité des livrables</t>
  </si>
  <si>
    <t>Impliquer systématiquement les parties prenantes dans la validation</t>
  </si>
  <si>
    <t>Existence d'un comité</t>
  </si>
  <si>
    <t>Un comité de pilotage existe-t-il pour superviser le projet ?</t>
  </si>
  <si>
    <t>Liste des membres du comité</t>
  </si>
  <si>
    <t>Absence de supervision</t>
  </si>
  <si>
    <t>Mauvaise direction stratégique</t>
  </si>
  <si>
    <t>Former un comité de pilotage avec des responsables clés</t>
  </si>
  <si>
    <t>Rôle du comité</t>
  </si>
  <si>
    <t>Le rôle du comité de pilotage est-il bien défini et compris ?</t>
  </si>
  <si>
    <t>Charte du comité de pilotage</t>
  </si>
  <si>
    <t>Ambiguïté sur les rôles</t>
  </si>
  <si>
    <t>Définir clairement les attributions et responsabilités</t>
  </si>
  <si>
    <t>Réunions régulières</t>
  </si>
  <si>
    <t>Le comité de pilotage se réunit-il régulièrement pour faire le point sur l’avancement ?</t>
  </si>
  <si>
    <t>PV des réunions</t>
  </si>
  <si>
    <t>Dérives, perte de cohésion</t>
  </si>
  <si>
    <t>Programmer des réunions régulières, documenter les décisions</t>
  </si>
  <si>
    <t>Prise de décision</t>
  </si>
  <si>
    <t>Les décisions prises par le comité sont-elles exécutées efficacement ?</t>
  </si>
  <si>
    <t>Compte-rendu des décisions</t>
  </si>
  <si>
    <t>Lenteur dans la mise en œuvre des décisions</t>
  </si>
  <si>
    <t>Décisions non mises en œuvre</t>
  </si>
  <si>
    <t>Mettre en place un suivi strict des décisions du comité</t>
  </si>
  <si>
    <t>Communication avec l'équipe</t>
  </si>
  <si>
    <t>Le comité de pilotage communique-t-il efficacement avec les autres parties prenantes ?</t>
  </si>
  <si>
    <t>Rapports de communication</t>
  </si>
  <si>
    <t>Désalignement avec l'équipe</t>
  </si>
  <si>
    <t>Mauvaise coordination, erreurs dans les actions</t>
  </si>
  <si>
    <t>Améliorer la communication entre le comité et l’équipe projet</t>
  </si>
  <si>
    <t>Existence du comité</t>
  </si>
  <si>
    <t>Un comité de projet existe-t-il pour gérer les opérations quotidiennes ?</t>
  </si>
  <si>
    <t>Désorganisation du projet</t>
  </si>
  <si>
    <t>Créer un comité avec des représentants des différentes équipes</t>
  </si>
  <si>
    <t>Fréquence des réunions</t>
  </si>
  <si>
    <t>Le comité de projet se réunit-il régulièrement pour faire un suivi ?</t>
  </si>
  <si>
    <t>Agenda des réunions</t>
  </si>
  <si>
    <t>Non-suivi des actions</t>
  </si>
  <si>
    <t>Déviation du projet par rapport aux objectifs</t>
  </si>
  <si>
    <t>Programmer des réunions régulières de suivi</t>
  </si>
  <si>
    <t>Prise en charge des actions</t>
  </si>
  <si>
    <t>Les actions décidées par le comité de projet sont-elles prises en charge et suivies ?</t>
  </si>
  <si>
    <t>Plan d’action du comité</t>
  </si>
  <si>
    <t>Action tardive ou non réalisée</t>
  </si>
  <si>
    <t>Délai d’exécution, baisse de performance</t>
  </si>
  <si>
    <t>Suivre rigoureusement les décisions et assigner des responsables pour chaque action</t>
  </si>
  <si>
    <t>Les rôles au sein du comité de projet sont-ils clairement définis ?</t>
  </si>
  <si>
    <t>Charte de gouvernance du projet</t>
  </si>
  <si>
    <t>Ambiguïté dans la répartition des tâches</t>
  </si>
  <si>
    <t>Clarifier les rôles de chaque membre dans le comité</t>
  </si>
  <si>
    <t>Le comité de projet est-il aligné avec les objectifs stratégiques de l’organisation ?</t>
  </si>
  <si>
    <t>Compte-rendu de réunion, stratégie de projet</t>
  </si>
  <si>
    <t>Manque de vision stratégique</t>
  </si>
  <si>
    <t>Erreurs dans les priorités, échec du projet</t>
  </si>
  <si>
    <t>Assurer un alignement périodique avec la stratégie organisationnelle</t>
  </si>
  <si>
    <t>Clarté de la méthode</t>
  </si>
  <si>
    <t>La méthode de conduite de projet est-elle clairement définie et partagée avec tous les acteurs ?</t>
  </si>
  <si>
    <t>Document de la méthode de conduite de projet</t>
  </si>
  <si>
    <t>Mauvaise compréhension de la méthode</t>
  </si>
  <si>
    <t>Retards, confusion, incohérence</t>
  </si>
  <si>
    <t>Formaliser et diffuser la méthode de manière claire et compréhensible</t>
  </si>
  <si>
    <t>Application uniforme</t>
  </si>
  <si>
    <t>La méthode est-elle appliquée de manière uniforme par tous les membres de l’équipe ?</t>
  </si>
  <si>
    <t>Rapports de suivi de projet</t>
  </si>
  <si>
    <t>Application inégale de la méthode</t>
  </si>
  <si>
    <t>Retards et erreurs dans l’exécution du projet</t>
  </si>
  <si>
    <t>Former tous les membres sur la méthode et réaliser des suivis réguliers</t>
  </si>
  <si>
    <t>Respect des étapes</t>
  </si>
  <si>
    <t>Les étapes définies par la méthode sont-elles respectées tout au long du projet ?</t>
  </si>
  <si>
    <t>Plan du projet et rapport d’avancement</t>
  </si>
  <si>
    <t>Non-respect des étapes</t>
  </si>
  <si>
    <t>Dérive du projet, retards</t>
  </si>
  <si>
    <t>Mettre en place des contrôles réguliers pour s’assurer du respect des étapes</t>
  </si>
  <si>
    <t>Suivi de la méthode</t>
  </si>
  <si>
    <t>Des outils sont-ils utilisés pour suivre l’application de la méthode dans le projet ?</t>
  </si>
  <si>
    <t>Outils de suivi du projet</t>
  </si>
  <si>
    <t>Non-suivi de la méthode</t>
  </si>
  <si>
    <t>Manque de visibilité sur l’évolution du projet</t>
  </si>
  <si>
    <t>Implémenter des outils de suivi pour mesurer l’efficacité de la méthode</t>
  </si>
  <si>
    <t>La méthode fait-elle l’objet de révisions pour l’améliorer en fonction de l’expérience ?</t>
  </si>
  <si>
    <t>Rapport d’analyse de révision de la méthode</t>
  </si>
  <si>
    <t>Méthode obsolète</t>
  </si>
  <si>
    <t>Processus de gestion de projet inefficace à long terme</t>
  </si>
  <si>
    <t>Organiser des revues régulières pour améliorer la méthode</t>
  </si>
  <si>
    <t>Détail des tâches</t>
  </si>
  <si>
    <t>Le projet est-il découpé en tâches claires et précises ?</t>
  </si>
  <si>
    <t>Plan de découpage des tâches</t>
  </si>
  <si>
    <t>Tâches mal définies</t>
  </si>
  <si>
    <t>Confusion, erreurs dans l'exécution</t>
  </si>
  <si>
    <t>Clarifier et détailler les tâches dès le début du projet</t>
  </si>
  <si>
    <t>Attribution des tâches</t>
  </si>
  <si>
    <t>Les responsabilités pour chaque tâche sont-elles bien attribuées ?</t>
  </si>
  <si>
    <t>Organigramme, tableau des responsabilités</t>
  </si>
  <si>
    <t>Retards et non-exécution des tâches</t>
  </si>
  <si>
    <t>Assurer une attribution claire et officielle des tâches</t>
  </si>
  <si>
    <t>Suivi des tâches</t>
  </si>
  <si>
    <t>Un système de suivi des tâches est-il en place ?</t>
  </si>
  <si>
    <t>Outil de gestion de tâches</t>
  </si>
  <si>
    <t>Manque de visibilité sur l’avancement</t>
  </si>
  <si>
    <t>Difficulté à suivre le progrès du projet</t>
  </si>
  <si>
    <t>Mettre en place un outil de gestion de tâches avec des rapports réguliers</t>
  </si>
  <si>
    <t>Estimation des durées</t>
  </si>
  <si>
    <t>La durée de chaque tâche a-t-elle été estimée de manière réaliste ?</t>
  </si>
  <si>
    <t>Calendrier des tâches</t>
  </si>
  <si>
    <t>Mauvaise estimation des délais</t>
  </si>
  <si>
    <t>Retards dans la livraison du projet</t>
  </si>
  <si>
    <t>Utiliser des outils d’estimation fiables et ajuster les délais si nécessaire</t>
  </si>
  <si>
    <t>Réévaluation des tâches</t>
  </si>
  <si>
    <t>Les tâches sont-elles réévaluées en fonction des changements dans le projet ?</t>
  </si>
  <si>
    <t>Rapport d’évaluation des tâches</t>
  </si>
  <si>
    <t>Ignorance des ajustements nécessaires</t>
  </si>
  <si>
    <t>Non-adaptation aux besoins du projet</t>
  </si>
  <si>
    <t>Mettre en place des révisions régulières pour adapter les tâches en fonction des besoins</t>
  </si>
  <si>
    <t>Clarté des responsabilités</t>
  </si>
  <si>
    <t>Les responsabilités sont-elles clairement définies pour chaque tâche ?</t>
  </si>
  <si>
    <t>Plan de projet, tableau des responsabilités</t>
  </si>
  <si>
    <t>Ambiguïté dans les responsabilités</t>
  </si>
  <si>
    <t>Erreurs, omissions, et retard du projet</t>
  </si>
  <si>
    <t>Clarifier les responsabilités dès le début et vérifier leur conformité</t>
  </si>
  <si>
    <t>Communication des responsabilités</t>
  </si>
  <si>
    <t>Les responsabilités sont-elles communiquées à tous les acteurs ?</t>
  </si>
  <si>
    <t>Compte-rendu de réunion, emails de notification</t>
  </si>
  <si>
    <t>Mauvaise coordination entre les membres</t>
  </si>
  <si>
    <t>Non-exécution des tâches, confusion</t>
  </si>
  <si>
    <t>Assurer la diffusion des informations sur les responsabilités à l’ensemble des acteurs</t>
  </si>
  <si>
    <t>Suivi de la responsabilité</t>
  </si>
  <si>
    <t>Y a-t-il un mécanisme en place pour suivre l’accomplissement des responsabilités ?</t>
  </si>
  <si>
    <t>Outil de suivi des tâches</t>
  </si>
  <si>
    <t>Absence de contrôle</t>
  </si>
  <si>
    <t>Non-respect des responsabilités et des délais</t>
  </si>
  <si>
    <t>Implémenter un système de suivi des responsabilités</t>
  </si>
  <si>
    <t>Responsabilité en cas de déviation</t>
  </si>
  <si>
    <t>Les responsables sont-ils tenus responsables des déviations dans le projet ?</t>
  </si>
  <si>
    <t>Rapport de gestion des déviations</t>
  </si>
  <si>
    <t>Absence de sanctions</t>
  </si>
  <si>
    <t>Manque de responsabilisation et démotivation</t>
  </si>
  <si>
    <t>Mettre en place un système de suivi des déviations et de responsabilité</t>
  </si>
  <si>
    <t>Les responsabilités sont-elles ajustées en fonction des changements dans le projet ?</t>
  </si>
  <si>
    <t>Document de révision des responsabilités</t>
  </si>
  <si>
    <t>Tâches non adaptées aux nouvelles situations</t>
  </si>
  <si>
    <t>Inefficacité dans l’accomplissement des tâches</t>
  </si>
  <si>
    <t>Mettre en place des révisions régulières des responsabilités en fonction des changements</t>
  </si>
  <si>
    <t>Identification des points de contrôle</t>
  </si>
  <si>
    <t>Les points de contrôle sont-ils définis clairement dans le projet ?</t>
  </si>
  <si>
    <t>Plan de projet avec points de contrôle</t>
  </si>
  <si>
    <t>Absence de points de contrôle</t>
  </si>
  <si>
    <t>Manque de visibilité sur les progrès</t>
  </si>
  <si>
    <t>Définir des points de contrôle spécifiques et les documenter</t>
  </si>
  <si>
    <t>Les livrables sont-ils clairement définis et validés avant d’être considérés comme terminés ?</t>
  </si>
  <si>
    <t>Document de validation des livrables</t>
  </si>
  <si>
    <t>Livrables non validés</t>
  </si>
  <si>
    <t>Livrables incomplets ou non conformes</t>
  </si>
  <si>
    <t>Mettre en place une procédure de validation formelle pour chaque livrable</t>
  </si>
  <si>
    <t>Suivi des livrables</t>
  </si>
  <si>
    <t>Y a-t-il un suivi régulier des livrables en termes de qualité et de délais ?</t>
  </si>
  <si>
    <t>Rapport de suivi des livrables</t>
  </si>
  <si>
    <t>Retards ou non-qualité des livrables</t>
  </si>
  <si>
    <t>Mettre en place un mécanisme de suivi régulier des livrables</t>
  </si>
  <si>
    <t>Contrôle de la qualité des livrables</t>
  </si>
  <si>
    <t>La qualité des livrables est-elle contrôlée avant leur livraison ?</t>
  </si>
  <si>
    <t>Rapports de contrôle qualité</t>
  </si>
  <si>
    <t>Livrables de mauvaise qualité</t>
  </si>
  <si>
    <t>Non-conformité aux exigences</t>
  </si>
  <si>
    <t>Intégrer des contrôles de qualité stricts avant chaque livraison</t>
  </si>
  <si>
    <t>Révision des livrables</t>
  </si>
  <si>
    <t>Les livrables sont-ils révisés après chaque phase du projet ?</t>
  </si>
  <si>
    <t>Plan de révision des livrables</t>
  </si>
  <si>
    <t>Livrables non ajustés</t>
  </si>
  <si>
    <t>Risque de décalage entre les livrables et les attentes</t>
  </si>
  <si>
    <t>Mettre en place un processus de révision des livrables après chaque phase importante</t>
  </si>
  <si>
    <t>Enregistrement des temps</t>
  </si>
  <si>
    <t>Les temps passés sur chaque tâche sont-ils bien enregistrés ?</t>
  </si>
  <si>
    <t>Feuilles de temps</t>
  </si>
  <si>
    <t>Non-enregistrement des temps</t>
  </si>
  <si>
    <t>Difficulté à suivre la charge de travail</t>
  </si>
  <si>
    <t>Mettre en place une procédure obligatoire d’enregistrement des temps</t>
  </si>
  <si>
    <t>Suivi des écarts de temps</t>
  </si>
  <si>
    <t>Y a-t-il un suivi des écarts entre le temps prévu et le temps réel pour chaque tâche ?</t>
  </si>
  <si>
    <t>Rapports de suivi du temps</t>
  </si>
  <si>
    <t>Écarts non détectés</t>
  </si>
  <si>
    <t>Surcoût et dépassement des délais</t>
  </si>
  <si>
    <t>Mettre en place un suivi des écarts de temps avec des actions correctives</t>
  </si>
  <si>
    <t>Précision du reporting</t>
  </si>
  <si>
    <t>Les feuilles de temps sont-elles précises et détaillées ?</t>
  </si>
  <si>
    <t>Feuille de temps détaillée</t>
  </si>
  <si>
    <t>Données inexactes</t>
  </si>
  <si>
    <t>Mauvaise planification et estimation des ressources</t>
  </si>
  <si>
    <t>Imposer des feuilles de temps détaillées et régulières</t>
  </si>
  <si>
    <t>Révision des temps</t>
  </si>
  <si>
    <t>Les temps sont-ils révisés régulièrement pour vérifier leur conformité avec le plan initial ?</t>
  </si>
  <si>
    <t>Rapport de révision des temps</t>
  </si>
  <si>
    <t>Mauvaise gestion du temps</t>
  </si>
  <si>
    <t>Retards accumulés non identifiés</t>
  </si>
  <si>
    <t>Instaurer des révisions régulières des temps passés</t>
  </si>
  <si>
    <t>Utilisation des données de temps</t>
  </si>
  <si>
    <t>Les données de temps sont-elles utilisées pour optimiser les futures tâches ?</t>
  </si>
  <si>
    <t>Rapports d’analyse de temps</t>
  </si>
  <si>
    <t>Non-utilisation des données</t>
  </si>
  <si>
    <t>Perte d’opportunités d’amélioration</t>
  </si>
  <si>
    <t>Exploiter les données de temps pour améliorer les futures estimations</t>
  </si>
  <si>
    <t>Existence du dispositif</t>
  </si>
  <si>
    <t>Existe-t-il un dispositif d’assurance qualité formalisé et documenté ?</t>
  </si>
  <si>
    <t>Document d’assurance qualité</t>
  </si>
  <si>
    <t>Absence de dispositif</t>
  </si>
  <si>
    <t>Développer et diffuser un dispositif formel d’assurance qualité</t>
  </si>
  <si>
    <t>Précision des critères</t>
  </si>
  <si>
    <t>Les critères de qualité sont-ils clairement définis dans le dispositif ?</t>
  </si>
  <si>
    <t>Plan qualité</t>
  </si>
  <si>
    <t>Critères flous ou imprécis</t>
  </si>
  <si>
    <t>Livraison de produits non conformes</t>
  </si>
  <si>
    <t>Clarifier et formaliser les critères de qualité dans le dispositif</t>
  </si>
  <si>
    <t>Formation sur le dispositif</t>
  </si>
  <si>
    <t>Les acteurs du projet sont-ils formés à l’utilisation du dispositif d’assurance qualité ?</t>
  </si>
  <si>
    <t>Rapports de formation</t>
  </si>
  <si>
    <t>Manque de compétence en qualité</t>
  </si>
  <si>
    <t>Non-application des critères de qualité</t>
  </si>
  <si>
    <t>Organiser des sessions de formation régulières pour les équipes</t>
  </si>
  <si>
    <t>Suivi de la qualité</t>
  </si>
  <si>
    <t>Y a-t-il des outils en place pour suivre l’application de l’assurance qualité pendant le projet ?</t>
  </si>
  <si>
    <t>Outil de suivi de qualité</t>
  </si>
  <si>
    <t>Problèmes de qualité non détectés</t>
  </si>
  <si>
    <t>Mettre en place un outil de suivi de qualité et faire des audits réguliers</t>
  </si>
  <si>
    <t>Révision du dispositif</t>
  </si>
  <si>
    <t>Le dispositif d’assurance qualité est-il régulièrement révisé pour s’adapter aux évolutions du projet ?</t>
  </si>
  <si>
    <t>Rapport de révision</t>
  </si>
  <si>
    <t>Dispositif obsolète</t>
  </si>
  <si>
    <t>Inefficacité de l’assurance qualité à long terme</t>
  </si>
  <si>
    <t>Organiser des révisions périodiques du dispositif pour le rendre plus adapté</t>
  </si>
  <si>
    <t>Existence du manuel</t>
  </si>
  <si>
    <t>Existe-t-il un manuel d’assurance qualité formalisé pour l’entité ?</t>
  </si>
  <si>
    <t>Manuel d'assurance qualité</t>
  </si>
  <si>
    <t>Absence de manuel</t>
  </si>
  <si>
    <t>Absence de ligne directrice pour la qualité</t>
  </si>
  <si>
    <t>Créer et formaliser un manuel d’assurance qualité</t>
  </si>
  <si>
    <t>Mise à jour du manuel</t>
  </si>
  <si>
    <t>Le manuel d’assurance qualité est-il mis à jour régulièrement ?</t>
  </si>
  <si>
    <t>Version actualisée du manuel</t>
  </si>
  <si>
    <t>Manuel obsolète</t>
  </si>
  <si>
    <t>Mauvaise application des standards de qualité</t>
  </si>
  <si>
    <t>Mettre à jour le manuel selon les évolutions de la méthode et des processus</t>
  </si>
  <si>
    <t>Accessibilité du manuel</t>
  </si>
  <si>
    <t>Le manuel est-il facilement accessible à tous les membres du projet ?</t>
  </si>
  <si>
    <t>Manque d'accès au manuel</t>
  </si>
  <si>
    <t>Difficulté d'application des pratiques qualité</t>
  </si>
  <si>
    <t>Assurer la distribution et l’accessibilité du manuel à tous les acteurs</t>
  </si>
  <si>
    <t>Adéquation avec les standards</t>
  </si>
  <si>
    <t>Le manuel est-il aligné avec les standards et bonnes pratiques de l’industrie ?</t>
  </si>
  <si>
    <t>Rapport d’alignement avec standards</t>
  </si>
  <si>
    <t>Non-conformité aux standards</t>
  </si>
  <si>
    <t>Retours négatifs des clients et non-conformité</t>
  </si>
  <si>
    <t>Aligner le manuel sur les standards internationaux de qualité</t>
  </si>
  <si>
    <t>Application des règles du manuel</t>
  </si>
  <si>
    <t>Les règles définies dans le manuel sont-elles appliquées lors du projet ?</t>
  </si>
  <si>
    <t>Non-respect des règles de qualité</t>
  </si>
  <si>
    <t>Problèmes de qualité non maîtrisés</t>
  </si>
  <si>
    <t>Mettre en place un suivi pour s’assurer que les règles sont respectées</t>
  </si>
  <si>
    <t>Existence du plan</t>
  </si>
  <si>
    <t>Le plan d’assurance qualité est-il formalisé pour ce projet ?</t>
  </si>
  <si>
    <t>Plan d’assurance qualité</t>
  </si>
  <si>
    <t>Absence de plan spécifique</t>
  </si>
  <si>
    <t>Non-garantie de la qualité des livrables</t>
  </si>
  <si>
    <t>Développer et formaliser un plan d’assurance qualité dédié au projet</t>
  </si>
  <si>
    <t>Couverture du plan</t>
  </si>
  <si>
    <t>Le plan couvre-t-il tous les aspects critiques de la qualité du projet ?</t>
  </si>
  <si>
    <t>Plan incomplet</t>
  </si>
  <si>
    <t>Élargir le plan pour couvrir tous les aspects du projet</t>
  </si>
  <si>
    <t>Le plan définit-il des points de contrôle réguliers pour la qualité ?</t>
  </si>
  <si>
    <t>Points de contrôle qualité</t>
  </si>
  <si>
    <t>Non-dépistage des erreurs à temps</t>
  </si>
  <si>
    <t>Implémenter des contrôles réguliers pour suivre la qualité</t>
  </si>
  <si>
    <t>Approche préventive</t>
  </si>
  <si>
    <t>Le plan prévoit-il des mesures préventives pour garantir la qualité dès le départ ?</t>
  </si>
  <si>
    <t>Plan d'assurance qualité</t>
  </si>
  <si>
    <t>Absence de prévention</t>
  </si>
  <si>
    <t>Risques de défauts de qualité en fin de projet</t>
  </si>
  <si>
    <t>Intégrer des actions préventives dans le plan qualité</t>
  </si>
  <si>
    <t>Responsabilité de qualité</t>
  </si>
  <si>
    <t>Le plan définit-il des responsabilités spécifiques pour le suivi de la qualité ?</t>
  </si>
  <si>
    <t>Non-responsabilité pour les erreurs qualité</t>
  </si>
  <si>
    <t>Clarifier et assigner des responsabilités pour la qualité dans le projet</t>
  </si>
  <si>
    <t>Analyse des scénarios</t>
  </si>
  <si>
    <t>Une analyse des différents scénarios possibles a-t-elle été réalisée ?</t>
  </si>
  <si>
    <t>Rapport d’analyse de scénarios</t>
  </si>
  <si>
    <t>Absence d’analyse</t>
  </si>
  <si>
    <t>Choix inefficace de la solution</t>
  </si>
  <si>
    <t>Réaliser une analyse approfondie de plusieurs scénarios</t>
  </si>
  <si>
    <t>Évaluation des alternatives</t>
  </si>
  <si>
    <t>Toutes les alternatives ont-elles été évaluées avec des critères clairs ?</t>
  </si>
  <si>
    <t>Rapport comparatif des solutions</t>
  </si>
  <si>
    <t>Mauvaise évaluation des alternatives</t>
  </si>
  <si>
    <t>Choix d’une solution inadaptée</t>
  </si>
  <si>
    <t>Comparer les alternatives en fonction des critères objectifs</t>
  </si>
  <si>
    <t>Prise en compte des risques</t>
  </si>
  <si>
    <t>Les risques associés à chaque scénario ont-ils été identifiés et évalués ?</t>
  </si>
  <si>
    <t>Matrice des risques</t>
  </si>
  <si>
    <t>Identifier et documenter les risques pour chaque scénario</t>
  </si>
  <si>
    <t>Sélection du scénario optimal</t>
  </si>
  <si>
    <t>Le scénario optimal a-t-il été retenu après une analyse complète des risques et avantages ?</t>
  </si>
  <si>
    <t>Rapport de décision</t>
  </si>
  <si>
    <t>Sélection d’un mauvais scénario</t>
  </si>
  <si>
    <t>Impact sur la performance du projet</t>
  </si>
  <si>
    <t>Prendre des décisions basées sur une analyse approfondie des avantages et risques</t>
  </si>
  <si>
    <t>Validation par les parties prenantes</t>
  </si>
  <si>
    <t>Les parties prenantes ont-elles validé les scénarios retenus ?</t>
  </si>
  <si>
    <t>Non-validation par les parties prenantes</t>
  </si>
  <si>
    <t>Problèmes de communication et d’adhésion au projet</t>
  </si>
  <si>
    <t>Assurer la validation des scénarios par toutes les parties prenantes</t>
  </si>
  <si>
    <t>Scénario de non-action</t>
  </si>
  <si>
    <t>Le scénario de ne rien faire a-t-il été envisagé ?</t>
  </si>
  <si>
    <t>Rapport d’analyse des scénarios</t>
  </si>
  <si>
    <t>Non-considération du scénario de non-action</t>
  </si>
  <si>
    <t>Manque de recul sur les besoins réels</t>
  </si>
  <si>
    <t>Intégrer une analyse de l’option "ne rien faire" pour évaluer la nécessité de la solution</t>
  </si>
  <si>
    <t>Justification de la décision</t>
  </si>
  <si>
    <t>La décision de poursuivre avec un scénario a-t-elle été justifiée par rapport aux autres options ?</t>
  </si>
  <si>
    <t>Dossier de justification de la décision</t>
  </si>
  <si>
    <t>Justification faible</t>
  </si>
  <si>
    <t>Mauvaise prise de décision</t>
  </si>
  <si>
    <t>Documenter clairement la justification de la solution retenue</t>
  </si>
  <si>
    <t>Impact du "ne rien faire"</t>
  </si>
  <si>
    <t>L’impact du choix de "ne rien faire" a-t-il été analysé et comparé aux autres scénarios ?</t>
  </si>
  <si>
    <t>Rapport d’analyse de l'impact</t>
  </si>
  <si>
    <t>Impact non analysé</t>
  </si>
  <si>
    <t>Solutions sous-optimales ou inefficaces</t>
  </si>
  <si>
    <t>Analyser et comparer les impacts de "ne rien faire" aux autres options</t>
  </si>
  <si>
    <t>Existence de la méthode</t>
  </si>
  <si>
    <t>Existe-t-il une méthode formelle d’analyse et de conception ?</t>
  </si>
  <si>
    <t>Document méthode d’analyse et conception</t>
  </si>
  <si>
    <t>Absence de méthode</t>
  </si>
  <si>
    <t>Problèmes de cohérence dans la conception</t>
  </si>
  <si>
    <t>Formaliser et documenter une méthode d’analyse et de conception</t>
  </si>
  <si>
    <t>Application de la méthode</t>
  </si>
  <si>
    <t>La méthode d’analyse et de conception est-elle appliquée pendant le projet ?</t>
  </si>
  <si>
    <t>Plan de projet</t>
  </si>
  <si>
    <t>Non-application de la méthode</t>
  </si>
  <si>
    <t>Risque de développement non structuré</t>
  </si>
  <si>
    <t>Veiller à l’application rigoureuse de la méthode définie</t>
  </si>
  <si>
    <t>Formation à la méthode</t>
  </si>
  <si>
    <t>Les membres de l’équipe sont-ils formés à cette méthode ?</t>
  </si>
  <si>
    <t>Manque de compétences</t>
  </si>
  <si>
    <t>Non-maîtrise des outils de conception</t>
  </si>
  <si>
    <t>Organiser des sessions de formation sur la méthode d’analyse et de conception</t>
  </si>
  <si>
    <t>Validation de la méthode</t>
  </si>
  <si>
    <t>La méthode d’analyse et de conception a-t-elle été validée par des experts ou parties prenantes ?</t>
  </si>
  <si>
    <t>Mauvaise qualité de la conception</t>
  </si>
  <si>
    <t>Valider la méthode d’analyse et de conception avec des experts ou parties prenantes</t>
  </si>
  <si>
    <t>Révision de la méthode</t>
  </si>
  <si>
    <t>La méthode d’analyse et de conception est-elle régulièrement révisée pour rester pertinente ?</t>
  </si>
  <si>
    <t>Non-adéquation avec les besoins actuels</t>
  </si>
  <si>
    <t>Mettre en place des révisions périodiques de la méthode</t>
  </si>
  <si>
    <t>Application rigoureuse</t>
  </si>
  <si>
    <t>La méthode est-elle correctement appliquée pendant l’analyse et la conception ?</t>
  </si>
  <si>
    <t>Application incohérente de la méthode</t>
  </si>
  <si>
    <t>Risque de conception défectueuse</t>
  </si>
  <si>
    <t>Renforcer le suivi de l’application de la méthode pendant le projet</t>
  </si>
  <si>
    <t>Outils associés</t>
  </si>
  <si>
    <t>Des outils sont-ils utilisés pour appliquer la méthode d’analyse et de conception ?</t>
  </si>
  <si>
    <t>Liste des outils utilisés</t>
  </si>
  <si>
    <t>Absence d’outils de support</t>
  </si>
  <si>
    <t>Efficacité réduite dans l’analyse et la conception</t>
  </si>
  <si>
    <t>Fournir des outils adaptés pour soutenir la méthode</t>
  </si>
  <si>
    <t>Évaluation de l’utilisation</t>
  </si>
  <si>
    <t>Y a-t-il des évaluations régulières sur l’utilisation de la méthode ?</t>
  </si>
  <si>
    <t>Rapports d’évaluation</t>
  </si>
  <si>
    <t>Non-suivi de l’application de la méthode</t>
  </si>
  <si>
    <t>Risque de non-conformité à la méthode</t>
  </si>
  <si>
    <t>Mettre en place des évaluations régulières de l’application de la méthode</t>
  </si>
  <si>
    <t>Conformité des livrables</t>
  </si>
  <si>
    <t>Les livrables produits sont-ils conformes à la méthode d’analyse et de conception ?</t>
  </si>
  <si>
    <t>Rapports de validation des livrables</t>
  </si>
  <si>
    <t>Livrables non conformes aux exigences</t>
  </si>
  <si>
    <t>Valider les livrables pour s’assurer qu’ils respectent la méthode</t>
  </si>
  <si>
    <t>Révisions après application</t>
  </si>
  <si>
    <t>Après application, la méthode a-t-elle été revue pour identifier des améliorations possibles ?</t>
  </si>
  <si>
    <t>Méthode non révisée</t>
  </si>
  <si>
    <t>Maintien d’une méthode inefficace</t>
  </si>
  <si>
    <t>Organiser des revues de la méthode après chaque projet pour améliorer son efficacité</t>
  </si>
  <si>
    <t>Compétence de l’équipe</t>
  </si>
  <si>
    <t>L’équipe projet maîtrise-t-elle la méthode d’analyse et de conception ?</t>
  </si>
  <si>
    <t>Compte rendu des formations</t>
  </si>
  <si>
    <t>Manque de compétence</t>
  </si>
  <si>
    <t>Risque d’erreurs de conception</t>
  </si>
  <si>
    <t>Organiser des formations continues pour garantir la maîtrise de la méthode</t>
  </si>
  <si>
    <t>Expérience préalable</t>
  </si>
  <si>
    <t>Les membres de l’équipe ont-ils déjà utilisé cette méthode dans des projets similaires ?</t>
  </si>
  <si>
    <t>CV des membres de l’équipe</t>
  </si>
  <si>
    <t>Faible expérience avec la méthode</t>
  </si>
  <si>
    <t>Utilisation incorrecte de la méthode</t>
  </si>
  <si>
    <t>Intégrer des membres expérimentés ou organiser des formations pratiques</t>
  </si>
  <si>
    <t>Suivi de la maîtrise</t>
  </si>
  <si>
    <t>Y a-t-il des évaluations de la maîtrise de la méthode par les membres de l’équipe ?</t>
  </si>
  <si>
    <t>Rapports d’évaluation de la maîtrise</t>
  </si>
  <si>
    <t>Non-évaluation des compétences</t>
  </si>
  <si>
    <t>Méthode mal appliquée</t>
  </si>
  <si>
    <t>Évaluer régulièrement la maîtrise de la méthode par l’équipe</t>
  </si>
  <si>
    <t>Mise à jour des compétences</t>
  </si>
  <si>
    <t>Les compétences de l’équipe sont-elles mises à jour pour suivre l’évolution de la méthode ?</t>
  </si>
  <si>
    <t>Rapport de mise à jour des compétences</t>
  </si>
  <si>
    <t>Compétences non mises à jour</t>
  </si>
  <si>
    <t>Perte d’efficacité avec l’évolution du projet</t>
  </si>
  <si>
    <t>Organiser des formations régulières sur les nouvelles évolutions de la méthode</t>
  </si>
  <si>
    <t>Transfert de compétences</t>
  </si>
  <si>
    <t>Existe-t-il des mécanismes de transfert de compétences pour les nouveaux membres de l’équipe ?</t>
  </si>
  <si>
    <t>Plan de transfert de compétences</t>
  </si>
  <si>
    <t>Non-transfert de compétences</t>
  </si>
  <si>
    <t>Pertes de connaissances dans l’équipe</t>
  </si>
  <si>
    <t>Mettre en place un plan de transfert de compétences et mentorat</t>
  </si>
  <si>
    <t>Existe-t-il une méthode formelle de développement définie ?</t>
  </si>
  <si>
    <t>Document de méthode de développement</t>
  </si>
  <si>
    <t>Risques de mauvaise qualité et d’incohérence</t>
  </si>
  <si>
    <t>Formaliser une méthode de développement spécifique au projet</t>
  </si>
  <si>
    <t>Approche de la méthode</t>
  </si>
  <si>
    <t>La méthode de développement repose-t-elle sur des principes clairs et éprouvés ?</t>
  </si>
  <si>
    <t>Plan de développement</t>
  </si>
  <si>
    <t>Méthode inadaptée</t>
  </si>
  <si>
    <t>Développement inefficace</t>
  </si>
  <si>
    <t>Choisir une méthode éprouvée et adaptée aux besoins du projet</t>
  </si>
  <si>
    <t>La méthode de développement est-elle appliquée rigoureusement dans le projet ?</t>
  </si>
  <si>
    <t>Rapports de suivi de développement</t>
  </si>
  <si>
    <t>Non-apprentissage de la méthode</t>
  </si>
  <si>
    <t>Retards et défauts de qualité dans le développement</t>
  </si>
  <si>
    <t>S’assurer que tous les membres de l’équipe appliquent la méthode correctement</t>
  </si>
  <si>
    <t>Existe-t-il un suivi de l’application de la méthode de développement tout au long du projet ?</t>
  </si>
  <si>
    <t>Non-détection des dérives dans la méthode</t>
  </si>
  <si>
    <t>Mettre en place des audits réguliers pour vérifier l’application de la méthode</t>
  </si>
  <si>
    <t>L’équipe de développement reçoit-elle une formation continue sur la méthode de développement ?</t>
  </si>
  <si>
    <t>Plan de formation continue</t>
  </si>
  <si>
    <t>Absence de formation continue</t>
  </si>
  <si>
    <t>Incompréhension des évolutions de la méthode</t>
  </si>
  <si>
    <t>Organiser des formations continues pour maintenir l’équipe à jour</t>
  </si>
  <si>
    <t>Application correcte</t>
  </si>
  <si>
    <t>La méthode de développement est-elle correctement utilisée dans le projet ?</t>
  </si>
  <si>
    <t>Suivi des tâches de développement</t>
  </si>
  <si>
    <t>Non-aplication correcte de la méthode</t>
  </si>
  <si>
    <t>Problèmes de qualité du code</t>
  </si>
  <si>
    <t>Vérifier la bonne application de la méthode à chaque étape du développement</t>
  </si>
  <si>
    <t>Adhésion de l’équipe</t>
  </si>
  <si>
    <t>L’équipe adhère-t-elle pleinement à la méthode définie ?</t>
  </si>
  <si>
    <t>Enquêtes de satisfaction</t>
  </si>
  <si>
    <t>Manque d'adhésion</t>
  </si>
  <si>
    <t>Manque d'efficacité dans l’application</t>
  </si>
  <si>
    <t>Sensibiliser l’équipe aux avantages de la méthode choisie</t>
  </si>
  <si>
    <t>Y a-t-il des évaluations régulières sur l’application de la méthode de développement ?</t>
  </si>
  <si>
    <t>Non-évaluation des pratiques</t>
  </si>
  <si>
    <t>Correctifs post-appliqués</t>
  </si>
  <si>
    <t>Les ajustements nécessaires sont-ils faits en cas de non-application de la méthode ?</t>
  </si>
  <si>
    <t>Rapport d’amélioration</t>
  </si>
  <si>
    <t>Absence de corrections</t>
  </si>
  <si>
    <t>Impact sur la qualité et les délais</t>
  </si>
  <si>
    <t>Appliquer immédiatement les ajustements nécessaires en cas de dérive</t>
  </si>
  <si>
    <t>Utilisation des outils</t>
  </si>
  <si>
    <t>Les outils nécessaires à la bonne application de la méthode sont-ils utilisés ?</t>
  </si>
  <si>
    <t>Absence d'outils adaptés</t>
  </si>
  <si>
    <t>Problèmes de performance et d’efficacité</t>
  </si>
  <si>
    <t>Fournir des outils dédiés pour soutenir la méthode de développement</t>
  </si>
  <si>
    <t>Estimation des coûts</t>
  </si>
  <si>
    <t>Les coûts de développement, de formation et de maintenance ont-ils été estimés ?</t>
  </si>
  <si>
    <t>Sous-estimation des coûts</t>
  </si>
  <si>
    <t>Budget dépassé et retards</t>
  </si>
  <si>
    <t>Revoir les estimations de coûts avec des experts</t>
  </si>
  <si>
    <t>Bénéfices attendus</t>
  </si>
  <si>
    <t>Les bénéfices attendus du projet ont-ils été clairement définis et quantifiés ?</t>
  </si>
  <si>
    <t>Plan d’investissement</t>
  </si>
  <si>
    <t>Bénéfices non mesurés</t>
  </si>
  <si>
    <t>Manque de justification pour l’investissement</t>
  </si>
  <si>
    <t>Formaliser une analyse des bénéfices pour le projet</t>
  </si>
  <si>
    <t>Comparaison des coûts</t>
  </si>
  <si>
    <t>L’analyse économique inclut-elle une comparaison des coûts avec les bénéfices attendus ?</t>
  </si>
  <si>
    <t>Rapport de comparaison coûts/bénéfices</t>
  </si>
  <si>
    <t>Mauvaise allocation des ressources</t>
  </si>
  <si>
    <t>Projets non rentables</t>
  </si>
  <si>
    <t>Mettre en place une analyse coûts-bénéfices détaillée</t>
  </si>
  <si>
    <t>Sensibilité aux risques</t>
  </si>
  <si>
    <t>L’analyse économique tient-elle compte des risques éventuels (inflation, retards) ?</t>
  </si>
  <si>
    <t>Plan de gestion des risques</t>
  </si>
  <si>
    <t>Risques économiques ignorés</t>
  </si>
  <si>
    <t>Inexactitude des prévisions financières</t>
  </si>
  <si>
    <t>Prendre en compte les risques externes dans l’analyse économique</t>
  </si>
  <si>
    <t>Évolution à long terme</t>
  </si>
  <si>
    <t>L'analyse prend-elle en compte l'évolution à long terme des coûts et bénéfices ?</t>
  </si>
  <si>
    <t>Rapport d’analyse à long terme</t>
  </si>
  <si>
    <t>Non-prise en compte de l’évolution des coûts</t>
  </si>
  <si>
    <t>Sous-estimation des coûts futurs</t>
  </si>
  <si>
    <t>Prendre en compte les évolutions des coûts dans une perspective à long terme</t>
  </si>
  <si>
    <t>Identification des risques</t>
  </si>
  <si>
    <t>Tous les risques liés aux alternatives ont-ils été identifiés ?</t>
  </si>
  <si>
    <t>Rapport d’analyse des risques</t>
  </si>
  <si>
    <t>Réaliser une analyse exhaustive des risques pour chaque alternative</t>
  </si>
  <si>
    <t>Évaluation des risques</t>
  </si>
  <si>
    <t>Les risques ont-ils été évalués en termes de probabilité et d’impact ?</t>
  </si>
  <si>
    <t>Évaluation incorrecte des risques</t>
  </si>
  <si>
    <t>Décisions basées sur des informations inexactes</t>
  </si>
  <si>
    <t>Effectuer une évaluation rigoureuse des risques pour chaque alternative</t>
  </si>
  <si>
    <t>Plan d'atténuation</t>
  </si>
  <si>
    <t>Des plans d'atténuation des risques ont-ils été définis pour chaque alternative ?</t>
  </si>
  <si>
    <t>Plan d'atténuation des risques</t>
  </si>
  <si>
    <t>Absence de plans d'atténuation</t>
  </si>
  <si>
    <t>Inaction face aux risques identifiés</t>
  </si>
  <si>
    <t>Élaborer des plans d’atténuation pour chaque risque</t>
  </si>
  <si>
    <t>Suivi des risques</t>
  </si>
  <si>
    <t>Un suivi continu des risques a-t-il été mis en place ?</t>
  </si>
  <si>
    <t>Rapport de suivi des risques</t>
  </si>
  <si>
    <t>Risques non suivis</t>
  </si>
  <si>
    <t>Apparition de nouveaux risques non gérés</t>
  </si>
  <si>
    <t>Mettre en place un système de suivi régulier des risques</t>
  </si>
  <si>
    <t>Réévaluation des risques</t>
  </si>
  <si>
    <t>Les risques sont-ils réévalués à chaque nouvelle étape du projet ?</t>
  </si>
  <si>
    <t>Rapport de réévaluation des risques</t>
  </si>
  <si>
    <t>Risques non réévalués</t>
  </si>
  <si>
    <t>Nouvelle exposition à des risques non anticipés</t>
  </si>
  <si>
    <t>Effectuer des réévaluations périodiques des risques pendant le projet</t>
  </si>
  <si>
    <t>Existence d’une méthode</t>
  </si>
  <si>
    <t>Existe-t-il une méthode d’analyse et de conception formelle ?</t>
  </si>
  <si>
    <t>Risques de conception incohérente</t>
  </si>
  <si>
    <t>La méthode d’analyse et de conception est-elle appliquée de manière systématique ?</t>
  </si>
  <si>
    <t>Plan de gestion de projet</t>
  </si>
  <si>
    <t>Mauvaise qualité du produit final</t>
  </si>
  <si>
    <t>Assurer une application systématique de la méthode dans chaque phase</t>
  </si>
  <si>
    <t>Les membres de l’équipe sont-ils formés à la méthode d’analyse et de conception ?</t>
  </si>
  <si>
    <t>Erreurs dans la conception</t>
  </si>
  <si>
    <t>Organiser des formations régulières sur la méthode d’analyse et de conception</t>
  </si>
  <si>
    <t>La méthode d’analyse et de conception a-t-elle été validée par les parties prenantes ?</t>
  </si>
  <si>
    <t>Conception non conforme aux besoins</t>
  </si>
  <si>
    <t>Valider la méthode avec toutes les parties prenantes avant son application</t>
  </si>
  <si>
    <t>Inefficacité de la méthode à long terme</t>
  </si>
  <si>
    <t>Mettre en place une procédure de révision continue de la méthode</t>
  </si>
  <si>
    <t>Charte de documentation</t>
  </si>
  <si>
    <t>Existence d’une méthode formalisée</t>
  </si>
  <si>
    <t>La méthode de développement est-elle clairement définie et documentée ?</t>
  </si>
  <si>
    <t>Absence de méthode formalisée</t>
  </si>
  <si>
    <t>Développement incohérent, erreurs fréquentes</t>
  </si>
  <si>
    <t>Formaliser la méthode et la rendre accessible à tous les développeurs.</t>
  </si>
  <si>
    <t>Définition des processus</t>
  </si>
  <si>
    <t>La méthode de développement inclut-elle des processus bien définis pour chaque phase du projet ?</t>
  </si>
  <si>
    <t>Diagramme de processus de développement</t>
  </si>
  <si>
    <t>Manque de structuration</t>
  </si>
  <si>
    <t>Problèmes de gestion de projet, retards</t>
  </si>
  <si>
    <t>Établir un diagramme de flux pour chaque phase du projet.</t>
  </si>
  <si>
    <t>Adaptabilité à divers projets</t>
  </si>
  <si>
    <t>La méthode de développement est-elle adaptable à différents types de projets ?</t>
  </si>
  <si>
    <t>Charte de méthode de développement</t>
  </si>
  <si>
    <t>Méthode rigide</t>
  </si>
  <si>
    <t>Difficile de s'adapter à des besoins spécifiques de projets</t>
  </si>
  <si>
    <t>Introduire des modules flexibles et personnalisables dans la méthode.</t>
  </si>
  <si>
    <t>Documentation des outils utilisés</t>
  </si>
  <si>
    <t>Les outils et technologies utilisés sont-ils documentés dans la méthode de développement ?</t>
  </si>
  <si>
    <t>Liste des outils et technologies</t>
  </si>
  <si>
    <t>Mauvaise gestion des outils</t>
  </si>
  <si>
    <t>Utilisation inefficace des outils, erreurs techniques</t>
  </si>
  <si>
    <t>Documenter les outils et former les développeurs à leur utilisation.</t>
  </si>
  <si>
    <t>Processus de révision</t>
  </si>
  <si>
    <t>Existe-t-il un processus de révision continue pour la méthode de développement ?</t>
  </si>
  <si>
    <t>Rapport de révision de la méthode</t>
  </si>
  <si>
    <t>Développement avec des pratiques dépassées</t>
  </si>
  <si>
    <t>Organiser des revues annuelles de la méthode de développement.</t>
  </si>
  <si>
    <t>Formation des développeurs</t>
  </si>
  <si>
    <t>Les développeurs ont-ils reçu une formation sur la méthode ?</t>
  </si>
  <si>
    <t>Liste des formations</t>
  </si>
  <si>
    <t>Code non conforme, erreurs répétitives</t>
  </si>
  <si>
    <t>Organiser des formations régulières et des ateliers sur la méthode.</t>
  </si>
  <si>
    <t>Suivi de l’application de la méthode</t>
  </si>
  <si>
    <t>Des mécanismes de suivi sont-ils en place pour vérifier l’application de la méthode ?</t>
  </si>
  <si>
    <t>Non-respect de la méthode</t>
  </si>
  <si>
    <t>Mauvaise qualité de code et dérives dans les projets</t>
  </si>
  <si>
    <t>Mettre en place des audits réguliers et des contrôles de conformité.</t>
  </si>
  <si>
    <t>Communication de la méthode</t>
  </si>
  <si>
    <t>La méthode de développement est-elle bien communiquée à tous les membres de l’équipe ?</t>
  </si>
  <si>
    <t>Doute sur la méthode utilisée, erreurs dans les tâches</t>
  </si>
  <si>
    <t>Assurer des réunions régulières pour discuter et partager la méthode.</t>
  </si>
  <si>
    <t>Suivi des mises à jour de la méthode</t>
  </si>
  <si>
    <t>La méthode est-elle mise à jour et suivie en fonction des évolutions des pratiques ?</t>
  </si>
  <si>
    <t>Utilisation de pratiques dépassées, inefficacité dans les projets</t>
  </si>
  <si>
    <t>Mettre en place un processus de mise à jour continue de la méthode.</t>
  </si>
  <si>
    <t>Documentation des projets</t>
  </si>
  <si>
    <t>Chaque projet suit-il la méthode de développement avec une documentation claire ?</t>
  </si>
  <si>
    <t>Dossier de projet</t>
  </si>
  <si>
    <t>Documentation manquante</t>
  </si>
  <si>
    <t>Difficulté de suivi, erreurs dans les projets futurs</t>
  </si>
  <si>
    <t>Instaurer des revues de projet régulières et des contrôles de documentation.</t>
  </si>
  <si>
    <t>Niveau d'expertise des développeurs</t>
  </si>
  <si>
    <t>Les développeurs ont-ils une expertise suffisante pour appliquer correctement la méthode ?</t>
  </si>
  <si>
    <t>Liste des certifications</t>
  </si>
  <si>
    <t>Compétence insuffisante</t>
  </si>
  <si>
    <t>Code inefficace, erreurs fréquentes</t>
  </si>
  <si>
    <t>Prévoir des certifications et formations avancées pour les développeurs.</t>
  </si>
  <si>
    <t>Pratique des retours d’expérience</t>
  </si>
  <si>
    <t>Les développeurs échangent-ils régulièrement sur leurs retours d’expérience pour améliorer la méthode ?</t>
  </si>
  <si>
    <t>Manque de collaboration</t>
  </si>
  <si>
    <t>Méthode non améliorée, stagnation dans les pratiques</t>
  </si>
  <si>
    <t>Organiser des réunions mensuelles pour partager les retours d’expérience.</t>
  </si>
  <si>
    <t>Compréhension des principes sous-jacents</t>
  </si>
  <si>
    <t>Les développeurs comprennent-ils les principes sous-jacents de la méthode ?</t>
  </si>
  <si>
    <t>Incompréhension des bases, mauvaise mise en œuvre</t>
  </si>
  <si>
    <t>Organiser des sessions théoriques et pratiques pour approfondir la compréhension de la méthode.</t>
  </si>
  <si>
    <t>Suivi des compétences</t>
  </si>
  <si>
    <t>Un suivi est-il effectué sur l’évolution des compétences des développeurs par rapport à la méthode ?</t>
  </si>
  <si>
    <t>Plan de développement des compétences</t>
  </si>
  <si>
    <t>Compétences obsolètes</t>
  </si>
  <si>
    <t>Développeurs non qualifiés pour des tâches complexes</t>
  </si>
  <si>
    <t>Mettre en place des évaluations régulières des compétences des développeurs.</t>
  </si>
  <si>
    <t>Apprentissage continu</t>
  </si>
  <si>
    <t>Les développeurs s'engagent-ils dans un apprentissage continu pour se perfectionner ?</t>
  </si>
  <si>
    <t>Suivi de la formation continue</t>
  </si>
  <si>
    <t>Manque d’engagement</t>
  </si>
  <si>
    <t>Problèmes d’adaptation aux nouvelles technologies et pratiques</t>
  </si>
  <si>
    <t>Encourager la participation à des formations et conférences externes.</t>
  </si>
  <si>
    <t>Existence de normes formelles</t>
  </si>
  <si>
    <t>Les normes de documentation sont-elles formalisées et accessibles à tous ?</t>
  </si>
  <si>
    <t>Normes non définies</t>
  </si>
  <si>
    <t>Documentation incohérente, erreurs dans le suivi</t>
  </si>
  <si>
    <t>Formaliser et partager les normes de documentation avec toute l’équipe.</t>
  </si>
  <si>
    <t>Couverture des normes</t>
  </si>
  <si>
    <t>Les normes couvrent-elles tous les aspects importants du projet (code, tests, procédures) ?</t>
  </si>
  <si>
    <t>Manuel des normes</t>
  </si>
  <si>
    <t>Normes insuffisantes</t>
  </si>
  <si>
    <t>Documentation partielle, manque d’informations critiques</t>
  </si>
  <si>
    <t>Élaborer des normes complètes et détaillées pour chaque phase du projet.</t>
  </si>
  <si>
    <t>Validation des normes</t>
  </si>
  <si>
    <t>Les normes de documentation sont-elles validées régulièrement ?</t>
  </si>
  <si>
    <t>Rapports de validation des normes</t>
  </si>
  <si>
    <t>Normes obsolètes</t>
  </si>
  <si>
    <t>Documentation dépassée, difficulté à maintenir le code</t>
  </si>
  <si>
    <t>Mettre en place un calendrier de validation régulière des normes.</t>
  </si>
  <si>
    <t>Accessibilité des normes</t>
  </si>
  <si>
    <t>Les normes sont-elles accessibles à tous les membres de l’équipe en tout temps ?</t>
  </si>
  <si>
    <t>Plateforme de documentation</t>
  </si>
  <si>
    <t>Difficulté à trouver les informations nécessaires</t>
  </si>
  <si>
    <t>Créer une plateforme centralisée pour faciliter l’accès aux normes.</t>
  </si>
  <si>
    <t>Formation sur les normes</t>
  </si>
  <si>
    <t>Les développeurs ont-ils été formés aux normes de documentation ?</t>
  </si>
  <si>
    <t>Rapport de formation</t>
  </si>
  <si>
    <t>Manque de formation</t>
  </si>
  <si>
    <t>Non-respect des normes, incohérences dans la documentation</t>
  </si>
  <si>
    <t>Organiser des sessions de formation régulières sur les normes de documentation.</t>
  </si>
  <si>
    <t>Conformité à la documentation</t>
  </si>
  <si>
    <t>Les développeurs suivent-ils les normes de documentation ?</t>
  </si>
  <si>
    <t>Problèmes de maintenabilité, erreurs dans les versions futures</t>
  </si>
  <si>
    <t>Mettre en place un audit régulier pour vérifier le respect des normes.</t>
  </si>
  <si>
    <t>Contrôles de qualité</t>
  </si>
  <si>
    <t>Existe-t-il des contrôles pour vérifier la qualité de la documentation ?</t>
  </si>
  <si>
    <t>Check-lists de contrôle</t>
  </si>
  <si>
    <t>Documentation de mauvaise qualité</t>
  </si>
  <si>
    <t>Difficulté à comprendre et à maintenir le projet</t>
  </si>
  <si>
    <t>Mettre en place un contrôle de qualité de la documentation avec des check-lists.</t>
  </si>
  <si>
    <t>Des audits réguliers sont-ils réalisés pour vérifier la conformité à la documentation ?</t>
  </si>
  <si>
    <t>Documentation incorrecte, risque de mauvaise gestion de projet</t>
  </si>
  <si>
    <t>Organiser des audits réguliers pour assurer la conformité aux normes de documentation.</t>
  </si>
  <si>
    <t>Pratiques de révision de la documentation</t>
  </si>
  <si>
    <t>Les pratiques de révision permettent-elles de garantir que la documentation respecte les normes ?</t>
  </si>
  <si>
    <t>Procédures de révision de la documentation</t>
  </si>
  <si>
    <t>Documentation obsolète ou incomplète</t>
  </si>
  <si>
    <t>Risques liés à la mise à jour des informations critiques</t>
  </si>
  <si>
    <t>Instaurer un processus de révision continue de la documentation.</t>
  </si>
  <si>
    <t>Feedback des développeurs</t>
  </si>
  <si>
    <t>Les développeurs sont-ils impliqués dans l’amélioration des normes de documentation ?</t>
  </si>
  <si>
    <t>Réunions de feedback</t>
  </si>
  <si>
    <t>Manque d’adaptation des normes</t>
  </si>
  <si>
    <t>Les normes de documentation ne sont pas adaptées aux besoins pratiques</t>
  </si>
  <si>
    <t>Existence d’un plan de test</t>
  </si>
  <si>
    <t>Un plan de test est-il formellement établi ?</t>
  </si>
  <si>
    <t>Tests non préparés</t>
  </si>
  <si>
    <t>Détection tardive des anomalies</t>
  </si>
  <si>
    <t>Mettre en place systématiquement un plan de test validé.</t>
  </si>
  <si>
    <t>Couverture des tests</t>
  </si>
  <si>
    <t>Les tests couvrent-ils toutes les fonctionnalités ?</t>
  </si>
  <si>
    <t>Matrice de couverture</t>
  </si>
  <si>
    <t>Fonctionnalités non testées</t>
  </si>
  <si>
    <t>Compléter la matrice de couverture pour englober tous les modules.</t>
  </si>
  <si>
    <t>Suivi des résultats</t>
  </si>
  <si>
    <t>Les résultats de test sont-ils tracés ?</t>
  </si>
  <si>
    <t>Difficulté à analyser les anomalies</t>
  </si>
  <si>
    <t>Centraliser et archiver les résultats de tests.</t>
  </si>
  <si>
    <t>Implication de l’équipe MOE</t>
  </si>
  <si>
    <t>La MOE est-elle impliquée dans la réalisation des tests ?</t>
  </si>
  <si>
    <t>Comptes rendus de réunion</t>
  </si>
  <si>
    <t>Tests délégués à des tiers sans supervision</t>
  </si>
  <si>
    <t>Non-conformité aux spécifications</t>
  </si>
  <si>
    <t>Inclure la MOE dans toutes les phases de test.</t>
  </si>
  <si>
    <t>Test d’intégration</t>
  </si>
  <si>
    <t>Des tests d’intégration sont-ils réalisés ?</t>
  </si>
  <si>
    <t>Cahiers d'intégration</t>
  </si>
  <si>
    <t>Incohérence entre modules</t>
  </si>
  <si>
    <t>Défaillance du système en production</t>
  </si>
  <si>
    <t>Intégrer systématiquement des tests d'intégration.</t>
  </si>
  <si>
    <t>Vérification des exigences</t>
  </si>
  <si>
    <t>Chaque composant est-il vérifié selon les exigences ?</t>
  </si>
  <si>
    <t>Valider chaque composant selon les exigences initiales.</t>
  </si>
  <si>
    <t>Cas de test spécifiques</t>
  </si>
  <si>
    <t>Les cas de tests sont-ils liés aux spécifications ?</t>
  </si>
  <si>
    <t>Cas de tests</t>
  </si>
  <si>
    <t>Couverture incohérente</t>
  </si>
  <si>
    <t>Spécifications partiellement validées</t>
  </si>
  <si>
    <t>Aligner les tests aux exigences définies.</t>
  </si>
  <si>
    <t>Validation fonctionnelle</t>
  </si>
  <si>
    <t>La validation fonctionnelle est-elle faite composant par composant ?</t>
  </si>
  <si>
    <t>Procès-verbaux de validation</t>
  </si>
  <si>
    <t>Bugs non détectés</t>
  </si>
  <si>
    <t>Dégradations du service</t>
  </si>
  <si>
    <t>Renforcer les validations fonctionnelles unitaires.</t>
  </si>
  <si>
    <t>Tests de non-régression</t>
  </si>
  <si>
    <t>Sont-ils réalisés après modification d’un composant ?</t>
  </si>
  <si>
    <t>Historique des tests</t>
  </si>
  <si>
    <t>Bugs réintroduits</t>
  </si>
  <si>
    <t>Fonctionnalités instables</t>
  </si>
  <si>
    <t>Intégrer les tests de non-régression dans la routine.</t>
  </si>
  <si>
    <t>Analyse d’écart</t>
  </si>
  <si>
    <t>Les écarts entre résultat et spécification sont-ils analysés ?</t>
  </si>
  <si>
    <t>Grille d'écarts</t>
  </si>
  <si>
    <t>Non traitement des anomalies</t>
  </si>
  <si>
    <t>Perte de qualité</t>
  </si>
  <si>
    <t>Documenter et corriger chaque écart identifié.</t>
  </si>
  <si>
    <t>Tests techniques</t>
  </si>
  <si>
    <t>Des tests techniques sont-ils prévus ?</t>
  </si>
  <si>
    <t>Cahier de tests techniques</t>
  </si>
  <si>
    <t>Défaillance technique</t>
  </si>
  <si>
    <t>Instabilité système</t>
  </si>
  <si>
    <t>Planifier des tests de performance, charge, sécurité.</t>
  </si>
  <si>
    <t>Tests fonctionnels</t>
  </si>
  <si>
    <t>Sont-ils réalisés indépendamment des tests techniques ?</t>
  </si>
  <si>
    <t>Cahier de tests fonctionnels</t>
  </si>
  <si>
    <t>Mélange des validations</t>
  </si>
  <si>
    <t>Résultats faussés</t>
  </si>
  <si>
    <t>Séparer les deux types de tests dans le planning.</t>
  </si>
  <si>
    <t>Responsabilités claires</t>
  </si>
  <si>
    <t>Les responsabilités sont-elles définies ?</t>
  </si>
  <si>
    <t>Organigramme projet</t>
  </si>
  <si>
    <t>Confusion dans l’exécution</t>
  </si>
  <si>
    <t>Retards ou erreurs</t>
  </si>
  <si>
    <t>Clarifier les rôles dès la planification.</t>
  </si>
  <si>
    <t>Plateformes de test</t>
  </si>
  <si>
    <t>Les tests sont-ils réalisés dans un environnement dédié ?</t>
  </si>
  <si>
    <t>Environnement de test documenté</t>
  </si>
  <si>
    <t>Résultats erronés</t>
  </si>
  <si>
    <t>Production impactée</t>
  </si>
  <si>
    <t>Créer une plateforme de test indépendante de la prod.</t>
  </si>
  <si>
    <t>Comptes rendus de tests</t>
  </si>
  <si>
    <t>Des comptes rendus sont-ils formalisés ?</t>
  </si>
  <si>
    <t>PV de test</t>
  </si>
  <si>
    <t>Suivi impossible</t>
  </si>
  <si>
    <t>Non-traçabilité</t>
  </si>
  <si>
    <t>Rédiger un compte-rendu systématique pour chaque série.</t>
  </si>
  <si>
    <t>Détection des points d'interfaçage</t>
  </si>
  <si>
    <t>Les interfaces ont-elles été identifiées ?</t>
  </si>
  <si>
    <t>Cartographie des interfaces</t>
  </si>
  <si>
    <t>Interfaces oubliées</t>
  </si>
  <si>
    <t>Données erronées échangées</t>
  </si>
  <si>
    <t>Faire une cartographie complète des interfaces.</t>
  </si>
  <si>
    <t>Tests d’interfaçage</t>
  </si>
  <si>
    <t>Des tests spécifiques ont-ils été réalisés ?</t>
  </si>
  <si>
    <t>Scénarios de tests</t>
  </si>
  <si>
    <t>Erreurs de communication entre systèmes</t>
  </si>
  <si>
    <t>Fonctionnalités critiques impactées</t>
  </si>
  <si>
    <t>Intégrer des scénarios spécifiques d’échange.</t>
  </si>
  <si>
    <t>Traçabilité des échanges</t>
  </si>
  <si>
    <t>Les flux sont-ils journalisés pendant les tests ?</t>
  </si>
  <si>
    <t>Logs</t>
  </si>
  <si>
    <t>Perte de contrôle sur les erreurs</t>
  </si>
  <si>
    <t>Diagnostic difficile</t>
  </si>
  <si>
    <t>Activer et centraliser les logs.</t>
  </si>
  <si>
    <t>Simulation de charge</t>
  </si>
  <si>
    <t>Les interfaces sont-elles testées sous charge ?</t>
  </si>
  <si>
    <t>Rapport de test de performance</t>
  </si>
  <si>
    <t>Saturation des interfaces</t>
  </si>
  <si>
    <t>Lenteur ou crash</t>
  </si>
  <si>
    <t>Prévoir des tests de charge pour chaque interface.</t>
  </si>
  <si>
    <t>Sécurité des échanges</t>
  </si>
  <si>
    <t>Les échanges sont-ils sécurisés durant les tests ?</t>
  </si>
  <si>
    <t>Fuite d'information</t>
  </si>
  <si>
    <t>Données sensibles exposées</t>
  </si>
  <si>
    <t>Appliquer des protocoles sécurisés en test.</t>
  </si>
  <si>
    <t>Représentativité</t>
  </si>
  <si>
    <t>Les utilisateurs sont-ils représentatifs ?</t>
  </si>
  <si>
    <t>Liste des participants</t>
  </si>
  <si>
    <t>Retours biaisés</t>
  </si>
  <si>
    <t>Fonctionnalités inutiles ou absentes</t>
  </si>
  <si>
    <t>Choisir des profils variés d’utilisateurs finaux.</t>
  </si>
  <si>
    <t>Scénarios utilisateurs</t>
  </si>
  <si>
    <t>Les tests s’appuient-ils sur des cas concrets ?</t>
  </si>
  <si>
    <t>Scénarios métiers</t>
  </si>
  <si>
    <t>Incohérence avec les usages réels</t>
  </si>
  <si>
    <t>Rejets utilisateurs</t>
  </si>
  <si>
    <t>Rédiger des scénarios issus des processus métiers.</t>
  </si>
  <si>
    <t>Les retours sont-ils documentés ?</t>
  </si>
  <si>
    <t>Compte rendu de tests</t>
  </si>
  <si>
    <t>Suggestions perdues</t>
  </si>
  <si>
    <t>Améliorations non intégrées</t>
  </si>
  <si>
    <t>Organiser la collecte et l’analyse des retours.</t>
  </si>
  <si>
    <t>Intégration des retours</t>
  </si>
  <si>
    <t>Les retours ont-ils un impact dans le produit final ?</t>
  </si>
  <si>
    <t>Frustration</t>
  </si>
  <si>
    <t>Intégrer un processus d’analyse et de validation des retours.</t>
  </si>
  <si>
    <t>Accompagnement des utilisateurs</t>
  </si>
  <si>
    <t>Un support est-il prévu pendant les tests ?</t>
  </si>
  <si>
    <t>Plan d’accompagnement</t>
  </si>
  <si>
    <t>Mauvaise prise en main</t>
  </si>
  <si>
    <t>Prévoir une assistance active pendant les tests.</t>
  </si>
  <si>
    <t>Existence du document de synthèse</t>
  </si>
  <si>
    <t>Une synthèse des évaluations est-elle formellement rédigée ?</t>
  </si>
  <si>
    <t>Absence de vision globale</t>
  </si>
  <si>
    <t>Décisions non éclairées</t>
  </si>
  <si>
    <t>Rédiger systématiquement une synthèse après évaluation.</t>
  </si>
  <si>
    <t>Exhaustivité des points abordés</t>
  </si>
  <si>
    <t>Tous les aspects des changements sont-ils abordés ?</t>
  </si>
  <si>
    <t>Grille d’évaluation</t>
  </si>
  <si>
    <t>Mauvaise priorisation</t>
  </si>
  <si>
    <t>Structurer la synthèse autour d’un canevas standard.</t>
  </si>
  <si>
    <t>Traçabilité des avis</t>
  </si>
  <si>
    <t>Les contributions des différents acteurs sont-elles retracées ?</t>
  </si>
  <si>
    <t>Compte-rendu collaboratif</t>
  </si>
  <si>
    <t>Avis négligés</t>
  </si>
  <si>
    <t>Conserver une trace des validations/avis.</t>
  </si>
  <si>
    <t>Diffusion de la synthèse</t>
  </si>
  <si>
    <t>Le document est-il partagé avec les parties prenantes ?</t>
  </si>
  <si>
    <t>Historique de diffusion</t>
  </si>
  <si>
    <t>Incompréhension ou mauvaise mise en œuvre</t>
  </si>
  <si>
    <t>Mauvaise communication des décisions</t>
  </si>
  <si>
    <t>Mettre en place une diffusion formelle.</t>
  </si>
  <si>
    <t>Suivi post-synthèse</t>
  </si>
  <si>
    <t>Y a-t-il un suivi des décisions issues de la synthèse ?</t>
  </si>
  <si>
    <t>Plan d’action</t>
  </si>
  <si>
    <t>Inaction après l’évaluation</t>
  </si>
  <si>
    <t>Changements inefficaces</t>
  </si>
  <si>
    <t>Planifier et suivre les actions post-évaluation.</t>
  </si>
  <si>
    <t>Approbation formelle</t>
  </si>
  <si>
    <t>L’évaluation a-t-elle été validée par une autorité compétente ?</t>
  </si>
  <si>
    <t>Changements appliqués sans contrôle</t>
  </si>
  <si>
    <t>Risque opérationnel élevé</t>
  </si>
  <si>
    <t>Exiger une validation formelle préalable.</t>
  </si>
  <si>
    <t>Signature des responsables</t>
  </si>
  <si>
    <t>Les responsables ont-ils validé par écrit ?</t>
  </si>
  <si>
    <t>Document signé</t>
  </si>
  <si>
    <t>Litiges</t>
  </si>
  <si>
    <t>Absence de responsabilité</t>
  </si>
  <si>
    <t>Mettre en place un circuit de validation formel.</t>
  </si>
  <si>
    <t>Archivage des validations</t>
  </si>
  <si>
    <t>Les validations sont-elles archivées ?</t>
  </si>
  <si>
    <t>Répertoire de validations</t>
  </si>
  <si>
    <t>Perte de preuve</t>
  </si>
  <si>
    <t>Impossibilité de vérification</t>
  </si>
  <si>
    <t>Organiser un archivage structuré.</t>
  </si>
  <si>
    <t>Historique de validation</t>
  </si>
  <si>
    <t>Le processus de validation est-il historisé ?</t>
  </si>
  <si>
    <t>Registre de validation</t>
  </si>
  <si>
    <t>Rétroactivité impossible</t>
  </si>
  <si>
    <t>Audit compromis</t>
  </si>
  <si>
    <t>Documenter chaque étape de validation.</t>
  </si>
  <si>
    <t>Validation multi-niveaux</t>
  </si>
  <si>
    <t>Une validation multi-niveaux est-elle en place ?</t>
  </si>
  <si>
    <t>Workflow</t>
  </si>
  <si>
    <t>Impliquer MOE, MOA et utilisateurs dans la validation.</t>
  </si>
  <si>
    <t>Diversité des profils</t>
  </si>
  <si>
    <t>Les personnes interrogées représentent-elles différents profils utilisateurs ?</t>
  </si>
  <si>
    <t>Liste des personnes interrogées</t>
  </si>
  <si>
    <t>Représentation partielle</t>
  </si>
  <si>
    <t>Oubli de besoins spécifiques</t>
  </si>
  <si>
    <t>Échantillonner les profils selon les usages réels.</t>
  </si>
  <si>
    <t>Méthodologie d’entretien</t>
  </si>
  <si>
    <t>Une méthode est-elle appliquée lors des entretiens ?</t>
  </si>
  <si>
    <t>Guide d’entretien</t>
  </si>
  <si>
    <t>Résultats inexploitables</t>
  </si>
  <si>
    <t>Mauvaise analyse</t>
  </si>
  <si>
    <t>Préparer un guide structuré.</t>
  </si>
  <si>
    <t>Nombre d’entretiens</t>
  </si>
  <si>
    <t>Le nombre est-il suffisant pour être représentatif ?</t>
  </si>
  <si>
    <t>Compte-rendu</t>
  </si>
  <si>
    <t>Résultats biaisés</t>
  </si>
  <si>
    <t>Décisions non adaptées</t>
  </si>
  <si>
    <t>Prévoir un seuil minimal selon l’effectif utilisateur.</t>
  </si>
  <si>
    <t>Documentation des réponses</t>
  </si>
  <si>
    <t>Les retours sont-ils documentés fidèlement ?</t>
  </si>
  <si>
    <t>Synthèse des entretiens</t>
  </si>
  <si>
    <t>Informations perdues</t>
  </si>
  <si>
    <t>Enregistrer et structurer les retours.</t>
  </si>
  <si>
    <t>Suivi des retours</t>
  </si>
  <si>
    <t>Les réponses sont-elles prises en compte ?</t>
  </si>
  <si>
    <t>Historique de traitement</t>
  </si>
  <si>
    <t>Perte de confiance</t>
  </si>
  <si>
    <t>Rejet des utilisateurs</t>
  </si>
  <si>
    <t>Mettre en place un suivi des retours jusqu’à leur intégration.</t>
  </si>
  <si>
    <t>Implication effective</t>
  </si>
  <si>
    <t>Les utilisateurs ont-ils été sollicités ?</t>
  </si>
  <si>
    <t>Rejet du changement</t>
  </si>
  <si>
    <t>Intégrer les utilisateurs dès la phase d’évaluation.</t>
  </si>
  <si>
    <t>Méthode de participation</t>
  </si>
  <si>
    <t>Un cadre d’échange est-il prévu ?</t>
  </si>
  <si>
    <t>Planning de participation</t>
  </si>
  <si>
    <t>Participation désorganisée</t>
  </si>
  <si>
    <t>Résultats confus</t>
  </si>
  <si>
    <t>Prévoir des ateliers ou groupes pilotes.</t>
  </si>
  <si>
    <t>Les retours ont-ils été valorisés ?</t>
  </si>
  <si>
    <t>Tableau de traitement</t>
  </si>
  <si>
    <t>Démotivation</t>
  </si>
  <si>
    <t>Engagement limité</t>
  </si>
  <si>
    <t>Suivre et intégrer les remarques pertinentes.</t>
  </si>
  <si>
    <t>Qualité du dialogue</t>
  </si>
  <si>
    <t>L’échange est-il constructif ?</t>
  </si>
  <si>
    <t>Compte-rendu de réunion</t>
  </si>
  <si>
    <t>Conflits</t>
  </si>
  <si>
    <t>Communication rompue</t>
  </si>
  <si>
    <t>Former les animateurs aux techniques d’écoute.</t>
  </si>
  <si>
    <t>Suivi des décisions issues</t>
  </si>
  <si>
    <t>Les décisions suite aux retours sont-elles formalisées ?</t>
  </si>
  <si>
    <t>PV décisionnel</t>
  </si>
  <si>
    <t>Perte de valeur des retours</t>
  </si>
  <si>
    <t>Décalage entre besoin et livrable</t>
  </si>
  <si>
    <t>Rendre compte des décisions prises sur chaque retour.</t>
  </si>
  <si>
    <t>Un plan de communication a-t-il été établi ?</t>
  </si>
  <si>
    <t>Communication floue</t>
  </si>
  <si>
    <t>Mauvaise conduite du changement</t>
  </si>
  <si>
    <t>Élaborer un plan détaillé dès le début du projet.</t>
  </si>
  <si>
    <t>Identification des cibles</t>
  </si>
  <si>
    <t>Les publics concernés sont-ils identifiés ?</t>
  </si>
  <si>
    <t>Liste des parties prenantes</t>
  </si>
  <si>
    <t>Messages mal ciblés</t>
  </si>
  <si>
    <t>Incompréhension ou résistance</t>
  </si>
  <si>
    <t>Réaliser une cartographie des acteurs.</t>
  </si>
  <si>
    <t>Fréquence des communications</t>
  </si>
  <si>
    <t>La fréquence des messages est-elle définie ?</t>
  </si>
  <si>
    <t>Calendrier de diffusion</t>
  </si>
  <si>
    <t>Manque d’anticipation</t>
  </si>
  <si>
    <t>Délai ou stress utilisateur</t>
  </si>
  <si>
    <t>Définir une fréquence selon les jalons clés.</t>
  </si>
  <si>
    <t>Canaux utilisés</t>
  </si>
  <si>
    <t>Les canaux sont-ils adaptés aux destinataires ?</t>
  </si>
  <si>
    <t>Liste des canaux</t>
  </si>
  <si>
    <t>Message mal relayé</t>
  </si>
  <si>
    <t>Multiplier les canaux (réunions, mails, intranet).</t>
  </si>
  <si>
    <t>Suivi et feedback</t>
  </si>
  <si>
    <t>Le plan intègre-t-il des mécanismes de retour ?</t>
  </si>
  <si>
    <t>Formulaire de feedback</t>
  </si>
  <si>
    <t>Communication descendante uniquement</t>
  </si>
  <si>
    <t>Tension ou frustration</t>
  </si>
  <si>
    <t>Inclure des points de feedback réguliers.</t>
  </si>
  <si>
    <t>Un manuel d'utilisation a-t-il été formellement rédigé ?</t>
  </si>
  <si>
    <t>Manuel utilisateur</t>
  </si>
  <si>
    <t>Utilisation incorrecte de l'application</t>
  </si>
  <si>
    <t>Baisse de productivité, erreurs récurrentes</t>
  </si>
  <si>
    <t>Élaborer un manuel formel si inexistant</t>
  </si>
  <si>
    <t>Le manuel est-il mis à jour régulièrement ?</t>
  </si>
  <si>
    <t>Informations obsolètes</t>
  </si>
  <si>
    <t>Utilisation de fonctionnalités obsolètes ou inappropriées</t>
  </si>
  <si>
    <t>Le manuel est-il accessible à tous les utilisateurs concernés ?</t>
  </si>
  <si>
    <t>Lien de publication interne</t>
  </si>
  <si>
    <t>Mauvaise appropriation par les utilisateurs</t>
  </si>
  <si>
    <t>Non-utilisation optimale du système</t>
  </si>
  <si>
    <t>Diffuser le manuel sur un portail commun</t>
  </si>
  <si>
    <t>Le manuel a-t-il été validé par la MOA/MOE ?</t>
  </si>
  <si>
    <t>Mail de validation ou procès-verbal</t>
  </si>
  <si>
    <t>Contenu incomplet ou erroné</t>
  </si>
  <si>
    <t>Risque de confusion ou d’erreurs d’usage</t>
  </si>
  <si>
    <t>Faire valider officiellement par les parties prenantes</t>
  </si>
  <si>
    <t>Une formation liée à l'utilisation du manuel est-elle organisée ?</t>
  </si>
  <si>
    <t>Planning de formation</t>
  </si>
  <si>
    <t>Non-maîtrise de l’outil malgré la documentation</t>
  </si>
  <si>
    <t>Perte de temps, insatisfaction des utilisateurs</t>
  </si>
  <si>
    <t>Organiser des formations ou sessions de sensibilisation</t>
  </si>
  <si>
    <t>Le manuel respecte-t-il une charte de documentation ou un guide de style ?</t>
  </si>
  <si>
    <t>Non-uniformité des contenus</t>
  </si>
  <si>
    <t>Confusion chez les utilisateurs</t>
  </si>
  <si>
    <t>Élaborer une charte de rédaction et la faire respecter</t>
  </si>
  <si>
    <t>Le contenu du manuel est-il conforme aux normes ISO 9241 ou ITIL applicables ?</t>
  </si>
  <si>
    <t>Référentiel ISO ou ITIL</t>
  </si>
  <si>
    <t>Non-conformité aux exigences qualité</t>
  </si>
  <si>
    <t>Rejet lors d’audits ou certifications</t>
  </si>
  <si>
    <t>Réviser le manuel à l’aune des normes reconnues</t>
  </si>
  <si>
    <t>Le manuel prend-il en compte les exigences légales (RGPD, accessibilité, etc.) ?</t>
  </si>
  <si>
    <t>Extrait RGPD, loi accessibilité</t>
  </si>
  <si>
    <t>Risque de non-conformité légale</t>
  </si>
  <si>
    <t>Sanctions réglementaires</t>
  </si>
  <si>
    <t>Intégrer les obligations légales dans la documentation</t>
  </si>
  <si>
    <t>Le manuel a-t-il été relu par un responsable qualité/documentation ?</t>
  </si>
  <si>
    <t>Rapport ou mail de validation</t>
  </si>
  <si>
    <t>Omission d’éléments critiques</t>
  </si>
  <si>
    <t>Perte de fiabilité du document</t>
  </si>
  <si>
    <t>Instaurer une étape de revue qualité formelle</t>
  </si>
  <si>
    <t>Une version officielle a-t-elle été approuvée et publiée ?</t>
  </si>
  <si>
    <t>Document versionné</t>
  </si>
  <si>
    <t>Multiples versions non maîtrisées</t>
  </si>
  <si>
    <t>Utilisation d'une version obsolète</t>
  </si>
  <si>
    <t>Centraliser la version officielle et en interdire les doublons</t>
  </si>
  <si>
    <t>Le manuel est-il mis à disposition de tous les utilisateurs finaux ?</t>
  </si>
  <si>
    <t>Lien de diffusion / plateforme interne</t>
  </si>
  <si>
    <t>Mauvaise utilisation de l’application</t>
  </si>
  <si>
    <t>Mettre en ligne le manuel sur l’intranet ou dans l’application elle-même</t>
  </si>
  <si>
    <t>Est-il accessible sans authentification complexe ou barrière technique ?</t>
  </si>
  <si>
    <t>Accès restreint ou bloqué</t>
  </si>
  <si>
    <t>Frustration des utilisateurs</t>
  </si>
  <si>
    <t>Simplifier les accès tout en gardant une sécurité raisonnable</t>
  </si>
  <si>
    <t>Le manuel utilise-t-il un vocabulaire clair, non technique pour les utilisateurs ?</t>
  </si>
  <si>
    <t>Extrait de manuel utilisateur</t>
  </si>
  <si>
    <t>Incompréhension du contenu</t>
  </si>
  <si>
    <t>Demandes fréquentes au support</t>
  </si>
  <si>
    <t>Réaliser des tests utilisateurs sur la lisibilité</t>
  </si>
  <si>
    <t>Le manuel a-t-il été mis à jour après les dernières évolutions de l’application ?</t>
  </si>
  <si>
    <t>Historique des versions du manuel</t>
  </si>
  <si>
    <t>Obsolescence de l’information</t>
  </si>
  <si>
    <t>Prise en main erronée</t>
  </si>
  <si>
    <t>Mettre à jour le manuel après chaque évolution importante</t>
  </si>
  <si>
    <t>Le manuel existe-t-il dans plusieurs formats (PDF, web, papier) ?</t>
  </si>
  <si>
    <t>Liste des supports</t>
  </si>
  <si>
    <t>Exclusion de certains profils d’utilisateurs</t>
  </si>
  <si>
    <t>Accès limité à certaines catégories d’utilisateurs</t>
  </si>
  <si>
    <t>Décliner le manuel en plusieurs formats accessibles</t>
  </si>
  <si>
    <t>Les objets du système sont-ils clairement définis ?</t>
  </si>
  <si>
    <t>Mauvaise compréhension fonctionnelle</t>
  </si>
  <si>
    <t>Utilisation incorrecte des modules</t>
  </si>
  <si>
    <t>Ajouter un glossaire pour expliciter chaque objet métier</t>
  </si>
  <si>
    <t>Le manuel inclut-il des captures d’écran ?</t>
  </si>
  <si>
    <t>Difficulté à s’orienter dans l’application</t>
  </si>
  <si>
    <t>Navigation hasardeuse</t>
  </si>
  <si>
    <t>Ajouter des captures et légendes explicatives</t>
  </si>
  <si>
    <t>Les boutons et actions sont-ils bien expliqués ?</t>
  </si>
  <si>
    <t>Extrait du manuel</t>
  </si>
  <si>
    <t>Risque d’erreur lors de l’utilisation</t>
  </si>
  <si>
    <t>Inclure un tableau récapitulatif des commandes</t>
  </si>
  <si>
    <t>Des scénarios d’usage sont-ils illustrés ?</t>
  </si>
  <si>
    <t>Formation difficile</t>
  </si>
  <si>
    <t>Temps d’adoption rallongé</t>
  </si>
  <si>
    <t>Ajouter des cas d’usage typiques dans le manuel</t>
  </si>
  <si>
    <t>Chaque fonctionnalité a-t-elle sa documentation ?</t>
  </si>
  <si>
    <t>Plan fonctionnel + manuel</t>
  </si>
  <si>
    <t>Oubli de documentation sur certains modules</t>
  </si>
  <si>
    <t>Modules non exploités</t>
  </si>
  <si>
    <t>Créer un tableau de correspondance fonctionnalité / section du manuel</t>
  </si>
  <si>
    <t>Le manuel identifie-t-il les personnes à contacter en cas d’anomalie ?</t>
  </si>
  <si>
    <t>Confusion en cas d’incident</t>
  </si>
  <si>
    <t>Temps de réponse rallongé</t>
  </si>
  <si>
    <t>Mettre en gras ou encadrer les contacts prioritaires</t>
  </si>
  <si>
    <t>Les rôles des référents sont-ils bien précisés ?</t>
  </si>
  <si>
    <t>Fiche de responsabilités</t>
  </si>
  <si>
    <t>Mauvaise attribution des anomalies</t>
  </si>
  <si>
    <t>Erreurs de traitement</t>
  </si>
  <si>
    <t>Ajouter un tableau de rôles/responsabilités</t>
  </si>
  <si>
    <t>Les moyens de contact (mail, téléphone) sont-ils inclus ?</t>
  </si>
  <si>
    <t>Contact difficile</t>
  </si>
  <si>
    <t>Blocage des utilisateurs</t>
  </si>
  <si>
    <t>Inclure les coordonnées dans chaque section technique</t>
  </si>
  <si>
    <t>Un processus clair est-il décrit ?</t>
  </si>
  <si>
    <t>Procédure support</t>
  </si>
  <si>
    <t>Non-remontée des anomalies</t>
  </si>
  <si>
    <t>Pannes non corrigées</t>
  </si>
  <si>
    <t>Intégrer un schéma du processus de remontée</t>
  </si>
  <si>
    <t>Le manuel redirige-t-il vers l’outil de support ?</t>
  </si>
  <si>
    <t>Lien outil support</t>
  </si>
  <si>
    <t>Aucune centralisation des incidents</t>
  </si>
  <si>
    <t>Insérer un QR code ou lien vers le portail d’incident</t>
  </si>
  <si>
    <t>Délais de traitement</t>
  </si>
  <si>
    <t>Existence d’un document de répartition des rôles</t>
  </si>
  <si>
    <t>Un document formel définit-il les rôles MOA/MOE ?</t>
  </si>
  <si>
    <t>Matrice RACI / charte projet</t>
  </si>
  <si>
    <t>Confusion des responsabilités</t>
  </si>
  <si>
    <t>Conflits ou tâches non couvertes</t>
  </si>
  <si>
    <t>Établir et valider une matrice claire</t>
  </si>
  <si>
    <t>Validation de la répartition</t>
  </si>
  <si>
    <t>Cette répartition a-t-elle été validée par les deux parties ?</t>
  </si>
  <si>
    <t>PV de réunion de cadrage</t>
  </si>
  <si>
    <t>Retards ou blocages</t>
  </si>
  <si>
    <t>Obtenir validation formelle des deux parties</t>
  </si>
  <si>
    <t>Connaissance des rôles par les parties prenantes</t>
  </si>
  <si>
    <t>Les intervenants connaissent-ils leurs rôles ?</t>
  </si>
  <si>
    <t>Compte rendu de réunion / organigramme</t>
  </si>
  <si>
    <t>Actions incohérentes</t>
  </si>
  <si>
    <t>Sensibiliser via des ateliers MOA/MOE</t>
  </si>
  <si>
    <t>Documentation accessible</t>
  </si>
  <si>
    <t>Le document est-il facilement accessible ?</t>
  </si>
  <si>
    <t>Intranet / espace projet</t>
  </si>
  <si>
    <t>Erreurs organisationnelles</t>
  </si>
  <si>
    <t>Centraliser les documents dans un référentiel</t>
  </si>
  <si>
    <t>Actualisation des rôles</t>
  </si>
  <si>
    <t>La répartition est-elle mise à jour si besoin ?</t>
  </si>
  <si>
    <t>Versioning / historique</t>
  </si>
  <si>
    <t>Obsolescence des rôles</t>
  </si>
  <si>
    <t>Rôle assumé par erreur</t>
  </si>
  <si>
    <t>Prévoir une révision à chaque jalon projet</t>
  </si>
  <si>
    <t>Définition du périmètre d’autorité</t>
  </si>
  <si>
    <t>Les limites de pouvoir du chef de projet sont-elles formalisées ?</t>
  </si>
  <si>
    <t>Fiche de fonction / Charte projet</t>
  </si>
  <si>
    <t>Décisions inappropriées</t>
  </si>
  <si>
    <t>Conflits avec la direction ou MOA</t>
  </si>
  <si>
    <t>Clarifier dans la fiche de poste</t>
  </si>
  <si>
    <t>Prise de décision en autonomie</t>
  </si>
  <si>
    <t>Le chef de projet peut-il arbitrer en cas de désaccord ?</t>
  </si>
  <si>
    <t>Charte projet</t>
  </si>
  <si>
    <t>Escalade excessive</t>
  </si>
  <si>
    <t>Lenteur dans les décisions critiques</t>
  </si>
  <si>
    <t>Lui accorder des marges d’action définies</t>
  </si>
  <si>
    <t>Pouvoir sur les ressources</t>
  </si>
  <si>
    <t>Le chef de projet gère-t-il les affectations ?</t>
  </si>
  <si>
    <t>Retards de planification</t>
  </si>
  <si>
    <t>Avancement ralenti</t>
  </si>
  <si>
    <t>Formaliser son rôle dans la gestion RH</t>
  </si>
  <si>
    <t>Autorité sur la priorisation des tâches</t>
  </si>
  <si>
    <t>Peut-il réorganiser les priorités ?</t>
  </si>
  <si>
    <t>Suivi d’avancement</t>
  </si>
  <si>
    <t>Désalignement stratégique</t>
  </si>
  <si>
    <t>Priorisation inefficace</t>
  </si>
  <si>
    <t>Prévoir validation conjointe avec la MOA</t>
  </si>
  <si>
    <t>Encadrement des prestataires</t>
  </si>
  <si>
    <t>A-t-il autorité sur les intervenants externes ?</t>
  </si>
  <si>
    <t>Contrat de prestation</t>
  </si>
  <si>
    <t>Blocages externes non maîtrisés</t>
  </si>
  <si>
    <t>Rupture dans les livrables</t>
  </si>
  <si>
    <t>Prévoir un pouvoir de coordination sur les tiers</t>
  </si>
  <si>
    <t>Procédures de résolution de conflit</t>
  </si>
  <si>
    <t>Existe-t-il une procédure claire ?</t>
  </si>
  <si>
    <t>Procédure interne / charte</t>
  </si>
  <si>
    <t>Blocage prolongé</t>
  </si>
  <si>
    <t>Projets retardés</t>
  </si>
  <si>
    <t>Formaliser une procédure de médiation</t>
  </si>
  <si>
    <t>Soutien de la direction</t>
  </si>
  <si>
    <t>La direction soutient-elle le chef de projet ?</t>
  </si>
  <si>
    <t>Compte rendu de comité de pilotage</t>
  </si>
  <si>
    <t>Affaiblissement de son autorité</t>
  </si>
  <si>
    <t>Délégitimation</t>
  </si>
  <si>
    <t>Renforcer le soutien par des décisions officielles</t>
  </si>
  <si>
    <t>Capacité à convoquer des réunions d'arbitrage</t>
  </si>
  <si>
    <t>Dispose-t-il d’un pouvoir de convocation ?</t>
  </si>
  <si>
    <t>Agenda projet</t>
  </si>
  <si>
    <t>Conflits persistants</t>
  </si>
  <si>
    <t>Détérioration du climat projet</t>
  </si>
  <si>
    <t>Maintenir ce pouvoir en toute situation</t>
  </si>
  <si>
    <t>Méthode d'escalade</t>
  </si>
  <si>
    <t>Une méthode d’escalade est-elle prévue ?</t>
  </si>
  <si>
    <t>Plan de gouvernance</t>
  </si>
  <si>
    <t>Impossibilité de résoudre certains conflits</t>
  </si>
  <si>
    <t>Blocage inter-équipes</t>
  </si>
  <si>
    <t>Mettre en place une chaîne d’escalade claire</t>
  </si>
  <si>
    <t>Autorité reconnue par les équipes</t>
  </si>
  <si>
    <t>Les équipes reconnaissent-elles sa légitimité ?</t>
  </si>
  <si>
    <t>Retours d’enquête / bilan projet</t>
  </si>
  <si>
    <t>Désobéissance passive</t>
  </si>
  <si>
    <t>Démotivation collective</t>
  </si>
  <si>
    <t>Communication transparente sur ses prérogatives</t>
  </si>
  <si>
    <t>Compétences managériales présentes</t>
  </si>
  <si>
    <t>Des profils expérimentés sont-ils affectés ?</t>
  </si>
  <si>
    <t>CV / fiches de poste</t>
  </si>
  <si>
    <t>Mauvaise gestion projet</t>
  </si>
  <si>
    <t>Retards, tensions internes</t>
  </si>
  <si>
    <t>Évaluer régulièrement les compétences</t>
  </si>
  <si>
    <t>Compétences techniques suffisantes</t>
  </si>
  <si>
    <t>Les compétences techniques sont-elles adéquates ?</t>
  </si>
  <si>
    <t>Grilles d’évaluation technique</t>
  </si>
  <si>
    <t>Mauvaise qualité de livrable</t>
  </si>
  <si>
    <t>Livrables non conformes</t>
  </si>
  <si>
    <t>Prévoir des formations ciblées</t>
  </si>
  <si>
    <t>Compétences fonctionnelles adaptées</t>
  </si>
  <si>
    <t>Les utilisateurs clés sont-ils compétents ?</t>
  </si>
  <si>
    <t>Relevé de compétences</t>
  </si>
  <si>
    <t>Incompréhension des besoins</t>
  </si>
  <si>
    <t>Erreurs de conception</t>
  </si>
  <si>
    <t>Associer des experts métiers aux ateliers</t>
  </si>
  <si>
    <t>Ressources suffisantes en nombre</t>
  </si>
  <si>
    <t>L’équipe est-elle dimensionnée correctement ?</t>
  </si>
  <si>
    <t>Planning RH / charges</t>
  </si>
  <si>
    <t>Sous-dimensionnement</t>
  </si>
  <si>
    <t>Surcharge et abandon</t>
  </si>
  <si>
    <t>Renforcer l’équipe ou sous-traiter</t>
  </si>
  <si>
    <t>Disponibilité des ressources</t>
  </si>
  <si>
    <t>Les ressources sont-elles disponibles au bon moment ?</t>
  </si>
  <si>
    <t>Retards récurrents</t>
  </si>
  <si>
    <t>Glissement de planning</t>
  </si>
  <si>
    <t>Réserver les ressources en amont du projet</t>
  </si>
  <si>
    <t>Comité de pilotage existant</t>
  </si>
  <si>
    <t>Existe-t-il un comité décisionnaire ?</t>
  </si>
  <si>
    <t>CR de comité de pilotage</t>
  </si>
  <si>
    <t>Décisions tardives ou inadaptées</t>
  </si>
  <si>
    <t>Formaliser le rôle du comité</t>
  </si>
  <si>
    <t>Niveaux de validation définis</t>
  </si>
  <si>
    <t>Les niveaux de validation sont-ils précisés ?</t>
  </si>
  <si>
    <t>Multiples rejets ou validations incomplètes</t>
  </si>
  <si>
    <t>Allongement des cycles</t>
  </si>
  <si>
    <t>Définir les circuits de validation</t>
  </si>
  <si>
    <t>Pouvoir réel du comité</t>
  </si>
  <si>
    <t>Le comité dispose-t-il du pouvoir de trancher ?</t>
  </si>
  <si>
    <t>Arbitrage inefficace</t>
  </si>
  <si>
    <t>Blocages majeurs</t>
  </si>
  <si>
    <t>Revoir la composition du comité</t>
  </si>
  <si>
    <t>Traçabilité des décisions</t>
  </si>
  <si>
    <t>Les décisions sont-elles formalisées ?</t>
  </si>
  <si>
    <t>Registre de décision</t>
  </si>
  <si>
    <t>Répétition des débats</t>
  </si>
  <si>
    <t>Maintenir un journal de décisions à jour</t>
  </si>
  <si>
    <t>Réactivité du management</t>
  </si>
  <si>
    <t>Les décisions sont-elles prises dans des délais raisonnables ?</t>
  </si>
  <si>
    <t>Délai moyen de décision</t>
  </si>
  <si>
    <t>Inertie managériale</t>
  </si>
  <si>
    <t>Perte d’agilité</t>
  </si>
  <si>
    <t>Suivre les KPI de gouvernance et ajuster</t>
  </si>
  <si>
    <t>Fréquence des demandes</t>
  </si>
  <si>
    <t>La fréquence des demandes d’évolution est-elle enregistrée ?</t>
  </si>
  <si>
    <t>Registre des demandes</t>
  </si>
  <si>
    <t>Non-maîtrise des changements</t>
  </si>
  <si>
    <t>Dérive non contrôlée du périmètre</t>
  </si>
  <si>
    <t>Mettre en place un suivi périodique</t>
  </si>
  <si>
    <t>Existe-t-il un historique des modifications ?</t>
  </si>
  <si>
    <t>Journal des versions</t>
  </si>
  <si>
    <t>Difficultés à identifier les évolutions</t>
  </si>
  <si>
    <t>Documenter chaque modification</t>
  </si>
  <si>
    <t>Validation des demandes</t>
  </si>
  <si>
    <t>Chaque demande est-elle validée avant exécution ?</t>
  </si>
  <si>
    <t>Fiches de validation</t>
  </si>
  <si>
    <t>Implémentation non maîtrisée</t>
  </si>
  <si>
    <t>Risques sur la cohérence du projet</t>
  </si>
  <si>
    <t>Exiger une validation formelle</t>
  </si>
  <si>
    <t>Notification des changements</t>
  </si>
  <si>
    <t>Les parties prenantes sont-elles notifiées ?</t>
  </si>
  <si>
    <t>Mails ou procès-verbaux</t>
  </si>
  <si>
    <t>Désalignement des acteurs</t>
  </si>
  <si>
    <t>Conflits ou incompréhensions</t>
  </si>
  <si>
    <t>Instaurer une communication systématique</t>
  </si>
  <si>
    <t>Impact sur les délais</t>
  </si>
  <si>
    <t>Les impacts sur les délais sont-ils évalués ?</t>
  </si>
  <si>
    <t>Plan de planning mis à jour</t>
  </si>
  <si>
    <t>Délais non tenus</t>
  </si>
  <si>
    <t>Intégrer une évaluation d’impact systématique</t>
  </si>
  <si>
    <t>Traçabilité des demandes</t>
  </si>
  <si>
    <t>Les demandes sont-elles formalisées par écrit ?</t>
  </si>
  <si>
    <t>Fiche de demande</t>
  </si>
  <si>
    <t>Non prise en compte</t>
  </si>
  <si>
    <t>Perte d’informations</t>
  </si>
  <si>
    <t>Utiliser un modèle standardisé</t>
  </si>
  <si>
    <t>Identification du demandeur</t>
  </si>
  <si>
    <t>Le demandeur est-il clairement identifié ?</t>
  </si>
  <si>
    <t>Fiche de suivi</t>
  </si>
  <si>
    <t>Difficulté de suivi</t>
  </si>
  <si>
    <t>Retard dans le traitement</t>
  </si>
  <si>
    <t>Intégrer une identification obligatoire</t>
  </si>
  <si>
    <t>Contenu détaillé</t>
  </si>
  <si>
    <t>La demande comporte-t-elle une description claire ?</t>
  </si>
  <si>
    <t>Demande écrite</t>
  </si>
  <si>
    <t>Ambiguïté dans l’analyse</t>
  </si>
  <si>
    <t>Évolution incorrecte</t>
  </si>
  <si>
    <t>Demander une précision systématique</t>
  </si>
  <si>
    <t>Les demandes sont-elles archivées ?</t>
  </si>
  <si>
    <t>Base documentaire</t>
  </si>
  <si>
    <t>Impossibilité d’audit</t>
  </si>
  <si>
    <t>Mettre en place un système d’archivage numérique</t>
  </si>
  <si>
    <t>Les délais de traitement sont-ils respectés ?</t>
  </si>
  <si>
    <t>Suivi des tickets</t>
  </si>
  <si>
    <t>Accumulation des demandes</t>
  </si>
  <si>
    <t>Saturation de la MOE</t>
  </si>
  <si>
    <t>Prioriser selon l’impact métier</t>
  </si>
  <si>
    <t>Existence d’une procédure</t>
  </si>
  <si>
    <t>Une procédure formalisée est-elle en place ?</t>
  </si>
  <si>
    <t>Procédure officielle</t>
  </si>
  <si>
    <t>Gestion non maîtrisée</t>
  </si>
  <si>
    <t>Évolutions incohérentes</t>
  </si>
  <si>
    <t>Créer et diffuser une procédure validée</t>
  </si>
  <si>
    <t>Communication de la procédure</t>
  </si>
  <si>
    <t>Est-elle connue de l’ensemble des acteurs ?</t>
  </si>
  <si>
    <t>Compte rendu de formation</t>
  </si>
  <si>
    <t>Non-application de la procédure</t>
  </si>
  <si>
    <t>Disparité des pratiques</t>
  </si>
  <si>
    <t>Former et sensibiliser les équipes</t>
  </si>
  <si>
    <t>Application effective</t>
  </si>
  <si>
    <t>Est-elle appliquée dans les projets ?</t>
  </si>
  <si>
    <t>Journal des décisions</t>
  </si>
  <si>
    <t>Écart entre théorie et pratique</t>
  </si>
  <si>
    <t>Risques de dérive</t>
  </si>
  <si>
    <t>Intégrer dans le processus qualité</t>
  </si>
  <si>
    <t>Suivi des modifications</t>
  </si>
  <si>
    <t>Un suivi est-il opéré pour chaque évolution ?</t>
  </si>
  <si>
    <t>Feuille de suivi</t>
  </si>
  <si>
    <t>Oubli de certaines demandes</t>
  </si>
  <si>
    <t>Régressions possibles</t>
  </si>
  <si>
    <t>Créer un tableau de bord des évolutions</t>
  </si>
  <si>
    <t>Révision de la procédure</t>
  </si>
  <si>
    <t>La procédure est-elle mise à jour ?</t>
  </si>
  <si>
    <t>Historique de révision</t>
  </si>
  <si>
    <t>Inadéquation aux besoins</t>
  </si>
  <si>
    <t>Inefficacité opérationnelle</t>
  </si>
  <si>
    <t>Réviser périodiquement le document</t>
  </si>
  <si>
    <t>Existence d’un modèle d’analyse</t>
  </si>
  <si>
    <t>Un modèle est-il utilisé pour l’analyse d’impact ?</t>
  </si>
  <si>
    <t>Analyse partielle</t>
  </si>
  <si>
    <t>Mauvaise décision stratégique</t>
  </si>
  <si>
    <t>Élaborer un modèle unique validé</t>
  </si>
  <si>
    <t>Analyse financière</t>
  </si>
  <si>
    <t>Les coûts sont-ils pris en compte ?</t>
  </si>
  <si>
    <t>Analyse budgétaire</t>
  </si>
  <si>
    <t>Surcoûts imprévus</t>
  </si>
  <si>
    <t>Dépassement budgétaire</t>
  </si>
  <si>
    <t>Inclure systématiquement un volet financier</t>
  </si>
  <si>
    <t>Les impacts techniques sont-ils analysés ?</t>
  </si>
  <si>
    <t>Fiche technique</t>
  </si>
  <si>
    <t>Incompatibilités</t>
  </si>
  <si>
    <t>Bug ou panne</t>
  </si>
  <si>
    <t>Intégrer un volet technique à l’évaluation</t>
  </si>
  <si>
    <t>Les impacts sur les fonctionnalités sont-ils identifiés ?</t>
  </si>
  <si>
    <t>Fonction manquante</t>
  </si>
  <si>
    <t>Perte de valeur utilisateur</t>
  </si>
  <si>
    <t>Revoir systématiquement les impacts</t>
  </si>
  <si>
    <t>Les acteurs concernés sont-ils consultés ?</t>
  </si>
  <si>
    <t>Frein au déploiement</t>
  </si>
  <si>
    <t>Consulter systématiquement les acteurs clés</t>
  </si>
  <si>
    <t>Outil de gestion des versions</t>
  </si>
  <si>
    <t>Un outil est-il utilisé ?</t>
  </si>
  <si>
    <t>Historique Git / SVN</t>
  </si>
  <si>
    <t>Pertes de modifications</t>
  </si>
  <si>
    <t>Difficultés de maintenance</t>
  </si>
  <si>
    <t>Utiliser des outils de gestion comme Git</t>
  </si>
  <si>
    <t>Planification des livrables</t>
  </si>
  <si>
    <t>Les livrables sont-ils planifiés ?</t>
  </si>
  <si>
    <t>Planning de livraison</t>
  </si>
  <si>
    <t>Retards non anticipés</t>
  </si>
  <si>
    <t>Décalage projet-client</t>
  </si>
  <si>
    <t>Planifier dès le début du projet</t>
  </si>
  <si>
    <t>Nommage des versions</t>
  </si>
  <si>
    <t>Les versions sont-elles nommées de manière standard ?</t>
  </si>
  <si>
    <t>Convention de nommage</t>
  </si>
  <si>
    <t>Confusion</t>
  </si>
  <si>
    <t>Mauvais déploiement</t>
  </si>
  <si>
    <t>Imposer une convention stricte</t>
  </si>
  <si>
    <t>Documentation des versions</t>
  </si>
  <si>
    <t>Chaque version est-elle documentée ?</t>
  </si>
  <si>
    <t>Notes de version</t>
  </si>
  <si>
    <t>Mauvais support client</t>
  </si>
  <si>
    <t>Non-compréhension des nouveautés</t>
  </si>
  <si>
    <t>Documenter les nouveautés et correctifs</t>
  </si>
  <si>
    <t>Disponibilité des anciennes versions</t>
  </si>
  <si>
    <t>Peut-on restaurer une version antérieure ?</t>
  </si>
  <si>
    <t>Sauvegardes</t>
  </si>
  <si>
    <t>Perte d’information</t>
  </si>
  <si>
    <t>Blocage en cas de problème</t>
  </si>
  <si>
    <t>Garder un historique complet accessible</t>
  </si>
  <si>
    <t>Existence d’un manuel documenté</t>
  </si>
  <si>
    <t>Validation du manuel</t>
  </si>
  <si>
    <t>Formation liée au manuel</t>
  </si>
  <si>
    <t>Respect des standards de rédaction</t>
  </si>
  <si>
    <t>Conformité aux normes ISO ou ITIL</t>
  </si>
  <si>
    <t>Vérification juridique ou réglementaire</t>
  </si>
  <si>
    <t>Revue qualité du document</t>
  </si>
  <si>
    <t>Version officielle validée</t>
  </si>
  <si>
    <t>Disponibilité du manuel</t>
  </si>
  <si>
    <t>Accessibilité facile</t>
  </si>
  <si>
    <t>Mise à jour du contenu</t>
  </si>
  <si>
    <t>Présence de formats adaptés</t>
  </si>
  <si>
    <t>Description des objets métiers</t>
  </si>
  <si>
    <t>Captures d’écran représentatives</t>
  </si>
  <si>
    <t>Détail des commandes disponibles</t>
  </si>
  <si>
    <t>Illustration des parcours utilisateurs</t>
  </si>
  <si>
    <t>Mise en correspondance avec les fonctionnalités</t>
  </si>
  <si>
    <t>Identification des référents</t>
  </si>
  <si>
    <t>Précision des responsabilités</t>
  </si>
  <si>
    <t>Coordonnées disponibles</t>
  </si>
  <si>
    <t>Processus de remontée d’anomalies</t>
  </si>
  <si>
    <t>Liens vers outils de ticketing/support</t>
  </si>
  <si>
    <t>Langage adapté</t>
  </si>
  <si>
    <t>Existence d’un organigramme ou d’un RACI projet/production</t>
  </si>
  <si>
    <t>Un RACI formel a-t-il été établi pour séparer les responsabilités ?</t>
  </si>
  <si>
    <t>RACI, organigramme</t>
  </si>
  <si>
    <t>Chevauchement des tâches</t>
  </si>
  <si>
    <t>Formaliser et diffuser le RACI à tous les acteurs concernés</t>
  </si>
  <si>
    <t>Identification claire des tâches spécifiques à chaque entité</t>
  </si>
  <si>
    <t>Les tâches sont-elles clairement affectées à la MOE ou à la production ?</t>
  </si>
  <si>
    <t>Confusion des rôles</t>
  </si>
  <si>
    <t>Retards et erreurs dans les déploiements</t>
  </si>
  <si>
    <t>Clarifier les rôles dans un document validé par toutes les parties</t>
  </si>
  <si>
    <t>Mise à jour régulière du périmètre des responsabilités</t>
  </si>
  <si>
    <t>Le périmètre est-il mis à jour en fonction des changements projet ?</t>
  </si>
  <si>
    <t>Historique des versions de documents</t>
  </si>
  <si>
    <t>Périmètre obsolète</t>
  </si>
  <si>
    <t>Mettre à jour périodiquement le périmètre des responsabilités</t>
  </si>
  <si>
    <t>Validation de la séparation par les responsables concernés</t>
  </si>
  <si>
    <t>La séparation des responsabilités est-elle validée par la direction ?</t>
  </si>
  <si>
    <t>Procès-verbaux de réunions</t>
  </si>
  <si>
    <t>Absence d'engagement hiérarchique</t>
  </si>
  <si>
    <t>Non-application sur le terrain</t>
  </si>
  <si>
    <t>Impliquer les directions dans la validation formelle</t>
  </si>
  <si>
    <t>Communication effective à toutes les équipes</t>
  </si>
  <si>
    <t>Les équipes sont-elles informées de cette répartition ?</t>
  </si>
  <si>
    <t>Mails, comptes rendus de réunion</t>
  </si>
  <si>
    <t>Organiser des sessions de présentation du modèle de répartition</t>
  </si>
  <si>
    <t>S’assurer qu’il existe un document décrivant les responsabilités respectives des projets et de la production lors d’une mise en production ;</t>
  </si>
  <si>
    <t>Présence d’un document formel de répartition</t>
  </si>
  <si>
    <t>Un document formel définit-il les responsabilités lors d’une mise en production ?</t>
  </si>
  <si>
    <t>Procédure de mise en production</t>
  </si>
  <si>
    <t>Problèmes en phase de mise en production</t>
  </si>
  <si>
    <t>Formaliser et valider la procédure avec les deux équipes</t>
  </si>
  <si>
    <t>Validation du document par les deux parties</t>
  </si>
  <si>
    <t>Le document est-il validé par les équipes projet et production ?</t>
  </si>
  <si>
    <t>Contestation ou rejet des responsabilités</t>
  </si>
  <si>
    <t>Retards et désaccords</t>
  </si>
  <si>
    <t>Organiser une revue conjointe du document</t>
  </si>
  <si>
    <t>Mise à jour du document après chaque changement</t>
  </si>
  <si>
    <t>Le document est-il révisé après une évolution ?</t>
  </si>
  <si>
    <t>Problèmes récurrents lors des mises en production</t>
  </si>
  <si>
    <t>Mettre en place un processus de révision périodique</t>
  </si>
  <si>
    <t>Accessibilité du document pour toutes les parties</t>
  </si>
  <si>
    <t>Le document est-il accessible à tous les intervenants ?</t>
  </si>
  <si>
    <t>Portail documentaire</t>
  </si>
  <si>
    <t>Méconnaissance des rôles</t>
  </si>
  <si>
    <t>Défaillances de coordination</t>
  </si>
  <si>
    <t>Assurer la diffusion via les canaux internes</t>
  </si>
  <si>
    <t>Formation sur les responsabilités du document</t>
  </si>
  <si>
    <t>Une formation est-elle dispensée sur les rôles définis ?</t>
  </si>
  <si>
    <t>Feuille de présence formation</t>
  </si>
  <si>
    <t>Mauvaise interprétation des tâches</t>
  </si>
  <si>
    <t>Échec de coordination entre équipes</t>
  </si>
  <si>
    <t>Organiser une formation systématique pour les nouveaux projets</t>
  </si>
  <si>
    <t>Formation ou briefing réalisé</t>
  </si>
  <si>
    <t>Les équipes ont-elles été informées officiellement ?</t>
  </si>
  <si>
    <t>Feuille de présence</t>
  </si>
  <si>
    <t>Incompréhension des rôles</t>
  </si>
  <si>
    <t>Erreurs de mise en œuvre</t>
  </si>
  <si>
    <t>Organiser des réunions de sensibilisation</t>
  </si>
  <si>
    <t>Conformité observée sur le terrain</t>
  </si>
  <si>
    <t>Les équipes suivent-elles les consignes du document ?</t>
  </si>
  <si>
    <t>Incidents opérationnels</t>
  </si>
  <si>
    <t>Suivre l'application via des audits réguliers</t>
  </si>
  <si>
    <t>Suivi et contrôle de la conformité</t>
  </si>
  <si>
    <t>Des contrôles sont-ils effectués pour vérifier l’application ?</t>
  </si>
  <si>
    <t>Dysfonctionnements opérationnels</t>
  </si>
  <si>
    <t>Mettre en place un contrôle périodique</t>
  </si>
  <si>
    <t>Sanctions ou rappels prévus en cas de non-respect</t>
  </si>
  <si>
    <t>Des mesures sont-elles prévues en cas de manquement ?</t>
  </si>
  <si>
    <t>Manque d'incitation au respect des rôles</t>
  </si>
  <si>
    <t>Intégrer un volet disciplinaire ou de rappel formel</t>
  </si>
  <si>
    <t>Retour d’expérience collecté et analysé</t>
  </si>
  <si>
    <t>Un retour d’expérience est-il formalisé ?</t>
  </si>
  <si>
    <t>Compte rendu de réunion</t>
  </si>
  <si>
    <t>Intégrer les retours pour améliorer les pratiques</t>
  </si>
  <si>
    <t>Intégration dans les processus de projet</t>
  </si>
  <si>
    <t>Le document est-il systématiquement intégré aux projets ?</t>
  </si>
  <si>
    <t>Oubli ou contournement des procédures</t>
  </si>
  <si>
    <t>Risque accru de conflits</t>
  </si>
  <si>
    <t>Rendre obligatoire l’inclusion du document dès le lancement</t>
  </si>
  <si>
    <t>Suivi d’indicateurs de respect des rôles</t>
  </si>
  <si>
    <t>Existe-t-il des indicateurs pour suivre le respect des rôles ?</t>
  </si>
  <si>
    <t>Tableau de bord projet</t>
  </si>
  <si>
    <t>Absence de pilotage clair</t>
  </si>
  <si>
    <t>Mauvais alignement projet/production</t>
  </si>
  <si>
    <t>Définir et suivre des KPIs liés aux responsabilités</t>
  </si>
  <si>
    <t>Implication des responsables des deux équipes</t>
  </si>
  <si>
    <t>Les responsables projet et production sont-ils impliqués conjointement ?</t>
  </si>
  <si>
    <t>Feuilles de réunion</t>
  </si>
  <si>
    <t>Manque de coordination stratégique</t>
  </si>
  <si>
    <t>Retard dans la mise en production</t>
  </si>
  <si>
    <t>Favoriser la co-animation des réunions de suivi</t>
  </si>
  <si>
    <t>Processus d’escalade en cas de désaccord</t>
  </si>
  <si>
    <t>Un processus de résolution de conflit est-il documenté ?</t>
  </si>
  <si>
    <t>Procédure d’escalade</t>
  </si>
  <si>
    <t>Blocage de projet en cas de tension</t>
  </si>
  <si>
    <t>Arrêt ou dégradation du service</t>
  </si>
  <si>
    <t>Mettre en place une procédure d’arbitrage formalisée</t>
  </si>
  <si>
    <t>Mise à jour post-audit ou retour d’expérience</t>
  </si>
  <si>
    <t>Le document est-il amélioré suite aux retours ?</t>
  </si>
  <si>
    <t>Rapport de retour d'expérience</t>
  </si>
  <si>
    <t>Perpétuation des erreurs</t>
  </si>
  <si>
    <t>Inefficacité dans la durée</t>
  </si>
  <si>
    <t>Mettre à jour le document après chaque projet</t>
  </si>
  <si>
    <t>Une matrice RACI est-elle disponible ?</t>
  </si>
  <si>
    <t>Matrice RACI</t>
  </si>
  <si>
    <t>Ambiguïtés dans les rôles</t>
  </si>
  <si>
    <t>Conflits ou tâches négligées</t>
  </si>
  <si>
    <t>Mettre à jour et diffuser la matrice régulièrement</t>
  </si>
  <si>
    <t>Le périmètre de chaque direction est-il documenté ?</t>
  </si>
  <si>
    <t>Fiche de périmètre</t>
  </si>
  <si>
    <t>Retards de livraison ou erreurs en production</t>
  </si>
  <si>
    <t>Formaliser les périmètres dans un document validé</t>
  </si>
  <si>
    <t>Un accord de validation entre MOE/MOA et production est-il signé ?</t>
  </si>
  <si>
    <t>Procès-verbal de réunion</t>
  </si>
  <si>
    <t>Mises en production non conformes</t>
  </si>
  <si>
    <t>Instaurer un processus de validation croisé</t>
  </si>
  <si>
    <t>Les responsabilités sont-elles réévaluées pour chaque projet ?</t>
  </si>
  <si>
    <t>Inadéquation des tâches</t>
  </si>
  <si>
    <t>Mauvais déroulement du projet</t>
  </si>
  <si>
    <t>Revoir les responsabilités à chaque lancement de projet</t>
  </si>
  <si>
    <t>Les responsabilités sont-elles connues par les équipes ?</t>
  </si>
  <si>
    <t>Compte-rendus de réunion</t>
  </si>
  <si>
    <t>Répétition des tâches ou erreurs</t>
  </si>
  <si>
    <t>Organiser des réunions de clarification</t>
  </si>
  <si>
    <t>Existence d’une matrice des responsabilités</t>
  </si>
  <si>
    <t>Périmètre des responsabilités défini par écrit</t>
  </si>
  <si>
    <t>Accord de validation formel entre directions</t>
  </si>
  <si>
    <t>Mise à jour des responsabilités selon les projets</t>
  </si>
  <si>
    <t>Communication aux équipes</t>
  </si>
  <si>
    <t>Recommendations</t>
  </si>
  <si>
    <t>L'organigramme du comité est-il signé par la direction ?</t>
  </si>
  <si>
    <t xml:space="preserve">OUI  </t>
  </si>
  <si>
    <t xml:space="preserve">Organigramme de l’entité  </t>
  </si>
  <si>
    <t xml:space="preserve">Absence de gouvernance clairement définie  </t>
  </si>
  <si>
    <t xml:space="preserve">Non-conformité aux réglementations en vigueur entraînant des sanctions légales.  </t>
  </si>
  <si>
    <t>Élaborer un cadre de gouvernance aligné sur COBIT ou ISO 27001 en formalisant les rôles et responsabilités.</t>
  </si>
  <si>
    <t>Trois procès-verbaux de réunion existent-ils pour les 6 derniers mois ?</t>
  </si>
  <si>
    <t xml:space="preserve">NON  </t>
  </si>
  <si>
    <t xml:space="preserve">Organigramme fonctionnel de la DSI  </t>
  </si>
  <si>
    <t xml:space="preserve">Documentation insuffisante des décisions stratégiques  </t>
  </si>
  <si>
    <t xml:space="preserve">Détérioration de la confiance des parties prenantes due à l'absence de traçabilité des décisions.  </t>
  </si>
  <si>
    <t>Documenter et diffuser les politiques de sécurité et les procédures internes pour garantir leur accessibilité.</t>
  </si>
  <si>
    <t>Les CV et certifications des membres du comité sont-ils disponibles ?</t>
  </si>
  <si>
    <t xml:space="preserve">Procès-verbaux des réunions du comité  </t>
  </si>
  <si>
    <t xml:space="preserve">Incompétence des membres du comité de pilotage  </t>
  </si>
  <si>
    <t xml:space="preserve">Augmentation des erreurs opérationnelles par manque de directives claires.  </t>
  </si>
  <si>
    <t>Mettre en place une formation continue sur les enjeux de sécurité et la conformité réglementaire pour les employés.</t>
  </si>
  <si>
    <t>Un mandat écrit définit-il les missions et la fréquence des réunions ?</t>
  </si>
  <si>
    <t xml:space="preserve">Fiches de postes de la DSI  </t>
  </si>
  <si>
    <t xml:space="preserve">Définition floue des responsabilités du comité  </t>
  </si>
  <si>
    <t xml:space="preserve">Vulnérabilité accrue aux cyberattaques en raison de politiques obsolètes.  </t>
  </si>
  <si>
    <t>Implémenter des contrôles d'accès stricts basés sur le principe du moindre privilège et revoir périodiquement les habilitations.</t>
  </si>
  <si>
    <t>Les décisions du comité sont-elles diffusées par email ou documents internes ?</t>
  </si>
  <si>
    <t xml:space="preserve">Politique des Applications approuvée par la direction  </t>
  </si>
  <si>
    <t xml:space="preserve">Non-diffusion des orientations stratégiques aux équipes  </t>
  </si>
  <si>
    <t xml:space="preserve">Inefficacité des contrôles internes causant des pertes financières.  </t>
  </si>
  <si>
    <t>Concevoir et tester régulièrement un plan de continuité d'activité (PCA) et un plan de reprise d'activité (PRA).</t>
  </si>
  <si>
    <t>La "Politique des Applications" est-elle approuvée par la direction ?</t>
  </si>
  <si>
    <t xml:space="preserve">Accusés de réception des employés pour la politique  </t>
  </si>
  <si>
    <t xml:space="preserve">Politique de sécurité non formalisée  </t>
  </si>
  <si>
    <t xml:space="preserve">Exposition à des litiges juridiques faute de documentation appropriée.  </t>
  </si>
  <si>
    <t>Instaurer une matrice des risques mise à jour annuellement et intégrée aux processus décisionnels.</t>
  </si>
  <si>
    <t>La dernière mise à jour date-t-elle de moins de 12 mois ?</t>
  </si>
  <si>
    <t xml:space="preserve">Plan de formation annuel lié à la politique  </t>
  </si>
  <si>
    <t xml:space="preserve">Non-conformité réglementaire  </t>
  </si>
  <si>
    <t xml:space="preserve">Dysfonctionnements dans la gestion des accès menant à des fuites de données sensibles.  </t>
  </si>
  <si>
    <t>Automatiser les contrôles de validation des données critiques pour réduire les erreurs manuelles.</t>
  </si>
  <si>
    <t>Le document mentionne-t-il la conformité RGPD/ISO ?</t>
  </si>
  <si>
    <t xml:space="preserve">Matrice des autorisations/droits d’accès  </t>
  </si>
  <si>
    <t xml:space="preserve">Manque de sensibilisation des employés aux politiques  </t>
  </si>
  <si>
    <t xml:space="preserve">Interruptions prolongées des activités en cas de sinistre non anticipé.  </t>
  </si>
  <si>
    <t>Déployer des outils de surveillance en temps réel pour détecter les anomalies et les activités suspectes.</t>
  </si>
  <si>
    <t>Les employés ont-ils signé des accusés de réception pour la politique ?</t>
  </si>
  <si>
    <t xml:space="preserve">Liste des 100 derniers incidents du domaine d’audit  </t>
  </si>
  <si>
    <t xml:space="preserve">Absence de formation continue sur les enjeux de sécurité  </t>
  </si>
  <si>
    <t xml:space="preserve">Dégradation de la performance des systèmes due à une maintenance inadéquate.  </t>
  </si>
  <si>
    <t>Réaliser des audits réguliers des configurations des systèmes et des droits d'accès privilégiés.</t>
  </si>
  <si>
    <t>Un plan de formation annuel lié à cette politique existe-t-il ?</t>
  </si>
  <si>
    <t xml:space="preserve">Rapport d’analyse des risques récent (moins de 12 mois)  </t>
  </si>
  <si>
    <t xml:space="preserve">Définition imprécise des rôles utilisateurs  </t>
  </si>
  <si>
    <t xml:space="preserve">Non-respect des engagements contractuels envers les clients ou partenaires.  </t>
  </si>
  <si>
    <t>Mettre en œuvre des mécanismes de chiffrement des données en transit et au repos conformes aux normes ISO 27001.</t>
  </si>
  <si>
    <t xml:space="preserve">Document de classification des données (public, interne, confidentiel)  </t>
  </si>
  <si>
    <t xml:space="preserve">Violation des engagements contractuels  </t>
  </si>
  <si>
    <t xml:space="preserve">Augmentation des coûts opérationnels liés à des processus inefficients.  </t>
  </si>
  <si>
    <t>Séparer les environnements de développement, de test et de production pour limiter les risques de corruption.</t>
  </si>
  <si>
    <t>Les utilisateurs ont-ils signé des chartes d'utilisation ?</t>
  </si>
  <si>
    <t xml:space="preserve">Manuel d’administration des applications  </t>
  </si>
  <si>
    <t xml:space="preserve">Droits d'accès obsolètes ou inadaptées  </t>
  </si>
  <si>
    <t xml:space="preserve">Perte de données critiques par absence de sauvegardes fiables.  </t>
  </si>
  <si>
    <t>Établir des procédures de gestion des incidents incluant une analyse post-mortem et des plans d'action correctifs.</t>
  </si>
  <si>
    <t>Le tableau de gestion des accès est-il à jour ?</t>
  </si>
  <si>
    <t xml:space="preserve">Logs d’accès aux données sensibles sur 30 jours  </t>
  </si>
  <si>
    <t xml:space="preserve">Détournement de privilèges  </t>
  </si>
  <si>
    <t xml:space="preserve">Retards dans les prises de décision faute d’informations actualisées.  </t>
  </si>
  <si>
    <t>Valider l'exhaustivité et l'intégrité des sauvegardes via des tests de restauration périodiques.</t>
  </si>
  <si>
    <t>Les logs d'accès correspondent-ils aux rôles déclarés ?</t>
  </si>
  <si>
    <t xml:space="preserve">Procédures écrites pour les processus critiques  </t>
  </si>
  <si>
    <t xml:space="preserve">Absence de revue périodique des habilitations  </t>
  </si>
  <si>
    <t xml:space="preserve">Compromission de l’intégrité des données financières ou métiers.  </t>
  </si>
  <si>
    <t>Créer un comité de pilotage IT pour superviser l'alignement stratégique des projets avec les objectifs métiers.</t>
  </si>
  <si>
    <t>Une procédure de révision trimestrielle des droits est-elle en place ?</t>
  </si>
  <si>
    <t xml:space="preserve">Comptes rendus mensuels de l’application  </t>
  </si>
  <si>
    <t xml:space="preserve">Fraude interne via l'exploitation de droits excessifs  </t>
  </si>
  <si>
    <t xml:space="preserve">Risque accru de fraude interne en l’absence de séparation des tâches.  </t>
  </si>
  <si>
    <t>Utiliser des outils de gestion des identités et des accès (IAM) pour centraliser et auditer les permissions.</t>
  </si>
  <si>
    <t>Un rapport d'analyse des risques de moins de 12 mois existe-t-il ?</t>
  </si>
  <si>
    <t xml:space="preserve">Guide utilisateur et manuel de procédures  </t>
  </si>
  <si>
    <t xml:space="preserve">Évaluation des risques non actualisée  </t>
  </si>
  <si>
    <t xml:space="preserve">Détérioration de la qualité des services IT impactant la satisfaction client.  </t>
  </si>
  <si>
    <t>Réaliser des tests de pénétration et des audits de code pour identifier les vulnérabilités applicatives.</t>
  </si>
  <si>
    <t>La méthodologie utilisée est-elle reconnue (EBIOS, OCTAVE) ?</t>
  </si>
  <si>
    <t xml:space="preserve">Matrice des tâches et fonctions incompatibles  </t>
  </si>
  <si>
    <t xml:space="preserve">Utilisation de méthodologies obsolètes  </t>
  </si>
  <si>
    <t xml:space="preserve">Exposition à des amendes réglementaires pour non-conformité RGPD.  </t>
  </si>
  <si>
    <t>Documenter les flux de données et les interfaces entre systèmes pour garantir la traçabilité des échanges.</t>
  </si>
  <si>
    <t>Au moins 10 risques critiques sont-ils identifiés ?</t>
  </si>
  <si>
    <t xml:space="preserve">Contrat de maintenance ou d’assistance  </t>
  </si>
  <si>
    <t xml:space="preserve">Sous-estimation des menaces critiques  </t>
  </si>
  <si>
    <t xml:space="preserve">Interruptions fréquentes des services en production par manque de redondance.  </t>
  </si>
  <si>
    <t>Adopter une politique de gestion des correctifs avec des délais stricts pour les mises à jour critiques.</t>
  </si>
  <si>
    <t>Un plan d'action avec responsables et échéances est-il établi ?</t>
  </si>
  <si>
    <t xml:space="preserve">Plan de continuité des activités (PCA)  </t>
  </si>
  <si>
    <t xml:space="preserve">Absence de planification corrective  </t>
  </si>
  <si>
    <t xml:space="preserve">Difficultés à assurer la continuité des activités lors de crises majeures.  </t>
  </si>
  <si>
    <t>Instaurer des contrôles d'intégrité des données lors des migrations ou des transferts inter-systèmes.</t>
  </si>
  <si>
    <t xml:space="preserve">Plan de reprise d’activité (PRA)  </t>
  </si>
  <si>
    <t xml:space="preserve">Contrôles inefficaces face aux risques identifiés  </t>
  </si>
  <si>
    <t xml:space="preserve">Dépendance excessive vis-à-vis de prestataires externes non supervisés.  </t>
  </si>
  <si>
    <t>Mettre en place une journalisation centralisée et une analyse proactive des logs pour détecter les menaces.</t>
  </si>
  <si>
    <t>L'analyse des risques a-t-elle été mise à jour deux fois dans l'année ?</t>
  </si>
  <si>
    <t xml:space="preserve">Rapports de traitements des incidents  </t>
  </si>
  <si>
    <t xml:space="preserve">Ignorance des nouvelles vulnérabilités  </t>
  </si>
  <si>
    <t xml:space="preserve">Altération de la réputation de l’organisation suite à des incidents récurrents.  </t>
  </si>
  <si>
    <t>Élaborer une charte de sécurité informatique incluant des clauses contractuelles avec les fournisseurs externes.</t>
  </si>
  <si>
    <t>Les nouveaux risques (cybermenaces, RGPD) sont-ils intégrés ?</t>
  </si>
  <si>
    <t xml:space="preserve">Inventaire des licences  </t>
  </si>
  <si>
    <t xml:space="preserve">Défaut de reporting aux instances décisionnelles  </t>
  </si>
  <si>
    <t xml:space="preserve">Inefficacité des plans de reprise après sinistre prolongeant les temps d’arrêt.  </t>
  </si>
  <si>
    <t>Concevoir des tableaux de bord de performance alignés sur les KPI métiers pour mesurer l'efficacité des SI.</t>
  </si>
  <si>
    <t>Des indicateurs de suivi des risques existent-ils ?</t>
  </si>
  <si>
    <t xml:space="preserve">Bilan de qualité logiciel  </t>
  </si>
  <si>
    <t xml:space="preserve">Culture du risque insuffisante dans l'organisation  </t>
  </si>
  <si>
    <t xml:space="preserve">Augmentation des vulnérabilités logicielles par absence de mises à jour.  </t>
  </si>
  <si>
    <t>Sensibiliser les utilisateurs aux risques de phishing et d'ingénierie sociale via des simulations régulières.</t>
  </si>
  <si>
    <t>Des procédures de reporting aux instances dirigeantes sont-elles définies ?</t>
  </si>
  <si>
    <t xml:space="preserve">Bilan de satisfaction des utilisateurs  </t>
  </si>
  <si>
    <t xml:space="preserve">Classification inappropriée des données sensibles  </t>
  </si>
  <si>
    <t xml:space="preserve">Désorganisation des équipes IT faute de procédures standardisées.  </t>
  </si>
  <si>
    <t>Auditer régulièrement les configurations des pare-feux et des équipements réseau pour prévenir les attaques.</t>
  </si>
  <si>
    <t>Les équipes sont-elles sensibilisées aux risques majeurs ?</t>
  </si>
  <si>
    <t xml:space="preserve">Schéma d’interaction des applications métiers  </t>
  </si>
  <si>
    <t xml:space="preserve">Exposition de données critiques  </t>
  </si>
  <si>
    <t xml:space="preserve">Non-atteinte des objectifs stratégiques en raison d’un mauvais alignement IT-métier.  </t>
  </si>
  <si>
    <t>Intégrer des contrôles de conformité RGPD dans les processus de traitement des données personnelles.</t>
  </si>
  <si>
    <t>Un document classe-t-il les données (public, interne, confidentiel) ?</t>
  </si>
  <si>
    <t xml:space="preserve">Diagramme de flux de données des applications  </t>
  </si>
  <si>
    <t xml:space="preserve">Surveillance inadéquate des accès privilégiés  </t>
  </si>
  <si>
    <t xml:space="preserve">Perte de compétitivité due à des technologies obsolètes ou sous-utilisées.  </t>
  </si>
  <si>
    <t>Définir une stratégie de gestion des actifs numériques incluant leur classification et leur cycle de vie.</t>
  </si>
  <si>
    <t>La classification a-t-elle été mise à jour dans les 6 mois ?</t>
  </si>
  <si>
    <t xml:space="preserve">Procédures de gestion des changements  </t>
  </si>
  <si>
    <t xml:space="preserve">Protection insuffisante des actifs informationnels  </t>
  </si>
  <si>
    <t xml:space="preserve">Erreurs humaines accrues par manque de formation ou de documentation.  </t>
  </si>
  <si>
    <t>Mettre en œuvre des contrôles d'accès physique aux salles serveurs et aux centres de données.</t>
  </si>
  <si>
    <t>Les logs d'accès aux données sensibles sur 30 jours sont-ils analysables ?</t>
  </si>
  <si>
    <t xml:space="preserve">Logs de connexion avec adresses IP et horodatages  </t>
  </si>
  <si>
    <t xml:space="preserve">Manque de formation sur la manipulation des données  </t>
  </si>
  <si>
    <t>Faible</t>
  </si>
  <si>
    <t xml:space="preserve">Détection tardive des anomalies opérationnelles réduisant la réactivité.  </t>
  </si>
  <si>
    <t>Réaliser des audits de sécurité des APIs pour prévenir les exploitations malveillantes.</t>
  </si>
  <si>
    <t>Des procédures spécifiques protègent-elles les données critiques ?</t>
  </si>
  <si>
    <t xml:space="preserve">Politique de sécurité des mots de passe  </t>
  </si>
  <si>
    <t xml:space="preserve">Documentation technique obsolète  </t>
  </si>
  <si>
    <t xml:space="preserve">Fuite d’informations confidentielles par des contrôles d’accès laxistes.  </t>
  </si>
  <si>
    <t>Standardiser les procédures de gestion des changements avec validation technique et métier préalable.</t>
  </si>
  <si>
    <t>Les utilisateurs sont-ils formés sur la classification des données ?</t>
  </si>
  <si>
    <t xml:space="preserve">Procédures de gestion des identifiants et mots de passe  </t>
  </si>
  <si>
    <t xml:space="preserve">Procédures de secours non testées  </t>
  </si>
  <si>
    <t xml:space="preserve">Dégradation de la productivité des utilisateurs face à des outils inadaptés.  </t>
  </si>
  <si>
    <t>Instaurer des revues indépendantes des architectures techniques pour garantir leur résilience.</t>
  </si>
  <si>
    <t>Le manuel d'administration est-il à jour (moins de 12 mois) ?</t>
  </si>
  <si>
    <t xml:space="preserve">Document de stratégie de migration des données  </t>
  </si>
  <si>
    <t xml:space="preserve">Dépendance excessive au savoir-faire individuel  </t>
  </si>
  <si>
    <t xml:space="preserve">Difficultés à auditer les systèmes en raison d’une journalisation insuffisante.  </t>
  </si>
  <si>
    <t>Adopter des contrats de service (SLA) clairs avec des pénalités en cas de non-respect des engagements.</t>
  </si>
  <si>
    <t>Les procédures clés (sauvegarde, restauration) sont-elles couvertes ?</t>
  </si>
  <si>
    <t xml:space="preserve">Procédures de sauvegarde et restauration  </t>
  </si>
  <si>
    <t xml:space="preserve">Absence de capitalisation des connaissances  </t>
  </si>
  <si>
    <t xml:space="preserve">Augmentation des coûts de conformité pour rattraper les lacunes identifiées.  </t>
  </si>
  <si>
    <t>Utiliser des solutions de détection d'intrusion (IDS/IPS) pour surveiller les activités réseau anormales.</t>
  </si>
  <si>
    <t>Des procédures détaillées avec étapes et captures existent-elles ?</t>
  </si>
  <si>
    <t xml:space="preserve">Rapports de tests de restauration après sinistre  </t>
  </si>
  <si>
    <t xml:space="preserve">Défaut de traçabilité des opérations sensibles  </t>
  </si>
  <si>
    <t xml:space="preserve">Risque de corruption des données lors de migrations non contrôlées.  </t>
  </si>
  <si>
    <t>Documenter les dépendances critiques entre systèmes pour anticiper les impacts des pannes.</t>
  </si>
  <si>
    <t>Des logs de consultation du manuel sont-ils disponibles ?</t>
  </si>
  <si>
    <t xml:space="preserve">Clauses de contrat SLA avec les fournisseurs  </t>
  </si>
  <si>
    <t xml:space="preserve">Contrôles métier inefficaces  </t>
  </si>
  <si>
    <t xml:space="preserve">Incapacité à répondre aux audits externes faute de preuves tangibles.  </t>
  </si>
  <si>
    <t>Mettre en place une politique de gestion des mots de passe exigeant une complexité et une rotation régulière.</t>
  </si>
  <si>
    <t>L'équipe d'administration reçoit-elle des formations dédiées ?</t>
  </si>
  <si>
    <t xml:space="preserve">Feuille de route technologique approuvée  </t>
  </si>
  <si>
    <t xml:space="preserve">Non-respect des bonnes pratiques sectorielles  </t>
  </si>
  <si>
    <t xml:space="preserve">Fragilisation de la gouvernance IT par une supervision inefficace.  </t>
  </si>
  <si>
    <t>Auditer les configurations des bases de données pour limiter les risques d'exposition non autorisée.</t>
  </si>
  <si>
    <t>Cinq procédures écrites pour processus critiques existent-elles ?</t>
  </si>
  <si>
    <t xml:space="preserve">Rapports d’évaluation de l’alignement stratégique  </t>
  </si>
  <si>
    <t xml:space="preserve">Défaut de supervision des processus clés  </t>
  </si>
  <si>
    <t xml:space="preserve">Exposition à des attaques ciblées en l’absence de surveillance proactive.  </t>
  </si>
  <si>
    <t>Formaliser une procédure de réponse aux incidents cyber incluant une communication structurée.</t>
  </si>
  <si>
    <t>Les responsables ont-ils signé ces procédures ?</t>
  </si>
  <si>
    <t xml:space="preserve">Spécifications fonctionnelles signées  </t>
  </si>
  <si>
    <t xml:space="preserve">Erreurs de conception des workflows  </t>
  </si>
  <si>
    <t xml:space="preserve">Déséquilibre entre investissements IT et retours sur investissement attendus.  </t>
  </si>
  <si>
    <t>Implémenter des contrôles d'accès hiérarchiques pour les environnements virtualisés et cloud.</t>
  </si>
  <si>
    <t>Des preuves d'application (logs, rapports) sont-elles vérifiables ?</t>
  </si>
  <si>
    <t xml:space="preserve">Fiches de poste détaillant les tâches des utilisateurs  </t>
  </si>
  <si>
    <t xml:space="preserve">Interface utilisateur peu intuitive  </t>
  </si>
  <si>
    <t xml:space="preserve">Perte de données historiques critiques par archivage défaillant.  </t>
  </si>
  <si>
    <t>Réaliser des évaluations de maturité des processus IT selon le référentiel COBIT.</t>
  </si>
  <si>
    <t>Des indicateurs de performance liés aux procédures existent-ils ?</t>
  </si>
  <si>
    <t xml:space="preserve">Rapports de performance des systèmes parallèles  </t>
  </si>
  <si>
    <t xml:space="preserve">Absence de validation automatique des saisies  </t>
  </si>
  <si>
    <t xml:space="preserve">Complexification des processus métier due à des interfaces peu ergonomiques.  </t>
  </si>
  <si>
    <t>Instaurer des mécanismes de contrôle qualité automatisés dans les pipelines DevOps.</t>
  </si>
  <si>
    <t>Les procédures ont-elles été mises à jour dans les 6 mois ?</t>
  </si>
  <si>
    <t xml:space="preserve">Retours d’expérience des utilisateurs sur l’adéquation  </t>
  </si>
  <si>
    <t xml:space="preserve">Défaut de maintenance évolutive  </t>
  </si>
  <si>
    <t xml:space="preserve">Délais prolongés dans les projets IT par mauvaise gestion des priorités.  </t>
  </si>
  <si>
    <t>Mettre à jour régulièrement les politiques de sécurité pour refléter l'évolution des menaces.</t>
  </si>
  <si>
    <t>Des comptes rendus mensuels existent-ils pour les 6 derniers mois ?</t>
  </si>
  <si>
    <t xml:space="preserve">Rapport ROI (Return on Investment) avec calculs détaillés  </t>
  </si>
  <si>
    <t xml:space="preserve">Incohérences dans les données de référence  </t>
  </si>
  <si>
    <t xml:space="preserve">Non-respect des SLA entraînant des pénalités contractuelles.  </t>
  </si>
  <si>
    <t>Créer un référentiel unique des configurations matérielles et logicielles pour éviter les divergences.</t>
  </si>
  <si>
    <t>Le propriétaire de l'application a-t-il signé ces comptes rendus ?</t>
  </si>
  <si>
    <t xml:space="preserve">Contrats signés avec les fournisseurs  </t>
  </si>
  <si>
    <t xml:space="preserve">Faiblesses dans les mécanismes de réconciliation  </t>
  </si>
  <si>
    <t xml:space="preserve">Détérioration de la relation avec les fournisseurs par manque de suivi.  </t>
  </si>
  <si>
    <t>Effectuer des audits de conformité des licences logicielles pour prévenir les risques juridiques.</t>
  </si>
  <si>
    <t>Des indicateurs clés (disponibilité, incidents) sont-ils inclus ?</t>
  </si>
  <si>
    <t xml:space="preserve">Calendrier de mise en œuvre du projet  </t>
  </si>
  <si>
    <t xml:space="preserve">Manque d'intégrité des données  </t>
  </si>
  <si>
    <t xml:space="preserve">Augmentation des conflits internes liés à des rôles mal définis.  </t>
  </si>
  <si>
    <t>Déployer des solutions de protection contre les attaques DDoS pour les services exposés en ligne.</t>
  </si>
  <si>
    <t>Des actions correctives sont-elles planifiées dans les comptes rendus ?</t>
  </si>
  <si>
    <t xml:space="preserve">Bilan post-projet avec conclusions  </t>
  </si>
  <si>
    <t xml:space="preserve">Exposition des flux inter-applicatifs  </t>
  </si>
  <si>
    <t xml:space="preserve">Incapacité à capitaliser sur les innovations technologiques par rigidité organisationnelle.  </t>
  </si>
  <si>
    <t>Établir des procédures de destruction sécurisée des données en fin de cycle de vie.</t>
  </si>
  <si>
    <t>Des preuves de suivi des actions (rapports de clôture) existent-elles ?</t>
  </si>
  <si>
    <t xml:space="preserve">Rapports d’économie réalisées  </t>
  </si>
  <si>
    <t xml:space="preserve">Défaut de chiffrement des transmissions  </t>
  </si>
  <si>
    <t xml:space="preserve">Risque de non-conformité aux standards sectoriels nuisant à la crédibilité.  </t>
  </si>
  <si>
    <t>Réaliser des tests de résistance des infrastructures face aux catastrophes naturelles.</t>
  </si>
  <si>
    <t>Un guide utilisateur et un manuel de procédures sont-ils disponibles ?</t>
  </si>
  <si>
    <t xml:space="preserve">Document de réingénierie des processus  </t>
  </si>
  <si>
    <t xml:space="preserve">Contournement des contrôles d'accès  </t>
  </si>
  <si>
    <t xml:space="preserve">Désalignement entre les besoins métier et les capacités techniques disponibles.  </t>
  </si>
  <si>
    <t>Intégrer des contrôles de sécurité dans les phases de conception des applications (Security by Design).</t>
  </si>
  <si>
    <t>Ces documents ont-ils été mis à jour dans les 12 mois ?</t>
  </si>
  <si>
    <t xml:space="preserve">Rapport d’architecture technique de l’application  </t>
  </si>
  <si>
    <t xml:space="preserve">Journalisation insuffisante des activités  </t>
  </si>
  <si>
    <t xml:space="preserve">Fragmentation des systèmes réduisant l’efficacité globale de l’infrastructure.  </t>
  </si>
  <si>
    <t>Mettre en place une veille technologique pour anticiper les risques liés aux nouvelles technologies.</t>
  </si>
  <si>
    <t>Des procédures détaillées avec captures d'écran existent-elles ?</t>
  </si>
  <si>
    <t xml:space="preserve">Tableaux de bord avec indicateurs de performance (KPI)  </t>
  </si>
  <si>
    <t xml:space="preserve">Détection tardive des incidents de sécurité  </t>
  </si>
  <si>
    <t xml:space="preserve">Exposition à des erreurs de traitement par absence de validation automatisée.  </t>
  </si>
  <si>
    <t>Auditer régulièrement les fournisseurs tiers pour s'assurer de leur conformité aux exigences de sécurité.</t>
  </si>
  <si>
    <t>Des accusés de réception prouvent-ils la diffusion aux utilisateurs ?</t>
  </si>
  <si>
    <t xml:space="preserve">Rapports de maturité technologique (ex : Gartner)  </t>
  </si>
  <si>
    <t xml:space="preserve">Absence de revue des journaux d'audit  </t>
  </si>
  <si>
    <t xml:space="preserve">Détérioration de la qualité des données utilisées pour la prise de décision.  </t>
  </si>
  <si>
    <t>Documenter les procédures de gestion des identités temporaires et des comptes de service.</t>
  </si>
  <si>
    <t>Des formations sur l'utilisation des documents sont-elles organisées ?</t>
  </si>
  <si>
    <t xml:space="preserve">Procédures de gestion des accès privilégiés  </t>
  </si>
  <si>
    <t xml:space="preserve">Failles dans les interfaces d'intégration  </t>
  </si>
  <si>
    <t xml:space="preserve">Inadéquation des compétences des équipes face aux évolutions technologiques.  </t>
  </si>
  <si>
    <t>Instaurer des revues post-incident pour améliorer continuellement les processus de sécurité.</t>
  </si>
  <si>
    <t>Un système RBAC est-il actif ?</t>
  </si>
  <si>
    <t xml:space="preserve">Logs d’actions administratives sur 90 jours  </t>
  </si>
  <si>
    <t xml:space="preserve">Corruption des données lors des échanges  </t>
  </si>
  <si>
    <t xml:space="preserve">Augmentation des temps d’indisponibilité des systèmes critiques.  </t>
  </si>
  <si>
    <t>Adopter des outils de monitoring des performances applicatives pour détecter les goulets d'étranglement.</t>
  </si>
  <si>
    <t>Des logs d'accès aux données sensibles sur 30 jours existent-ils ?</t>
  </si>
  <si>
    <t xml:space="preserve">Procédures de révocation des accès en cas de départ  </t>
  </si>
  <si>
    <t xml:space="preserve">Absence de mécanismes de rejeu  </t>
  </si>
  <si>
    <t xml:space="preserve">Perte d’opportunités commerciales par lenteur des processus informatiques.  </t>
  </si>
  <si>
    <t>Mettre en œuvre une politique de gestion des clés de chiffrement incluant leur rotation et stockage sécurisé.</t>
  </si>
  <si>
    <t>Moins de 5% des utilisateurs ont-ils des droits administrateur ?</t>
  </si>
  <si>
    <t xml:space="preserve">Document de schéma-directeur du SI  </t>
  </si>
  <si>
    <t xml:space="preserve">Perte de données critiques  </t>
  </si>
  <si>
    <t xml:space="preserve">Dépassements budgétaires récurrents dans les projets IT non maîtrisés.  </t>
  </si>
  <si>
    <t>Réaliser des audits de code statique et dynamique (SAST/DAST) pour les applications critiques.</t>
  </si>
  <si>
    <t>Un compte test confirme-t-il le rejet d'accès hors profil ?</t>
  </si>
  <si>
    <t xml:space="preserve">Procédures de contrôle qualité des données saisies  </t>
  </si>
  <si>
    <t xml:space="preserve">Archivage non conforme  </t>
  </si>
  <si>
    <t xml:space="preserve">Risque de perte de savoir-faire interne par dépendance à des solutions externes.  </t>
  </si>
  <si>
    <t>Formaliser une stratégie de sortie pour les technologies obsolètes incluant leur remplacement progressif.</t>
  </si>
  <si>
    <t>Une procédure de révocation des accès en cas de départ existe-t-elle ?</t>
  </si>
  <si>
    <t xml:space="preserve">Manuels d’exploitation mis à jour  </t>
  </si>
  <si>
    <t xml:space="preserve">Restauration impossible après incident  </t>
  </si>
  <si>
    <t xml:space="preserve">Difficultés à maintenir la cohérence des données entre systèmes hétérogènes.  </t>
  </si>
  <si>
    <t>Instaurer des contrôles d'accès basés sur les rôles (RBAC) pour les environnements cloud.</t>
  </si>
  <si>
    <t>Un workflow de gestion des profils (Jira ou équivalent) est-il utilisé ?</t>
  </si>
  <si>
    <t xml:space="preserve">Procédures de gestion des correctifs urgents  </t>
  </si>
  <si>
    <t xml:space="preserve">Pertes d'informations historiques  </t>
  </si>
  <si>
    <t xml:space="preserve">Détérioration de l’expérience utilisateur impactant l’adoption des outils.  </t>
  </si>
  <si>
    <t>Documenter les procédures de gestion des vulnérabilités logicielles et des correctifs d'urgence.</t>
  </si>
  <si>
    <t>La validation hiérarchique pour 5 profils aléatoires est-elle tracée ?</t>
  </si>
  <si>
    <t xml:space="preserve">Rapports de revue de code pour les projets récents  </t>
  </si>
  <si>
    <t xml:space="preserve">Défaut de purge sécurisée  </t>
  </si>
  <si>
    <t xml:space="preserve">Non-respect des exigences réglementaires en matière de transparence.  </t>
  </si>
  <si>
    <t>Mettre en place des mécanismes de détection des fuites de données (DLP) pour les informations sensibles.</t>
  </si>
  <si>
    <t xml:space="preserve">Procédures de déploiement en environnement de production  </t>
  </si>
  <si>
    <t xml:space="preserve">Défaut de gestion des anomalies  </t>
  </si>
  <si>
    <t xml:space="preserve">Augmentation des coûts de maintenance corrective faute de prévention.  </t>
  </si>
  <si>
    <t>Auditer les configurations des conteneurs et des orchestrateurs pour limiter les risques d'exploitation.</t>
  </si>
  <si>
    <t xml:space="preserve">Contrats incluant des clauses « Escrow Agreement »  </t>
  </si>
  <si>
    <t xml:space="preserve">Absence de processus de correction  </t>
  </si>
  <si>
    <t xml:space="preserve">Incapacité à détecter les anomalies en temps réel par monitoring insuffisant.  </t>
  </si>
  <si>
    <t>Implémenter une politique de gestion des risques spécifique aux projets d'intelligence artificielle.</t>
  </si>
  <si>
    <t>Des sanctions pour non-respect sont-elles prévues (mention dans PV) ?</t>
  </si>
  <si>
    <t xml:space="preserve">Rapports de tests de montée en charge  </t>
  </si>
  <si>
    <t xml:space="preserve">Défaut de traçabilité des corrections  </t>
  </si>
  <si>
    <t xml:space="preserve">Dégradation de la résilience des systèmes face aux perturbations externes.  </t>
  </si>
  <si>
    <t>Réaliser des tests d'intégration pour valider la cohérence des données entre systèmes hétérogènes.</t>
  </si>
  <si>
    <t>La connexion sans identifiant unique est-elle impossible ?</t>
  </si>
  <si>
    <t xml:space="preserve">Procédures de gestion des données archivées  </t>
  </si>
  <si>
    <t xml:space="preserve">Réintégration non contrôlée des données  </t>
  </si>
  <si>
    <t xml:space="preserve">Exposition à des conflits d’intérêts dans la gestion des fournisseurs IT.  </t>
  </si>
  <si>
    <t>Instaurer des contrôles d'accès biométriques pour les zones sensibles des datacenters.</t>
  </si>
  <si>
    <t>Les comptes génériques ("admin", "invité") sont-ils absents ?</t>
  </si>
  <si>
    <t xml:space="preserve">Rapports de suivi des paiements des redevances  </t>
  </si>
  <si>
    <t xml:space="preserve">Validation insuffisante des correctifs  </t>
  </si>
  <si>
    <t xml:space="preserve">Perte de contrôle sur les actifs informationnels par mauvaise gouvernance.  </t>
  </si>
  <si>
    <t>Documenter les procédures de gestion des incidents liés aux fournisseurs de services cloud.</t>
  </si>
  <si>
    <t>Un annuaire LDAP/Active Directory est-il synchronisé ?</t>
  </si>
  <si>
    <t xml:space="preserve">Procédures de gestion des partenariats avec les éditeurs  </t>
  </si>
  <si>
    <t xml:space="preserve">Défaut de supervision des mises à jour  </t>
  </si>
  <si>
    <t xml:space="preserve">Risque de non-reconnaissance des dépenses IT par manque de traçabilité.  </t>
  </si>
  <si>
    <t>Mettre en œuvre des solutions de segmentation réseau pour isoler les flux critiques.</t>
  </si>
  <si>
    <t xml:space="preserve">Documentation technique des interfaces d’intégration  </t>
  </si>
  <si>
    <t xml:space="preserve">Exposition aux vulnérabilités non patchées  </t>
  </si>
  <si>
    <t xml:space="preserve">Désorganisation des workflows métier par intégration défaillante des systèmes.  </t>
  </si>
  <si>
    <t>Auditer régulièrement les configurations des équipements IoT pour prévenir les compromissions.</t>
  </si>
  <si>
    <t xml:space="preserve">Procédures de suppression sécurisée des données obsolètes  </t>
  </si>
  <si>
    <t xml:space="preserve">Journalisation incomplète des modifications  </t>
  </si>
  <si>
    <t xml:space="preserve">Augmentation des erreurs de saisie manuelle par absence de contrôles automatisés.  </t>
  </si>
  <si>
    <t>Formaliser une politique de gestion des journaux d'activité conforme aux exigences réglementaires.</t>
  </si>
  <si>
    <t xml:space="preserve">Rapports de performance de l’équipe de maintenance  </t>
  </si>
  <si>
    <t xml:space="preserve">Défaut de détection des changements non autorisés  </t>
  </si>
  <si>
    <t xml:space="preserve">Fragilisation de la position concurrentielle par retard technologique.  </t>
  </si>
  <si>
    <t>Implémenter des contrôles de validation des entrées utilisateur pour prévenir les injections SQL.</t>
  </si>
  <si>
    <t>La politique impose-t-elle 12 caractères avec majuscules et chiffres ?</t>
  </si>
  <si>
    <t xml:space="preserve">Procédures de recrutement et formation des équipes IT  </t>
  </si>
  <si>
    <t xml:space="preserve">Absence de revue des configurations  </t>
  </si>
  <si>
    <t xml:space="preserve">Incapacité à répondre aux attentes des utilisateurs finaux par rigidité des processus.  </t>
  </si>
  <si>
    <t>Réaliser des audits de conformité aux normes sectorielles (PCI DSS, HIPAA, etc.).</t>
  </si>
  <si>
    <t>Les logs de connexion révèlent-ils des mots de passe faibles ?</t>
  </si>
  <si>
    <t xml:space="preserve">Retours d’expérience du club utilisateurs  </t>
  </si>
  <si>
    <t xml:space="preserve">Contrôles automatisés inefficaces  </t>
  </si>
  <si>
    <t xml:space="preserve">Détérioration de la coordination entre équipes IT et métier par communication inefficace.  </t>
  </si>
  <si>
    <t>Instaurer des mécanismes de surveillance des activités des robots logiciels (RPA).</t>
  </si>
  <si>
    <t>La réinitialisation forcée a-t-elle lieu après 90 jours ?</t>
  </si>
  <si>
    <t xml:space="preserve">Procédures de gestion des mises à jour logicielles  </t>
  </si>
  <si>
    <t xml:space="preserve">Défaut d'alerte sur les anomalies  </t>
  </si>
  <si>
    <t xml:space="preserve">Exposition à des sanctions pour non-respect des clauses contractuelles avec les éditeurs.  </t>
  </si>
  <si>
    <t>Documenter les procédures de gestion des certificats SSL/TLS pour éviter leur expiration.</t>
  </si>
  <si>
    <t>Des alertes signalent-elles la réutilisation d'anciens mots de passe ?</t>
  </si>
  <si>
    <t xml:space="preserve">Rapports d’évaluation de la conformité RGPD/ISO  </t>
  </si>
  <si>
    <t xml:space="preserve">Absence de suivi des indicateurs clés  </t>
  </si>
  <si>
    <t xml:space="preserve">Perte de données opérationnelles par corruption ou suppression accidentelle.  </t>
  </si>
  <si>
    <t>Mettre en place des contrôles d'accès contextuels pour les applications métiers sensibles.</t>
  </si>
  <si>
    <t>Les tentatives infructueuses sur 30 jours sont-elles tracées ?</t>
  </si>
  <si>
    <t xml:space="preserve">Procédures de gestion des accès aux bibliothèques logicielles  </t>
  </si>
  <si>
    <t xml:space="preserve">Reporting incomplet ou erroné  </t>
  </si>
  <si>
    <t xml:space="preserve">Augmentation des vulnérabilités réseau par configuration inadéquate.  </t>
  </si>
  <si>
    <t>Auditer les configurations des systèmes de virtualisation pour garantir leur isolation.</t>
  </si>
  <si>
    <t>Le système se verrouille-t-il après 5 échecs ?</t>
  </si>
  <si>
    <t xml:space="preserve">Logs de consultation de la documentation par les utilisateurs  </t>
  </si>
  <si>
    <t xml:space="preserve">Décisions basées sur des informations obsolètes  </t>
  </si>
  <si>
    <t xml:space="preserve">Incapacité à anticiper les besoins futurs par planification stratégique absente.  </t>
  </si>
  <si>
    <t>Implémenter des contrôles de sécurité physique pour les supports de sauvegarde hors site.</t>
  </si>
  <si>
    <t>Des alertes automatiques sont-elles envoyées à l'administrateur ?</t>
  </si>
  <si>
    <t xml:space="preserve">Procédures de validation hiérarchique des profils utilisateurs  </t>
  </si>
  <si>
    <t xml:space="preserve">Distribution non sécurisée des états  </t>
  </si>
  <si>
    <t xml:space="preserve">Dégradation de la qualité des services supportés par des outils obsolètes.  </t>
  </si>
  <si>
    <t>Réaliser des tests de résistance aux attaques zero-day via des simulations réalistes.</t>
  </si>
  <si>
    <t>La réinitialisation manuelle par l'admin est-elle fonctionnelle ?</t>
  </si>
  <si>
    <t xml:space="preserve">Rapports d’audit semestriel des droits d’accès  </t>
  </si>
  <si>
    <t xml:space="preserve">Accès non contrôlé aux informations sensibles  </t>
  </si>
  <si>
    <t xml:space="preserve">Risque de non-atteinte des objectifs de transformation numérique.  </t>
  </si>
  <si>
    <t>Instaurer une politique de gestion des données archivées incluant leur classification et chiffrement.</t>
  </si>
  <si>
    <t>Une procédure de suivi des tentatives suspectes existe-t-elle ?</t>
  </si>
  <si>
    <t xml:space="preserve">Procédures de gestion des alertes de sécurité automatiques  </t>
  </si>
  <si>
    <t xml:space="preserve">Validation manquante des outputs  </t>
  </si>
  <si>
    <t xml:space="preserve">Exposition à des litiges liés à la propriété intellectuelle des développements logiciels.  </t>
  </si>
  <si>
    <t>Documenter les procédures de réponse aux fuites de données personnelles conformes au RGPD.</t>
  </si>
  <si>
    <t>Les logs d'accès aux transactions sensibles sur 30 jours existent-ils ?</t>
  </si>
  <si>
    <t xml:space="preserve">Documents de référence des règles de gestion des données  </t>
  </si>
  <si>
    <t xml:space="preserve">Erreurs de traitement non détectées  </t>
  </si>
  <si>
    <t xml:space="preserve">Perte de flexibilité opérationnelle par architecture technique rigide.  </t>
  </si>
  <si>
    <t>Mettre en œuvre des contrôles d'intégrité des métadonnées associées aux données critiques.</t>
  </si>
  <si>
    <t>Les données en transit sont-elles chiffrées ?</t>
  </si>
  <si>
    <t xml:space="preserve">Procédures de contrôle qualité des corrections de données  </t>
  </si>
  <si>
    <t xml:space="preserve">Incohérences dans les codifications  </t>
  </si>
  <si>
    <t xml:space="preserve">Détérioration de la collaboration interne par outils collaboratifs inadaptés.  </t>
  </si>
  <si>
    <t>Auditer les configurations des systèmes de gestion des identités (IAM) pour limiter les erreurs.</t>
  </si>
  <si>
    <t>Un supérieur hiérarchique valide-t-il les accès sensibles ?</t>
  </si>
  <si>
    <t xml:space="preserve">Rapports de tests d’interopérabilité avec les systèmes existants  </t>
  </si>
  <si>
    <t xml:space="preserve">Défaut d'application des règles métier  </t>
  </si>
  <si>
    <t xml:space="preserve">Augmentation des délais de livraison des projets IT par mauvaise gestion des ressources.  </t>
  </si>
  <si>
    <t>Implémenter des mécanismes de détection des comportements anormaux des utilisateurs.</t>
  </si>
  <si>
    <t xml:space="preserve">Procédures de gestion des environnements (dev/test/prod)  </t>
  </si>
  <si>
    <t xml:space="preserve">Défaut de cohérence inter-modules  </t>
  </si>
  <si>
    <t xml:space="preserve">Incapacité à garantir l’authenticité des transactions électroniques.  </t>
  </si>
  <si>
    <t>Réaliser des revues architecturales pour s'assurer de la résilience des infrastructures hybrides.</t>
  </si>
  <si>
    <t>Des alertes existent-elles pour les accès hors heures ouvrables ?</t>
  </si>
  <si>
    <t xml:space="preserve">Rapports de tests de modularité de l’application  </t>
  </si>
  <si>
    <t xml:space="preserve">Interfaces non sécurisées  </t>
  </si>
  <si>
    <t xml:space="preserve">Fragilisation de la chaîne d’approvisionnement IT par dépendance à un seul fournisseur.  </t>
  </si>
  <si>
    <t>Instaurer des contrôles d'accès temporaires avec expiration automatique pour les prestataires.</t>
  </si>
  <si>
    <t>Les logs d'actions administratives sur 90 jours sont-ils disponibles ?</t>
  </si>
  <si>
    <t xml:space="preserve">Procédures de gestion des versions logicielles  </t>
  </si>
  <si>
    <t xml:space="preserve">Défaut de validation des développements  </t>
  </si>
  <si>
    <t xml:space="preserve">Détérioration de l’image de marque suite à des incidents de sécurité médiatisés.  </t>
  </si>
  <si>
    <t>Documenter les procédures de gestion des risques liés à l'utilisation de l'Internet des objets (IoT).</t>
  </si>
  <si>
    <t>Un système de journalisation centralisé est-il en place ?</t>
  </si>
  <si>
    <t xml:space="preserve">Rapports de suivi des demandes de maintenance utilisateur  </t>
  </si>
  <si>
    <t xml:space="preserve">Code non conforme aux standards  </t>
  </si>
  <si>
    <t xml:space="preserve">Non-respect des engagements environnementaux liés à la gestion des infrastructures IT.  </t>
  </si>
  <si>
    <t>Mettre en place des solutions de chiffrement homomorphique pour les données sensibles en traitement.</t>
  </si>
  <si>
    <t>Des alertes automatiques pour actions critiques existent-elles ?</t>
  </si>
  <si>
    <t xml:space="preserve">Procédures de gestion des clés SSH/API  </t>
  </si>
  <si>
    <t xml:space="preserve">Absence de revue par les pairs  </t>
  </si>
  <si>
    <t xml:space="preserve">Augmentation des coûts de licence par utilisation non optimisée des logiciels.  </t>
  </si>
  <si>
    <t>Auditer les configurations des passerelles API pour prévenir les exploitations malveillantes.</t>
  </si>
  <si>
    <t>La traçabilité des actions via un compte admin est-elle vérifiable ?</t>
  </si>
  <si>
    <t xml:space="preserve">Rapports de performance des travaux batch  </t>
  </si>
  <si>
    <t xml:space="preserve">Déploiement non contrôlé en production  </t>
  </si>
  <si>
    <t xml:space="preserve">Incapacité à maintenir la cohérence des données lors de fusions ou acquisitions.  </t>
  </si>
  <si>
    <t>Implémenter des contrôles de sécurité dans les pipelines CI/CD pour les déploiements automatisés.</t>
  </si>
  <si>
    <t>Une revue trimestrielle des logs est-elle prévue ?</t>
  </si>
  <si>
    <t xml:space="preserve">Procédures de gestion des données rejetées  </t>
  </si>
  <si>
    <t xml:space="preserve">Accès non autorisé aux environnements critiques  </t>
  </si>
  <si>
    <t xml:space="preserve">Dégradation de l’agilité organisationnelle par lenteur des processus IT.  </t>
  </si>
  <si>
    <t>Réaliser des tests de charge pour valider la scalabilité des applications critiques.</t>
  </si>
  <si>
    <t>Des exemples de documents sources (factures, bons de commande) existent-ils ?</t>
  </si>
  <si>
    <t xml:space="preserve">Rapports de tests de compatibilité ascendante/descendante  </t>
  </si>
  <si>
    <t xml:space="preserve">Défaut de séparation des environnements  </t>
  </si>
  <si>
    <t xml:space="preserve">Exposition à des erreurs de configuration entraînant des pannes critiques.  </t>
  </si>
  <si>
    <t>Instaurer une politique de gestion des secrets applicatifs (mots de passe, clés API).</t>
  </si>
  <si>
    <t>Un workflow de validation des documents est-il établi ?</t>
  </si>
  <si>
    <t xml:space="preserve">Procédures de gestion des formations utilisateurs  </t>
  </si>
  <si>
    <t xml:space="preserve">Gestion hasardeuse des accès privilégiés  </t>
  </si>
  <si>
    <t xml:space="preserve">Perte de compétitivité sur le marché par innovation technologique insuffisante.  </t>
  </si>
  <si>
    <t>Documenter les procédures de gestion des incidents liés aux systèmes de paiement électronique.</t>
  </si>
  <si>
    <t>Les logs de saisie correspondent-ils aux documents sources ?</t>
  </si>
  <si>
    <t xml:space="preserve">Rapports de suivi des indicateurs de satisfaction utilisateur  </t>
  </si>
  <si>
    <t xml:space="preserve">Compromission des clés d'accès  </t>
  </si>
  <si>
    <t xml:space="preserve">Détérioration de la satisfaction client due à des services IT peu fiables.  </t>
  </si>
  <si>
    <t>Mettre en œuvre des contrôles d'accès physiques et logiques pour les salles de contrôle.</t>
  </si>
  <si>
    <t>La reprise des données après erreur de saisie est-elle possible ?</t>
  </si>
  <si>
    <t xml:space="preserve">Procédures de gestion des risques résiduels  </t>
  </si>
  <si>
    <t xml:space="preserve">Défaut de rotation des identifiants  </t>
  </si>
  <si>
    <t xml:space="preserve">Augmentation des risques liés à l’externalisation non supervisée.  </t>
  </si>
  <si>
    <t>Auditer les configurations des systèmes SCADA/OT pour limiter les risques cyberindustriels.</t>
  </si>
  <si>
    <t>Des procédures de contrôle qualité des données saisies existent-elles ?</t>
  </si>
  <si>
    <t xml:space="preserve">Rapports de revue trimestrielle des logs d’activité  </t>
  </si>
  <si>
    <t xml:space="preserve">Compétences insuffisantes des équipes  </t>
  </si>
  <si>
    <t xml:space="preserve">Incapacité à aligner les investissements IT sur les priorités métier.  </t>
  </si>
  <si>
    <t>Implémenter des mécanismes de protection contre les attaques par ingénierie sociale.</t>
  </si>
  <si>
    <t>Des captures d'écran des interfaces de saisie sont-elles disponibles ?</t>
  </si>
  <si>
    <t xml:space="preserve">Procédures de gestion des accès hors heures ouvrables  </t>
  </si>
  <si>
    <t xml:space="preserve">Défaut de plan de continuité d'activité  </t>
  </si>
  <si>
    <t xml:space="preserve">Fragilisation de la conformité aux normes internationales par pratiques obsolètes.  </t>
  </si>
  <si>
    <t>Réaliser des revues de conformité des contrats avec les fournisseurs de services managés.</t>
  </si>
  <si>
    <t>Les messages d'erreur sont-ils clairs et explicites ?</t>
  </si>
  <si>
    <t xml:space="preserve">Rapports de tests de stabilité des technologies utilisées  </t>
  </si>
  <si>
    <t xml:space="preserve">Procédures de secours non opérationnelles  </t>
  </si>
  <si>
    <t xml:space="preserve">Détérioration de la capacité à auditer les processus internes efficacement.  </t>
  </si>
  <si>
    <t>Instaurer des contrôles de sécurité pour les environnements DevOps et les outils low-code.</t>
  </si>
  <si>
    <t>Des tests utilisateurs évaluent-ils l'ergonomie ?</t>
  </si>
  <si>
    <t xml:space="preserve">Procédures de gestion des budgets d’extension d’infrastructure  </t>
  </si>
  <si>
    <t xml:space="preserve">Temps de restauration excessif  </t>
  </si>
  <si>
    <t xml:space="preserve">Exposition à des interruptions d’activité par absence de redondance des systèmes.  </t>
  </si>
  <si>
    <t>Documenter les procédures de gestion des risques liés à l'adoption de la blockchain.</t>
  </si>
  <si>
    <t>La validation automatique des champs obligatoires fonctionne-t-elle ?</t>
  </si>
  <si>
    <t xml:space="preserve">Rapports de tests de réversibilité en cas d’échec de déploiement  </t>
  </si>
  <si>
    <t xml:space="preserve">Perte de disponibilité du système  </t>
  </si>
  <si>
    <t xml:space="preserve">Perte de données stratégiques par absence de politiques de sauvegarde robustes.  </t>
  </si>
  <si>
    <t>Mettre en place des mécanismes de validation des données en temps réel pour les transactions.</t>
  </si>
  <si>
    <t>Des procédures de mise à jour des interfaces existent-elles ?</t>
  </si>
  <si>
    <t xml:space="preserve">Procédures de gestion des alertes de tentative d’accès non autorisé  </t>
  </si>
  <si>
    <t xml:space="preserve">Défaut de tests de reprise  </t>
  </si>
  <si>
    <t xml:space="preserve">Augmentation des conflits entre équipes par manque de clarté des responsabilités.  </t>
  </si>
  <si>
    <t>Auditer les configurations des systèmes de gestion de contenu (CMS) pour prévenir les vulnérabilités.</t>
  </si>
  <si>
    <t>Des brouillards de saisie validés sont-ils disponibles ?</t>
  </si>
  <si>
    <t xml:space="preserve">Rapports de suivi des indicateurs de productivité des processus  </t>
  </si>
  <si>
    <t xml:space="preserve">Inadéquation des sauvegardes  </t>
  </si>
  <si>
    <t xml:space="preserve">Incapacité à répondre aux audits réglementaires faute de documentation adéquate.  </t>
  </si>
  <si>
    <t>Implémenter des contrôles d'accès basés sur l'attestation pour les appareils connectés.</t>
  </si>
  <si>
    <t>Un workflow de réconciliation est-il en place ?</t>
  </si>
  <si>
    <t xml:space="preserve">Procédures de gestion des mises à jour des spécifications fonctionnelles  </t>
  </si>
  <si>
    <t xml:space="preserve">Exposition aux sinistres majeurs  </t>
  </si>
  <si>
    <t xml:space="preserve">Dégradation de la qualité des décisions managériales par données incomplètes.  </t>
  </si>
  <si>
    <t>Réaliser des tests de résilience des infrastructures face aux pannes matérielles.</t>
  </si>
  <si>
    <t>Les logs de validation correspondent-ils aux brouillards ?</t>
  </si>
  <si>
    <t xml:space="preserve">Rapports de tests de performance des développements spécifiques  </t>
  </si>
  <si>
    <t xml:space="preserve">Non-respect des SLA  </t>
  </si>
  <si>
    <t xml:space="preserve">Risque de non-conformité aux exigences sectorielles spécifiques.  </t>
  </si>
  <si>
    <t>Instaurer une politique de gestion des correctifs critiques avec des délais contraignants.</t>
  </si>
  <si>
    <t>Les contrôles automatiques détectent-ils les erreurs de saisie ?</t>
  </si>
  <si>
    <t xml:space="preserve">Procédures de gestion des partenariats avec les clubs utilisateurs  </t>
  </si>
  <si>
    <t xml:space="preserve">Dégradation de la qualité de service  </t>
  </si>
  <si>
    <t xml:space="preserve">Détérioration de la collaboration avec les partenaires externes par systèmes incompatibles.  </t>
  </si>
  <si>
    <t>Documenter les procédures de gestion des risques liés aux technologies émergentes (IA, 5G).</t>
  </si>
  <si>
    <t>Des procédures de correction des erreurs détectées existent-elles ?</t>
  </si>
  <si>
    <t xml:space="preserve">Rapports de suivi des performances du support technique éditeur  </t>
  </si>
  <si>
    <t xml:space="preserve">Absence de mesure de performance  </t>
  </si>
  <si>
    <t xml:space="preserve">Exposition à des amendes pour non-respect des délais de conservation des données.  </t>
  </si>
  <si>
    <t>Mettre en œuvre des solutions de protection contre les attaques par déni de service applicatif.</t>
  </si>
  <si>
    <t>Les logs de saisie de données sensibles sur 30 jours existent-ils ?</t>
  </si>
  <si>
    <t xml:space="preserve">Procédures de gestion des migrations vers les nouvelles versions  </t>
  </si>
  <si>
    <t xml:space="preserve">Défaut d'alignement stratégique  </t>
  </si>
  <si>
    <t xml:space="preserve">Perte d’avantages concurrentiels par sous-utilisation des technologies disponibles.  </t>
  </si>
  <si>
    <t>Auditer les configurations des systèmes de gestion des logs pour garantir leur intégrité.</t>
  </si>
  <si>
    <t>Les données sensibles sont-elles chiffrées ?</t>
  </si>
  <si>
    <t xml:space="preserve">Rapports de tests de pérennité du système d’information  </t>
  </si>
  <si>
    <t xml:space="preserve">Inadéquation fonctionnelle aux besoins métier  </t>
  </si>
  <si>
    <t xml:space="preserve">Augmentation des coûts de formation pour combler les lacunes identifiées.  </t>
  </si>
  <si>
    <t>Implémenter des contrôles de sécurité pour les environnements conteneurisés (Docker, Kubernetes).</t>
  </si>
  <si>
    <t>Un supérieur hiérarchique valide-t-il les accès aux données sensibles ?</t>
  </si>
  <si>
    <t xml:space="preserve">Procédures de gestion des formations continues des équipes IT  </t>
  </si>
  <si>
    <t xml:space="preserve">Dépassements budgétaires non maîtrisés  </t>
  </si>
  <si>
    <t xml:space="preserve">Incapacité à maintenir la disponibilité des services IT 24/7 comme exigé.  </t>
  </si>
  <si>
    <t>Réaliser des revues de conformité des configurations des équipements réseau critiques.</t>
  </si>
  <si>
    <t>Les accès non autorisés aux données sensibles sont-ils détectés ?</t>
  </si>
  <si>
    <t xml:space="preserve">Rapports de suivi des économies sur les coûts de maintenance  </t>
  </si>
  <si>
    <t xml:space="preserve">Retour sur investissement insuffisant  </t>
  </si>
  <si>
    <t xml:space="preserve">Fragilisation de la relation avec les clients par incidents récurrents non résolus.  </t>
  </si>
  <si>
    <t>Instaurer des mécanismes de détection des modifications non autorisées des règles métier.</t>
  </si>
  <si>
    <t>Des alertes signalent-elles les modifications de données sensibles ?</t>
  </si>
  <si>
    <t xml:space="preserve">Procédures de gestion des renégociations de contrats fournisseurs  </t>
  </si>
  <si>
    <t xml:space="preserve">Choix technologiques inadaptés  </t>
  </si>
  <si>
    <t xml:space="preserve">Détérioration de la productivité des employés par outils informatiques inefficaces.  </t>
  </si>
  <si>
    <t>Documenter les procédures de gestion des incidents liés aux systèmes de santé numériques.</t>
  </si>
  <si>
    <t>Les logs d'opérations sur données sensibles sur 90 jours existent-ils ?</t>
  </si>
  <si>
    <t xml:space="preserve">Rapports de tests de gestion de la croissance de l’infrastructure  </t>
  </si>
  <si>
    <t xml:space="preserve">Défaut de scalabilité de l'infrastructure  </t>
  </si>
  <si>
    <t xml:space="preserve">Exposition à des pertes financières directes par fraudes ou erreurs non détectées.  </t>
  </si>
  <si>
    <t>Mettre en place des contrôles d'accès biométriques pour les applications financières sensibles.</t>
  </si>
  <si>
    <t>Un système de journalisation centralisé est-il opérationnel ?</t>
  </si>
  <si>
    <t xml:space="preserve">Procédures de gestion des indicateurs de conformité réglementaire  </t>
  </si>
  <si>
    <t xml:space="preserve">Interopérabilité limitée avec l'existant  </t>
  </si>
  <si>
    <t xml:space="preserve">Non-respect des engagements en matière de responsabilité sociale et environnementale.  </t>
  </si>
  <si>
    <t>Auditer les configurations des systèmes de vote électronique pour garantir leur fiabilité.</t>
  </si>
  <si>
    <t>Des alertes automatiques pour opérations critiques existent-elles ?</t>
  </si>
  <si>
    <t>Rapports de suivi des plans d’amélioration continue</t>
  </si>
  <si>
    <t xml:space="preserve">Maintenance corrective excessive  </t>
  </si>
  <si>
    <t xml:space="preserve">Augmentation des temps de réponse aux incidents par processus de gestion inadéquats.  </t>
  </si>
  <si>
    <t>Implémenter des contrôles de sécurité pour les environnements multi-cloud.</t>
  </si>
  <si>
    <t>La traçabilité des opérations via un compte admin est-elle assurée ?</t>
  </si>
  <si>
    <t xml:space="preserve">Journal des logs d’opérations administratives sur 90 jours  </t>
  </si>
  <si>
    <t xml:space="preserve">Dépendance critique aux fournisseurs  </t>
  </si>
  <si>
    <t xml:space="preserve">Incapacité à capitaliser sur les données existantes pour l’innovation métier.  </t>
  </si>
  <si>
    <t>Réaliser des tests de résistance aux attaques ciblant les infrastructures critiques.</t>
  </si>
  <si>
    <t>Une revue trimestrielle des logs est-elle effectuée ?</t>
  </si>
  <si>
    <t xml:space="preserve">Matrice des droits d’accès administrateur  </t>
  </si>
  <si>
    <t xml:space="preserve">Contrats de maintenance déséquilibrés  </t>
  </si>
  <si>
    <t xml:space="preserve">Dégradation de la cohérence des informations entre départements.  </t>
  </si>
  <si>
    <t>Instaurer une politique de gestion des risques liés à la télémédecine et aux données de santé.</t>
  </si>
  <si>
    <t>Des exemples de fichiers transmis et intégrés sont-ils disponibles ?</t>
  </si>
  <si>
    <t xml:space="preserve">Procédures de journalisation centralisée  </t>
  </si>
  <si>
    <t xml:space="preserve">Vulnérabilité juridique sur les licences  </t>
  </si>
  <si>
    <t xml:space="preserve">Risque de défaillance systémique par architecture non résiliente.  </t>
  </si>
  <si>
    <t>Documenter les procédures de gestion des incidents de sécurité dans les environnements OT/ICS.</t>
  </si>
  <si>
    <t>Un workflow de validation des fichiers est-il défini ?</t>
  </si>
  <si>
    <t xml:space="preserve">Rapports de revue trimestrielle des logs  </t>
  </si>
  <si>
    <t xml:space="preserve">Obsolescence technologique accélérée  </t>
  </si>
  <si>
    <t xml:space="preserve">Détérioration de la capacité à innover par manque de ressources IT dédiées.  </t>
  </si>
  <si>
    <t>Mettre en œuvre des contrôles d'accès granulaire pour les données sensibles stockées dans le cloud.</t>
  </si>
  <si>
    <t>Les logs de transmission correspondent-ils aux fichiers sources ?</t>
  </si>
  <si>
    <t xml:space="preserve">Manuel d’administration des systèmes  </t>
  </si>
  <si>
    <t xml:space="preserve">Défaut de roadmap d'évolution  </t>
  </si>
  <si>
    <t xml:space="preserve">Exposition à des critiques des actionnaires pour mauvaise gouvernance IT.  </t>
  </si>
  <si>
    <t>Auditer les configurations des systèmes de gestion des identités fédérées (SSO).</t>
  </si>
  <si>
    <t>Les erreurs de format ou de contenu sont-elles détectées ?</t>
  </si>
  <si>
    <t xml:space="preserve">Contrats de maintenance des outils de journalisation  </t>
  </si>
  <si>
    <t xml:space="preserve">Incapacité à absorber la croissance  </t>
  </si>
  <si>
    <t xml:space="preserve">Perte de crédibilité auprès des régulateurs par contrôles internes insuffisants.  </t>
  </si>
  <si>
    <t>Implémenter des mécanismes de protection contre les attaques par rebond DNS.</t>
  </si>
  <si>
    <t xml:space="preserve">Plan de gestion des incidents critiques  </t>
  </si>
  <si>
    <t xml:space="preserve">Fragilité de l'architecture technique  </t>
  </si>
  <si>
    <t xml:space="preserve">Augmentation des coûts de conformité pour répondre aux nouvelles réglementations.  </t>
  </si>
  <si>
    <t>Réaliser des revues de conformité des politiques de sécurité avec les frameworks NIST ou ISO.</t>
  </si>
  <si>
    <t>Les logs d'intégration de fichiers sur 30 jours existent-ils ?</t>
  </si>
  <si>
    <t xml:space="preserve">Procédures de traçabilité des actions sensibles  </t>
  </si>
  <si>
    <t xml:space="preserve">Défaut de documentation des interfaces  </t>
  </si>
  <si>
    <t xml:space="preserve">Incapacité à mesurer l’efficacité réelle des investissements IT.  </t>
  </si>
  <si>
    <t>Instaurer des contrôles de sécurité pour les systèmes de gestion des ressources humaines (HRIS).</t>
  </si>
  <si>
    <t>Un système de validation des données intégrées est-il en place ?</t>
  </si>
  <si>
    <t xml:space="preserve">Documents de politique de sécurité des accès privilégiés  </t>
  </si>
  <si>
    <t xml:space="preserve">Formation insuffisante des utilisateurs  </t>
  </si>
  <si>
    <t xml:space="preserve">Fragilisation de la position sur le marché par retard dans l’adoption de technologies clés.  </t>
  </si>
  <si>
    <t>Documenter les procédures de gestion des risques liés à l'utilisation de l'analyse prédictive.</t>
  </si>
  <si>
    <t>Des alertes pour erreurs d'intégration existent-elles ?</t>
  </si>
  <si>
    <t xml:space="preserve">Rapports d’audit semestriel des droits administrateur  </t>
  </si>
  <si>
    <t xml:space="preserve">Résistance au changement organisationnel  </t>
  </si>
  <si>
    <t xml:space="preserve">Détérioration de la sécurité physique des infrastructures IT par contrôles laxistes.  </t>
  </si>
  <si>
    <t>Mettre en place des solutions de détection des fuites de données via des canaux non chiffrés.</t>
  </si>
  <si>
    <t>La reprise des données après erreur d'intégration est-elle possible ?</t>
  </si>
  <si>
    <t xml:space="preserve">Schéma d’architecture des systèmes de journalisation  </t>
  </si>
  <si>
    <t xml:space="preserve">Défaut d'adoption des nouvelles fonctionnalités  </t>
  </si>
  <si>
    <t xml:space="preserve">Exposition à des interruptions de service prolongées par plan de continuité défaillant.  </t>
  </si>
  <si>
    <t>Auditer les configurations des systèmes de gestion des relations clients (CRM).</t>
  </si>
  <si>
    <t>Des procédures de contrôle qualité des données intégrées existent-elles ?</t>
  </si>
  <si>
    <t xml:space="preserve">Procédures de réponse aux alertes de sécurité  </t>
  </si>
  <si>
    <t xml:space="preserve">Décalage entre promesses et réalités  </t>
  </si>
  <si>
    <t xml:space="preserve">Non-respect des attentes des utilisateurs finaux par solutions inadaptées.  </t>
  </si>
  <si>
    <t>Implémenter des contrôles de sécurité pour les applications de collaboration en temps réel.</t>
  </si>
  <si>
    <t>Des exemples de données rejetées conservées existent-ils ?</t>
  </si>
  <si>
    <t xml:space="preserve">Registre des formations sur les outils d’administration  </t>
  </si>
  <si>
    <t>Perte de compétitivité stratégique</t>
  </si>
  <si>
    <t xml:space="preserve">Augmentation des risques liés à la gestion des identités et accès.  </t>
  </si>
  <si>
    <t>Réaliser des tests de résilience des systèmes de gestion des identités décentralisées (SSI).</t>
  </si>
  <si>
    <t>Un système d'archivage sécurisé est-il utilisé ?</t>
  </si>
  <si>
    <t xml:space="preserve">Contrats avec les éditeurs de solutions de monitoring  </t>
  </si>
  <si>
    <t xml:space="preserve">Perte de données critiques en cas de sinistre  </t>
  </si>
  <si>
    <t xml:space="preserve">Incapacité à garantir l’intégrité des données lors des transferts inter-systèmes.  </t>
  </si>
  <si>
    <t>Instaurer une politique de gestion des risques liés à l'utilisation des jumeaux numériques.</t>
  </si>
  <si>
    <t>Les logs de conservation correspondent-ils aux données rejetées ?</t>
  </si>
  <si>
    <t xml:space="preserve">Procédures de conservation des logs conforme RGPD  </t>
  </si>
  <si>
    <t xml:space="preserve">Accès non autorisé aux données archivées  </t>
  </si>
  <si>
    <t xml:space="preserve">Dégradation de la performance des applications par charge non optimisée.  </t>
  </si>
  <si>
    <t>Documenter les procédures de gestion des incidents de sécurité dans les systèmes de transport intelligents</t>
  </si>
  <si>
    <t>La restauration des données rejetées après correction est-elle possible ?</t>
  </si>
  <si>
    <t xml:space="preserve">Rapports de tests de restauration des logs  </t>
  </si>
  <si>
    <t xml:space="preserve">Indisponibilité des données pour les opérations métiers  </t>
  </si>
  <si>
    <t xml:space="preserve">Risque de non-conformité aux exigences de reporting financier.  </t>
  </si>
  <si>
    <t xml:space="preserve">Mise en place de contrôles automatisés de validation des données financières et revue périodique des processus de reporting avec audits internes.  </t>
  </si>
  <si>
    <t>Des procédures de suppression sécurisée des données obsolètes existent-elles ?</t>
  </si>
  <si>
    <t xml:space="preserve">Documentation technique des systèmes de traçabilité  </t>
  </si>
  <si>
    <t xml:space="preserve">Non-conformité aux réglementations d'archivage  </t>
  </si>
  <si>
    <t xml:space="preserve">Détérioration de la capacité à attirer des talents IT compétents.  </t>
  </si>
  <si>
    <t xml:space="preserve">Déploiement de solutions de redondance des données et tests réguliers de restauration pour garantir la disponibilité opérationnelle.  </t>
  </si>
  <si>
    <t>Des exemples de données rejetées analysées et corrigées existent-ils ?</t>
  </si>
  <si>
    <t xml:space="preserve">Procédures de gestion des identifiants administrateur  </t>
  </si>
  <si>
    <t xml:space="preserve">Altération involontaire ou malveillante des données archivées  </t>
  </si>
  <si>
    <t xml:space="preserve">Exposition à des erreurs de traitement par logiques métier non validées.  </t>
  </si>
  <si>
    <t xml:space="preserve">Implémentation d'une gouvernance claire avec définition des rôles, documentation des décisions et formation continue du comité de pilotage.  </t>
  </si>
  <si>
    <t>Un workflow de correction est-il établi ?</t>
  </si>
  <si>
    <t xml:space="preserve">Registre des mises à jour des politiques de journalisation  </t>
  </si>
  <si>
    <t xml:space="preserve">Incapacité à restaurer les données après une défaillance  </t>
  </si>
  <si>
    <t xml:space="preserve">Perte de données critiques lors de migrations non planifiées.  </t>
  </si>
  <si>
    <t xml:space="preserve">Élaboration et diffusion d'une politique de sécurité formalisée alignée sur ISO 27001, incluant des contrôles d'accès stricts.  </t>
  </si>
  <si>
    <t>Les logs de correction correspondent-ils aux données rejetées ?</t>
  </si>
  <si>
    <t xml:space="preserve">Procédures de vérification de l’intégrité des logs  </t>
  </si>
  <si>
    <t xml:space="preserve">Violation de la confidentialité des données sensibles  </t>
  </si>
  <si>
    <t xml:space="preserve">Augmentation des coûts de support technique par complexité des systèmes.  </t>
  </si>
  <si>
    <t xml:space="preserve">Mise à jour régulière de la matrice des risques avec des méthodologies modernes et intégration d'un plan d'action correctif.  </t>
  </si>
  <si>
    <t>La réintégration des données corrigées fonctionne-t-elle ?</t>
  </si>
  <si>
    <t xml:space="preserve">Contrats de service pour les outils de surveillance  </t>
  </si>
  <si>
    <t xml:space="preserve">Détérioration de l'intégrité des données stockées  </t>
  </si>
  <si>
    <t xml:space="preserve">Incapacité à maintenir un environnement de développement sécurisé.  </t>
  </si>
  <si>
    <t xml:space="preserve">Renforcement des contrôles généraux IT (GITC) pour sécuriser l'infrastructure, incluant pare-feux et surveillance en temps réel.  </t>
  </si>
  <si>
    <t>Des procédures de contrôle qualité des corrections existent-elles ?</t>
  </si>
  <si>
    <t xml:space="preserve">Rapports de performance des systèmes de traçabilité  </t>
  </si>
  <si>
    <t xml:space="preserve">Absence de traçabilité des modifications des données  </t>
  </si>
  <si>
    <t xml:space="preserve">Fragilisation de la confiance des investisseurs par manque de transparence IT.  </t>
  </si>
  <si>
    <t xml:space="preserve">Déploiement de contrôles d'application pour valider les saisies, les traitements et les sorties de données critiques.  </t>
  </si>
  <si>
    <t>Des exemples de corrections validées sont-ils disponibles ?</t>
  </si>
  <si>
    <t xml:space="preserve">Procédures d’archivage sécurisé des logs  </t>
  </si>
  <si>
    <t xml:space="preserve">Interruption des processus métiers en cas de corruption des données  </t>
  </si>
  <si>
    <t xml:space="preserve">Détérioration de l’efficacité des campagnes marketing par données inexactes.  </t>
  </si>
  <si>
    <t xml:space="preserve">Formation obligatoire des utilisateurs sur les bonnes pratiques de sécurité et documentation à jour des procédures.  </t>
  </si>
  <si>
    <t>Un workflow de validation des corrections est-il en place ?</t>
  </si>
  <si>
    <t xml:space="preserve">Documentation des intégrations avec SIEM (Security Information and Event Management)  </t>
  </si>
  <si>
    <t xml:space="preserve">Exposition à des cyberattaques ciblant les systèmes non sécurisés  </t>
  </si>
  <si>
    <t xml:space="preserve">Exposition à des litiges contractuels avec les fournisseurs de cloud.  </t>
  </si>
  <si>
    <t xml:space="preserve">Réalisation d'un audit de conformité régulier pour vérifier l'adéquation aux lois locales et internationales (RGPD, etc.).  </t>
  </si>
  <si>
    <t>Les logs de validation correspondent-ils aux corrections ?</t>
  </si>
  <si>
    <t xml:space="preserve">Procédures de gestion des clés de chiffrement des logs  </t>
  </si>
  <si>
    <t xml:space="preserve">Erreurs humaines lors des opérations de sauvegarde ou restauration  </t>
  </si>
  <si>
    <t xml:space="preserve">Non-respect des normes internes de qualité par processus non formalisés.  </t>
  </si>
  <si>
    <t xml:space="preserve">Mise en œuvre de mécanismes de détection d'intrusions et de journalisation centralisée pour surveiller les accès privilégiés.  </t>
  </si>
  <si>
    <t>Les contrôles automatiques détectent-ils les erreurs de correction ?</t>
  </si>
  <si>
    <t xml:space="preserve">Registre des accès physiques aux serveurs de journalisation  </t>
  </si>
  <si>
    <t xml:space="preserve">Défaillance technique non détectée des systèmes de stockage  </t>
  </si>
  <si>
    <t xml:space="preserve">Augmentation des délais de mise sur le marché par lenteur des cycles IT.  </t>
  </si>
  <si>
    <t xml:space="preserve">Création d'un plan de continuité d'activité (PCA) testé annuellement et hébergé sur un site de secours géographiquement distant.  </t>
  </si>
  <si>
    <t>Une revue trimestrielle des corrections est-elle prévue ?</t>
  </si>
  <si>
    <t xml:space="preserve">Rapports d’analyse des menaces internes  </t>
  </si>
  <si>
    <t xml:space="preserve">Manque de redondance des supports de sauvegarde  </t>
  </si>
  <si>
    <t xml:space="preserve">Incapacité à adapter l’infrastructure aux évolutions du marché.  </t>
  </si>
  <si>
    <t xml:space="preserve">Séparation stricte des environnements de développement, test et production pour éviter les interférences.  </t>
  </si>
  <si>
    <t>Les logs de mise à jour des données sensibles sur 90 jours existent-ils ?</t>
  </si>
  <si>
    <t xml:space="preserve">Procédures de gestion des comptes à privilèges  </t>
  </si>
  <si>
    <t xml:space="preserve">Délais excessifs dans la récupération des données  </t>
  </si>
  <si>
    <t xml:space="preserve">Dégradation de la traçabilité des modifications apportées aux systèmes.  </t>
  </si>
  <si>
    <t xml:space="preserve">Adoption de contrôles de chiffrement des données en transit et au repos, conformes aux normes sectorielles.  </t>
  </si>
  <si>
    <t>Un système de journalisation centralisé est-il maintenu ?</t>
  </si>
  <si>
    <t xml:space="preserve">Documentation des scénarios de réponse aux incidents  </t>
  </si>
  <si>
    <t xml:space="preserve">Non-respect des politiques internes de rétention des données  </t>
  </si>
  <si>
    <t xml:space="preserve">Risque de non-conformité aux exigences de sécurité physique des datacenters.  </t>
  </si>
  <si>
    <t xml:space="preserve">Revue périodique des habilitations utilisateurs et application du principe de moindre privilège pour limiter les risques de fraude.  </t>
  </si>
  <si>
    <t>Des alertes automatiques pour mises à jour critiques existent-elles ?</t>
  </si>
  <si>
    <t xml:space="preserve">Contrats de confidentialité avec les prestataires d’audit  </t>
  </si>
  <si>
    <t xml:space="preserve">Fragmentation des données archivées entraînant une gestion complexe  </t>
  </si>
  <si>
    <t xml:space="preserve">Détérioration de la collaboration internationale par systèmes non harmonisés.  </t>
  </si>
  <si>
    <t xml:space="preserve">Intégration de contrôles d'intégrité des données lors des migrations, avec validation par des outils spécialisés.  </t>
  </si>
  <si>
    <t>La traçabilité des mises à jour via un compte admin est-elle assurée ?</t>
  </si>
  <si>
    <t xml:space="preserve">Procédures de gestion des versions des outils d’administration  </t>
  </si>
  <si>
    <t xml:space="preserve">Utilisation de formats obsolètes rendant les données inaccessibles  </t>
  </si>
  <si>
    <t xml:space="preserve">Exposition à des attaques de type ransomware par absence de protections adéquates.  </t>
  </si>
  <si>
    <t xml:space="preserve">Déploiement de solutions de monitoring des performances applicatives et réseau pour anticiper les goulots d'étranglement.  </t>
  </si>
  <si>
    <t>Une revue trimestrielle des logs est-elle programmée ?</t>
  </si>
  <si>
    <t xml:space="preserve">Registre des modifications de configuration des systèmes de logs  </t>
  </si>
  <si>
    <t xml:space="preserve">Absence de contrôle d'intégrité des sauvegardes  </t>
  </si>
  <si>
    <t xml:space="preserve">Perte de compétitivité due à une mauvaise gestion des coûts IT.  </t>
  </si>
  <si>
    <t xml:space="preserve">Mise en place d'une politique de gestion des correctifs avec priorisation des vulnérabilités critiques et tests pré-déploiement.  </t>
  </si>
  <si>
    <t>Les logs de journalisation des mises à jour sur 90 jours existent-ils ?</t>
  </si>
  <si>
    <t xml:space="preserve">Rapports de conformité aux normes ISO 27001/27002  </t>
  </si>
  <si>
    <t xml:space="preserve">Dépendance excessive à un seul fournisseur de stockage  </t>
  </si>
  <si>
    <t xml:space="preserve">Augmentation des erreurs de facturation par systèmes non intégrés.  </t>
  </si>
  <si>
    <t xml:space="preserve">Utilisation de référentiels comme COBIT pour aligner les processus IT sur les objectifs stratégiques et mesurer leur efficacité.  </t>
  </si>
  <si>
    <t>Un système de journalisation centralisé est-il fonctionnel ?</t>
  </si>
  <si>
    <t xml:space="preserve">Procédures de gestion des vulnérabilités des systèmes de traçabilité  </t>
  </si>
  <si>
    <t xml:space="preserve">Insuffisance des tests de restauration réguliers  </t>
  </si>
  <si>
    <t xml:space="preserve">Incapacité à garantir la disponibilité des données pour les audits internes.  </t>
  </si>
  <si>
    <t xml:space="preserve">Audit régulier des contrats avec les fournisseurs pour garantir le respect des SLA et la réversibilité des services externalisés.  </t>
  </si>
  <si>
    <t>Des alertes automatiques pour mises à jour critiques sont-elles actives ?</t>
  </si>
  <si>
    <t xml:space="preserve">Documentation des sauvegardes des journaux d’activité  </t>
  </si>
  <si>
    <t xml:space="preserve">Exposition aux risques liés à la obsolescence technologique  </t>
  </si>
  <si>
    <t xml:space="preserve">Fragilisation de la chaîne logistique par systèmes de tracking défaillants.  </t>
  </si>
  <si>
    <t xml:space="preserve">Implémentation d'un système de gestion des identités et accès (IAM) avec authentification multifacteur et révocation rapide.  </t>
  </si>
  <si>
    <t>La traçabilité des mises à jour via un compte admin est-elle vérifiable ?</t>
  </si>
  <si>
    <t xml:space="preserve">Contrats de sous-traitance pour la gestion des logs  </t>
  </si>
  <si>
    <t xml:space="preserve">Manque de formation du personnel sur les procédures d'archivage  </t>
  </si>
  <si>
    <t xml:space="preserve">Détérioration de la satisfaction des employés par outils informatiques obsolètes.  </t>
  </si>
  <si>
    <t xml:space="preserve">Création d'un inventaire détaillé des actifs informatiques, incluant licences, configurations et dépendances critiques.  </t>
  </si>
  <si>
    <t>Une revue trimestrielle des logs est-elle documentée ?</t>
  </si>
  <si>
    <t xml:space="preserve">Procédures de révision des politiques de rétention des données  </t>
  </si>
  <si>
    <t xml:space="preserve">Inadéquation des capacités de stockage par rapport aux besoins  </t>
  </si>
  <si>
    <t xml:space="preserve">Exposition à des fuites d’informations stratégiques par contrôles insuffisants.  </t>
  </si>
  <si>
    <t xml:space="preserve">Définition de procédures de réponse aux incidents cybernétiques, testées via des simulations de crise.  </t>
  </si>
  <si>
    <t>Des exemples de contrôles automatiques exécutés existent-ils ?</t>
  </si>
  <si>
    <t xml:space="preserve">Registre des incidents liés aux accès administrateur  </t>
  </si>
  <si>
    <t xml:space="preserve">Faible performance des systèmes d'archivage impactant les opérations  </t>
  </si>
  <si>
    <t xml:space="preserve">Non-respect des engagements en matière de délais de livraison des projets.  </t>
  </si>
  <si>
    <t xml:space="preserve">Adoption de normes de codage sécurisé et revue par les pairs pour limiter les vulnérabilités logicielles.  </t>
  </si>
  <si>
    <t>Un calendrier des contrôles périodiques est-il disponible ?</t>
  </si>
  <si>
    <t xml:space="preserve">Rapports de tests d’intrusion des systèmes de journalisation  </t>
  </si>
  <si>
    <t xml:space="preserve">Non-identification des données critiques à archiver en priorité  </t>
  </si>
  <si>
    <t xml:space="preserve">Augmentation des coûts de possession totale (TCO) des actifs IT.  </t>
  </si>
  <si>
    <t xml:space="preserve">Mise en œuvre de contrôles d'accès physique aux salles serveurs avec journalisation des entrées/sorties.  </t>
  </si>
  <si>
    <t>Les logs d'exécution correspondent-ils aux résultats des contrôles ?</t>
  </si>
  <si>
    <t xml:space="preserve">Procédures de gestion des certificats numériques  </t>
  </si>
  <si>
    <t xml:space="preserve">Défaillance des mécanismes de chiffrement des données archivées  </t>
  </si>
  <si>
    <t xml:space="preserve">Incapacité à maintenir un niveau de service conforme aux attentes des métiers.  </t>
  </si>
  <si>
    <t xml:space="preserve">Déploiement de solutions de sauvegarde chiffrées hors site et tests réguliers de restauration pour garantir l'intégrité des données.  </t>
  </si>
  <si>
    <t>Les contrôles automatiques détectent-ils les anomalies ?</t>
  </si>
  <si>
    <t xml:space="preserve">Documentation des interfaces de monitoring des logs  </t>
  </si>
  <si>
    <t xml:space="preserve">Absence de classification des données selon leur sensibilité  </t>
  </si>
  <si>
    <t xml:space="preserve">Dégradation de la capacité à anticiper les tendances technologiques émergentes.  </t>
  </si>
  <si>
    <t xml:space="preserve">Utilisation d'outils d'analyse statique et dynamique du code (SAST/DAST) pour identifier les failles avant déploiement.  </t>
  </si>
  <si>
    <t>Des procédures de correction des anomalies détectées existent-elles ?</t>
  </si>
  <si>
    <t xml:space="preserve">Contrats de niveau de service (SLA) pour la disponibilité des logs  </t>
  </si>
  <si>
    <t xml:space="preserve">Risque de perte financière due à l'indisponibilité des données  </t>
  </si>
  <si>
    <t xml:space="preserve">Risque de non-conformité aux politiques internes de gestion des risques.  </t>
  </si>
  <si>
    <t xml:space="preserve">Intégration de clauses de conformité et de sécurité dans les contrats avec les prestataires cloud ou externes.  </t>
  </si>
  <si>
    <t>Des exemples d'états de sortie générés existent-ils ?</t>
  </si>
  <si>
    <t xml:space="preserve">Procédures de gestion des mises à jour des systèmes de traçabilité  </t>
  </si>
  <si>
    <t xml:space="preserve">Non-alignement des pratiques d'archivage avec la stratégie métier  </t>
  </si>
  <si>
    <t xml:space="preserve">Détérioration de la réputation de l’entreprise suite à des violations de données.  </t>
  </si>
  <si>
    <t xml:space="preserve">Formation continue des équipes IT sur les menaces émergentes (ransomware, phishing) et bonnes pratiques de résilience.  </t>
  </si>
  <si>
    <t>Un système de distribution automatisé est-il utilisé ?</t>
  </si>
  <si>
    <t xml:space="preserve">Registre des autorisations d’accès aux outils d’administration  </t>
  </si>
  <si>
    <t xml:space="preserve">Exposition à des litiges juridiques en cas de perte de preuves  </t>
  </si>
  <si>
    <t xml:space="preserve">Exposition à des interruptions d’activité par dépendance à des fournisseurs uniques.  </t>
  </si>
  <si>
    <t xml:space="preserve">Audit des configurations réseau pour garantir la segmentation et la protection contre les attaques DDoS.  </t>
  </si>
  <si>
    <t>Les logs de distribution correspondent-ils aux destinataires ?</t>
  </si>
  <si>
    <t xml:space="preserve">Rapports d’évaluation des risques liés aux comptes administrateur  </t>
  </si>
  <si>
    <t xml:space="preserve">Dégradation de la réputation en cas de fuite de données  </t>
  </si>
  <si>
    <t xml:space="preserve">Perte de flexibilité opérationnelle par architecture IT monolithique.  </t>
  </si>
  <si>
    <t xml:space="preserve">Mise en place de tableaux de bord de pilotage avec indicateurs clés (KPI) pour mesurer l'efficacité des contrôles.  </t>
  </si>
  <si>
    <t>Les erreurs de distribution sont-elles détectées automatiquement ?</t>
  </si>
  <si>
    <t xml:space="preserve">Procédures de gestion des anomalies détectées dans les logs  </t>
  </si>
  <si>
    <t xml:space="preserve">Inefficacité des contrôles d'accès physiques aux supports de stockage  </t>
  </si>
  <si>
    <t xml:space="preserve">Augmentation des temps d’indisponibilité des applications critiques.  </t>
  </si>
  <si>
    <t xml:space="preserve">Réalisation de tests de pénétration annuels pour évaluer la robustesse des systèmes et corriger les vulnérabilités.  </t>
  </si>
  <si>
    <t xml:space="preserve">Documentation des contrôles d’accès logiques et physiques  </t>
  </si>
  <si>
    <t xml:space="preserve">Manque de supervision des activités d'archivage  </t>
  </si>
  <si>
    <t xml:space="preserve">Incapacité à garantir la conformité aux normes de sécurité sectorielles.  </t>
  </si>
  <si>
    <t xml:space="preserve">Définition d'une stratégie de sortie pour les technologies obsolètes, incluant migration sécurisée des données.  </t>
  </si>
  <si>
    <t>Des exemples d'états revus et validés existent-ils ?</t>
  </si>
  <si>
    <t xml:space="preserve">Contrats de formation des équipes sur les outils de traçabilité  </t>
  </si>
  <si>
    <t xml:space="preserve">Incohérence entre les données archivées et les données sources  </t>
  </si>
  <si>
    <t xml:space="preserve">Fragilisation des processus métier par intégration déficiente des systèmes.  </t>
  </si>
  <si>
    <t xml:space="preserve">Application de contrôles d'accès basés sur les rôles (RBAC) pour limiter les droits aux seules fonctions nécessaires.  </t>
  </si>
  <si>
    <t>Un workflow de validation des états est-il en place ?</t>
  </si>
  <si>
    <t xml:space="preserve">Procédures de gestion des demandes d’accès aux logs  </t>
  </si>
  <si>
    <t xml:space="preserve">Délais de conservation inadaptés aux exigences légales  </t>
  </si>
  <si>
    <t xml:space="preserve">Détérioration de la qualité des rapports financiers par données erronées.  </t>
  </si>
  <si>
    <t xml:space="preserve">Surveillance proactive des journaux système via des solutions SIEM pour détecter les activités anormales en temps réel.  </t>
  </si>
  <si>
    <t>Les logs de validation correspondent-ils aux destinataires ?</t>
  </si>
  <si>
    <t xml:space="preserve">Registre des modifications des droits d’administration  </t>
  </si>
  <si>
    <t xml:space="preserve">Utilisation de protocoles non sécurisés pour le transfert de données  </t>
  </si>
  <si>
    <t xml:space="preserve">Exposition à des amendes pour non-respect des lois locales et internationales.  </t>
  </si>
  <si>
    <t xml:space="preserve">Mise à jour régulière des politiques de sécurité pour intégrer les évolutions réglementaires et technologiques.  </t>
  </si>
  <si>
    <t>Les erreurs de contenu sont-elles détectées automatiquement ?</t>
  </si>
  <si>
    <t xml:space="preserve">Rapports de synthèse des activités d’administration  </t>
  </si>
  <si>
    <t xml:space="preserve">Absence de documentation des procédures d'archivage  </t>
  </si>
  <si>
    <t xml:space="preserve">Non-respect des attentes des clients en matière de confidentialité des données.  </t>
  </si>
  <si>
    <t xml:space="preserve">Audit des processus de gestion des changements pour garantir traçabilité et validation hiérarchique avant déploiement.  </t>
  </si>
  <si>
    <t xml:space="preserve">Procédures de gestion des clés SSH/API pour l’accès aux logs  </t>
  </si>
  <si>
    <t xml:space="preserve">Non-respect des bonnes pratiques sectorielles en matière d'archivage  </t>
  </si>
  <si>
    <t xml:space="preserve">Augmentation des coûts de remédiation post-audit par lacunes identifiées.  </t>
  </si>
  <si>
    <t xml:space="preserve">Déploiement de solutions de chiffrement des sauvegardes et vérification de leur intégrité via des checksums.  </t>
  </si>
  <si>
    <t>Des exemples de tableaux de bord et indicateurs clés existent-ils ?</t>
  </si>
  <si>
    <t xml:space="preserve">Documentation des politiques de mot de passe des comptes admin  </t>
  </si>
  <si>
    <t xml:space="preserve">Vulnérabilité aux attaques par ransomware ciblant les sauvegardes  </t>
  </si>
  <si>
    <t>Incapacité à maintenir un environnement IT conforme aux meilleures pratiques.</t>
  </si>
  <si>
    <t xml:space="preserve">Formalisation des procédures de gestion des incidents, incluant escalade, analyse post-mortem et correctifs.  </t>
  </si>
  <si>
    <t>Un système de reporting automatisé est-il opérationnel ?</t>
  </si>
  <si>
    <t xml:space="preserve">Contrats d’externalisation de la surveillance des logs  </t>
  </si>
  <si>
    <t xml:space="preserve">Défaillance des systèmes de détection d'intrusion sur les serveurs d'archivage  </t>
  </si>
  <si>
    <t xml:space="preserve">Défaillance dans la surveillance des performances opérationnelles et reporting inexact des indicateurs clés.  </t>
  </si>
  <si>
    <t xml:space="preserve">Utilisation de frameworks comme ITIL pour standardiser la gestion des services IT et améliorer la qualité.  </t>
  </si>
  <si>
    <t>Les logs de génération correspondent-ils aux destinataires ?</t>
  </si>
  <si>
    <t xml:space="preserve">Procédures de gestion des accès temporaires  </t>
  </si>
  <si>
    <t xml:space="preserve">Manque de redondance géographique des copies de sauvegarde  </t>
  </si>
  <si>
    <t xml:space="preserve">Incapacité à détecter les erreurs de distribution des rapports, entraînant des décisions basées sur des informations obsolètes.  </t>
  </si>
  <si>
    <t xml:space="preserve">Intégration de contrôles d'intégrité des métadonnées et validation des flux inter-applicatifs pour éviter les incohérences.  </t>
  </si>
  <si>
    <t>Les erreurs de reporting sont-elles détectées automatiquement ?</t>
  </si>
  <si>
    <t xml:space="preserve">Registre des révocations de droits administrateur  </t>
  </si>
  <si>
    <t xml:space="preserve">Non-application des mises à jour de sécurité sur les systèmes d'archivage  </t>
  </si>
  <si>
    <t xml:space="preserve">Augmentation des erreurs non détectées dans les états financiers en raison de contrôles de validation absents ou inefficaces.  </t>
  </si>
  <si>
    <t xml:space="preserve">Mise en place de contrôles d'accès temporaires avec expiration automatique pour les prestataires externes.  </t>
  </si>
  <si>
    <t xml:space="preserve">Rapports d’enquêtes internes sur les abus de privilèges  </t>
  </si>
  <si>
    <t xml:space="preserve">Inadéquation des droits d'accès aux rôles des utilisateurs  </t>
  </si>
  <si>
    <t xml:space="preserve">Compromission de l'intégrité des données due à des logs de génération non corrélés avec les destinataires réels.  </t>
  </si>
  <si>
    <t xml:space="preserve">Réalisation d'audits de conformité aux normes ISO 27001/27002 pour renforcer la maturité de la sécurité.  </t>
  </si>
  <si>
    <t>Des exemples d'états distribués existent-ils ?</t>
  </si>
  <si>
    <t xml:space="preserve">Procédures de gestion des journaux d’audit externes  </t>
  </si>
  <si>
    <t xml:space="preserve">Absence de revue périodique des politiques d'archivage  </t>
  </si>
  <si>
    <t xml:space="preserve">Exposition à des failles de sécurité en cas de non-détection automatique des erreurs de reporting.  </t>
  </si>
  <si>
    <t xml:space="preserve">Déploiement de solutions de détection des fuites de données (DLP) pour protéger les informations sensibles.  </t>
  </si>
  <si>
    <t>Un système de distribution automatisé est-il maintenu ?</t>
  </si>
  <si>
    <t xml:space="preserve">Documentation des mécanismes de chiffrement des logs  </t>
  </si>
  <si>
    <t xml:space="preserve">Erreurs de configuration des outils d'archivage automatisés  </t>
  </si>
  <si>
    <t xml:space="preserve">Délais accrus dans la prise de décision stratégique en raison de rapports non distribués ou incomplets.  </t>
  </si>
  <si>
    <t xml:space="preserve">Création d'un comité de gouvernance IT pour superviser l'alignement stratégique et l'allocation des budgets.  </t>
  </si>
  <si>
    <t xml:space="preserve">Contrats de consulting pour l’optimisation des systèmes de traçabilité  </t>
  </si>
  <si>
    <t xml:space="preserve">Exposition à des pertes d'exploitation en cas de sinistre prolongé  </t>
  </si>
  <si>
    <t xml:space="preserve">Perte de confiance des parties prenantes due à des tableaux de bord non actualisés ou inexacts.  </t>
  </si>
  <si>
    <t xml:space="preserve">Utilisation de protocoles sécurisés (TLS 1.3, SSH) pour les transferts de données et accès distants.  </t>
  </si>
  <si>
    <t xml:space="preserve">Procédures de gestion des accès aux bases de données de logs  </t>
  </si>
  <si>
    <t xml:space="preserve">Non-respect des engagements contractuels envers les clients  </t>
  </si>
  <si>
    <t xml:space="preserve">Risques de non-conformité réglementaire en l'absence de preuves de distribution sécurisée des états.  </t>
  </si>
  <si>
    <t xml:space="preserve">Mise en œuvre de contrôles de validation des entrées utilisateur pour prévenir les injections SQL/XSS.  </t>
  </si>
  <si>
    <t xml:space="preserve">Registre des tests de résilience des systèmes de journalisation  </t>
  </si>
  <si>
    <t xml:space="preserve">Détérioration de la qualité des données archivées sur le long terme  </t>
  </si>
  <si>
    <t xml:space="preserve">Inefficacité des contrôles qualité des données intégrées, menant à des anomalies non corrigées.  </t>
  </si>
  <si>
    <t xml:space="preserve">Audit régulier des configurations des pare-feux et systèmes de détection d'intrusion pour garantir leur efficacité.  </t>
  </si>
  <si>
    <t>Des exemples d'états contrôlés par les utilisateurs existent-ils ?</t>
  </si>
  <si>
    <t xml:space="preserve">Rapports de benchmark des performances des outils de traçabilité  </t>
  </si>
  <si>
    <t xml:space="preserve">Incapacité à répondre aux audits réglementaires sur l'archivage  </t>
  </si>
  <si>
    <t xml:space="preserve">Vulnérabilités accrues face aux cybermenaces en raison de procédures de validation des fichiers non appliquées.  </t>
  </si>
  <si>
    <t xml:space="preserve">Formation des utilisateurs finaux à la reconnaissance des tentatives de phishing et bonnes pratiques d'hygiène numérique.  </t>
  </si>
  <si>
    <t>Un système de validation des états est-il utilisé ?</t>
  </si>
  <si>
    <t xml:space="preserve">Procédures de gestion des dépendances techniques des systèmes de logs  </t>
  </si>
  <si>
    <t xml:space="preserve">Manque de visibilité sur l'état réel des sauvegardes  </t>
  </si>
  <si>
    <t xml:space="preserve">Dégradation de la qualité des données en cas de non-respect des procédures de correction des erreurs détectées.  </t>
  </si>
  <si>
    <t xml:space="preserve">Déploiement de solutions de gestion des vulnérabilités pour prioriser et corriger les failles critiques.  </t>
  </si>
  <si>
    <t>Les logs de validation correspondent-ils aux utilisateurs ?</t>
  </si>
  <si>
    <t xml:space="preserve">Documentation des interfaces avec les solutions de BI (Business Intelligence)  </t>
  </si>
  <si>
    <t xml:space="preserve">Utilisation de matériel non conforme aux normes de sécurité  </t>
  </si>
  <si>
    <t xml:space="preserve">Interruptions opérationnelles liées à des logs d'intégration non surveillés ou incomplets.  </t>
  </si>
  <si>
    <t xml:space="preserve">Intégration de clauses de cybersécurité dans les contrats clients pour clarifier les responsabilités en cas d'incident.  </t>
  </si>
  <si>
    <t xml:space="preserve">Contrats de licence des logiciels de journalisation  </t>
  </si>
  <si>
    <t xml:space="preserve">Absence de plan de secours alternatif en cas de panne majeure  </t>
  </si>
  <si>
    <t xml:space="preserve">Exposition à des pertes de données critiques en l'absence de système d'archivage sécurisé fonctionnel.  </t>
  </si>
  <si>
    <t xml:space="preserve">Mise en place de contrôles d'accès physique biométriques pour les zones hébergeant des équipements critiques.  </t>
  </si>
  <si>
    <t xml:space="preserve">Procédures de gestion des configurations des serveurs de logs  </t>
  </si>
  <si>
    <t xml:space="preserve">Non-identification des propriétaires métiers des données archivées  </t>
  </si>
  <si>
    <t xml:space="preserve">Augmentation des coûts de maintenance en raison de procédures non documentées ou obsolètes.  </t>
  </si>
  <si>
    <t xml:space="preserve">Utilisation de solutions de conteneurisation sécurisées avec isolation des environnements et gestion des droits.  </t>
  </si>
  <si>
    <t>Des exemples de résultats validés existent-ils ?</t>
  </si>
  <si>
    <t xml:space="preserve">Registre des audits de conformité des procédures de traçabilité  </t>
  </si>
  <si>
    <t xml:space="preserve">Dépendance à des solutions propriétaires limitant la portabilité  </t>
  </si>
  <si>
    <t xml:space="preserve">Non-respect des SLA en raison de retards non détectés dans la génération ou la distribution des rapports.  </t>
  </si>
  <si>
    <t xml:space="preserve">Réalisation d'audits techniques des APIs pour détecter les failles de configuration ou les permissions excessives.  </t>
  </si>
  <si>
    <t>Un workflow de validation est-il établi ?</t>
  </si>
  <si>
    <t xml:space="preserve">Rapports d’analyse des écarts entre pratiques et politiques  </t>
  </si>
  <si>
    <t xml:space="preserve">Faible résilience des systèmes face aux catastrophes naturelles  </t>
  </si>
  <si>
    <t xml:space="preserve">Faiblesse dans l'alignement stratégique en l'absence d'indicateurs de performance clairs et mesurables.  </t>
  </si>
  <si>
    <t xml:space="preserve">Déploiement de mécanismes de chiffrement homomorphique pour les données sensibles en traitement analytique.  </t>
  </si>
  <si>
    <t>Les logs de validation correspondent-ils aux résultats ?</t>
  </si>
  <si>
    <t xml:space="preserve">Procédures de gestion des accès aux logs historiques  </t>
  </si>
  <si>
    <t xml:space="preserve">Non-contrôle des accès logiques aux données historiques  </t>
  </si>
  <si>
    <t xml:space="preserve">Défaillance dans la traçabilité des actions administratives en cas de journalisation centralisée insuffisante.  </t>
  </si>
  <si>
    <t xml:space="preserve">Création d'un plan de communication de crise pour coordonner les actions lors d'incidents majeurs.  </t>
  </si>
  <si>
    <t>Les erreurs de validation sont-elles détectées automatiquement ?</t>
  </si>
  <si>
    <t xml:space="preserve">Documentation des processus de purge des logs  </t>
  </si>
  <si>
    <t xml:space="preserve">Erreurs dans la journalisation des activités d'archivage  </t>
  </si>
  <si>
    <t xml:space="preserve">Augmentation des risques de fraude interne en raison de contrôles d'accès non vérifiés ou mal configurés.  </t>
  </si>
  <si>
    <t xml:space="preserve">Adoption de standards de codage sécurisé (OWASP) et intégration dans les pipelines DevOps.  </t>
  </si>
  <si>
    <t xml:space="preserve">Contrats d’assurance couvrant les risques liés aux logs  </t>
  </si>
  <si>
    <t xml:space="preserve">Manque de coordination entre les équipes techniques et métiers  </t>
  </si>
  <si>
    <t xml:space="preserve">Incapacité à répondre aux incidents critiques en temps réel en l'absence d'alertes automatisées.  </t>
  </si>
  <si>
    <t xml:space="preserve">Mise en œuvre de contrôles d'accès réseau Zero Trust pour limiter les mouvements latéraux en cas de compromission.  </t>
  </si>
  <si>
    <t>Des exemples de codifications homogènes existent-ils ?</t>
  </si>
  <si>
    <t xml:space="preserve">Procédures de gestion des accès aux logs en cas de litige  </t>
  </si>
  <si>
    <t xml:space="preserve">Inadéquation des ressources allouées à la gestion des archives  </t>
  </si>
  <si>
    <t xml:space="preserve">Compromission de la continuité des activités en cas de non-test régulier des sauvegardes et restaurations.  </t>
  </si>
  <si>
    <t xml:space="preserve">Audit des processus de gestion des identités privilégiées (PAM) pour minimiser les risques d'abus.  </t>
  </si>
  <si>
    <t>Un référentiel des règles de gestion est-il disponible ?</t>
  </si>
  <si>
    <t xml:space="preserve">Registre des formations sur la manipulation des logs  </t>
  </si>
  <si>
    <t xml:space="preserve">Exposition à des amendes pour non-conformité au RGPD  </t>
  </si>
  <si>
    <t xml:space="preserve">Dégradation de la satisfaction utilisateur due à des interfaces non ergonomiques ou des retards de traitement.  </t>
  </si>
  <si>
    <t xml:space="preserve">Déploiement de solutions de protection contre les ransomwares avec sauvegardes immuables et restauration rapide.  </t>
  </si>
  <si>
    <t>Les logs d'application correspondent-ils aux codifications ?</t>
  </si>
  <si>
    <t xml:space="preserve">Rapports de revue des droits d’accès aux outils d’administration  </t>
  </si>
  <si>
    <t xml:space="preserve">Défaillance des mécanismes d'authentification multi-facteurs  </t>
  </si>
  <si>
    <t xml:space="preserve">Non-conformité aux normes RGPD/ISO en l'absence de documentation à jour sur les politiques de sécurité.  </t>
  </si>
  <si>
    <t xml:space="preserve">Formation des équipes juridiques et techniques aux implications du RGPD et autres réglementations sectorielles.  </t>
  </si>
  <si>
    <t>Les erreurs de codification sont-elles détectées automatiquement ?</t>
  </si>
  <si>
    <t xml:space="preserve">Procédures de gestion des logs dans les environnements cloud  </t>
  </si>
  <si>
    <t xml:space="preserve">Utilisation de mots de passe faibles pour les accès administrateurs  </t>
  </si>
  <si>
    <t xml:space="preserve">Perte de crédibilité de l'équipe d'audit interne en cas de manque de preuves tangibles pour les recommandations.  </t>
  </si>
  <si>
    <t xml:space="preserve">Utilisation de plateformes de gestion unifiée des endpoints (UEBA) pour détecter les comportements anormaux.  </t>
  </si>
  <si>
    <t xml:space="preserve">Documentation des procédures de réponse aux requêtes réglementaires  </t>
  </si>
  <si>
    <t xml:space="preserve">Absence de surveillance continue des systèmes d'archivage  </t>
  </si>
  <si>
    <t xml:space="preserve">Inefficacité des plans de reprise d'activité en raison de tests non réalisés ou mal documentés.  </t>
  </si>
  <si>
    <t xml:space="preserve">Mise en place de contrôles d'intégrité des fichiers critiques via des signatures numériques et monitoring continu.  </t>
  </si>
  <si>
    <t>Des exemples de données transmises entre modules existent-ils ?</t>
  </si>
  <si>
    <t xml:space="preserve">Contrats de partenariat pour l’analyse forensique des logs  </t>
  </si>
  <si>
    <t xml:space="preserve">Non-respect des exigences de confidentialité des données clients  </t>
  </si>
  <si>
    <t xml:space="preserve">Augmentation des coûts opérationnels liés à des processus manuels redondants ou non optimisés.  </t>
  </si>
  <si>
    <t xml:space="preserve">Réalisation d'audits de sécurité des configurations cloud pour garantir la conformité aux bonnes pratiques.  </t>
  </si>
  <si>
    <t>Un système de validation des transmissions est-il en place ?</t>
  </si>
  <si>
    <t xml:space="preserve">Procédures de gestion des logs dans les scénarios de fusion-acquisition  </t>
  </si>
  <si>
    <t xml:space="preserve">Incapacité à garantir l'authenticité des documents archivés  </t>
  </si>
  <si>
    <t xml:space="preserve">Faiblesse dans la gestion des identités et accès en cas de procédures de révocation non appliquées.  </t>
  </si>
  <si>
    <t xml:space="preserve">Déploiement de solutions de gestion des risques tiers pour évaluer et surveiller les partenaires externes.  </t>
  </si>
  <si>
    <t>Les logs de transmission correspondent-ils aux données ?</t>
  </si>
  <si>
    <t xml:space="preserve">Registre des mises à jour des contrôles d’accès aux logs  </t>
  </si>
  <si>
    <t xml:space="preserve">Dégradation des performances des applications liées à l'archivage  </t>
  </si>
  <si>
    <t xml:space="preserve">Exposition à des litiges contractuels en l'absence de suivi des clauses SLA avec les fournisseurs.  </t>
  </si>
  <si>
    <t xml:space="preserve">Intégration de contrôles de qualité des données dans les workflows métiers pour garantir leur exactitude.  </t>
  </si>
  <si>
    <t>Les erreurs de transmission sont-elles détectées automatiquement ?</t>
  </si>
  <si>
    <t xml:space="preserve">Rapports d’évaluation de l’impact des modifications sur la traçabilité  </t>
  </si>
  <si>
    <t xml:space="preserve">Manque de tests de charge sur les systèmes de stockage  </t>
  </si>
  <si>
    <t xml:space="preserve">Défaillance dans l'optimisation des ressources IT en raison d'une mauvaise allocation des budgets identifiée tardivement.  </t>
  </si>
  <si>
    <t xml:space="preserve">Mise à jour des politiques de conservation des logs pour répondre aux exigences réglementaires et faciliter les enquêtes.  </t>
  </si>
  <si>
    <t xml:space="preserve">Procédures de gestion des logs dans les architectures hybrides  </t>
  </si>
  <si>
    <t xml:space="preserve">Non-application des politiques de destruction sécurisée des données  </t>
  </si>
  <si>
    <t xml:space="preserve">Risques de non-atteinte des objectifs métiers en raison d'un alignement insuffisant entre SI et stratégie organisationnelle.  </t>
  </si>
  <si>
    <t xml:space="preserve">Adoption de protocoles de sécurité pour les appareils IoT (chiffrement, authentification forte).  </t>
  </si>
  <si>
    <t>Des tickets de développement (GitLab, Jira) existent-ils ?</t>
  </si>
  <si>
    <t xml:space="preserve">Documentation des mécanismes de redondance des systèmes de logs  </t>
  </si>
  <si>
    <t xml:space="preserve">Exposition à des conflits d'intérêts dans la gestion des archives  </t>
  </si>
  <si>
    <t>Inefficacité des mesures de sécurité physique et logique en l'absence de contrôles réguliers et documentés.</t>
  </si>
  <si>
    <t xml:space="preserve">Création d'un référentiel centralisé des risques IT avec priorisation basée sur l'impact et la probabilité.  </t>
  </si>
  <si>
    <t>Les spécifications techniques sont-elles signées ?</t>
  </si>
  <si>
    <t xml:space="preserve">Contrats de service pour la maintenance préventive des systèmes  </t>
  </si>
  <si>
    <t xml:space="preserve">Absence de procédures d'urgence en cas de compromission des données  </t>
  </si>
  <si>
    <t xml:space="preserve">Non-conformité aux exigences réglementaires et légales.  </t>
  </si>
  <si>
    <t xml:space="preserve">Déploiement de solutions de gestion des certificats SSL/TLS pour éviter les expirations non détectées.  </t>
  </si>
  <si>
    <t>Des rapports de revue de code pour 3 projets récents existent-ils ?</t>
  </si>
  <si>
    <t xml:space="preserve">Procédures de gestion des logs lors des migrations technologiques  </t>
  </si>
  <si>
    <t xml:space="preserve">Utilisation de logiciels non pris en charge par les éditeurs  </t>
  </si>
  <si>
    <t xml:space="preserve">Défaillance dans la gouvernance informatique et la gestion des risques.  </t>
  </si>
  <si>
    <t xml:space="preserve">Mise en œuvre de contrôles d'accès contextuels pour adapter les droits en fonction du risque situationnel.  </t>
  </si>
  <si>
    <t xml:space="preserve">Registre des tests de compatibilité des formats de logs  </t>
  </si>
  <si>
    <t xml:space="preserve">Défaillance des contrôles d'intégrité des fichiers archivés  </t>
  </si>
  <si>
    <t xml:space="preserve">Exposition accrue aux cyberattaques et violations de données.  </t>
  </si>
  <si>
    <t xml:space="preserve">Audit des processus de développement logiciel pour garantir l'absence de backdoors ou de code malveillant.  </t>
  </si>
  <si>
    <t>Un manuel de déploiement existe-t-il ?</t>
  </si>
  <si>
    <t xml:space="preserve">Rapports d’intégration des logs avec les systèmes tiers  </t>
  </si>
  <si>
    <t xml:space="preserve">Non-respect des standards internationaux de sécurité des données  </t>
  </si>
  <si>
    <t xml:space="preserve">Interruptions prolongées des services critiques en cas de sinistre.  </t>
  </si>
  <si>
    <t xml:space="preserve">Formation des équipes à la réponse aux incidents de sécurité via des simulations réalistes (cyber range).  </t>
  </si>
  <si>
    <t>Un compte test confirme-t-il le refus d'accès aux non-habilités ?</t>
  </si>
  <si>
    <t xml:space="preserve">Procédures de gestion des logs dans les environnements virtualisés  </t>
  </si>
  <si>
    <t xml:space="preserve">Manque de sensibilisation des utilisateurs aux risques d'archivage  </t>
  </si>
  <si>
    <t xml:space="preserve">Erreurs de traitement des données financières et opérationnelles.  </t>
  </si>
  <si>
    <t xml:space="preserve">Utilisation de contrats SLA stricts avec les fournisseurs cloud pour garantir la disponibilité et la sécurité.  </t>
  </si>
  <si>
    <t>Les logs d'accès aux bibliothèques sur 60 jours existent-ils ?</t>
  </si>
  <si>
    <t xml:space="preserve">Documentation des politiques de partage des logs avec les autorités  </t>
  </si>
  <si>
    <t xml:space="preserve">Inadéquation des mécanismes de reporting sur l'état des sauvegardes  </t>
  </si>
  <si>
    <t xml:space="preserve">Perte de confiance des parties prenantes et atteinte à la réputation.  </t>
  </si>
  <si>
    <t xml:space="preserve">Déploiement de solutions de prévention des pertes de données (DLP) pour les canaux de communication externes.  </t>
  </si>
  <si>
    <t>Une séparation des environnements (dev/test/prod) est-elle définie ?</t>
  </si>
  <si>
    <t xml:space="preserve">Contrats de confidentialité pour les données des logs  </t>
  </si>
  <si>
    <t xml:space="preserve">Exposition à des attaques par ingénierie sociale ciblant le personnel  </t>
  </si>
  <si>
    <t xml:space="preserve">Désalignement entre les objectifs métiers et les capacités du SI.  </t>
  </si>
  <si>
    <t xml:space="preserve">Mise en place de contrôles d'accès aux outils d'administration à distance avec journalisation détaillée.  </t>
  </si>
  <si>
    <t>Des procédures de gestion des clés SSH/API existent-elles ?</t>
  </si>
  <si>
    <t xml:space="preserve">Procédures de gestion des logs dans les scénarios de reprise après sinistre  </t>
  </si>
  <si>
    <t xml:space="preserve">Absence de contrat de maintenance réactif pour les systèmes critiques  </t>
  </si>
  <si>
    <t xml:space="preserve">Augmentation des coûts de maintenance et de correction des anomalies.  </t>
  </si>
  <si>
    <t xml:space="preserve">Intégration de mécanismes de vérification d'intégrité des micrologiciels (firmware) pour les équipements critiques.  </t>
  </si>
  <si>
    <t>Des alertes automatiques pour accès non autorisés existent-elles ?</t>
  </si>
  <si>
    <t xml:space="preserve">Registre des autorisations d’export des logs hors infrastructure  </t>
  </si>
  <si>
    <t xml:space="preserve">Non-évaluation régulière des fournisseurs de solutions d'archivage  </t>
  </si>
  <si>
    <t xml:space="preserve">Non-respect des engagements contractuels envers les clients et fournisseurs.  </t>
  </si>
  <si>
    <t xml:space="preserve">Réalisation d'audits de conformité des applications mobiles aux standards de sécurité (OWASP Mobile).  </t>
  </si>
  <si>
    <t>Les rôles (développeurs, testeurs, admin) sont-ils distincts ?</t>
  </si>
  <si>
    <t xml:space="preserve">Rapports d’analyse des tendances des activités d’administration  </t>
  </si>
  <si>
    <t xml:space="preserve">Défaillance des processus de récupération d'urgence  </t>
  </si>
  <si>
    <t xml:space="preserve">Détérioration de la qualité des décisions stratégiques par manque de données fiables.  </t>
  </si>
  <si>
    <t xml:space="preserve">Adoption de politiques de destruction sécurisée des données en fin de cycle de vie.  </t>
  </si>
  <si>
    <t>Des conflits d'intérêts dans les équipes sont-ils exclus ?</t>
  </si>
  <si>
    <t xml:space="preserve">Procédures de gestion des logs pour les audits externes  </t>
  </si>
  <si>
    <t xml:space="preserve">Utilisation de protocoles réseau non sécurisés pour l'accès distant  </t>
  </si>
  <si>
    <t xml:space="preserve">Prolifération de données non structurées et difficultés d'exploitation.  </t>
  </si>
  <si>
    <t xml:space="preserve">Déploiement de solutions de détection des menaces internes via l'analyse comportementale des utilisateurs.  </t>
  </si>
  <si>
    <t>Les logs d'accès confirment-ils la séparation des tâches ?</t>
  </si>
  <si>
    <t xml:space="preserve">Documentation des contrôles d’accès aux APIs de journalisation  </t>
  </si>
  <si>
    <t xml:space="preserve">Manque de documentation technique sur l'infrastructure d'archivage  </t>
  </si>
  <si>
    <t xml:space="preserve">Dégradation de l'expérience utilisateur et baisse de productivité.  </t>
  </si>
  <si>
    <t xml:space="preserve">Mise en œuvre de contrôles d'accès temporaires et à granularité fine pour les environnements DevOps.  </t>
  </si>
  <si>
    <t>Un développeur peut-il déployer en production ?</t>
  </si>
  <si>
    <t xml:space="preserve">Contrats de service pour l’analyse automatique des logs  </t>
  </si>
  <si>
    <t xml:space="preserve">Non-respect des exigences de traçabilité des opérations sensibles  </t>
  </si>
  <si>
    <t xml:space="preserve">Complexité accrue dans la gestion des accès et des identités.  </t>
  </si>
  <si>
    <t xml:space="preserve">Création d'un programme de bug bounty pour identifier et corriger les vulnérabilités via des experts externes.  </t>
  </si>
  <si>
    <t>Une procédure de révision trimestrielle des rôles existe-t-elle ?</t>
  </si>
  <si>
    <t xml:space="preserve">Procédures de gestion des logs dans les architectures microservices  </t>
  </si>
  <si>
    <t xml:space="preserve">Incapacité à maintenir la cohérence des données entre systèmes  </t>
  </si>
  <si>
    <t xml:space="preserve">Failles dans la traçabilité des opérations sensibles.  </t>
  </si>
  <si>
    <t xml:space="preserve">Utilisation de services de threat intelligence pour anticiper les attaques ciblant le secteur d'activité.  </t>
  </si>
  <si>
    <t>Les CV et certifications de l'équipe de maintenance sont-ils disponibles ?</t>
  </si>
  <si>
    <t xml:space="preserve">Registre des incidents liés à la disponibilité des logs  </t>
  </si>
  <si>
    <t xml:space="preserve">Exposition à des erreurs de synchronisation des données archivées  </t>
  </si>
  <si>
    <t xml:space="preserve">Incapacité à répondre aux audits réglementaires externes.  </t>
  </si>
  <si>
    <t xml:space="preserve">Déploiement de solutions de sécurité des emails (DMARC, SPF, DKIM) pour limiter les risques de phishing.  </t>
  </si>
  <si>
    <t>Un plan de formation annuel existe-t-il ?</t>
  </si>
  <si>
    <t xml:space="preserve">Rapports de performance des outils de corrélation des logs  </t>
  </si>
  <si>
    <t xml:space="preserve">Défaillance des mécanismes de détection des anomalies en temps réel  </t>
  </si>
  <si>
    <t xml:space="preserve">Risques juridiques liés au non-respect des normes de protection des données.  </t>
  </si>
  <si>
    <t xml:space="preserve">Mise en place de contrôles d'accès physique aux centres de données avec surveillance vidéo 24/7.  </t>
  </si>
  <si>
    <t>Des rapports de performance sur 12 mois existent-ils ?</t>
  </si>
  <si>
    <t xml:space="preserve">Procédures de gestion des logs dans les environnements conteneurisés  </t>
  </si>
  <si>
    <t xml:space="preserve">Absence de stratégie claire pour la migration des données historiques  </t>
  </si>
  <si>
    <t xml:space="preserve">Fragilisation de la continuité d'activité lors de migrations ou mises à jour.  </t>
  </si>
  <si>
    <t xml:space="preserve">Intégration de contrôles de sécurité dans les chaînes d'approvisionnement logicielles (SBOM).  </t>
  </si>
  <si>
    <t>L'équipe résout-elle les incidents critiques ?</t>
  </si>
  <si>
    <t xml:space="preserve">Documentation des mécanismes d’authentification multifacteur pour les logs  </t>
  </si>
  <si>
    <t xml:space="preserve">Utilisation de méthodes d'archivage manuelles sujettes aux erreurs  </t>
  </si>
  <si>
    <t xml:space="preserve">Désynchronisation entre les environnements de développement et de production.  </t>
  </si>
  <si>
    <t xml:space="preserve">Adoption de protocoles de sécurité pour les communications inter-applicatives (API Gateways, chiffrement).  </t>
  </si>
  <si>
    <t>Des procédures de recrutement pour renforcer l'équipe existent-elles ?</t>
  </si>
  <si>
    <t xml:space="preserve">Contrats de support technique pour les systèmes de traçabilité  </t>
  </si>
  <si>
    <t xml:space="preserve">Non-conformité aux exigences sectorielles spécifiques  </t>
  </si>
  <si>
    <t xml:space="preserve">Augmentation des vulnérabilités logicielles par manque de contrôles rigoureux.  </t>
  </si>
  <si>
    <t xml:space="preserve">Réalisation d'audits de conformité des bases de données aux normes de sécurité (PCI DSS, HIPAA).  </t>
  </si>
  <si>
    <t>Un document de procédures de maintenance est-il signé ?</t>
  </si>
  <si>
    <t xml:space="preserve">Procédures de gestion des logs lors des changements réglementaires  </t>
  </si>
  <si>
    <t xml:space="preserve">Manque d'audits internes réguliers sur les pratiques d'archivage  </t>
  </si>
  <si>
    <t xml:space="preserve">Dépassements budgétaires récurrents sur les projets informatiques.  </t>
  </si>
  <si>
    <t xml:space="preserve">Déploiement de solutions de gestion des identités décentralisées (blockchain) pour renforcer la confiance.  </t>
  </si>
  <si>
    <t>Les procédures ont-elles été mises à jour dans les 12 mois ?</t>
  </si>
  <si>
    <t xml:space="preserve">Registre des révisions des seuils d’alerte des systèmes de logs  </t>
  </si>
  <si>
    <t xml:space="preserve">Exposition à des pertes financières dues à des erreurs de restauration  </t>
  </si>
  <si>
    <t xml:space="preserve">Difficultés à mesurer l'efficacité réelle des investissements IT.  </t>
  </si>
  <si>
    <t xml:space="preserve">Mise en œuvre de contrôles de résilience pour les infrastructures critiques via des tests de stress réguliers.  </t>
  </si>
  <si>
    <t>Les logs d'interventions sur 6 mois existent-ils ?</t>
  </si>
  <si>
    <t xml:space="preserve">Rapports d’optimisation des stratégies de journalisation  </t>
  </si>
  <si>
    <t xml:space="preserve">Inadéquation des outils de monitoring des performances d'archivage  </t>
  </si>
  <si>
    <t xml:space="preserve">Exposition aux conflits d'intérêts dans la gestion des fournisseurs.  </t>
  </si>
  <si>
    <t xml:space="preserve">Création d'un plan de formation continu pour maintenir les compétences IT alignées sur les technologies émergentes.  </t>
  </si>
  <si>
    <t>Les procédures sont-elles appliquées lors d'une maintenance simulée ?</t>
  </si>
  <si>
    <t xml:space="preserve">Procédures de gestion des logs dans les architectures serverless  </t>
  </si>
  <si>
    <t xml:space="preserve">Défaillance des contrôles d'accès basés sur les rôles (RBAC)  </t>
  </si>
  <si>
    <t xml:space="preserve">Utilisation de frameworks de gestion des risques (NIST, ISO 31000) pour structurer les évaluations et traitements.  </t>
  </si>
  <si>
    <t>Des indicateurs de performance pour la maintenance existent-ils ?</t>
  </si>
  <si>
    <t xml:space="preserve">Documentation des politiques de conservation des métadonnées  </t>
  </si>
  <si>
    <t xml:space="preserve">Absence de procédures de gestion des incidents liés à l'archivage  </t>
  </si>
  <si>
    <t xml:space="preserve">Perte d'opportunités commerciales due à des systèmes obsolètes.  </t>
  </si>
  <si>
    <t xml:space="preserve">Déploiement de solutions de protection des endpoints contre les exploits zero-day via des mécanismes de sandboxing.  </t>
  </si>
  <si>
    <t>Les logs de déploiement sur 12 mois existent-ils ?</t>
  </si>
  <si>
    <t xml:space="preserve">Contrats de consulting pour l’alignement des logs avec le RGPD  </t>
  </si>
  <si>
    <t xml:space="preserve">Non-respect des délais légaux de conservation des documents  </t>
  </si>
  <si>
    <t xml:space="preserve">Désorganisation des processus métiers par manque d'intégration système.  </t>
  </si>
  <si>
    <t xml:space="preserve">Mise en place de contrôles d'accès aux données sensibles basés sur le contexte (heure, localisation, appareil).  </t>
  </si>
  <si>
    <t>Un calendrier de mise à jour est-il disponible ?</t>
  </si>
  <si>
    <t xml:space="preserve">Procédures de gestion des logs dans les scénarios de transformation digitale  </t>
  </si>
  <si>
    <t xml:space="preserve">Utilisation de supports physiques non sécurisés pour les sauvegardes  </t>
  </si>
  <si>
    <t xml:space="preserve">Fragmentation des données et difficultés d'interopérabilité.  </t>
  </si>
  <si>
    <t xml:space="preserve">Intégration de mécanismes de vérification de l'intégrité des configurations via des outils IaC (Infrastructure as Code).  </t>
  </si>
  <si>
    <t>Des rapports de tests pour chaque version existent-ils ?</t>
  </si>
  <si>
    <t xml:space="preserve">Registre des audits de sécurité des flux de logs  </t>
  </si>
  <si>
    <t xml:space="preserve">Manque de redondance des systèmes de contrôle d'accès  </t>
  </si>
  <si>
    <t xml:space="preserve">Augmentation des délais de traitement des demandes utilisateurs.  </t>
  </si>
  <si>
    <t xml:space="preserve">Adoption de politiques de sécurité pour les environnements conteneurisés (Kubernetes, Docker) avec durcissement.  </t>
  </si>
  <si>
    <t>La réversibilité en cas d'échec de mise à jour est-elle possible ?</t>
  </si>
  <si>
    <t xml:space="preserve">Rapports d’évaluation des risques liés à la centralisation des logs  </t>
  </si>
  <si>
    <t xml:space="preserve">Exposition à des attaques par déni de service ciblant l'archivage  </t>
  </si>
  <si>
    <t xml:space="preserve">Détérioration de la résilience globale de l'infrastructure IT.  </t>
  </si>
  <si>
    <t xml:space="preserve">Réalisation d'audits de sécurité des partenaires commerciaux pour garantir l'alignement avec les standards internes.  </t>
  </si>
  <si>
    <t>Les utilisateurs sont-ils informés des changements ?</t>
  </si>
  <si>
    <t xml:space="preserve">Procédures de gestion des logs dans les écosystèmes IoT  </t>
  </si>
  <si>
    <t xml:space="preserve">Incapacité à garantir l'immutabilité des données archivées  </t>
  </si>
  <si>
    <t xml:space="preserve">Difficultés à anticiper les besoins futurs en capacité technique.  </t>
  </si>
  <si>
    <t xml:space="preserve">Déploiement de solutions de gestion des vulnérabilités des bibliothèques logicielles (SCA, Software Composition Analysis).  </t>
  </si>
  <si>
    <t>Un document de procédures de transfert est-il signé ?</t>
  </si>
  <si>
    <t xml:space="preserve">Documentation des interfaces de supervision des logs en temps réel  </t>
  </si>
  <si>
    <t xml:space="preserve">Défaillance des mécanismes de journalisation des accès  </t>
  </si>
  <si>
    <t xml:space="preserve">Dépendance excessive vis-à-vis de solutions propriétaires ou éditeurs.  </t>
  </si>
  <si>
    <t xml:space="preserve">Mise en œuvre de contrôles de sécurité pour les systèmes OT/ICS afin de prévenir les attaques ciblant les infrastructures critiques.  </t>
  </si>
  <si>
    <t>Un workflow de validation des transferts existe-t-il ?</t>
  </si>
  <si>
    <t xml:space="preserve">Contrats de service pour la détection d’anomalies dans les logs  </t>
  </si>
  <si>
    <t xml:space="preserve">Absence de plan de communication en cas de compromission  </t>
  </si>
  <si>
    <t xml:space="preserve">Limitations dans l'innovation due à une architecture rigide.  </t>
  </si>
  <si>
    <t xml:space="preserve">Création d'un programme de sensibilisation à la sécurité pour tous les employés, incluant des modules e-learning interactifs.  </t>
  </si>
  <si>
    <t>Les logs de transferts entre environnements sur 6 mois existent-ils ?</t>
  </si>
  <si>
    <t xml:space="preserve">Procédures de gestion des logs dans les architectures Big Data  </t>
  </si>
  <si>
    <t xml:space="preserve">Non-conformité aux normes internationales (ISO 27001, etc.)  </t>
  </si>
  <si>
    <t xml:space="preserve">Exposition aux erreurs humaines par absence de contrôles automatisés.  </t>
  </si>
  <si>
    <t xml:space="preserve">Utilisation de contrats de confidentialité et de clauses de cybersécurité dans les accords avec les sous-traitants.  </t>
  </si>
  <si>
    <t>Les erreurs lors d'un transfert simulé sont-elles détectées ?</t>
  </si>
  <si>
    <t xml:space="preserve">Registre des tests de charge des systèmes de journalisation  </t>
  </si>
  <si>
    <t xml:space="preserve">Utilisation de technologies non adaptées aux volumes de données  </t>
  </si>
  <si>
    <t xml:space="preserve">Dégradation de la performance applicative sous charge élevée.  </t>
  </si>
  <si>
    <t xml:space="preserve">Déploiement de solutions de détection des anomalies dans les flux financiers via l'analyse comportementale des transactions.  </t>
  </si>
  <si>
    <t>Des procédures de correction des erreurs de transfert existent-elles ?</t>
  </si>
  <si>
    <t xml:space="preserve">Rapports d’analyse des coûts associés à la gestion des logs  </t>
  </si>
  <si>
    <t xml:space="preserve">Manque de tests d'intrusion sur les systèmes d'archivage  </t>
  </si>
  <si>
    <t xml:space="preserve">Complexité accrue dans la gestion des correctifs et mises à jour.  </t>
  </si>
  <si>
    <t xml:space="preserve">Mise en place de contrôles d'accès aux outils de développement low-code/no-code pour éviter les configurations risquées.  </t>
  </si>
  <si>
    <t>Des manuels utilisateur et technique à jour existent-ils ?</t>
  </si>
  <si>
    <t xml:space="preserve">Procédures de gestion des logs dans les environnements multi-cloud  </t>
  </si>
  <si>
    <t xml:space="preserve">Exposition à des vulnérabilités logicielles non corrigées  </t>
  </si>
  <si>
    <t xml:space="preserve">Perte de données critiques par défaut de sauvegarde fiable.  </t>
  </si>
  <si>
    <t xml:space="preserve">Intégration de mécanismes de protection contre les attaques par ingénierie sociale via des simulations de phishing régulières.  </t>
  </si>
  <si>
    <t>Un référentiel documentaire centralisé est-il utilisé ?</t>
  </si>
  <si>
    <t xml:space="preserve">Documentation des mécanismes de journalisation des actions réseau  </t>
  </si>
  <si>
    <t xml:space="preserve">Inadéquation des formations techniques du personnel IT  </t>
  </si>
  <si>
    <t xml:space="preserve">Incapacité à restaurer les opérations dans les délais impartis.  </t>
  </si>
  <si>
    <t xml:space="preserve">Adoption de normes de chiffrement post-quantique pour anticiper les futures menaces cryptographiques.  </t>
  </si>
  <si>
    <t>Les logs de consultation de la documentation existent-ils ?</t>
  </si>
  <si>
    <t xml:space="preserve">Contrats de formation avancée sur les outils d’analyse de logs  </t>
  </si>
  <si>
    <t xml:space="preserve">Défaillance des processus de validation des sauvegardes  </t>
  </si>
  <si>
    <t xml:space="preserve">Désalignement entre les SLA conclus et les réalités opérationnelles.  </t>
  </si>
  <si>
    <t xml:space="preserve">Réalisation d'audits de sécurité des systèmes de gestion des identités (IAM) pour garantir leur robustesse.  </t>
  </si>
  <si>
    <t>Les utilisateurs accèdent-ils à la documentation ?</t>
  </si>
  <si>
    <t xml:space="preserve">Procédures de gestion des logs lors des audits fiscaux  </t>
  </si>
  <si>
    <t xml:space="preserve">Absence de stratégie de sortie pour les supports de stockage obsolètes  </t>
  </si>
  <si>
    <t xml:space="preserve">Faible adoption des outils par les utilisateurs finaux.  </t>
  </si>
  <si>
    <t xml:space="preserve">Déploiement de solutions de surveillance des activités des robots logiciels (RPA) pour prévenir les dérives.  </t>
  </si>
  <si>
    <t>Une mise à jour trimestrielle de la documentation est-elle prévue ?</t>
  </si>
  <si>
    <t xml:space="preserve">Registre des modifications des politiques de filtrage des logs  </t>
  </si>
  <si>
    <t xml:space="preserve">Non-respect des accords de niveau de service (SLA) avec les clients  </t>
  </si>
  <si>
    <t xml:space="preserve">Prolifération de solutions parallèles non sécurisées.  </t>
  </si>
  <si>
    <t xml:space="preserve">Mise en œuvre de contrôles de sécurité pour les environnements multi-cloud, incluant une gestion centralisée des politiques.  </t>
  </si>
  <si>
    <t>Les logs de corrections urgentes sur 12 mois existent-ils ?</t>
  </si>
  <si>
    <t xml:space="preserve">Rapports d’évaluation de la couverture des besoins métiers par les logs  </t>
  </si>
  <si>
    <t xml:space="preserve">Utilisation de méthodes de chiffrement obsolètes ou vulnérables  </t>
  </si>
  <si>
    <t xml:space="preserve">Détection tardive des incidents de sécurité.  </t>
  </si>
  <si>
    <t xml:space="preserve">Création d'un référentiel de bonnes pratiques pour la sécurisation des APIs, aligné sur les standards OWASP API Security.  </t>
  </si>
  <si>
    <t>Un workflow de validation des corrections existe-t-il ?</t>
  </si>
  <si>
    <t xml:space="preserve">Procédures de gestion des logs dans les architectures orientées événements  </t>
  </si>
  <si>
    <t xml:space="preserve">Manque de supervision des tiers accédant aux données archivées  </t>
  </si>
  <si>
    <t xml:space="preserve">Non-respect des obligations de reporting réglementaire.  </t>
  </si>
  <si>
    <t xml:space="preserve">Utilisation de solutions de gestion des risques liés à l'IA pour détecter les biais et les utilisations malveillantes.  </t>
  </si>
  <si>
    <t>Des rapports de tests post-correction existent-ils ?</t>
  </si>
  <si>
    <t xml:space="preserve">Documentation des protocoles de chiffrement des flux de logs  </t>
  </si>
  <si>
    <t xml:space="preserve">Exposition à des litiges contractuels en cas de perte de données  </t>
  </si>
  <si>
    <t xml:space="preserve">Désorganisation des workflows de validation hiérarchique.  </t>
  </si>
  <si>
    <t xml:space="preserve">Déploiement de mécanismes de validation des données d'entraînement des modèles d'IA pour éviter les manipulations.  </t>
  </si>
  <si>
    <t>La réversibilité en cas d'échec de correction est-elle possible ?</t>
  </si>
  <si>
    <t xml:space="preserve">Contrats de maintenance des appliances de journalisation  </t>
  </si>
  <si>
    <t xml:space="preserve">Incapacité à prouver la conformité lors d'audits externes  </t>
  </si>
  <si>
    <t xml:space="preserve">Augmentation des coûts de conformité et d'audit externe.  </t>
  </si>
  <si>
    <t xml:space="preserve">Mise en place de contrôles d'accès aux données d'entraînement et de production des systèmes d'IA.  </t>
  </si>
  <si>
    <t>Les utilisateurs sont-ils informés des corrections ?</t>
  </si>
  <si>
    <t xml:space="preserve">Procédures de gestion des logs dans les scénarios de mobilité  </t>
  </si>
  <si>
    <t xml:space="preserve">Défaillance des contrôles d'intégrité des métadonnées associées  </t>
  </si>
  <si>
    <t xml:space="preserve">Dégradation de l'agilité organisationnelle face aux changements.  </t>
  </si>
  <si>
    <t xml:space="preserve">Intégration de clauses éthiques dans les contrats d'utilisation de l'IA pour garantir la transparence et la redevabilité.  </t>
  </si>
  <si>
    <t>Les logs de contrôle des programmes sur 6 mois existent-ils ?</t>
  </si>
  <si>
    <t xml:space="preserve">Registre des tests d’intégrité des données de logs  </t>
  </si>
  <si>
    <t xml:space="preserve">Absence de procédures de gestion des versions des données archivées  </t>
  </si>
  <si>
    <t xml:space="preserve">Perte d'avantage concurrentiel par retard technologique.  </t>
  </si>
  <si>
    <t xml:space="preserve">Adoption de protocoles de sécurité pour les dispositifs IoT médicaux, incluant des mises à jour critiques automatiques.  </t>
  </si>
  <si>
    <t>Un système de versioning (Git) est-il utilisé ?</t>
  </si>
  <si>
    <t xml:space="preserve">Rapports d’analyse des schémas de journalisation  </t>
  </si>
  <si>
    <t xml:space="preserve">Non-respect des bonnes pratiques de gouvernance des données  </t>
  </si>
  <si>
    <t xml:space="preserve">Exposition aux amendes pour non-conformité aux normes sectorielles.  </t>
  </si>
  <si>
    <t xml:space="preserve">Réalisation d'audits de conformité des systèmes de vote électronique aux normes de sécurité et de transparence.  </t>
  </si>
  <si>
    <t>Des rapports de conformité des programmes existent-ils ?</t>
  </si>
  <si>
    <t xml:space="preserve">Procédures de gestion des logs dans les environnements DevOps  </t>
  </si>
  <si>
    <t xml:space="preserve">Utilisation de configurations par défaut non sécurisées  </t>
  </si>
  <si>
    <t xml:space="preserve">Détérioration de la collaboration inter-services.  </t>
  </si>
  <si>
    <t xml:space="preserve">Déploiement de solutions de protection des données sensibles dans les environnements edge computing.  </t>
  </si>
  <si>
    <t xml:space="preserve">Documentation des politiques de journalisation des actions Kubernetes  </t>
  </si>
  <si>
    <t xml:space="preserve">Manque de documentation opérationnelle pour les processus clés  </t>
  </si>
  <si>
    <t xml:space="preserve">Complexité accrue dans la gestion des droits d'accès historiques.  </t>
  </si>
  <si>
    <t xml:space="preserve">Mise en œuvre de contrôles de sécurité pour les systèmes de réalité augmentée/virtuelle (AR/VR) en entreprise.  </t>
  </si>
  <si>
    <t>Des procédures de correction des anomalies existent-elles ?</t>
  </si>
  <si>
    <t xml:space="preserve">Contrats de service pour la gestion des logs des applications SaaS  </t>
  </si>
  <si>
    <t xml:space="preserve">Exposition à des erreurs de manipulation lors des opérations courantes  </t>
  </si>
  <si>
    <t xml:space="preserve">Incapacité à capitaliser sur les données pour l'analyse prédictive.  </t>
  </si>
  <si>
    <t xml:space="preserve">Création d'un plan de gestion des risques liés aux deepfakes et autres technologies de synthèse médiatique.  </t>
  </si>
  <si>
    <t>Les logs d'exécution des travaux batch sur 6 mois existent-ils ?</t>
  </si>
  <si>
    <t xml:space="preserve">Procédures de gestion des logs dans les architectures Zero Trust  </t>
  </si>
  <si>
    <t xml:space="preserve">Inadéquation des capacités de stockage face à la croissance des données  </t>
  </si>
  <si>
    <t xml:space="preserve">Déséquilibre entre les investissements IT et les retours mesurables.  </t>
  </si>
  <si>
    <t xml:space="preserve">Utilisation de contrats intelligents (smart contracts) sécurisés pour automatiser les accords avec vérification cryptographique.  </t>
  </si>
  <si>
    <t>Un calendrier des travaux batch existe-t-il ?</t>
  </si>
  <si>
    <t xml:space="preserve">Registre des audits de conformité des logs aux normes sectorielles  </t>
  </si>
  <si>
    <t xml:space="preserve">Défaillance des mécanismes de détection des accès anormaux  </t>
  </si>
  <si>
    <t xml:space="preserve">Fragilisation de la position contractuelle avec les prestataires.  </t>
  </si>
  <si>
    <t xml:space="preserve">Déploiement de solutions de détection des fuites de données dans les environnements de big data.  </t>
  </si>
  <si>
    <t>Des rapports de performance des travaux batch existent-ils ?</t>
  </si>
  <si>
    <t xml:space="preserve">Rapports d’optimisation des performances des systèmes de logs  </t>
  </si>
  <si>
    <t xml:space="preserve">Absence de revue post-incident pour améliorer les processus  </t>
  </si>
  <si>
    <t xml:space="preserve">Détérioration de la qualité des services supports aux utilisateurs.  </t>
  </si>
  <si>
    <t xml:space="preserve">Mise en place de contrôles d'accès granulaires aux entrepôts de données (data warehouses) et lacs de données (data lakes).  </t>
  </si>
  <si>
    <t>Les erreurs lors d'une exécution simulée sont-elles détectées ?</t>
  </si>
  <si>
    <t xml:space="preserve">Procédures de gestion des logs dans les environnements Edge Computing  </t>
  </si>
  <si>
    <t xml:space="preserve">Non-conformité aux exigences de confidentialité des partenaires  </t>
  </si>
  <si>
    <t xml:space="preserve">Augmentation des litiges liés à la gestion des données personnelles.  </t>
  </si>
  <si>
    <t xml:space="preserve">Intégration de mécanismes de chiffrement homomorphique pour les analyses de données sensibles sans exposition.  </t>
  </si>
  <si>
    <t>Des procédures de correction des erreurs existent-elles ?</t>
  </si>
  <si>
    <t xml:space="preserve">Documentation des mécanismes de journalisation des transactions blockchain  </t>
  </si>
  <si>
    <t xml:space="preserve">Utilisation de protocoles non authentifiés pour les transferts de données  </t>
  </si>
  <si>
    <t xml:space="preserve">Perte de maîtrise des actifs informationnels stratégiques.  </t>
  </si>
  <si>
    <t xml:space="preserve">Adoption de politiques de sécurité pour les systèmes de gestion des identités décentralisées (SSI).  </t>
  </si>
  <si>
    <t>Un document de procédures de contrôle des batch est-il signé ?</t>
  </si>
  <si>
    <t xml:space="preserve">Contrats de partenariat pour l’analyse prédictive des logs  </t>
  </si>
  <si>
    <t xml:space="preserve">Manque de coordination entre les équipes de sécurité et d'archivage  </t>
  </si>
  <si>
    <t xml:space="preserve">Désalignement entre les architectures techniques et les besoins métiers.  </t>
  </si>
  <si>
    <t xml:space="preserve">Réalisation d'audits de sécurité des protocoles de communication quantique pour anticiper les futures menaces.  </t>
  </si>
  <si>
    <t>Un système d'archivage sécurisé est-il en place ?</t>
  </si>
  <si>
    <t xml:space="preserve">Procédures de gestion des logs dans les architectures IA/ML  </t>
  </si>
  <si>
    <t xml:space="preserve">Exposition à des sanctions réglementaires pour manquements répétés  </t>
  </si>
  <si>
    <t xml:space="preserve">Exposition aux erreurs de configuration des équipements réseau.  </t>
  </si>
  <si>
    <t xml:space="preserve">Déploiement de solutions de protection des infrastructures critiques contre les attaques physiques et logiques.  </t>
  </si>
  <si>
    <t>Les logs d'archivages sur 6 mois existent-ils ?</t>
  </si>
  <si>
    <t xml:space="preserve">Registre des tests de résistance des systèmes de journalisation  </t>
  </si>
  <si>
    <t xml:space="preserve">Incapacité à maintenir la disponibilité des données durant les audits  </t>
  </si>
  <si>
    <t xml:space="preserve">Détérioration de la cohérence des référentiels de données.  </t>
  </si>
  <si>
    <t xml:space="preserve">Mise en œuvre de contrôles de résilience pour les systèmes de gestion de l'énergie (smart grids).  </t>
  </si>
  <si>
    <t>Les données archivées sont-elles restaurables ?</t>
  </si>
  <si>
    <t xml:space="preserve">Rapports d’évaluation de la valeur métier des données de logs  </t>
  </si>
  <si>
    <t xml:space="preserve">Défaillance des processus de gestion des clés de chiffrement  </t>
  </si>
  <si>
    <t xml:space="preserve">Incapacité à maintenir un inventaire précis des actifs IT.  </t>
  </si>
  <si>
    <t xml:space="preserve">Création d'un cadre de gouvernance pour les données générées par les objets connectés (IoT Governance).  </t>
  </si>
  <si>
    <t>Une procédure de suppression sécurisée des données obsolètes existe-t-elle ?</t>
  </si>
  <si>
    <t xml:space="preserve">Procédures de gestion des logs dans les scénarios de télétravail  </t>
  </si>
  <si>
    <t xml:space="preserve">Absence de tests de résistance aux scénarios catastrophes complexes  </t>
  </si>
  <si>
    <t xml:space="preserve">Complexité accrue dans la gestion des licences logicielles.  </t>
  </si>
  <si>
    <t>Utilisation de normes de sécurité pour les systèmes de transport autonomes, incluant des tests de pénétration réguliers</t>
  </si>
  <si>
    <t>Les logs de gestion d'incidents sur 12 mois sont-ils disponibles ?</t>
  </si>
  <si>
    <t xml:space="preserve">Documentation des politiques de journalisation des accès VPN  </t>
  </si>
  <si>
    <t xml:space="preserve">Non-respect des engagements environnementaux dans la gestion des supports  </t>
  </si>
  <si>
    <t xml:space="preserve">Dégradation de la transparence dans les processus décisionnels.  </t>
  </si>
  <si>
    <t xml:space="preserve">Implémenter une politique de gestion des déchets électroniques alignée sur les normes environnementales et documenter les processus pour renforcer la traçabilité.  </t>
  </si>
  <si>
    <t>Un plan de gestion des incidents est-il établi ?</t>
  </si>
  <si>
    <t xml:space="preserve">Contrats de service pour la surveillance des logs des terminaux mobiles  </t>
  </si>
  <si>
    <t xml:space="preserve">Utilisation de solutions non évolutives pour l'archivage à long terme  </t>
  </si>
  <si>
    <t xml:space="preserve">Faible résilience face aux attaques sophistiquées.  </t>
  </si>
  <si>
    <t xml:space="preserve">Établir des indicateurs de performance clairs pour mesurer l'efficacité des contrôles internes et communiquer régulièrement les résultats aux parties prenantes.  </t>
  </si>
  <si>
    <t>Des rapports de résolution d'incidents critiques existent-ils ?</t>
  </si>
  <si>
    <t xml:space="preserve">Procédures de gestion des logs dans les architectures 5G  </t>
  </si>
  <si>
    <t xml:space="preserve">Manque de visibilité sur le cycle de vie complet des données archivées  </t>
  </si>
  <si>
    <t xml:space="preserve">Perte d'intégrité des informations critiques lors des transferts.  </t>
  </si>
  <si>
    <t xml:space="preserve">Renforcer les mécanismes de validation des données critiques pour garantir leur intégrité et leur cohérence dans les rapports décisionnels.  </t>
  </si>
  <si>
    <t>La réponse à un incident simulé est-elle satisfaisante ?</t>
  </si>
  <si>
    <t xml:space="preserve">Registre des analyses forensiques basées sur les logs  </t>
  </si>
  <si>
    <t xml:space="preserve">Exposition à des erreurs de planification des ressources allouées  </t>
  </si>
  <si>
    <t xml:space="preserve">Désorganisation des processus de gestion des incidents majeurs.  </t>
  </si>
  <si>
    <t xml:space="preserve">Mettre en place des contrôles automatisés de détection d'anomalies dans les flux de données pour prévenir les erreurs de traitement.  </t>
  </si>
  <si>
    <t>Les parties prenantes sont-elles informées des incidents ?</t>
  </si>
  <si>
    <t xml:space="preserve">Rapports d’évaluation de l’adéquation des logs aux besoins juridiques  </t>
  </si>
  <si>
    <t xml:space="preserve">Inadéquation des outils d'analyse des données archivées  </t>
  </si>
  <si>
    <t xml:space="preserve">Augmentation des conflits fonctionnels entre modules applicatifs.  </t>
  </si>
  <si>
    <t xml:space="preserve">Auditer régulièrement les matrices des droits d'accès pour s'assurer de leur conformité aux politiques de sécurité et aux besoins opérationnels.  </t>
  </si>
  <si>
    <t>Les manuels d'exploitation sont-ils à jour ?</t>
  </si>
  <si>
    <t xml:space="preserve">Procédures de gestion des logs dans les environnements hyperconvergés  </t>
  </si>
  <si>
    <t xml:space="preserve">Défaillance des mécanismes de réplication inter-sites  </t>
  </si>
  <si>
    <t xml:space="preserve">Incapacité à garantir l'authenticité des transactions électroniques.  </t>
  </si>
  <si>
    <t xml:space="preserve">Déployer des outils de surveillance continue des journaux système pour identifier rapidement les activités suspectes ou non autorisées.  </t>
  </si>
  <si>
    <t>Un référentiel documentaire centralisé est-il maintenu ?</t>
  </si>
  <si>
    <t xml:space="preserve">Documentation des mécanismes de journalisation des flux API  </t>
  </si>
  <si>
    <t xml:space="preserve">Absence de politique claire pour la destruction des données expirées  </t>
  </si>
  <si>
    <t xml:space="preserve">Détérioration de la crédibilité des rapports de gestion.  </t>
  </si>
  <si>
    <t xml:space="preserve">Réaliser des tests réguliers de restauration des sauvegardes pour valider leur intégrité et leur disponibilité en cas d'incident.  </t>
  </si>
  <si>
    <t>Les équipes consultent-elles régulièrement la documentation ?</t>
  </si>
  <si>
    <t xml:space="preserve">Contrats de consulting pour l’automatisation des analyses de logs  </t>
  </si>
  <si>
    <t xml:space="preserve">Non-conformité aux attentes des parties prenantes en matière de transparence  </t>
  </si>
  <si>
    <t xml:space="preserve">Exposition aux perturbations opérationnelles lors des mises à jour.  </t>
  </si>
  <si>
    <t xml:space="preserve">Formaliser une procédure de gestion des changements incluant une analyse d'impact et une validation hiérarchique avant déploiement.  </t>
  </si>
  <si>
    <t>Une mise à jour trimestrielle de la documentation est-elle effectuée ?</t>
  </si>
  <si>
    <t>Procédures de gestion des logs dans les architectures quantiques</t>
  </si>
  <si>
    <t xml:space="preserve">Utilisation de formats de données propriétaires non interopérables  </t>
  </si>
  <si>
    <t xml:space="preserve">Complexité accrue dans l'administration des bases de données.  </t>
  </si>
  <si>
    <t xml:space="preserve">Instaurer des revues périodiques des configurations de sécurité des équipements réseau pour prévenir les vulnérabilités.  </t>
  </si>
  <si>
    <t>Un SLA signé est-il en place ?</t>
  </si>
  <si>
    <t xml:space="preserve">Contrat de maintenance ou d’assistance pour les applications du domaine d’audit  </t>
  </si>
  <si>
    <t xml:space="preserve">Manque de procédures de gestion des conflits d'accès aux archives  </t>
  </si>
  <si>
    <t xml:space="preserve">Dégradation de la performance des interfaces utilisateurs.  </t>
  </si>
  <si>
    <t xml:space="preserve">Développer un plan de formation continu sur les bonnes pratiques de sécurité à destination des utilisateurs et administrateurs.  </t>
  </si>
  <si>
    <t>Le SLA a-t-il été mis à jour dans les 12 mois ?</t>
  </si>
  <si>
    <t xml:space="preserve">Liste et le poids financier des principaux marchés SI en cours  </t>
  </si>
  <si>
    <t xml:space="preserve">Exposition à des pertes de compétitivité due à l'indisponibilité des données  </t>
  </si>
  <si>
    <t xml:space="preserve">Perte de synchronisation entre les systèmes interconnectés.  </t>
  </si>
  <si>
    <t xml:space="preserve">Intégrer des clauses contractuelles exigeant la conformité environnementale et la traçabilité des supports dans les accords avec les fournisseurs.  </t>
  </si>
  <si>
    <t>Les performances respectent-elles le SLA ?</t>
  </si>
  <si>
    <t xml:space="preserve">Comptes rendus des comités ou groupes de travail (GT) consacrés pour tout ou partie aux SI  </t>
  </si>
  <si>
    <t xml:space="preserve">Incapacité à répondre aux demandes réglementaires de restitution  </t>
  </si>
  <si>
    <t xml:space="preserve">Désalignement entre les compétences des équipes et les technologies employées.  </t>
  </si>
  <si>
    <t xml:space="preserve">Créer un comité de gouvernance TI pour superviser l'alignement stratégique entre les investissements technologiques et les objectifs métiers.  </t>
  </si>
  <si>
    <t>Des actions sont-elles prises en cas de non-respect du SLA ?</t>
  </si>
  <si>
    <t xml:space="preserve">Défaillance des contrôles de qualité des processus automatisés  </t>
  </si>
  <si>
    <t xml:space="preserve">Incapacité à répondre aux exigences d'auditabilité des processus.  </t>
  </si>
  <si>
    <t xml:space="preserve">Automatiser la génération de rapports d'audit intermédiaires pour améliorer la réactivité dans la prise de décision corrective.  </t>
  </si>
  <si>
    <t>Le SLA est-il renégocié régulièrement ?</t>
  </si>
  <si>
    <t xml:space="preserve">Plan de continuité des activités  </t>
  </si>
  <si>
    <t xml:space="preserve">Absence de stratégie de migration vers des technologies modernes  </t>
  </si>
  <si>
    <t xml:space="preserve">Augmentation des coûts de formation et d'adaptation des utilisateurs.  </t>
  </si>
  <si>
    <t xml:space="preserve">Définir des seuils d'alerte sur les indicateurs clés de performance (KPI) liés à la disponibilité et à la sécurité des systèmes.  </t>
  </si>
  <si>
    <t xml:space="preserve">Plan de reprise des activités  </t>
  </si>
  <si>
    <t xml:space="preserve">Non-respect des normes internes de performance des systèmes  </t>
  </si>
  <si>
    <t xml:space="preserve">Exposition aux erreurs de paramétrage des outils de monitoring.  </t>
  </si>
  <si>
    <t xml:space="preserve">Consolider les données historiques dans un référentiel unique avec des mécanismes de contrôle d'accès granulaires.  </t>
  </si>
  <si>
    <t>Des KPI sont-ils définis pour mesurer les performances ?</t>
  </si>
  <si>
    <t xml:space="preserve">Politiques SI et de sécurité SI de l’organisation  </t>
  </si>
  <si>
    <t xml:space="preserve">Utilisation de méthodes d'authentification obsolètes pour les accès  </t>
  </si>
  <si>
    <t xml:space="preserve">Détérioration de la qualité des données analytiques.  </t>
  </si>
  <si>
    <t xml:space="preserve">Mettre en œuvre une solution de chiffrement des données sensibles stockées et en transit pour renforcer la confidentialité.  </t>
  </si>
  <si>
    <t>Les engagements de service sont-ils suivis dans les logs ?</t>
  </si>
  <si>
    <t xml:space="preserve">Matrice des autorisations/droits d’accès pour chaque application du domaine d’audit  </t>
  </si>
  <si>
    <t xml:space="preserve">Manque de supervision des activités des prestataires externes  </t>
  </si>
  <si>
    <t xml:space="preserve">Faible réactivité face aux évolutions réglementaires.  </t>
  </si>
  <si>
    <t xml:space="preserve">Réaliser des audits de conformité réguliers pour vérifier l'adéquation des pratiques aux réglementations sectorielles.  </t>
  </si>
  <si>
    <t>Des mesures sont-elles prises en cas de dégradation de service ?</t>
  </si>
  <si>
    <t xml:space="preserve">Procédures encadrant la gestion des incidents survenus en lien avec les applications du domaine d’audit  </t>
  </si>
  <si>
    <t xml:space="preserve">Exposition à des interruptions prolongées des services métiers  </t>
  </si>
  <si>
    <t xml:space="preserve">Perte de contrôle sur les environnements virtualisés.  </t>
  </si>
  <si>
    <t xml:space="preserve">Instaurer une procédure de révocation immédiate des droits d'accès en cas de départ ou de changement de fonction du personnel.  </t>
  </si>
  <si>
    <t>Une démarche d'amélioration continue est-elle mise en œuvre ?</t>
  </si>
  <si>
    <t xml:space="preserve">Inventaires des licences  </t>
  </si>
  <si>
    <t xml:space="preserve">Inadéquation des mécanismes de reporting aux instances dirigeantes  </t>
  </si>
  <si>
    <t xml:space="preserve">Désorganisation des stratégies de sortie des technologies obsolètes.  </t>
  </si>
  <si>
    <t xml:space="preserve">Déployer des outils de détection d'intrusions (IDS/IPS) pour surveiller les activités réseau anormales en temps réel.  </t>
  </si>
  <si>
    <t>Les tableaux de bord sont-ils régulièrement mis à jour ?</t>
  </si>
  <si>
    <t xml:space="preserve">Défaillance des processus de gestion des métadonnées associées  </t>
  </si>
  <si>
    <t xml:space="preserve">Complexité accrue dans la gestion des droits d'accès temporaires.  </t>
  </si>
  <si>
    <t xml:space="preserve">Standardiser les processus de gestion des incidents pour réduire les délais de résolution et améliorer la documentation post-incident.  </t>
  </si>
  <si>
    <t>Des KPI pertinents sont-ils affichés sur les tableaux de bord ?</t>
  </si>
  <si>
    <t xml:space="preserve">Bilan de la satisfaction des utilisateurs  </t>
  </si>
  <si>
    <t xml:space="preserve">Absence de plan de continuité aligné sur les besoins métiers  </t>
  </si>
  <si>
    <t xml:space="preserve">Incapacité à maintenir un niveau de service homogène.  </t>
  </si>
  <si>
    <t xml:space="preserve">Élaborer un plan de continuité d'activité (PCA) testé annuellement pour garantir la résilience opérationnelle face aux sinistres.  </t>
  </si>
  <si>
    <t>Les logs de consultation des tableaux de bord existent-ils ?</t>
  </si>
  <si>
    <t xml:space="preserve">Plan de formation  </t>
  </si>
  <si>
    <t xml:space="preserve">Non-conformité aux exigences de résilience opérationnelle  </t>
  </si>
  <si>
    <t xml:space="preserve">Dégradation de l'efficacité des mécanismes de supervision.  </t>
  </si>
  <si>
    <t xml:space="preserve">Renforcer les contrôles d'accès physique aux salles serveurs via des systèmes biométriques et des journaux d'entrée/sortie.  </t>
  </si>
  <si>
    <t>Les alertes de dégradation de service déclenchent-elles des actions ?</t>
  </si>
  <si>
    <t xml:space="preserve">Planning de formation avec liste des personnes formées  </t>
  </si>
  <si>
    <t xml:space="preserve">Utilisation de procédures manuelles augmentant les risques d'erreur  </t>
  </si>
  <si>
    <t xml:space="preserve">Exposition aux interruptions de service par défaut de redondance.  </t>
  </si>
  <si>
    <t xml:space="preserve">Mettre à jour les politiques de conservation des données pour respecter les exigences légales et limiter les risques de non-conformité.  </t>
  </si>
  <si>
    <t>Les résultats sont-ils communiqués aux parties prenantes ?</t>
  </si>
  <si>
    <t xml:space="preserve">Schéma/ diagramme d’interaction des applications informatiques métiers  </t>
  </si>
  <si>
    <t xml:space="preserve">Manque d'intégration des systèmes d'archivage avec les outils métiers  </t>
  </si>
  <si>
    <t xml:space="preserve">Détérioration de la cohérence des politiques de sécurité.  </t>
  </si>
  <si>
    <t xml:space="preserve">Instaurer des revues indépendantes des architectures techniques pour identifier les vulnérabilités structurelles.  </t>
  </si>
  <si>
    <t>Les logs de sauvegarde sur 6 mois sont-ils disponibles ?</t>
  </si>
  <si>
    <t xml:space="preserve">Manuel des procédures de la DSI  </t>
  </si>
  <si>
    <t xml:space="preserve">Exposition à des coûts imprévus liés à la récupération de données  </t>
  </si>
  <si>
    <t xml:space="preserve">Faible capacité à détecter les activités frauduleuses internes.  </t>
  </si>
  <si>
    <t xml:space="preserve">Intégrer des analyses de risques spécifiques aux projets d'externalisation pour anticiper les dépendances critiques.  </t>
  </si>
  <si>
    <t>Un PRA est-il formalisé et à jour ?</t>
  </si>
  <si>
    <t xml:space="preserve">Manuel des procédures des divisions en charge du domaine d’audit  </t>
  </si>
  <si>
    <t xml:space="preserve">Incapacité à maintenir la cohérence entre les environnements de test et production  </t>
  </si>
  <si>
    <t xml:space="preserve">Perte de flexibilité dans l'intégration de nouvelles solutions.  </t>
  </si>
  <si>
    <t xml:space="preserve">Déployer des solutions de gestion des identités et des accès (IAM) avec authentification multifacteur pour les comptes privilégiés.  </t>
  </si>
  <si>
    <t>Des tests de restauration sont-ils régulièrement effectués ?</t>
  </si>
  <si>
    <t xml:space="preserve">Documents de spécifications techniques signés  </t>
  </si>
  <si>
    <t xml:space="preserve">Défaillance des mécanismes de contrôle d'accès hiérarchiques  </t>
  </si>
  <si>
    <t xml:space="preserve">Désalignement entre les procédures documentées et les pratiques réelles.  </t>
  </si>
  <si>
    <t xml:space="preserve">Créer un référentiel centralisé des actifs informatiques incluant leur cycle de vie et leur criticité opérationnelle.  </t>
  </si>
  <si>
    <t>La restauration après sinistre simulé fonctionne-t-elle ?</t>
  </si>
  <si>
    <t xml:space="preserve">Absence de revue des autorisations d'accès aux données sensibles  </t>
  </si>
  <si>
    <t xml:space="preserve">Augmentation des risques liés à l'externalisation des services critiques.  </t>
  </si>
  <si>
    <t xml:space="preserve">Réaliser des tests de pénétration périodiques pour évaluer l'efficacité des mesures de sécurité applicatives.  </t>
  </si>
  <si>
    <t>Le PRA est-il mis à jour après chaque test ?</t>
  </si>
  <si>
    <t xml:space="preserve">Manuel de déploiement  </t>
  </si>
  <si>
    <t xml:space="preserve">Non-respect des exigences de traçabilité des accès aux archives  </t>
  </si>
  <si>
    <t xml:space="preserve">Incapacité à garantir la conformité des développements spécifiques.  </t>
  </si>
  <si>
    <t xml:space="preserve">Documenter les flux de données entre systèmes internes et externes pour améliorer la transparence et la conformité.  </t>
  </si>
  <si>
    <t>Un système de sauvegarde automatisé est-il opérationnel ?</t>
  </si>
  <si>
    <t xml:space="preserve">Logs d’accès aux bibliothèques sur 60 jours  </t>
  </si>
  <si>
    <t xml:space="preserve">Utilisation de solutions non adaptées aux spécificités sectorielles  </t>
  </si>
  <si>
    <t xml:space="preserve">Détérioration de la maintenabilité du code applicatif.  </t>
  </si>
  <si>
    <t xml:space="preserve">Instaurer des contrôles de qualité automatisés dans les processus de développement logiciel pour réduire les erreurs de codage.  </t>
  </si>
  <si>
    <t>Les sauvegardes sont-elles testées régulièrement ?</t>
  </si>
  <si>
    <t xml:space="preserve">Politique de séparation des environnements (dev/test/prod)  </t>
  </si>
  <si>
    <t xml:space="preserve">Manque de sensibilisation aux risques liés à la gestion des sauvegardes  </t>
  </si>
  <si>
    <t xml:space="preserve">Exposition aux vulnérabilités des bibliothèques tierces.  </t>
  </si>
  <si>
    <t xml:space="preserve">Mettre en place des mécanismes de surveillance des performances des fournisseurs cloud pour garantir le respect des SLA.  </t>
  </si>
  <si>
    <t>La restauration des données après sinistre est-elle validée ?</t>
  </si>
  <si>
    <t xml:space="preserve">Exposition à des erreurs de configuration des pare-feux applicatifs  </t>
  </si>
  <si>
    <t xml:space="preserve">Complexité accrue dans la gestion des correctifs de sécurité.  </t>
  </si>
  <si>
    <t xml:space="preserve">Développer une stratégie de gestion des vulnérabilités incluant une priorisation basée sur la criticité des actifs.  </t>
  </si>
  <si>
    <t>Des procédures de contrôle qualité des sauvegardes existent-elles ?</t>
  </si>
  <si>
    <t xml:space="preserve">Contrats avec les fournisseurs incluant des SLA  </t>
  </si>
  <si>
    <t xml:space="preserve">Inadéquation des protocoles de sécurité pour les accès distants  </t>
  </si>
  <si>
    <t xml:space="preserve">Dégradation de la traçabilité des modifications logicielles.  </t>
  </si>
  <si>
    <t xml:space="preserve">Renforcer les procédures de validation des sauvegardes via des tests de restauration partiels et complets.  </t>
  </si>
  <si>
    <t>Un plan de secours signé est-il disponible ?</t>
  </si>
  <si>
    <t xml:space="preserve">Rapports de performance du support technique  </t>
  </si>
  <si>
    <t xml:space="preserve">Défaillance des processus de gestion des identités et accès (IAM)  </t>
  </si>
  <si>
    <t xml:space="preserve">Perte de cohérence dans les stratégies de chiffrement des données.  </t>
  </si>
  <si>
    <t xml:space="preserve">Établir des protocoles de communication sécurisés pour les échanges de données avec les partenaires externes.  </t>
  </si>
  <si>
    <t>Le plan a-t-il été mis à jour dans les 12 mois ?</t>
  </si>
  <si>
    <t xml:space="preserve">Calendrier de mise à jour des versions  </t>
  </si>
  <si>
    <t xml:space="preserve">Absence de documentation des incidents passés et des correctifs  </t>
  </si>
  <si>
    <t xml:space="preserve">Désorganisation des processus de gestion des identités.  </t>
  </si>
  <si>
    <t xml:space="preserve">Auditer régulièrement les configurations des pare-feux et routeurs pour prévenir les accès non autorisés.  </t>
  </si>
  <si>
    <t>Des tests du plan de secours sont-ils réalisés ?</t>
  </si>
  <si>
    <t xml:space="preserve">Rapports de tests de restauration  </t>
  </si>
  <si>
    <t xml:space="preserve">Non-conformité aux bonnes pratiques de gestion des risques informatiques  </t>
  </si>
  <si>
    <t xml:space="preserve">Incapacité à assurer une journalisation fiable des événements.  </t>
  </si>
  <si>
    <t xml:space="preserve">Instaurer des formations obligatoires sur la protection des données personnelles pour les employés en contact avec des informations sensibles.  </t>
  </si>
  <si>
    <t>La réponse à un sinistre simulé est-elle efficace ?</t>
  </si>
  <si>
    <t xml:space="preserve">Politique de sécurité signée  </t>
  </si>
  <si>
    <t xml:space="preserve">Utilisation de méthodes non standardisées pour l'archivage  </t>
  </si>
  <si>
    <t xml:space="preserve">Augmentation des risques de non-conformité aux standards internationaux.  </t>
  </si>
  <si>
    <t xml:space="preserve">Déployer des outils de monitoring des performances applicatives pour détecter les goulots d'étranglement en temps réel.  </t>
  </si>
  <si>
    <t>Les résultats des tests sont-ils communiqués aux parties prenantes ?</t>
  </si>
  <si>
    <t xml:space="preserve">Logs d’accès aux commandes système sur 6 mois  </t>
  </si>
  <si>
    <t xml:space="preserve">Manque d'audits de sécurité périodiques sur les systèmes d'archivage  </t>
  </si>
  <si>
    <t xml:space="preserve">Exposition aux sanctions pour manquements aux clauses contractuelles.  </t>
  </si>
  <si>
    <t xml:space="preserve">Créer un processus de gestion des correctifs critiques avec des fenêtres de maintenance planifiées et documentées.  </t>
  </si>
  <si>
    <t>Les logs de tests du plan sur 12 mois existent-ils ?</t>
  </si>
  <si>
    <t xml:space="preserve">Exposition à des attaques ciblant les vulnérabilités connues  </t>
  </si>
  <si>
    <t xml:space="preserve">Détérioration de la qualité des livrables lors des projets complexes.  </t>
  </si>
  <si>
    <t xml:space="preserve">Mettre en œuvre des contrôles d'intégrité des données lors des migrations pour éviter les corruptions ou pertes.  </t>
  </si>
  <si>
    <t>Un calendrier de tests est-il établi ?</t>
  </si>
  <si>
    <t xml:space="preserve">Schéma-directeur du SI approuvé  </t>
  </si>
  <si>
    <t xml:space="preserve">Incapacité à garantir l'exhaustivité des données archivées  </t>
  </si>
  <si>
    <t xml:space="preserve">Faible maîtrise des coûts cachés liés aux dépendances techniques.  </t>
  </si>
  <si>
    <t xml:space="preserve">Standardiser les interfaces utilisateur pour améliorer l'ergonomie et réduire les erreurs de saisie manuelles.  </t>
  </si>
  <si>
    <t>Les performances lors des tests sont-elles satisfaisantes ?</t>
  </si>
  <si>
    <t xml:space="preserve">Rapport d’alignement stratégique  </t>
  </si>
  <si>
    <t xml:space="preserve">Défaillance des mécanismes de détection des modifications non autorisées  </t>
  </si>
  <si>
    <t xml:space="preserve">Perte d'opportunités d'optimisation des ressources informatiques.  </t>
  </si>
  <si>
    <t xml:space="preserve">Instaurer des revues post-mortem après chaque incident majeur pour identifier les causes racines et améliorer les processus.  </t>
  </si>
  <si>
    <t>Le plan est-il mis à jour après chaque test ?</t>
  </si>
  <si>
    <t xml:space="preserve">Absence de procédures de gestion des erreurs de traitement des données  </t>
  </si>
  <si>
    <t xml:space="preserve">Désalignement entre les indicateurs de performance et les objectifs réels.  </t>
  </si>
  <si>
    <t xml:space="preserve">Développer une politique de gestion des risques tiers incluant des audits réguliers des fournisseurs stratégiques.  </t>
  </si>
  <si>
    <t>Une politique de sécurité signée existe-t-elle ?</t>
  </si>
  <si>
    <t xml:space="preserve">Fiches de poste détaillant les tâches  </t>
  </si>
  <si>
    <t xml:space="preserve">Non-respect des exigences de performance des accès aux archives  </t>
  </si>
  <si>
    <t xml:space="preserve">Complexité accrue dans l'orchestration des workflows métiers.  </t>
  </si>
  <si>
    <t xml:space="preserve">Renforcer les contrôles d'accès logique aux bases de données via des rôles granulaires et des journaux d'activité.  </t>
  </si>
  <si>
    <t>Un responsable sécurité est-il désigné ?</t>
  </si>
  <si>
    <t xml:space="preserve">Rapport ROI avec calculs détaillés  </t>
  </si>
  <si>
    <t xml:space="preserve">Utilisation de matériel non couvert par des contrats de maintenance  </t>
  </si>
  <si>
    <t xml:space="preserve">Incapacité à maintenir un niveau de documentation à jour.  </t>
  </si>
  <si>
    <t xml:space="preserve">Mettre en place des mécanismes de détection des fuites de données (DLP) pour protéger les informations sensibles.  </t>
  </si>
  <si>
    <t>Les performances en matière de sécurité sont-elles mesurées ?</t>
  </si>
  <si>
    <t xml:space="preserve">Analyse comparative des offres du marché  </t>
  </si>
  <si>
    <t xml:space="preserve">Manque de tests de compatibilité après les mises à jour logicielles  </t>
  </si>
  <si>
    <t xml:space="preserve">Dégradation de la résilience des processus de reprise d'activité.  </t>
  </si>
  <si>
    <t xml:space="preserve">Élaborer un inventaire détaillé des licences logicielles pour éviter les surcoûts et les risques juridiques.  </t>
  </si>
  <si>
    <t>La réponse à une faille de sécurité simulée est-elle adéquate ?</t>
  </si>
  <si>
    <t xml:space="preserve">Calendrier de mise en œuvre avec échéances  </t>
  </si>
  <si>
    <t xml:space="preserve">Exposition à des interruptions de service dues à des pannes matérielles  </t>
  </si>
  <si>
    <t xml:space="preserve">Exposition aux erreurs de conception des architectures cloud.  </t>
  </si>
  <si>
    <t xml:space="preserve">Instaurer des procédures de gestion des identités temporaires avec des dates d'expiration automatiques.  </t>
  </si>
  <si>
    <t>La politique de sécurité est-elle mise à jour régulièrement ?</t>
  </si>
  <si>
    <t xml:space="preserve">Inadéquation des politiques de conservation des logs d'activité  </t>
  </si>
  <si>
    <t xml:space="preserve">Détérioration de la collaboration avec les éditeurs de solutions.  </t>
  </si>
  <si>
    <t xml:space="preserve">Déployer des solutions de chiffrement homomorphique pour les données analysées dans des environnements non sécurisés.  </t>
  </si>
  <si>
    <t>Les logs d'accès aux commandes système sur 6 mois existent-ils ?</t>
  </si>
  <si>
    <t xml:space="preserve">Feuille de route technologique  </t>
  </si>
  <si>
    <t xml:space="preserve">Défaillance des processus de gestion des capacités de stockage  </t>
  </si>
  <si>
    <t xml:space="preserve">Faible capacité à anticiper les impacts des évolutions technologiques.  </t>
  </si>
  <si>
    <t xml:space="preserve">Réaliser des audits de code source pour identifier les vulnérabilités liées aux bibliothèques obsolètes.  </t>
  </si>
  <si>
    <t>Un contrôle d'accès strict est-il implémenté ?</t>
  </si>
  <si>
    <t xml:space="preserve">Absence de stratégie de reprise après sinistre alignée sur les besoins métiers  </t>
  </si>
  <si>
    <t xml:space="preserve">Perte de visibilité sur l'état réel des actifs et des risques associés.  </t>
  </si>
  <si>
    <t xml:space="preserve">Mettre à jour les politiques de mot de passe pour exiger une complexité accrue et une rotation régulière.  </t>
  </si>
  <si>
    <t>Les accès non autorisés génèrent-ils des alertes ?</t>
  </si>
  <si>
    <t xml:space="preserve">Contrats avec éditeurs garantissant l’évolutivité  </t>
  </si>
  <si>
    <t xml:space="preserve">Non-conformité aux attentes des utilisateurs en matière d'accessibilité  </t>
  </si>
  <si>
    <t xml:space="preserve">Désorganisation des mécanismes de contrôle interne automatisés.  </t>
  </si>
  <si>
    <t xml:space="preserve">Instaurer des contrôles d'accès basés sur les rôles (RBAC) pour limiter les privilèges aux besoins opérationnels.  </t>
  </si>
  <si>
    <t>La réponse aux tentatives d'accès non autorisé est-elle documentée ?</t>
  </si>
  <si>
    <t xml:space="preserve">Historique des versions de l’application  </t>
  </si>
  <si>
    <t xml:space="preserve">Utilisation de méthodes d'archivage non vérifiables  </t>
  </si>
  <si>
    <t xml:space="preserve">Incapacité à garantir l'exhaustivité des tests de non-régression.  </t>
  </si>
  <si>
    <t xml:space="preserve">Développer un plan de réponse aux incidents de sécurité incluant des scénarios de crise simulés.  </t>
  </si>
  <si>
    <t>Les droits sont-ils révoqués lors du départ des collaborateurs ?</t>
  </si>
  <si>
    <t xml:space="preserve">Suivi des demandes de maintenance  </t>
  </si>
  <si>
    <t xml:space="preserve">Manque de supervision des performances des systèmes en temps réel  </t>
  </si>
  <si>
    <t xml:space="preserve">Augmentation des délais de mise en production des correctifs.  </t>
  </si>
  <si>
    <t xml:space="preserve">Renforcer la surveillance des activités des comptes à privilèges via des outils de journalisation centralisée.  </t>
  </si>
  <si>
    <t>Les logs d'accès aux utilitaires sensibles sur 6 mois existent-ils ?</t>
  </si>
  <si>
    <t xml:space="preserve">CV/certifications des membres de l’équipe de maintenance  </t>
  </si>
  <si>
    <t xml:space="preserve">Exposition à des erreurs humaines dans la gestion des sauvegardes  </t>
  </si>
  <si>
    <t xml:space="preserve">Exposition aux conflits de version lors des mises à jour logicielles.  </t>
  </si>
  <si>
    <t xml:space="preserve">Mettre en œuvre des protocoles de sécurisation des API pour prévenir les attaques par injection ou exploitation.  </t>
  </si>
  <si>
    <t>Les contrôles d'accès sont-ils périodiquement vérifiés ?</t>
  </si>
  <si>
    <t xml:space="preserve">Clause "Escrow Agreement" dans le contrat  </t>
  </si>
  <si>
    <t xml:space="preserve">Incapacité à maintenir l'intégrité des données lors des migrations  </t>
  </si>
  <si>
    <t xml:space="preserve">Détérioration de la cohérence des stratégies de sauvegarde.  </t>
  </si>
  <si>
    <t xml:space="preserve">Établir des procédures de purge sécurisée des données obsolètes conformes aux réglementations en vigueur.  </t>
  </si>
  <si>
    <t>Les performances des contrôles sont-elles évaluées ?</t>
  </si>
  <si>
    <t xml:space="preserve">Rapports de pérennité de l’application  </t>
  </si>
  <si>
    <t xml:space="preserve">Défaillance des contrôles d'accès aux interfaces d'administration  </t>
  </si>
  <si>
    <t xml:space="preserve">Faible adéquation entre les formations proposées et les besoins réels.  </t>
  </si>
  <si>
    <t xml:space="preserve">Instaurer des contrôles réguliers de l'intégrité des configurations des serveurs et équipements réseau.  </t>
  </si>
  <si>
    <t>Les anomalies sont-elles détectées automatiquement ?</t>
  </si>
  <si>
    <t xml:space="preserve">Tests de compatibilité avec les nouvelles versions  </t>
  </si>
  <si>
    <t xml:space="preserve">Absence de procédures de gestion des incidents de sécurité majeurs  </t>
  </si>
  <si>
    <t xml:space="preserve">Perte d'efficacité dans la gestion des demandes utilisateurs.  </t>
  </si>
  <si>
    <t xml:space="preserve">Déployer des solutions de détection des menaces internes via l'analyse comportementale des utilisateurs.  </t>
  </si>
  <si>
    <t xml:space="preserve">Retours d’expérience des utilisateurs sur la pérennité  </t>
  </si>
  <si>
    <t xml:space="preserve">Non-respect des exigences de confidentialité des données personnelles  </t>
  </si>
  <si>
    <t xml:space="preserve">Désalignement entre les outils de reporting et les attentes décisionnelles.  </t>
  </si>
  <si>
    <t xml:space="preserve">Créer un référentiel des bonnes pratiques de développement sécurisé accessible à toutes les équipes techniques.  </t>
  </si>
  <si>
    <t>Un schéma-directeur du SI approuvé existe-t-il ?</t>
  </si>
  <si>
    <t xml:space="preserve">Plans de maintien de la pérennité  </t>
  </si>
  <si>
    <t xml:space="preserve">Utilisation de protocoles non chiffrés pour les transferts internes  </t>
  </si>
  <si>
    <t xml:space="preserve">Complexité accrue dans l'intégration des retours d'expérience utilisateurs.  </t>
  </si>
  <si>
    <t xml:space="preserve">Mettre en place des mécanismes de validation des données d'entrée pour prévenir les attaques par injection SQL.  </t>
  </si>
  <si>
    <t>Le schéma est-il aligné sur la stratégie métier ?</t>
  </si>
  <si>
    <t>Preuves de formation des équipes sur les enjeux de pérennité</t>
  </si>
  <si>
    <t xml:space="preserve">Manque de formation continue du personnel sur les nouvelles menaces  </t>
  </si>
  <si>
    <t xml:space="preserve">Incapacité à maintenir un référentiel unique des configurations.  </t>
  </si>
  <si>
    <t xml:space="preserve">Instaurer des audits périodiques des configurations de sécurité des environnements virtualisés.  </t>
  </si>
  <si>
    <t>Une mise à jour annuelle du schéma-directeur est-elle effectuée ?</t>
  </si>
  <si>
    <t xml:space="preserve">Schéma-directeur du SI approuvé et daté  </t>
  </si>
  <si>
    <t xml:space="preserve">Exposition à des attaques par déni de service distribué (DDoS)  </t>
  </si>
  <si>
    <t xml:space="preserve">Dégradation de la qualité des services fournis par les prestataires externes.  </t>
  </si>
  <si>
    <t xml:space="preserve">Développer une stratégie de gestion des risques liés à l'IoT incluant des contrôles d'accès et de chiffrement.  </t>
  </si>
  <si>
    <t>Le schéma est-il diffusé aux parties prenantes ?</t>
  </si>
  <si>
    <t xml:space="preserve">Procès-verbaux de réunion du comité de pilotage  </t>
  </si>
  <si>
    <t xml:space="preserve">Inadéquation des mesures de protection contre les menaces internes  </t>
  </si>
  <si>
    <t xml:space="preserve">Exposition aux interruptions de service liées à des pannes matérielles.  </t>
  </si>
  <si>
    <t xml:space="preserve">Renforcer les procédures d'archivage des journaux d'activité pour garantir leur disponibilité lors des enquêtes.  </t>
  </si>
  <si>
    <t>Les équipes sont-elles formées sur le schéma-directeur ?</t>
  </si>
  <si>
    <t xml:space="preserve">Défaillance des mécanismes de surveillance des activités suspectes  </t>
  </si>
  <si>
    <t xml:space="preserve">Détérioration de la crédibilité des tableaux de bord de pilotage.  </t>
  </si>
  <si>
    <t xml:space="preserve">Mettre en œuvre des contrôles d'accès physique biométriques pour les zones hébergeant des infrastructures critiques.  </t>
  </si>
  <si>
    <t>Un rapport d'alignement stratégique existe-t-il ?</t>
  </si>
  <si>
    <t xml:space="preserve">Politique de sécurité des applications signée  </t>
  </si>
  <si>
    <t xml:space="preserve">Absence de plan de réponse aux incidents de sécurité  </t>
  </si>
  <si>
    <t xml:space="preserve">Faible capacité à capitaliser sur les données pour l'innovation.  </t>
  </si>
  <si>
    <t xml:space="preserve">Établir des partenariats avec des organismes de certification pour valider la conformité aux normes internationales.  </t>
  </si>
  <si>
    <t>Les objectifs métiers correspondent-ils aux fonctionnalités ?</t>
  </si>
  <si>
    <t xml:space="preserve">Accusés de réception des utilisateurs pour la politique  </t>
  </si>
  <si>
    <t xml:space="preserve">Non-conformité aux exigences de reporting réglementaire  </t>
  </si>
  <si>
    <t xml:space="preserve">Perte de compétitivité due à des processus métiers sous-optimisés.  </t>
  </si>
  <si>
    <t xml:space="preserve">Instaurer des revues annuelles des politiques de sécurité pour s'adapter aux évolutions des menaces cyber.  </t>
  </si>
  <si>
    <t>Des indicateurs de satisfaction utilisateur sont-ils mesurés ?</t>
  </si>
  <si>
    <t xml:space="preserve">Utilisation de solutions non testées en environnement de production  </t>
  </si>
  <si>
    <t xml:space="preserve">Désorganisation des mécanismes de priorisation des demandes IT.  </t>
  </si>
  <si>
    <t xml:space="preserve">Déployer des outils d'automatisation des contrôles de conformité pour réduire les erreurs humaines.  </t>
  </si>
  <si>
    <t>Des plans d'amélioration sont-ils établis ?</t>
  </si>
  <si>
    <t xml:space="preserve">Fiches de poste des utilisateurs  </t>
  </si>
  <si>
    <t xml:space="preserve">Manque de coordination entre les équipes de développement et d'exploitation  </t>
  </si>
  <si>
    <t xml:space="preserve">Incapacité à garantir la pérennité des solutions déployées.  </t>
  </si>
  <si>
    <t xml:space="preserve">Créer un processus centralisé de gestion des demandes d'accès aux données sensibles avec approbation hiérarchique.  </t>
  </si>
  <si>
    <t xml:space="preserve">Charte d’utilisation signée par les utilisateurs  </t>
  </si>
  <si>
    <t xml:space="preserve">Exposition à des vulnérabilités liées à l'intégration de systèmes tiers  </t>
  </si>
  <si>
    <t xml:space="preserve">Augmentation des coûts de possession totale des actifs informatiques.  </t>
  </si>
  <si>
    <t xml:space="preserve">Mettre en place des indicateurs de performance liés à la rapidité de résolution des incidents critiques.  </t>
  </si>
  <si>
    <t>Des spécifications fonctionnelles signées existent-elles ?</t>
  </si>
  <si>
    <t xml:space="preserve">Tableau de gestion des droits d’accès mis à jour  </t>
  </si>
  <si>
    <t xml:space="preserve">Incapacité à garantir la disponibilité des données durant les pics d'activité  </t>
  </si>
  <si>
    <t xml:space="preserve">Instaurer des tests d'intrusion réguliers pour évaluer l'efficacité des mesures de protection des périmètres réseau.  </t>
  </si>
  <si>
    <t>Les critères de choix (coût, fonctionnalités) sont-ils documentés ?</t>
  </si>
  <si>
    <t xml:space="preserve">Logs d’accès aux systèmes sensibles  </t>
  </si>
  <si>
    <t xml:space="preserve">Défaillance des processus de gestion des correctifs de sécurité  </t>
  </si>
  <si>
    <t xml:space="preserve">Détérioration de la qualité des interfaces avec les partenaires externes.  </t>
  </si>
  <si>
    <t xml:space="preserve">Développer une politique de gestion des actifs numériques incluant leur classification et leur protection.  </t>
  </si>
  <si>
    <t>Les utilisateurs sont-ils consultés lors de l'élaboration ?</t>
  </si>
  <si>
    <t xml:space="preserve">Procédure écrite de révocation des accès  </t>
  </si>
  <si>
    <t xml:space="preserve">Absence de revue des configurations de sécurité après les mises à jour  </t>
  </si>
  <si>
    <t xml:space="preserve">Faible maîtrise des impacts environnementaux des infrastructures IT.  </t>
  </si>
  <si>
    <t xml:space="preserve">Renforcer les contrôles d'intégrité des données lors des transferts inter-applicatifs via des signatures numériques.  </t>
  </si>
  <si>
    <t>Les spécifications sont-elles mises à jour selon les besoins ?</t>
  </si>
  <si>
    <t xml:space="preserve">Rapport d’audit semestriel des droits  </t>
  </si>
  <si>
    <t xml:space="preserve">Non-respect des bonnes pratiques de sécurisation des API  </t>
  </si>
  <si>
    <t xml:space="preserve">Perte d'agilité dans l'adaptation aux nouvelles réglementations.  </t>
  </si>
  <si>
    <t xml:space="preserve">Mettre à jour les contrats de maintenance pour inclure des clauses de responsabilité en cas de défaillance technique.  </t>
  </si>
  <si>
    <t>Les parties prenantes valident-elles les spécifications ?</t>
  </si>
  <si>
    <t xml:space="preserve">Utilisation de certificats SSL/TLS expirés ou non fiables  </t>
  </si>
  <si>
    <t xml:space="preserve">Désalignement entre les capacités techniques et les ambitions stratégiques.  </t>
  </si>
  <si>
    <t xml:space="preserve">Établir des procédures de gestion des risques liés aux technologies émergentes (IA, blockchain, etc.).  </t>
  </si>
  <si>
    <t>Des fiches de poste détaillant les tâches existent-elles ?</t>
  </si>
  <si>
    <t xml:space="preserve">Document de classification des données  </t>
  </si>
  <si>
    <t xml:space="preserve">Manque de tests de pénétration réguliers sur les systèmes d'archivage  </t>
  </si>
  <si>
    <t xml:space="preserve">Complexité accrue dans la gestion des droits d'accès hérités.  </t>
  </si>
  <si>
    <t xml:space="preserve">Instaurer des audits croisés entre équipes pour garantir l'objectivité des évaluations de contrôle interne.  </t>
  </si>
  <si>
    <t>Les utilisateurs trouvent-ils les tâches clairement définies ?</t>
  </si>
  <si>
    <t xml:space="preserve">Logs de consultation des données sensibles  </t>
  </si>
  <si>
    <t xml:space="preserve">Exposition à des fuites de données via des canaux non sécurisés  </t>
  </si>
  <si>
    <t xml:space="preserve">Incapacité à assurer une supervision proactive des performances.  </t>
  </si>
  <si>
    <t xml:space="preserve">Déployer des solutions de supervision unifiée pour corréler les événements de sécurité across multiple systèmes.  </t>
  </si>
  <si>
    <t>Des indicateurs de productivité sont-ils suivis ?</t>
  </si>
  <si>
    <t xml:space="preserve">Procédures de protection des données critiques  </t>
  </si>
  <si>
    <t xml:space="preserve">Inadéquation des contrôles d'accès physiques aux centres de données  </t>
  </si>
  <si>
    <t xml:space="preserve">Dégradation de la fiabilité des mécanismes d'authentification.  </t>
  </si>
  <si>
    <t xml:space="preserve">Créer un plan de communication de crise pour coordonner les actions en cas de violation majeure de données.  </t>
  </si>
  <si>
    <t>Les utilisateurs sont-ils formés sur leurs tâches ?</t>
  </si>
  <si>
    <t xml:space="preserve">Manuel d’administration de l’application  </t>
  </si>
  <si>
    <t xml:space="preserve">Défaillance des systèmes de détection d'intrusion en temps réel  </t>
  </si>
  <si>
    <t xml:space="preserve">Exposition aux attaques par déni de service distribuées (DDoS).  </t>
  </si>
  <si>
    <t xml:space="preserve">Mettre en œuvre des mécanismes de validation des mises à jour logicielles en environnements de pré-production.  </t>
  </si>
  <si>
    <t>Les descriptions de tâches sont-elles mises à jour régulièrement ?</t>
  </si>
  <si>
    <t xml:space="preserve">Procédures détaillées de sauvegarde et restauration  </t>
  </si>
  <si>
    <t xml:space="preserve">Absence de procédures de gestion des identités à privilèges  </t>
  </si>
  <si>
    <t xml:space="preserve">Détérioration de la cohérence des politiques de gestion des identités.  </t>
  </si>
  <si>
    <t xml:space="preserve">Instaurer des contrôles d'accès temporels pour les ressources sensibles afin de limiter les expositions inutiles.  </t>
  </si>
  <si>
    <t>Les logs d'activité des systèmes parallèles sur 6 mois existent-ils ?</t>
  </si>
  <si>
    <t xml:space="preserve">Logs d’interventions de maintenance  </t>
  </si>
  <si>
    <t xml:space="preserve">Non-conformité aux standards de chiffrement des données en repos  </t>
  </si>
  <si>
    <t xml:space="preserve">Faible résilience face aux menaces internes malveillantes.  </t>
  </si>
  <si>
    <t xml:space="preserve">Développer une stratégie de sortie pour les technologies obsolètes incluant leur remplacement progressif.  </t>
  </si>
  <si>
    <t>Les performances des systèmes parallèles sont-elles testées ?</t>
  </si>
  <si>
    <t xml:space="preserve">Plan de continuité d’activité (PCA) mis à jour  </t>
  </si>
  <si>
    <t xml:space="preserve">Utilisation de méthodes d'authentification non adaptées aux risques  </t>
  </si>
  <si>
    <t xml:space="preserve">Perte de contrôle sur les données sensibles stockées dans le cloud.  </t>
  </si>
  <si>
    <t xml:space="preserve">Renforcer la formation des équipes sur les techniques d'ingénierie sociale pour réduire les risques de phishing.  </t>
  </si>
  <si>
    <t>Des comparaisons avec l'application sont-elles effectuées ?</t>
  </si>
  <si>
    <t xml:space="preserve">Contrats de maintenance avec les éditeurs  </t>
  </si>
  <si>
    <t xml:space="preserve">Manque de surveillance des activités des utilisateurs à privilèges  </t>
  </si>
  <si>
    <t xml:space="preserve">Désorganisation des processus de gestion des vulnérabilités logicielles.  </t>
  </si>
  <si>
    <t xml:space="preserve">Mettre en place des contrôles d'accès contextuels adaptatifs basés sur le comportement des utilisateurs.  </t>
  </si>
  <si>
    <t>Une migration vers l'application est-elle planifiée ?</t>
  </si>
  <si>
    <t xml:space="preserve">Exposition à des attaques par ingénierie sociale ciblant les administrateurs  </t>
  </si>
  <si>
    <t xml:space="preserve">Incapacité à maintenir un niveau de sécurité homogène sur tous les actifs.  </t>
  </si>
  <si>
    <t xml:space="preserve">Établir des procédures de gestion des incidents liés aux fournisseurs cloud avec des SLA contraignants.  </t>
  </si>
  <si>
    <t>Les utilisateurs sont-ils formés sur les systèmes parallèles ?</t>
  </si>
  <si>
    <t xml:space="preserve">Procédures de gestion des incidents critiques  </t>
  </si>
  <si>
    <t xml:space="preserve">Incapacité à détecter les activités anormales dans les logs système  </t>
  </si>
  <si>
    <t xml:space="preserve">Augmentation des risques liés à l'utilisation de logiciels obsolètes.  </t>
  </si>
  <si>
    <t xml:space="preserve">Instaurer des revues trimestrielles des stratégies de chiffrement pour s'adapter aux avancées cryptographiques.  </t>
  </si>
  <si>
    <t>Un rapport d'adéquation aux besoins utilisateurs existe-t-il ?</t>
  </si>
  <si>
    <t xml:space="preserve">Tableaux de bord de performance IT  </t>
  </si>
  <si>
    <t xml:space="preserve">Défaillance des mécanismes de corrélation des événements de sécurité  </t>
  </si>
  <si>
    <t xml:space="preserve">Exposition aux erreurs de manipulation des bases de données.  </t>
  </si>
  <si>
    <t xml:space="preserve">Déployer des outils d'analyse proactive des logs pour anticiper les menaces avant leur matérialisation.  </t>
  </si>
  <si>
    <t>Les retours utilisateurs sont-ils recueillis régulièrement ?</t>
  </si>
  <si>
    <t xml:space="preserve">Clauses de contrat SLA signées  </t>
  </si>
  <si>
    <t xml:space="preserve">Absence de plan de gestion des crises impliquant les parties prenantes  </t>
  </si>
  <si>
    <t xml:space="preserve">Détérioration de la qualité des services d'assistance technique.  </t>
  </si>
  <si>
    <t xml:space="preserve">Créer un référentiel des vulnérabilités connues avec des plans d'action prioritaires pour leur correction.  </t>
  </si>
  <si>
    <t>Le taux d'adoption est-il mesuré ?</t>
  </si>
  <si>
    <t xml:space="preserve">Rapports d’évaluation des risques annuels  </t>
  </si>
  <si>
    <t xml:space="preserve">Non-respect des exigences de conformité sectorielles spécifiques  </t>
  </si>
  <si>
    <t xml:space="preserve">Faible capacité à détecter les anomalies dans les flux financiers.  </t>
  </si>
  <si>
    <t xml:space="preserve">Mettre en œuvre des contrôles de qualité des données en temps réel pour les flux transactionnels critiques.  </t>
  </si>
  <si>
    <t>Des plans d'amélioration basés sur les retours existent-ils ?</t>
  </si>
  <si>
    <t xml:space="preserve">Analyse des risques utilisant une méthodologie reconnue  </t>
  </si>
  <si>
    <t xml:space="preserve">Utilisation de solutions non alignées sur la stratégie de sécurité globale  </t>
  </si>
  <si>
    <t xml:space="preserve">Perte de confiance dans l'exactitude des rapports opérationnels.  </t>
  </si>
  <si>
    <t xml:space="preserve">Instaurer des audits aléatoires des processus métiers pour détecter les écarts par rapport aux procédures établies.  </t>
  </si>
  <si>
    <t>Les résultats sont-ils partagés avec les parties prenantes ?</t>
  </si>
  <si>
    <t xml:space="preserve">Plan d’action de gestion des risques avec responsables  </t>
  </si>
  <si>
    <t xml:space="preserve">Manque de ressources dédiées à la surveillance continue des systèmes  </t>
  </si>
  <si>
    <t xml:space="preserve">Désalignement entre les outils de BI et les besoins analytiques réels.  </t>
  </si>
  <si>
    <t xml:space="preserve">Développer une politique de gestion des clés de chiffrement incluant leur rotation et stockage sécurisé.  </t>
  </si>
  <si>
    <t>Un rapport ROI avec calculs détaillés existe-t-il ?</t>
  </si>
  <si>
    <t xml:space="preserve">Procédures de mise à jour des risques  </t>
  </si>
  <si>
    <t xml:space="preserve">Exposition à des erreurs de configuration des équipements réseau  </t>
  </si>
  <si>
    <t xml:space="preserve">Complexité accrue dans la gestion des correctifs critiques.  </t>
  </si>
  <si>
    <t xml:space="preserve">Renforcer les contrôles d'accès aux outils d'administration à distance via des VPN et authentification forte.  </t>
  </si>
  <si>
    <t>Des benchmarks sectoriels sont-ils utilisés pour comparaison ?</t>
  </si>
  <si>
    <t xml:space="preserve">Indicateurs de suivi des risques  </t>
  </si>
  <si>
    <t xml:space="preserve">Inadéquation des politiques de gestion des mots de passe  </t>
  </si>
  <si>
    <t xml:space="preserve">Incapacité à garantir la conformité des développements en low-code.  </t>
  </si>
  <si>
    <t xml:space="preserve">Mettre à jour les politiques de sécurité pour intégrer les exigences des réglementations locales et internationales.  </t>
  </si>
  <si>
    <t>Le temps de traitement a-t-il été réduit de 30% ?</t>
  </si>
  <si>
    <t xml:space="preserve">Procédures de reporting aux instances dirigeantes  </t>
  </si>
  <si>
    <t xml:space="preserve">Défaillance des processus de révocation rapide des accès obsolètes  </t>
  </si>
  <si>
    <t xml:space="preserve">Dégradation de la performance des API d'intégration système.  </t>
  </si>
  <si>
    <t xml:space="preserve">Établir des procédures de gestion des anomalies détectées lors des audits internes avec suivi des correctifs.  </t>
  </si>
  <si>
    <t>Les coûts d'exploitation sont-ils suivis trimestriellement ?</t>
  </si>
  <si>
    <t xml:space="preserve">Manuel des procédures métiers  </t>
  </si>
  <si>
    <t xml:space="preserve">Absence de tests réguliers de restauration des données critiques  </t>
  </si>
  <si>
    <t xml:space="preserve">Exposition aux fuites de données par défaut de chiffrement.  </t>
  </si>
  <si>
    <t xml:space="preserve">Instaurer des formations pratiques sur les scénarios de crise pour améliorer la réactivité des équipes.  </t>
  </si>
  <si>
    <t>Des gains financiers sont-ils clairement identifiés ?</t>
  </si>
  <si>
    <t xml:space="preserve">Workflows de validation hiérarchique  </t>
  </si>
  <si>
    <t xml:space="preserve">Non-conformité aux réglementations en matière de protection des données personnelles.  </t>
  </si>
  <si>
    <t xml:space="preserve">Détérioration de la cohérence des stratégies de gestion des mots de passe.  </t>
  </si>
  <si>
    <t xml:space="preserve">Déployer des solutions de gestion des risques opérationnels avec cartographie des menaces et plans d'atténuation.  </t>
  </si>
  <si>
    <t>Un rapport détaillant les coûts de déploiement existe-t-il ?</t>
  </si>
  <si>
    <t xml:space="preserve">Logs de validation des transactions sensibles  </t>
  </si>
  <si>
    <t xml:space="preserve">Absence de documentation formalisée des processus métiers critiques.  </t>
  </si>
  <si>
    <t xml:space="preserve">Faible maîtrise des coûts liés à la consommation des ressources cloud.  </t>
  </si>
  <si>
    <t xml:space="preserve">Créer un comité de pilotage pour superviser la mise en œuvre des recommandations issues des audits.  </t>
  </si>
  <si>
    <t>Les écarts avec le budget initial sont-ils analysés ?</t>
  </si>
  <si>
    <t xml:space="preserve">Procédures de contrôle qualité des données  </t>
  </si>
  <si>
    <t xml:space="preserve">Défaillance dans la gestion des accès privilégiés aux systèmes sensibles.  </t>
  </si>
  <si>
    <t xml:space="preserve">Perte de visibilité sur l'état de conformité des fournisseurs tiers.  </t>
  </si>
  <si>
    <t xml:space="preserve">Mettre en œuvre des mécanismes de feedback utilisateur pour améliorer l'adoption des outils informatiques.  </t>
  </si>
  <si>
    <t>Les dépassements budgétaires sont-ils justifiés ?</t>
  </si>
  <si>
    <t xml:space="preserve">Captures d’écran des interfaces de saisie  </t>
  </si>
  <si>
    <t xml:space="preserve">Manque de traçabilité des modifications apportées aux configurations critiques.  </t>
  </si>
  <si>
    <t xml:space="preserve">Désorganisation des mécanismes de gestion des incidents critiques.  </t>
  </si>
  <si>
    <t xml:space="preserve">Instaurer des contrôles réguliers de l'efficacité des pare-feux applicatifs et des systèmes de détection d'intrusion.  </t>
  </si>
  <si>
    <t>Des économies ont-elles été réalisées via des négociations ?</t>
  </si>
  <si>
    <t xml:space="preserve">Rapports d’erreurs de saisie et corrections  </t>
  </si>
  <si>
    <t xml:space="preserve">Inadéquation des contrôles de sécurité physique des infrastructures hébergeant les données.  </t>
  </si>
  <si>
    <t xml:space="preserve">Incapacité à maintenir un référentiel à jour des actifs virtualisés.  </t>
  </si>
  <si>
    <t xml:space="preserve">Développer une stratégie de gestion des données massives (Big Data) incluant sécurité et conformité.  </t>
  </si>
  <si>
    <t>Une analyse comparative des offres du marché existe-t-elle ?</t>
  </si>
  <si>
    <t xml:space="preserve">Procédures de chiffrement des données en transit  </t>
  </si>
  <si>
    <t xml:space="preserve">Non-respect des exigences légales en matière de conservation des preuves électroniques.  </t>
  </si>
  <si>
    <t xml:space="preserve">Augmentation des délais de réponse aux audits réglementaires.  </t>
  </si>
  <si>
    <t xml:space="preserve">Renforcer les procédures de validation des accès aux APIs critiques via des jetons d'authentification temporaires.  </t>
  </si>
  <si>
    <t>Les critères de sélection sont-ils clairement définis ?</t>
  </si>
  <si>
    <t xml:space="preserve">Logs d’opérations sur données sensibles  </t>
  </si>
  <si>
    <t xml:space="preserve">Défaut d'alignement entre les objectifs métiers et les capacités réelles du système.  </t>
  </si>
  <si>
    <t xml:space="preserve">Exposition aux erreurs de configuration des pare-feux applicatifs.  </t>
  </si>
  <si>
    <t xml:space="preserve">Mettre à jour les politiques de sauvegarde pour inclure des tests de restauration automatisés et documentés.  </t>
  </si>
  <si>
    <t>Les fournisseurs ont-ils été consultés (appels d'offres) ?</t>
  </si>
  <si>
    <t xml:space="preserve">Insuffisance des mécanismes de détection d'intrusions sur les réseaux internes.  </t>
  </si>
  <si>
    <t xml:space="preserve">Détérioration de la qualité des services de support aux utilisateurs finaux.  </t>
  </si>
  <si>
    <t xml:space="preserve">Établir des partenariats avec des CERTs (Computer Emergency Response Teams) pour une veille proactive.  </t>
  </si>
  <si>
    <t>Les retours utilisateurs sur les solutions choisies existent-ils ?</t>
  </si>
  <si>
    <t xml:space="preserve">Absence de tests réguliers des plans de continuité d'activité.  </t>
  </si>
  <si>
    <t xml:space="preserve">Faible capacité à anticiper les besoins en capacité de stockage.  </t>
  </si>
  <si>
    <t xml:space="preserve">Instaurer des audits de conformité RGPD pour garantir la protection des données personnelles stockées.  </t>
  </si>
  <si>
    <t>Les contrats avec les fournisseurs sont-ils signés ?</t>
  </si>
  <si>
    <t xml:space="preserve">Contrats avec les fournisseurs de cloud  </t>
  </si>
  <si>
    <t xml:space="preserve">Vulnérabilités non corrigées dans les versions logicielles obsolètes.  </t>
  </si>
  <si>
    <t xml:space="preserve">Perte de cohérence dans les stratégies de gestion des sauvegardes.  </t>
  </si>
  <si>
    <t xml:space="preserve">Déployer des outils de gestion des identités fédérées pour simplifier l'accès sécurisé aux applications métiers.  </t>
  </si>
  <si>
    <t>Un calendrier de mise en œuvre avec échéances existe-t-il ?</t>
  </si>
  <si>
    <t xml:space="preserve">Défaillances dans le chiffrement des données sensibles en transit et au repos.  </t>
  </si>
  <si>
    <t xml:space="preserve">Désalignement entre les outils de monitoring et les indicateurs clés.  </t>
  </si>
  <si>
    <t xml:space="preserve">Créer un processus de gestion des demandes d'accès exceptionnelles avec approbation à plusieurs niveaux.  </t>
  </si>
  <si>
    <t>Les retards éventuels sont-ils documentés et justifiés ?</t>
  </si>
  <si>
    <t xml:space="preserve">CV et certifications des administrateurs système  </t>
  </si>
  <si>
    <t xml:space="preserve">Absence de séparation des environnements de développement, test et production.  </t>
  </si>
  <si>
    <t xml:space="preserve">Mettre en œuvre des contrôles d'intégrité des configurations via des outils de gestion des changements automatisés.  </t>
  </si>
  <si>
    <t>Les délais sont-ils globalement respectés ?</t>
  </si>
  <si>
    <t xml:space="preserve">Plan de recrutement et formation IT  </t>
  </si>
  <si>
    <t xml:space="preserve">Contrôles insuffisants sur les intégrations de données avec les systèmes externes.  </t>
  </si>
  <si>
    <t xml:space="preserve">Incapacité à garantir l'exhaustivité des tests de pénétration.  </t>
  </si>
  <si>
    <t xml:space="preserve">Instaurer des revues post-déploiement pour évaluer l'impact des nouvelles fonctionnalités sur la sécurité.  </t>
  </si>
  <si>
    <t>Des plans de rattrapage en cas de retard existent-ils ?</t>
  </si>
  <si>
    <t xml:space="preserve">Rapports de performance des équipes techniques  </t>
  </si>
  <si>
    <t xml:space="preserve">Dépassement des budgets alloués aux projets informatiques stratégiques.  </t>
  </si>
  <si>
    <t xml:space="preserve">Dégradation de la résilience des infrastructures face aux attaques.  </t>
  </si>
  <si>
    <t xml:space="preserve">Développer une politique de gestion des risques liés aux médias amovibles avec chiffrement obligatoire.  </t>
  </si>
  <si>
    <t>Les parties prenantes sont-elles informées des délais ?</t>
  </si>
  <si>
    <t xml:space="preserve">Documentation technique des API et intégrations  </t>
  </si>
  <si>
    <t xml:space="preserve">Manque de formalisation des procédures de gestion des incidents de sécurité.  </t>
  </si>
  <si>
    <t xml:space="preserve">Exposition aux erreurs de paramétrage des systèmes de détection d'intrusions.  </t>
  </si>
  <si>
    <t xml:space="preserve">Renforcer les contrôles d'accès aux données sensibles via des solutions de masquage dynamique.  </t>
  </si>
  <si>
    <t>Un bilan post-projet avec conclusions existe-t-il ?</t>
  </si>
  <si>
    <t xml:space="preserve">Non-respect des délais contractuels pour les mises à jour critiques.  </t>
  </si>
  <si>
    <t xml:space="preserve">Détérioration de la crédibilité des processus de gestion des risques.  </t>
  </si>
  <si>
    <t xml:space="preserve">Mettre à jour les procédures de gestion des incidents pour inclure des analyses forensiques en cas de violation.  </t>
  </si>
  <si>
    <t>Les objectifs initiaux (coûts, délais) sont-ils atteints ?</t>
  </si>
  <si>
    <t xml:space="preserve">Historique des versions logicielles  </t>
  </si>
  <si>
    <t xml:space="preserve">Exposition aux risques de fraude via des droits d'accès inadaptés.  </t>
  </si>
  <si>
    <t xml:space="preserve">Faible adéquation entre les formations et les compétences requises.  </t>
  </si>
  <si>
    <t xml:space="preserve">Établir des indicateurs de performance liés à la rapidité de détection et correction des vulnérabilités.  </t>
  </si>
  <si>
    <t>La satisfaction utilisateur finale est-elle mesurée ?</t>
  </si>
  <si>
    <t xml:space="preserve">Procédures de tests de compatibilité ascendante  </t>
  </si>
  <si>
    <t xml:space="preserve">Défaillance dans l'archivage sécurisé des journaux d'activité système.  </t>
  </si>
  <si>
    <t xml:space="preserve">Perte d'efficacité opérationnelle due à des processus manuels redondants.  </t>
  </si>
  <si>
    <t xml:space="preserve">Instaurer des audits croisés entre départements pour garantir l'objectivité des évaluations de contrôle interne.  </t>
  </si>
  <si>
    <t>Des leçons apprises sont-elles capitalisées ?</t>
  </si>
  <si>
    <t xml:space="preserve">Retours d’expérience des utilisateurs formalisés  </t>
  </si>
  <si>
    <t xml:space="preserve">Absence de revues périodiques des habilitations des utilisateurs privilégiés.  </t>
  </si>
  <si>
    <t xml:space="preserve">Désorganisation des mécanismes de gestion des correctifs d'urgence.  </t>
  </si>
  <si>
    <t xml:space="preserve">Déployer des solutions de gestion des risques liés à l'utilisation de l'IA dans les processus décisionnels.  </t>
  </si>
  <si>
    <t>Le bilan est-il diffusé aux parties prenantes ?</t>
  </si>
  <si>
    <t xml:space="preserve">Études de cas de l’éditeur  </t>
  </si>
  <si>
    <t xml:space="preserve">Incapacité à restaurer les données après un incident majeur.  </t>
  </si>
  <si>
    <t xml:space="preserve">Incapacité à maintenir un niveau de documentation technique à jour.  </t>
  </si>
  <si>
    <t xml:space="preserve">Créer un référentiel des bonnes pratiques de codage sécurisé accessible à toutes les équipes de développement.  </t>
  </si>
  <si>
    <t>Un rapport détaillant les économies réalisées existe-t-il ?</t>
  </si>
  <si>
    <t xml:space="preserve">Contrat de maintenance incluant un Escrow Agreement  </t>
  </si>
  <si>
    <t xml:space="preserve">Non-conformité aux normes sectorielles en matière de résilience technique.  </t>
  </si>
  <si>
    <t xml:space="preserve">Augmentation des coûts liés à la maintenance corrective.  </t>
  </si>
  <si>
    <t xml:space="preserve">Mettre en œuvre des contrôles de conformité des configurations matérielles aux normes de sécurité sectorielles.  </t>
  </si>
  <si>
    <t>Les économies correspondent-elles aux prévisions ?</t>
  </si>
  <si>
    <t xml:space="preserve">Calendrier des mises à jour logicielles  </t>
  </si>
  <si>
    <t xml:space="preserve">Défaut de supervision des performances des fournisseurs externes.  </t>
  </si>
  <si>
    <t xml:space="preserve">Exposition aux vulnérabilités des protocoles de communication non sécurisés.  </t>
  </si>
  <si>
    <t xml:space="preserve">Instaurer des formations régulières sur les nouvelles menaces cyber pour maintenir la vigilance des équipes.  </t>
  </si>
  <si>
    <t>Le ROI et les gains de temps sont-ils quantifiés ?</t>
  </si>
  <si>
    <t xml:space="preserve">Procédures de migration vers les nouvelles versions  </t>
  </si>
  <si>
    <t xml:space="preserve">Manque de sensibilisation des utilisateurs aux bonnes pratiques de sécurité.  </t>
  </si>
  <si>
    <t xml:space="preserve">Détérioration de la qualité des services de gestion des identités.  </t>
  </si>
  <si>
    <t xml:space="preserve">Développer une stratégie de gestion des risques liés aux partenariats technologiques avec due diligence.  </t>
  </si>
  <si>
    <t>Des plans de réduction des coûts à long terme existent-ils ?</t>
  </si>
  <si>
    <t xml:space="preserve">Rapports de maturité technologique (Gartner, Forrester)  </t>
  </si>
  <si>
    <t xml:space="preserve">Insuffisance des contrôles d'intégrité des données lors des migrations.  </t>
  </si>
  <si>
    <t xml:space="preserve">Faible capacité à répondre aux exigences de traçabilité réglementaire.  </t>
  </si>
  <si>
    <t xml:space="preserve">Renforcer les contrôles d'accès aux environnements de test pour éviter les fuites de données sensibles.  </t>
  </si>
  <si>
    <t>Les économies sont-elles vérifiables (factures avant/après) ?</t>
  </si>
  <si>
    <t xml:space="preserve">Tests de montée en charge de l’infrastructure  </t>
  </si>
  <si>
    <t xml:space="preserve">Exposition aux attaques par déni de service en raison de configurations réseau laxistes.  </t>
  </si>
  <si>
    <t xml:space="preserve">Perte de contrôle sur les données partagées avec des partenaires externes.  </t>
  </si>
  <si>
    <t xml:space="preserve">Mettre à jour les politiques de sécurité physique pour inclure des contrôles d'accès biométriques et vidéosurveillance.  </t>
  </si>
  <si>
    <t>Un rapport sur les améliorations qualitatives existe-t-il ?</t>
  </si>
  <si>
    <t xml:space="preserve">Plan d’extension de l’infrastructure IT  </t>
  </si>
  <si>
    <t xml:space="preserve">Absence de validation indépendante des correctifs de sécurité appliqués.  </t>
  </si>
  <si>
    <t xml:space="preserve">Désalignement entre les architectures techniques et les meilleures pratiques.  </t>
  </si>
  <si>
    <t xml:space="preserve">Implémenter une revue indépendante des correctifs de sécurité avant déploiement en suivant les procédures de contrôle des changements du référentiel COBIT.  </t>
  </si>
  <si>
    <t>Les retours utilisateurs sur les améliorations sont-ils recueillis ?</t>
  </si>
  <si>
    <t xml:space="preserve">Rapports d’interopérabilité avec les systèmes existants  </t>
  </si>
  <si>
    <t xml:space="preserve">Défaillances dans la gestion des clés cryptographiques.  </t>
  </si>
  <si>
    <t xml:space="preserve">Complexité accrue dans la gestion des environnements hybrides.  </t>
  </si>
  <si>
    <t xml:space="preserve">Concevoir une matrice d'alignement stratégique entre les architectures techniques et les frameworks reconnus comme TOGAF ou Zachman.  </t>
  </si>
  <si>
    <t>Le taux d'adoption et la satisfaction sont-ils mesurés ?</t>
  </si>
  <si>
    <t xml:space="preserve">Procédures de modularité des applications  </t>
  </si>
  <si>
    <t xml:space="preserve">Non-respect des engagements de service (SLA) envers les utilisateurs finaux.  </t>
  </si>
  <si>
    <t xml:space="preserve">Incapacité à garantir la disponibilité des services lors des pics de charge.  </t>
  </si>
  <si>
    <t xml:space="preserve">Établir des procédures de tests de non-régression automatisés pour les correctifs critiques conformément aux normes ISO 27034 sur la sécurité des applications.  </t>
  </si>
  <si>
    <t>Une démarche d'amélioration continue est-elle en place ?</t>
  </si>
  <si>
    <t xml:space="preserve">Documentation des architectures microservices  </t>
  </si>
  <si>
    <t xml:space="preserve">Inadéquation des mécanismes d'authentification multifacteur.  </t>
  </si>
  <si>
    <t xml:space="preserve">Dégradation de la performance des systèmes de journalisation centralisés.  </t>
  </si>
  <si>
    <t xml:space="preserve">Déployer des outils de supervision centralisée des performances réseau et applicatives pour détecter les anomalies en temps réel.  </t>
  </si>
  <si>
    <t>Les améliorations sont-elles effectivement mises en œuvre ?</t>
  </si>
  <si>
    <t xml:space="preserve">Absence de documentation technique à jour pour les applications critiques.  </t>
  </si>
  <si>
    <t xml:space="preserve">Exposition aux erreurs de configuration des systèmes de haute disponibilité.  </t>
  </si>
  <si>
    <t xml:space="preserve">Mettre en place des audits réguliers des configurations des équipements réseau selon les bonnes pratiques CIS Benchmarks.  </t>
  </si>
  <si>
    <t>Un document de réingénierie des processus existe-t-il ?</t>
  </si>
  <si>
    <t xml:space="preserve">Logs de corrections appliquées en production  </t>
  </si>
  <si>
    <t xml:space="preserve">Manque de redondance des équipements réseau essentiels.  </t>
  </si>
  <si>
    <t xml:space="preserve">Détérioration de la cohérence des politiques de gestion des journaux.  </t>
  </si>
  <si>
    <t xml:space="preserve">Instaurer des revues techniques indépendantes des développements logiciels pour garantir la conformité aux standards de codage sécurisé (OWASP, CWE).  </t>
  </si>
  <si>
    <t>Les gains d'efficacité sont-ils quantifiés ?</t>
  </si>
  <si>
    <t xml:space="preserve">Procédures de contrôle qualité post-déploiement  </t>
  </si>
  <si>
    <t xml:space="preserve">Défaut de mise à jour des politiques de sécurité face aux nouvelles menaces.  </t>
  </si>
  <si>
    <t xml:space="preserve">Faible résilience face aux pannes matérielles non anticipées.  </t>
  </si>
  <si>
    <t xml:space="preserve">Créer un référentiel unique des actifs IT avec classification des données sensibles selon ISO 27001.  </t>
  </si>
  <si>
    <t>Les nouveaux processus améliorent-ils les temps de traitement ?</t>
  </si>
  <si>
    <t xml:space="preserve">Rapports de satisfaction des utilisateurs finaux  </t>
  </si>
  <si>
    <t xml:space="preserve">Insuffisance des audits internes sur les processus de développement logiciel.  </t>
  </si>
  <si>
    <t xml:space="preserve">Perte de confiance dans la fiabilité des mécanismes de reprise après sinistre.  </t>
  </si>
  <si>
    <t xml:space="preserve">Définir des procédures de gestion des identités privilégiées (PAM) avec rotation des accès et journalisation renforcée.  </t>
  </si>
  <si>
    <t>Les équipes sont-elles formées aux nouveaux processus ?</t>
  </si>
  <si>
    <t xml:space="preserve">Exposition aux risques légaux liés à l'utilisation de licences non conformes.  </t>
  </si>
  <si>
    <t xml:space="preserve">Désorganisation des processus de gestion des mises à jour critiques.  </t>
  </si>
  <si>
    <t xml:space="preserve">Implémenter des contrôles d'intégrité des données avant et après les migrations via des outils de checksum et de validation métier.  </t>
  </si>
  <si>
    <t>Les nouveaux processus sont-ils appliqués concrètement ?</t>
  </si>
  <si>
    <t xml:space="preserve">Benchmarks sectoriels de performance IT  </t>
  </si>
  <si>
    <t xml:space="preserve">Défaillance dans le contrôle des modifications non autorisées des paramètres système.  </t>
  </si>
  <si>
    <t xml:space="preserve">Incapacité à maintenir un inventaire précis des licences logicielles.  </t>
  </si>
  <si>
    <t xml:space="preserve">Adopter une politique de chiffrement systématique des données en transit et au repos conforme à ISO 27018 pour le cloud.  </t>
  </si>
  <si>
    <t>Un rapport d'alignement processus/application existe-t-il ?</t>
  </si>
  <si>
    <t xml:space="preserve">Analyse coûts-avantages (ROI) des projets IT  </t>
  </si>
  <si>
    <t xml:space="preserve">Absence de procédures formalisées pour la gestion des vulnérabilités logicielles.  </t>
  </si>
  <si>
    <t xml:space="preserve">Augmentation des risques liés à l'utilisation de composants open source non supportés.  </t>
  </si>
  <si>
    <t xml:space="preserve">Renforcer les contrôles d'accès physique aux datacenters via des systèmes biométriques et journalisation des entrées/sorties.  </t>
  </si>
  <si>
    <t>Les utilisateurs trouvent-ils les processus adaptés ?</t>
  </si>
  <si>
    <t xml:space="preserve">Procédures de réingénierie des processus métiers  </t>
  </si>
  <si>
    <t xml:space="preserve">Non-respect des exigences de confidentialité des données métiers sensibles.  </t>
  </si>
  <si>
    <t xml:space="preserve">Exposition aux erreurs de conception des workflows d'approbation.  </t>
  </si>
  <si>
    <t xml:space="preserve">Déployer des solutions de détection d'intrusions (IDS/IPS) alignées sur les recommandations NIST SP 800-94.  </t>
  </si>
  <si>
    <t>La productivité est-elle améliorée ?</t>
  </si>
  <si>
    <t xml:space="preserve">Tableaux de bord d’alignement stratégique  </t>
  </si>
  <si>
    <t xml:space="preserve">Incapacité à détecter les activités anormales sur les comptes administrateurs.  </t>
  </si>
  <si>
    <t xml:space="preserve">Détérioration de la qualité des services de support technique.  </t>
  </si>
  <si>
    <t xml:space="preserve">Élaborer un plan de continuité d'activité (PCA) testé annuellement avec scénarios réalistes couvrant les pannes critiques.  </t>
  </si>
  <si>
    <t>Des plans d'optimisation des processus existent-ils ?</t>
  </si>
  <si>
    <t xml:space="preserve">Procédures d’archivage sécurisé des données  </t>
  </si>
  <si>
    <t xml:space="preserve">Manque de supervision centralisée des journaux de sécurité.  </t>
  </si>
  <si>
    <t xml:space="preserve">Faible capacité à détecter les anomalies dans les logs système.  </t>
  </si>
  <si>
    <t xml:space="preserve">Instaurer des revues post-incident systématiques pour améliorer les processus de réponse aux violations de données.  </t>
  </si>
  <si>
    <t>Les améliorations sont-elles mises en production ?</t>
  </si>
  <si>
    <t xml:space="preserve">Logs de suppression sécurisée des données obsolètes  </t>
  </si>
  <si>
    <t xml:space="preserve">Défaut de conformité aux cadres réglementaires sectoriels spécifiques.  </t>
  </si>
  <si>
    <t xml:space="preserve">Perte de cohérence dans les stratégies de gestion des correctifs.  </t>
  </si>
  <si>
    <t xml:space="preserve">Mettre en œuvre des mécanismes de segmentation réseau (microsegmentation) pour isoler les zones sensibles.  </t>
  </si>
  <si>
    <t>Un rapport sur les traitements automatisés existe-t-il ?</t>
  </si>
  <si>
    <t xml:space="preserve">Insuffisance des tests de pénétration sur les interfaces exposées.  </t>
  </si>
  <si>
    <t xml:space="preserve">Désalignement entre les outils de supervision et les besoins opérationnels.  </t>
  </si>
  <si>
    <t xml:space="preserve">Définir des SLA stricts avec les fournisseurs cloud incluant des clauses de sécurité et de conformité RGPD.  </t>
  </si>
  <si>
    <t>Les gains de temps par rapport au manuel sont-ils mesurés ?</t>
  </si>
  <si>
    <t xml:space="preserve">Workflows de validation des corrections de données  </t>
  </si>
  <si>
    <t xml:space="preserve">Absence de stratégie claire pour la gestion des correctifs critiques.  </t>
  </si>
  <si>
    <t xml:space="preserve">Complexité accrue dans la gestion des droits d'accès aux API.  </t>
  </si>
  <si>
    <t xml:space="preserve">Automatiser la gestion des vulnérabilités via des outils SCAP et des scans réguliers conformes à ISO 27005.  </t>
  </si>
  <si>
    <t>Le taux d'erreur a-t-il diminué ?</t>
  </si>
  <si>
    <t xml:space="preserve">Procédures de contrôle d’accès physique aux serveurs  </t>
  </si>
  <si>
    <t xml:space="preserve">Non-application des principes de moindre privilège dans les habilitations.  </t>
  </si>
  <si>
    <t xml:space="preserve">Incapacité à garantir la conformité aux normes de codage sécurisé.  </t>
  </si>
  <si>
    <t xml:space="preserve">Créer des workflows d'approbation hiérarchique pour les modifications critiques, intégrant la règle des quatre yeux.  </t>
  </si>
  <si>
    <t>Des optimisations sont-elles planifiées ?</t>
  </si>
  <si>
    <t xml:space="preserve">Rapports d’audit de conformité RGPD/ISO  </t>
  </si>
  <si>
    <t xml:space="preserve">Défaillance dans la protection des APIs contre les exploitations malveillantes.  </t>
  </si>
  <si>
    <t xml:space="preserve">Dégradation de la résilience des systèmes face aux attaques zero-day.  </t>
  </si>
  <si>
    <t xml:space="preserve">Déployer des solutions SIEM pour centraliser et analyser les logs conformément à ISO 27007.  </t>
  </si>
  <si>
    <t>Les optimisations sont-elles testées et validées ?</t>
  </si>
  <si>
    <t xml:space="preserve">Procédures de réponse aux incidents de sécurité  </t>
  </si>
  <si>
    <t xml:space="preserve">Manque de revues périodiques des configurations de pare-feu.  </t>
  </si>
  <si>
    <t xml:space="preserve">Exposition aux vulnérabilités des systèmes de gestion de contenu.  </t>
  </si>
  <si>
    <t xml:space="preserve">Formaliser une politique de sauvegarde incluant des tests de restauration trimestriels et un stockage hors site chiffré.  </t>
  </si>
  <si>
    <t>Un document d'architecture technique existe-t-il ?</t>
  </si>
  <si>
    <t xml:space="preserve">Plan de reprise d’activité (PRA) testé  </t>
  </si>
  <si>
    <t xml:space="preserve">Exposition aux risques d'interruption de service en cas de défaillance matérielle.  </t>
  </si>
  <si>
    <t xml:space="preserve">Détérioration de la crédibilité des processus de gestion des configurations.  </t>
  </si>
  <si>
    <t xml:space="preserve">Instaurer des audits de conformité réguliers des configurations serveur aux benchmarks CIS.  </t>
  </si>
  <si>
    <t>Des tests de montée en charge ont-ils été réalisés ?</t>
  </si>
  <si>
    <t xml:space="preserve">Procédures de gestion des identités (IAM)  </t>
  </si>
  <si>
    <t xml:space="preserve">Absence de mécanismes de détection des fuites de données sensibles.  </t>
  </si>
  <si>
    <t xml:space="preserve">Faible maîtrise des impacts des migrations de données massives.  </t>
  </si>
  <si>
    <t xml:space="preserve">Adopter des contrôles d'accès dynamiques (RBAC) alignés sur les besoins métiers et revus semestriellement.  </t>
  </si>
  <si>
    <t>La disponibilité du système est-elle satisfaisante ?</t>
  </si>
  <si>
    <t xml:space="preserve">Logs de tentatives d’accès non autorisées  </t>
  </si>
  <si>
    <t xml:space="preserve">Non-conformité aux exigences de traçabilité des opérations financières.  </t>
  </si>
  <si>
    <t xml:space="preserve">Perte d'efficacité dans la gestion des environnements virtualisés.  </t>
  </si>
  <si>
    <t xml:space="preserve">Intégrer des revues de code automatisées dans le pipeline CI/CD pour détecter les failles de sécurité early-stage.  </t>
  </si>
  <si>
    <t>Des évolutions architecturales sont-elles prévues ?</t>
  </si>
  <si>
    <t xml:space="preserve">Procédures de gestion des mots de passe  </t>
  </si>
  <si>
    <t xml:space="preserve">Défaut de mise en œuvre des recommandations issues des audits précédents.  </t>
  </si>
  <si>
    <t xml:space="preserve">Désorganisation des mécanismes de contrôle d'accès physique aux datacenters.  </t>
  </si>
  <si>
    <t xml:space="preserve">Mettre en place des formations obligatoires sur la cybersécurité pour tous les employés, avec simulations de phishing.  </t>
  </si>
  <si>
    <t>Les équipes sont-elles formées sur l'architecture ?</t>
  </si>
  <si>
    <t xml:space="preserve">Politique de complexité des mots de passe  </t>
  </si>
  <si>
    <t xml:space="preserve">Insuffisance des contrôles d'accès physique aux salles serveurs.  </t>
  </si>
  <si>
    <t xml:space="preserve">Incapacité à maintenir un niveau de sécurité conforme aux attentes des clients.  </t>
  </si>
  <si>
    <t xml:space="preserve">Définir des procédures de gestion des incidents critiques incluant une communication structurée avec les parties prenantes.  </t>
  </si>
  <si>
    <t>Des tableaux de bord avec KPI existent-ils ?</t>
  </si>
  <si>
    <t xml:space="preserve">Procédures de verrouillage des comptes après échecs  </t>
  </si>
  <si>
    <t xml:space="preserve">Absence de procédures de gestion des identités numériques temporaires.  </t>
  </si>
  <si>
    <t xml:space="preserve">Augmentation des coûts liés à la non-conformité aux standards du secteur.  </t>
  </si>
  <si>
    <t xml:space="preserve">Implémenter des contrôles d'intégrité des sauvegardes via des signatures numériques et des checksums.  </t>
  </si>
  <si>
    <t>Les performances correspondent-elles aux objectifs ?</t>
  </si>
  <si>
    <t xml:space="preserve">Alertes automatiques de sécurité configurées  </t>
  </si>
  <si>
    <t xml:space="preserve">Non-respect des bonnes pratiques en matière de gestion des mots de passe.  </t>
  </si>
  <si>
    <t xml:space="preserve">Exposition aux erreurs de configuration des systèmes de détection de fraudes.  </t>
  </si>
  <si>
    <t xml:space="preserve">Déployer des solutions de monitoring des performances applicatives en temps réel avec alertes proactives.  </t>
  </si>
  <si>
    <t>Les SLA couvrent-ils les aspects critiques ?</t>
  </si>
  <si>
    <t xml:space="preserve">Procédures de réponse aux cybermenaces  </t>
  </si>
  <si>
    <t xml:space="preserve">Défaillance dans l'isolation des environnements virtuels critiques.  </t>
  </si>
  <si>
    <t xml:space="preserve">Détérioration de la qualité des services de gestion des vulnérabilités.  </t>
  </si>
  <si>
    <t xml:space="preserve">Établir une gouvernance des identités (IGA) pour harmoniser les cycles de vie des comptes utilisateurs.  </t>
  </si>
  <si>
    <t>Des plans d'amélioration basés sur les KPI existent-ils ?</t>
  </si>
  <si>
    <t xml:space="preserve">Rapports de tests d’intrusion pentest  </t>
  </si>
  <si>
    <t xml:space="preserve">Manque de documentation opérationnelle pour les scénarios de reprise.  </t>
  </si>
  <si>
    <t xml:space="preserve">Faible capacité à anticiper les évolutions des menaces cyber.  </t>
  </si>
  <si>
    <t xml:space="preserve">Créer un comité de pilotage SI pour superviser l'alignement des architectures techniques avec la stratégie métier.  </t>
  </si>
  <si>
    <t>Les performances sont-elles communiquées aux parties prenantes ?</t>
  </si>
  <si>
    <t xml:space="preserve">Procédures de mise à jour des correctifs de sécurité  </t>
  </si>
  <si>
    <t xml:space="preserve">Exposition aux risques de corruption des données lors des transferts massifs.  </t>
  </si>
  <si>
    <t xml:space="preserve">Perte de contrôle sur les données sensibles lors des transferts internationaux.  </t>
  </si>
  <si>
    <t xml:space="preserve">Adopter des outils de gestion des configurations (CMDB) pour maintenir un inventaire précis des actifs IT.  </t>
  </si>
  <si>
    <t>Des outils de monitoring sont-ils déployés ?</t>
  </si>
  <si>
    <t xml:space="preserve">Documentation des configurations sécurisées  </t>
  </si>
  <si>
    <t xml:space="preserve">Absence de validation des sauvegardes par des tests de restauration réguliers.  </t>
  </si>
  <si>
    <t xml:space="preserve">Désalignement entre les politiques de sécurité et les réalités opérationnelles.  </t>
  </si>
  <si>
    <t xml:space="preserve">Mettre en œuvre des contrôles d'accès réseau Zero Trust avec authentification multifacteur (MFA).  </t>
  </si>
  <si>
    <t>Les tableaux de bord sont-ils actualisés régulièrement ?</t>
  </si>
  <si>
    <t xml:space="preserve">Procédures de surveillance des réseaux  </t>
  </si>
  <si>
    <t xml:space="preserve">Non-conformité aux exigences de conservation des preuves d'audit.  </t>
  </si>
  <si>
    <t xml:space="preserve">Complexité accrue dans la gestion des identités privilégiées.  </t>
  </si>
  <si>
    <t xml:space="preserve">Instaurer des revues indépendantes des contrats fournisseurs pour garantir le respect des clauses de sécurité.  </t>
  </si>
  <si>
    <t>Les KPI sont-ils pertinents et actionnables ?</t>
  </si>
  <si>
    <t xml:space="preserve">Logs de trafic réseau analysés  </t>
  </si>
  <si>
    <t xml:space="preserve">Défaut de supervision des activités des prestataires externes hébergeant des données.  </t>
  </si>
  <si>
    <t xml:space="preserve">Incapacité à garantir l'exhaustivité des audits de sécurité périodiques.  </t>
  </si>
  <si>
    <t xml:space="preserve">Déployer des solutions de prévention des pertes de données (DLP) pour protéger les informations sensibles.  </t>
  </si>
  <si>
    <t>Les équipes sont-elles formées à l'utilisation des outils ?</t>
  </si>
  <si>
    <t xml:space="preserve">Procédures de segmentation réseau  </t>
  </si>
  <si>
    <t xml:space="preserve">Insuffisance des contrôles d'intégrité des applications métiers critiques.  </t>
  </si>
  <si>
    <t xml:space="preserve">Dégradation de la résilience des systèmes face aux attaques par ingénierie sociale.  </t>
  </si>
  <si>
    <t xml:space="preserve">Créer des procédures de gestion des risques tiers incluant des audits de conformité des partenaires externes.  </t>
  </si>
  <si>
    <t>Les décisions s'appuient-elles sur les données des tableaux ?</t>
  </si>
  <si>
    <t xml:space="preserve">Certificats SSL/TLS à jour  </t>
  </si>
  <si>
    <t xml:space="preserve">Absence de stratégie de gestion des risques liés à l'infrastructure cloud.  </t>
  </si>
  <si>
    <t xml:space="preserve">Exposition aux vulnérabilités des systèmes de paiement électronique.  </t>
  </si>
  <si>
    <t xml:space="preserve">Implémenter des tests d'intrusion annuels réalisés par des auditeurs externes certifiés (OSCP, CEH).  </t>
  </si>
  <si>
    <t>Une feuille de route technologique existe-t-elle ?</t>
  </si>
  <si>
    <t xml:space="preserve">Organigramme officiel du comité signé par la direction  </t>
  </si>
  <si>
    <t xml:space="preserve">Non-respect des exigences de segmentation réseau pour les données sensibles.  </t>
  </si>
  <si>
    <t xml:space="preserve">Détérioration de la cohérence des stratégies de gestion des risques tiers.  </t>
  </si>
  <si>
    <t xml:space="preserve">Définir des politiques de durcissement des systèmes basées sur les guides CIS Hardening Checklists.  </t>
  </si>
  <si>
    <t>Des tests de montée en charge ont-ils validé la scalabilité ?</t>
  </si>
  <si>
    <t xml:space="preserve">Procès-verbaux de réunion des 6 derniers mois  </t>
  </si>
  <si>
    <t xml:space="preserve">Défaillance dans la gestion des certificats numériques expirés ou compromis.  </t>
  </si>
  <si>
    <t xml:space="preserve">Faible maîtrise des impacts des transformations numériques sur les processus métiers.  </t>
  </si>
  <si>
    <t xml:space="preserve">Instaurer des mécanismes de validation automatisée des entrées utilisateur pour prévenir les injections SQL/XSS.  </t>
  </si>
  <si>
    <t>Les contrats avec éditeurs garantissent-ils l'évolutivité ?</t>
  </si>
  <si>
    <t xml:space="preserve">CV et certifications des membres du comité  </t>
  </si>
  <si>
    <t xml:space="preserve">Manque de revues indépendantes des architectures techniques critiques.  </t>
  </si>
  <si>
    <t xml:space="preserve">Perte d'agilité dans l'adaptation aux nouvelles technologies émergentes.  </t>
  </si>
  <si>
    <t xml:space="preserve">Adopter des solutions de chiffrement homomorphe pour les données sensibles en traitement analytique.  </t>
  </si>
  <si>
    <t>Des budgets sont-ils prévus pour les mises à niveau ?</t>
  </si>
  <si>
    <t xml:space="preserve">Mandat écrit du comité définissant missions et fréquence  </t>
  </si>
  <si>
    <t xml:space="preserve">Exposition aux attaques par ingénierie sociale en raison de formations insuffisantes.  </t>
  </si>
  <si>
    <t xml:space="preserve">Désorganisation des mécanismes de gestion des incidents de sécurité majeurs.  </t>
  </si>
  <si>
    <t xml:space="preserve">Mettre en place des contrôles de redondance matérielle et logicielle pour les infrastructures critiques.  </t>
  </si>
  <si>
    <t>Les utilisateurs confirment-ils la bonne scalabilité ?</t>
  </si>
  <si>
    <t xml:space="preserve">Emails ou documents internes de diffusion des décisions  </t>
  </si>
  <si>
    <t xml:space="preserve">Absence de procédures de réponse coordonnée aux incidents cybernétiques.  </t>
  </si>
  <si>
    <t xml:space="preserve">Incapacité à maintenir un niveau de conformité aux exigences RGPD.  </t>
  </si>
  <si>
    <t xml:space="preserve">Créer des procédures de gestion des mises à jour correctives avec fenêtres de maintenance planifiées.  </t>
  </si>
  <si>
    <t>Un rapport d'évaluation technologique existe-t-il ?</t>
  </si>
  <si>
    <t xml:space="preserve">Document "Politique des Applications" approuvé  </t>
  </si>
  <si>
    <t xml:space="preserve">Non-conformité aux exigences de journalisation des accès aux données réglementées.  </t>
  </si>
  <si>
    <t xml:space="preserve">Augmentation des risques liés à la gestion des données personnelles.  </t>
  </si>
  <si>
    <t xml:space="preserve">Déployer des outils de gestion des vulnérabilités des conteneurs et orchestrateurs (Kubernetes, Docker).  </t>
  </si>
  <si>
    <t>La compatibilité avec l'existant est-elle validée ?</t>
  </si>
  <si>
    <t xml:space="preserve">Historique des versions de la politique avec dates  </t>
  </si>
  <si>
    <t xml:space="preserve">Défaut de mise à jour des contrats de sous-traitance informatique.  </t>
  </si>
  <si>
    <t xml:space="preserve">Exposition aux erreurs de configuration des systèmes de chiffrement.  </t>
  </si>
  <si>
    <t xml:space="preserve">Instaurer des revues architecturales systématiques pour les nouveaux projets, intégrant les principes Secure by Design.  </t>
  </si>
  <si>
    <t>Les retours utilisateurs sur la technologie sont-ils positifs ?</t>
  </si>
  <si>
    <t xml:space="preserve">Mentions de conformité RGPD/ISO dans la politique  </t>
  </si>
  <si>
    <t xml:space="preserve">Insuffisance des contrôles sur les intégrations de systèmes hétérogènes.  </t>
  </si>
  <si>
    <t xml:space="preserve">Détérioration de la qualité des services de gestion des accès à distance.  </t>
  </si>
  <si>
    <t xml:space="preserve">Implémenter des contrôles d'accès temporels pour les comptes privilégiés (juste-à-temps).  </t>
  </si>
  <si>
    <t>Une migration vers des technologies plus récentes est-elle prévue ?</t>
  </si>
  <si>
    <t xml:space="preserve">Accusés de réception signés par les employés  </t>
  </si>
  <si>
    <t xml:space="preserve">Absence de politique claire pour la gestion des actifs numériques obsolètes.  </t>
  </si>
  <si>
    <t>Faible capacité à détecter les activités suspectes sur les</t>
  </si>
  <si>
    <t xml:space="preserve">Définir des indicateurs de performance (KRI/KPI) pour mesurer l'efficacité des contrôles de sécurité.  </t>
  </si>
  <si>
    <t>Les équipes sont-elles formées sur les nouvelles technologies ?</t>
  </si>
  <si>
    <t xml:space="preserve">Non-respect des normes industrielles en matière de codage sécurisé.  </t>
  </si>
  <si>
    <t xml:space="preserve">Défaut d'alignement stratégique entre les technologies et les objectifs métiers  </t>
  </si>
  <si>
    <t xml:space="preserve">Adopter des solutions de gestion des certificats numériques (PKI) automatisée pour éviter les expirations.  </t>
  </si>
  <si>
    <t>Des rapports de maturité technologique existent-ils ?</t>
  </si>
  <si>
    <t xml:space="preserve">Fiches de poste pour chaque profil utilisateur  </t>
  </si>
  <si>
    <t xml:space="preserve">Défaillance dans la gestion des dépendances logicielles non patchées.  </t>
  </si>
  <si>
    <t xml:space="preserve">Incapacité à répondre aux besoins évolutifs de l'organisation  </t>
  </si>
  <si>
    <t xml:space="preserve">Mettre en œuvre des audits réguliers des droits d'accès aux bases de données sensibles.  </t>
  </si>
  <si>
    <t>La stabilité des technologies est-elle démontrée ?</t>
  </si>
  <si>
    <t xml:space="preserve">Charte d'utilisation signée par les utilisateurs  </t>
  </si>
  <si>
    <t xml:space="preserve">Manque de supervision des performances des mécanismes de chiffrement.  </t>
  </si>
  <si>
    <t xml:space="preserve">Fragmentation des processus de gouvernance informatique  </t>
  </si>
  <si>
    <t xml:space="preserve">Créer des procédures de réponse aux incidents ransomware incluant des sauvegardes isolées et immuables.  </t>
  </si>
  <si>
    <t>Les utilisateurs trouvent-ils le système stable ?</t>
  </si>
  <si>
    <t xml:space="preserve">Tableau de gestion des accès à jour  </t>
  </si>
  <si>
    <t xml:space="preserve">Exposition aux risques de non-conformité lors des audits externes réglementaires.  </t>
  </si>
  <si>
    <t xml:space="preserve">Délais prolongés dans la prise de décision stratégique  </t>
  </si>
  <si>
    <t xml:space="preserve">Déployer des technologies EDR (Endpoint Detection and Response) pour surveiller les terminaux.  </t>
  </si>
  <si>
    <t>Des mises à jour vers versions stables sont-elles planifiées ?</t>
  </si>
  <si>
    <t xml:space="preserve">Logs d'accès corrélés aux rôles déclarés  </t>
  </si>
  <si>
    <t xml:space="preserve">Absence de procédures de gestion des droits d'accès en cas de départ du personnel.  </t>
  </si>
  <si>
    <t xml:space="preserve">Exposition accrue aux cybermenaces par manque de contrôles modernes  </t>
  </si>
  <si>
    <t xml:space="preserve">Instaurer des tests de résistance aux attaques DDoS pour les services exposés sur Internet.  </t>
  </si>
  <si>
    <t>Le support technique des éditeurs est-il satisfaisant ?</t>
  </si>
  <si>
    <t xml:space="preserve">Procédure de révision trimestrielle des droits  </t>
  </si>
  <si>
    <t xml:space="preserve">Non-respect des exigences de documentation des flux de données transfrontaliers.  </t>
  </si>
  <si>
    <t xml:space="preserve">Non-conformité aux exigences légales en matière de sécurité des données  </t>
  </si>
  <si>
    <t xml:space="preserve">Implémenter des contrôles d'accès contextuels basés sur le comportement utilisateur (UEBA).  </t>
  </si>
  <si>
    <t>Des tests de montée en charge avec croissance simulée existent-ils ?</t>
  </si>
  <si>
    <t xml:space="preserve">Rapport d'analyse des risques daté de moins de 12 mois  </t>
  </si>
  <si>
    <t xml:space="preserve">Défaut de contrôle des accès aux outils de développement et de débogage.  </t>
  </si>
  <si>
    <t xml:space="preserve">Dégradation de la qualité des données due à des procédures obsolètes  </t>
  </si>
  <si>
    <t xml:space="preserve">Définir des politiques de conservation et de destruction sécurisée des données conformes au RGPD.  </t>
  </si>
  <si>
    <t>Les performances en charge maximale sont-elles acceptables ?</t>
  </si>
  <si>
    <t xml:space="preserve">Documentation méthodologique (EBIOS, OCTAVE)  </t>
  </si>
  <si>
    <t xml:space="preserve">Insuffisance des mécanismes de détection des modifications non autorisées.  </t>
  </si>
  <si>
    <t xml:space="preserve">Augmentation des coûts opérationnels liés à des inefficacités techniques  </t>
  </si>
  <si>
    <t xml:space="preserve">Adopter des solutions de gestion des risques opérationnels alignées sur le framework COSO ERM.  </t>
  </si>
  <si>
    <t>Un plan d'extension de l'infrastructure existe-t-il ?</t>
  </si>
  <si>
    <t xml:space="preserve">Liste des risques critiques identifiés  </t>
  </si>
  <si>
    <t xml:space="preserve">Absence de revues périodiques des configurations de sécurité des bases de données.  </t>
  </si>
  <si>
    <t xml:space="preserve">Perte de confiance des parties prenantes envers les systèmes informatiques  </t>
  </si>
  <si>
    <t xml:space="preserve">Mettre en place des revues post-déploiement pour évaluer l'efficacité des correctifs appliqués.  </t>
  </si>
  <si>
    <t>Des budgets sont-ils alloués pour cette extension ?</t>
  </si>
  <si>
    <t xml:space="preserve">Plan d'action avec responsables et échéances  </t>
  </si>
  <si>
    <t xml:space="preserve">Exposition aux risques de perte de données en raison de sauvegardes défectueuses.  </t>
  </si>
  <si>
    <t xml:space="preserve">Risque accru de violations de données sensibles  </t>
  </si>
  <si>
    <t xml:space="preserve">Créer des procédures de gestion des identités dans les environnements multicloud (Azure AD, AWS IAM).  </t>
  </si>
  <si>
    <t>Les utilisateurs confirment-ils la bonne gestion de la croissance ?</t>
  </si>
  <si>
    <t xml:space="preserve">Rapports de suivi de mise en œuvre des actions  </t>
  </si>
  <si>
    <t xml:space="preserve">Non-conformité aux exigences de traçabilité des modifications du code source.  </t>
  </si>
  <si>
    <t xml:space="preserve">Interruptions fréquentes des services critiques  </t>
  </si>
  <si>
    <t xml:space="preserve">Déployer des outils de détection des anomalies de trafic réseau (NetFlow, sFlow).  </t>
  </si>
  <si>
    <t>Un rapport d'intégration avec les systèmes existants existe-t-il ?</t>
  </si>
  <si>
    <t xml:space="preserve">Historique des mises à jour de l'analyse des risques  </t>
  </si>
  <si>
    <t xml:space="preserve">Défaillance dans la gestion des vulnérabilités des composants tiers.  </t>
  </si>
  <si>
    <t xml:space="preserve">Difficultés à maintenir la continuité des activités en cas de sinistre  </t>
  </si>
  <si>
    <t xml:space="preserve">Instaurer des contrôles de conformité automatiques pour les configurations d'infrastructure as-code (Terraform).  </t>
  </si>
  <si>
    <t>L'interopérabilité avec les autres applications est-elle validée ?</t>
  </si>
  <si>
    <t xml:space="preserve">Procédures d'intégration des nouveaux risques  </t>
  </si>
  <si>
    <t xml:space="preserve">Manque de procédures de contrôle qualité pour les mises à jour logicielles.  </t>
  </si>
  <si>
    <t xml:space="preserve">Désynchronisation entre les équipes métiers et informatiques  </t>
  </si>
  <si>
    <t xml:space="preserve">Implémenter des mécanismes de vérification d'intégrité des firmware et BIOS des équipements critiques.  </t>
  </si>
  <si>
    <t>Les utilisateurs trouvent-ils l'intégration satisfaisante ?</t>
  </si>
  <si>
    <t xml:space="preserve">Tableaux de bord des indicateurs de risques  </t>
  </si>
  <si>
    <t xml:space="preserve">Absence de tests de résistance aux attaques sur les interfaces utilisateurs.  </t>
  </si>
  <si>
    <t xml:space="preserve">Augmentation des erreurs humaines lors des opérations quotidiennes  </t>
  </si>
  <si>
    <t xml:space="preserve">Définir des stratégies de sortie sécurisée pour les technologies obsolètes (EOL/EOS).  </t>
  </si>
  <si>
    <t>Une migration vers des systèmes intégrés est-elle prévue ?</t>
  </si>
  <si>
    <t xml:space="preserve">Non-respect des bonnes pratiques en matière de gestion des sessions utilisateurs.  </t>
  </si>
  <si>
    <t xml:space="preserve">Détérioration de la performance globale des applications  </t>
  </si>
  <si>
    <t xml:space="preserve">Adopter des contrôles d'accès granulaires aux APIs métier via des solutions API Gateway.  </t>
  </si>
  <si>
    <t>Les équipes sont-elles formées sur les interfaces d'intégration ?</t>
  </si>
  <si>
    <t xml:space="preserve">Supports de sensibilisation aux risques majeurs  </t>
  </si>
  <si>
    <t xml:space="preserve">Défaut de supervision des activités des comptes de service techniques.  </t>
  </si>
  <si>
    <t xml:space="preserve">Retards dans la résolution des incidents techniques  </t>
  </si>
  <si>
    <t xml:space="preserve">Mettre en œuvre des audits de code source pour les applications critiques selon les normes MISRA ou CERT.  </t>
  </si>
  <si>
    <t>Un rapport sur la modularité de l'application existe-t-il ?</t>
  </si>
  <si>
    <t xml:space="preserve">Insuffisance des contrôles d'intégrité des données dans les environnements virtualisés.  </t>
  </si>
  <si>
    <t xml:space="preserve">Manque de visibilité sur les responsabilités en cas de défaillance  </t>
  </si>
  <si>
    <t xml:space="preserve">Créer des procédures de gestion des incidents de supply chain incluant les fournisseurs de composants logiciels.  </t>
  </si>
  <si>
    <t>L'ajout/suppression de modules est-il testé et fonctionnel ?</t>
  </si>
  <si>
    <t xml:space="preserve">Historique des révisions de classification  </t>
  </si>
  <si>
    <t xml:space="preserve">Absence de stratégie de gestion des risques liés à l'intelligence artificielle.  </t>
  </si>
  <si>
    <t xml:space="preserve">Faible adoption des outils par les utilisateurs finaux  </t>
  </si>
  <si>
    <t xml:space="preserve">Déployer des solutions de protection contre les attaques par ingénierie sociale (simulations, formations).  </t>
  </si>
  <si>
    <t>Les utilisateurs apprécient-ils la modularité ?</t>
  </si>
  <si>
    <t xml:space="preserve">Logs d'accès aux données sensibles sur 30 jours  </t>
  </si>
  <si>
    <t xml:space="preserve">Exposition aux failles de sécurité en raison de configurations par défaut non sécurisées.  </t>
  </si>
  <si>
    <t xml:space="preserve">Exposition aux amendes réglementaires pour non-respect des normes  </t>
  </si>
  <si>
    <t xml:space="preserve">Instaurer des contrôles de journalisation centralisée avec rétention conforme aux exigences légales.  </t>
  </si>
  <si>
    <t>Le développement de nouveaux modules est-il planifié ?</t>
  </si>
  <si>
    <t xml:space="preserve">Non-conformité aux exigences de chiffrement des communications internes.  </t>
  </si>
  <si>
    <t xml:space="preserve">Dépassements budgétaires récurrents dans les projets IT  </t>
  </si>
  <si>
    <t xml:space="preserve">Implémenter des mécanismes de validation des sauvegardes via des tests de restauration partiels automatisés.  </t>
  </si>
  <si>
    <t>Les équipes sont-elles formées sur l'architecture modulaire ?</t>
  </si>
  <si>
    <t xml:space="preserve">Attestations de formation sur la classification  </t>
  </si>
  <si>
    <t xml:space="preserve">Défaillance dans la gestion des accès aux outils d'administration à distance.  </t>
  </si>
  <si>
    <t xml:space="preserve">Incapacité à détecter les anomalies en temps réel  </t>
  </si>
  <si>
    <t xml:space="preserve">Définir des politiques de gestion des risques liés à l'IoT incluant l'isolation réseau et les mises à jour firmware.  </t>
  </si>
  <si>
    <t>Un historique des versions est-il maintenu ?</t>
  </si>
  <si>
    <t xml:space="preserve">Manuel d'administration mis à jour  </t>
  </si>
  <si>
    <t xml:space="preserve">Manque de revues indépendantes des politiques de contrôle d'accès logique.  </t>
  </si>
  <si>
    <t xml:space="preserve">Dégradation de l'intégrité des informations financières  </t>
  </si>
  <si>
    <t xml:space="preserve">Adopter des contrôles d'accès aux environnements de développement via des VPN sécurisés et MFA.  </t>
  </si>
  <si>
    <t>La compatibilité ascendante/descendante est-elle testée ?</t>
  </si>
  <si>
    <t xml:space="preserve">Absence de procédures de gestion des incidents liés aux fournisseurs cloud.  </t>
  </si>
  <si>
    <t xml:space="preserve">Vulnérabilité aux attaques internes par accès non contrôlés  </t>
  </si>
  <si>
    <t xml:space="preserve">Mettre en place des revues de sécurité pour les contrats d'externalisation, incluant des clauses de auditabilité.  </t>
  </si>
  <si>
    <t>Les utilisateurs sont-ils satisfaits des nouvelles versions ?</t>
  </si>
  <si>
    <t xml:space="preserve">Exemples de procédures détaillées avec captures  </t>
  </si>
  <si>
    <t xml:space="preserve">Non-respect des normes en matière de durcissement des systèmes d'exploitation.  </t>
  </si>
  <si>
    <t xml:space="preserve">Perte de compétitivité face aux innovations technologiques  </t>
  </si>
  <si>
    <t xml:space="preserve">Créer des procédures de réponse aux fuites de données personnelles conformes aux délais légaux du RGPD.  </t>
  </si>
  <si>
    <t>Une migration vers les dernières versions est-elle prévue ?</t>
  </si>
  <si>
    <t xml:space="preserve">Logs de consultation du manuel d'administration  </t>
  </si>
  <si>
    <t xml:space="preserve">Défaut de mise en œuvre des contrôles de sécurité pour les applications mobiles.  </t>
  </si>
  <si>
    <t xml:space="preserve">Défaillances dans la gestion des identités et des accès  </t>
  </si>
  <si>
    <t xml:space="preserve">Déployer des outils de gestion des correctifs automatisés (WSUS, SCCM) avec validation pré-déploiement.  </t>
  </si>
  <si>
    <t>Les équipes sont-elles formées sur les nouvelles versions ?</t>
  </si>
  <si>
    <t xml:space="preserve">Plan de formation de l'équipe d'administration  </t>
  </si>
  <si>
    <t xml:space="preserve">Insuffisance des mécanismes de détection des comportements anormaux des utilisateurs.  </t>
  </si>
  <si>
    <t xml:space="preserve">Risque de corruption des données lors des migrations  </t>
  </si>
  <si>
    <t xml:space="preserve">Instaurer des audits de conformité réguliers des configurations de sécurité des bases de données (Oracle, SQL).  </t>
  </si>
  <si>
    <t>Un suivi des demandes de maintenance existe-t-il ?</t>
  </si>
  <si>
    <t xml:space="preserve">Procédures écrites pour 5 processus critiques  </t>
  </si>
  <si>
    <t xml:space="preserve">Absence de documentation des dépendances critiques entre systèmes interconnectés.  </t>
  </si>
  <si>
    <t xml:space="preserve">Inadéquation des sauvegardes pour une restauration complète  </t>
  </si>
  <si>
    <t xml:space="preserve">Implémenter des contrôles de détection des modifications non autorisées via des solutions FIM (File Integrity Monitoring).  </t>
  </si>
  <si>
    <t>La résolution des demandes est-elle satisfaisante ?</t>
  </si>
  <si>
    <t xml:space="preserve">Procédures signées par les responsables  </t>
  </si>
  <si>
    <t xml:space="preserve">Exposition aux risques de compromission via des composants matériels non sécurisés.  </t>
  </si>
  <si>
    <t xml:space="preserve">Manque de traçabilité des actions administratives critiques  </t>
  </si>
  <si>
    <t xml:space="preserve">Définir des stratégies de chiffrement des sauvegardes cloud avec gestion centralisée des clés (HSM, KMS).  </t>
  </si>
  <si>
    <t>Les utilisateurs sont-ils satisfaits de la maintenance ?</t>
  </si>
  <si>
    <t xml:space="preserve">Logs d'exécution des processus  </t>
  </si>
  <si>
    <t xml:space="preserve">Non-conformité aux exigences de gestion des identités numériques temporaires.  </t>
  </si>
  <si>
    <t xml:space="preserve">Dépendance excessive vis-à-vis des fournisseurs externes  </t>
  </si>
  <si>
    <t xml:space="preserve">Adopter des contrôles d'accès aux outils d'administration à distance (RMM) avec journalisation renforcée.  </t>
  </si>
  <si>
    <t>Des améliorations des processus de maintenance sont-elles prévues ?</t>
  </si>
  <si>
    <t xml:space="preserve">Indicateurs de performance des procédures  </t>
  </si>
  <si>
    <t xml:space="preserve">Défaillance dans la protection des données sensibles lors des transferts interapplicatifs.  </t>
  </si>
  <si>
    <t xml:space="preserve">Incidents répétés de non-disponibilité des systèmes  </t>
  </si>
  <si>
    <t xml:space="preserve">Mettre en œuvre des tests d'évasion pour les solutions de sécurité (pare-feux, antivirus) lors des audits pentest.  </t>
  </si>
  <si>
    <t>Les équipes de maintenance sont-elles formées régulièrement ?</t>
  </si>
  <si>
    <t xml:space="preserve">Historique des mises à jour des procédures  </t>
  </si>
  <si>
    <t xml:space="preserve">Manque de supervision des journaux d'activité des systèmes de gestion des identités.  </t>
  </si>
  <si>
    <t xml:space="preserve">Difficultés à auditer les conformités techniques et réglementaires  </t>
  </si>
  <si>
    <t xml:space="preserve">Créer des procédures de gestion des risques liés à l'IA/ML incluant la validation des jeux de données et modèles.  </t>
  </si>
  <si>
    <t>Les CV et certifications des mainteneurs sont-ils à jour ?</t>
  </si>
  <si>
    <t xml:space="preserve">Comptes rendus mensuels des 6 derniers mois  </t>
  </si>
  <si>
    <t xml:space="preserve">Absence de procédures de gestion des risques liés aux technologies émergentes.  </t>
  </si>
  <si>
    <t xml:space="preserve">Augmentation des conflits d'intérêts dans les processus décisionnels  </t>
  </si>
  <si>
    <t xml:space="preserve">Déployer des solutions de monitoring des comportements utilisateurs pour détecter les activités anormales.  </t>
  </si>
  <si>
    <t>Les performances de l'équipe de maintenance sont-elles suivies ?</t>
  </si>
  <si>
    <t xml:space="preserve">Signature des comptes rendus par le propriétaire  </t>
  </si>
  <si>
    <t xml:space="preserve">Non-respect des bonnes pratiques en matière de gestion des clés de chiffrement.  </t>
  </si>
  <si>
    <t xml:space="preserve">Erreurs persistantes dans les traitements automatisés  </t>
  </si>
  <si>
    <t xml:space="preserve">Instaurer des contrôles de sécurité physique des périphériques amovibles via des politiques de blocage USB.  </t>
  </si>
  <si>
    <t>L'équipe résout-elle efficacement les incidents critiques ?</t>
  </si>
  <si>
    <t xml:space="preserve">Indicateurs clés (disponibilité, incidents)  </t>
  </si>
  <si>
    <t xml:space="preserve">Défaut de contrôle des accès aux outils de surveillance réseau.  </t>
  </si>
  <si>
    <t xml:space="preserve">Décalage entre les capacités techniques et les attentes utilisateurs  </t>
  </si>
  <si>
    <t xml:space="preserve">Implémenter des mécanismes de vérification de l'intégrité des images conteneurisées (Docker, Kubernetes).  </t>
  </si>
  <si>
    <t>Des recrutements pour renforcer l'équipe sont-ils prévus ?</t>
  </si>
  <si>
    <t xml:space="preserve">Plans d'actions correctives dans les comptes rendus  </t>
  </si>
  <si>
    <t xml:space="preserve">Insuffisance des mécanismes d'authentification pour les API critiques.  </t>
  </si>
  <si>
    <t xml:space="preserve">Risque de perte de données critiques lors de pannes  </t>
  </si>
  <si>
    <t xml:space="preserve">Définir des politiques de gestion des mots de passe excluant les réutilisations et imposant une complexité minimale.  </t>
  </si>
  <si>
    <t>Vérifier que le volume des demandes de maintenance évolutive 
est acceptable et cohérent avec l’utilisation de l’application</t>
  </si>
  <si>
    <t>La formation continue de l'équipe est-elle assurée ?</t>
  </si>
  <si>
    <t xml:space="preserve">Rapports de clôture des actions correctives  </t>
  </si>
  <si>
    <t xml:space="preserve">Absence de revues périodiques des politiques de sécurité des partenaires commerciaux.  </t>
  </si>
  <si>
    <t xml:space="preserve">Inefficacité des mécanismes de contrôle interne  </t>
  </si>
  <si>
    <t xml:space="preserve">Adopter des contrôles de sécurité pour les environnements DevOps (CI/CD sécurisé, secrets management).  </t>
  </si>
  <si>
    <t>La dépendance aux développeurs est-elle mesurée ?</t>
  </si>
  <si>
    <t xml:space="preserve">Exposition aux attaques par déni de service distribué (DDoS) en raison de protections insuffisantes.  </t>
  </si>
  <si>
    <t xml:space="preserve">Défaillances dans la gestion des configurations logicielles  </t>
  </si>
  <si>
    <t xml:space="preserve">Mettre en place des audits de conformité des configurations de sécurité des solutions SaaS utilisées.  </t>
  </si>
  <si>
    <t>L'autonomie de l'équipe de maintenance est-elle validée ?</t>
  </si>
  <si>
    <t xml:space="preserve">Historique des versions des documents  </t>
  </si>
  <si>
    <t xml:space="preserve">Non-conformité aux exigences de conservation des journaux d'audit réglementaires.  </t>
  </si>
  <si>
    <t xml:space="preserve">Manque de coordination entre les environnements de développement et production  </t>
  </si>
  <si>
    <t xml:space="preserve">Créer des procédures de réponse aux attaques zero-day incluant une veille active des vulnérabilités.  </t>
  </si>
  <si>
    <t>Les utilisateurs trouvent-ils l'équipe suffisamment autonome ?</t>
  </si>
  <si>
    <t xml:space="preserve">Exemples de procédures illustrées  </t>
  </si>
  <si>
    <t xml:space="preserve">Défaillance dans la gestion des vulnérabilités des systèmes de virtualisation.  </t>
  </si>
  <si>
    <t xml:space="preserve">Exposition aux vulnérabilités non corrigées  </t>
  </si>
  <si>
    <t xml:space="preserve">Déployer des solutions de prévention des exfiltrations de données via des proxies sécurisés et filtrage SSL.  </t>
  </si>
  <si>
    <t>Des actions pour réduire la dépendance existent-elles ?</t>
  </si>
  <si>
    <t xml:space="preserve">Accusés de réception de diffusion aux utilisateurs  </t>
  </si>
  <si>
    <t xml:space="preserve">Manque de procédures de réponse aux incidents de fuite de données personnelles.  </t>
  </si>
  <si>
    <t xml:space="preserve">Détérioration de la réputation de l'organisation  </t>
  </si>
  <si>
    <t xml:space="preserve">Instaurer des contrôles d'accès réseau basés sur l'identité (NAC) pour les équipements IoT et OT.  </t>
  </si>
  <si>
    <t>Les équipes sont-elles formées pour gagner en autonomie ?</t>
  </si>
  <si>
    <t xml:space="preserve">Planning de formation sur les documents  </t>
  </si>
  <si>
    <t xml:space="preserve">Absence de tests de résilience des infrastructures critiques face aux catastrophes naturelles.  </t>
  </si>
  <si>
    <t xml:space="preserve">Incapacité à répondre aux audits externes de conformité  </t>
  </si>
  <si>
    <t xml:space="preserve">Implémenter des mécanismes de validation des certificats SSL/TLS via des outils d'inspection approfondie.  </t>
  </si>
  <si>
    <t>Des références de l'éditeur (études de cas) existent-elles ?</t>
  </si>
  <si>
    <t xml:space="preserve">Matrice RBAC active  </t>
  </si>
  <si>
    <t xml:space="preserve">Non-respect des normes en matière de gestion des droits d'accès aux données médicales.  </t>
  </si>
  <si>
    <t xml:space="preserve">Prolifération de données obsolètes ou redondantes  </t>
  </si>
  <si>
    <t xml:space="preserve">Définir des politiques de gestion des risques liés aux APIs publiques incluant le throttling et le monitoring.  </t>
  </si>
  <si>
    <t>Les performances des solutions de l'éditeur sont-elles validées ?</t>
  </si>
  <si>
    <t xml:space="preserve">Défaut de supervision des activités des robots logiciels (RPA) dans les processus métiers.  </t>
  </si>
  <si>
    <t xml:space="preserve">Dépassement des délais de livraison des projets IT  </t>
  </si>
  <si>
    <t xml:space="preserve">Adopter des contrôles de sécurité pour les infrastructures hyperconvergées (HCI) avec isolation des workloads.  </t>
  </si>
  <si>
    <t>Les utilisateurs sont-ils satisfaits de l'éditeur ?</t>
  </si>
  <si>
    <t xml:space="preserve">Liste des utilisateurs avec droits administrateur  </t>
  </si>
  <si>
    <t xml:space="preserve">Insuffisance des contrôles d'intégrité des données dans les environnements hybrides.  </t>
  </si>
  <si>
    <t xml:space="preserve">Insuffisance dans la gestion des risques opérationnels  </t>
  </si>
  <si>
    <t xml:space="preserve">Mettre en œuvre des audits de conformité des configurations de sécurité des environnements virtualisés (VMware, Hyper-V).  </t>
  </si>
  <si>
    <t>Un partenariat stratégique avec l'éditeur existe-t-il ?</t>
  </si>
  <si>
    <t xml:space="preserve">Rapports de test de refus d'accès hors profil  </t>
  </si>
  <si>
    <t xml:space="preserve">Absence de stratégie de gestion des risques liés à l'Internet des objets (IoT).  </t>
  </si>
  <si>
    <t xml:space="preserve">Faible résilience face aux incidents de sécurité majeurs  </t>
  </si>
  <si>
    <t xml:space="preserve">Créer des procédures de gestion des incidents de sécurité cloud incluant la coordination avec le fournisseur.  </t>
  </si>
  <si>
    <t>Le support technique de l'éditeur est-il réactif et efficace ?</t>
  </si>
  <si>
    <t xml:space="preserve">Procédure de révocation des accès  </t>
  </si>
  <si>
    <t xml:space="preserve">Exposition aux failles de sécurité en raison de l'utilisation de protocoles réseau obsolètes.  </t>
  </si>
  <si>
    <t xml:space="preserve">Inadéquation des plans de reprise après sinistre  </t>
  </si>
  <si>
    <t xml:space="preserve">Déployer des solutions de protection contre les attaques par supply chain (log4j-style) via des scanners de dépendances.  </t>
  </si>
  <si>
    <t>Un historique des versions est-il disponible ?</t>
  </si>
  <si>
    <t xml:space="preserve">Workflow de gestion des profils (Jira/équivalent)  </t>
  </si>
  <si>
    <t xml:space="preserve">Non-conformité aux exigences de traçabilité des accès aux données de santé.  </t>
  </si>
  <si>
    <t xml:space="preserve">Manque de documentation technique à jour  </t>
  </si>
  <si>
    <t xml:space="preserve">Instaurer des contrôles d'accès aux données sensibles via des solutions de chiffrement en mémoire (Intel SGX).  </t>
  </si>
  <si>
    <t>La compatibilité avec la dernière version est-elle assurée ?</t>
  </si>
  <si>
    <t xml:space="preserve">Traces de validation hiérarchique pour 5 profils  </t>
  </si>
  <si>
    <t xml:space="preserve">Défaillance dans la gestion des certificats SSL/TLS expirés ou non fiables.  </t>
  </si>
  <si>
    <t xml:space="preserve">Difficultés à maintenir l'interopérabilité des systèmes  </t>
  </si>
  <si>
    <t xml:space="preserve">Implémenter des mécanismes de vérification de l'intégrité des firmware des dispositifs IoT/OT.  </t>
  </si>
  <si>
    <t>Les utilisateurs adoptent-ils facilement les nouvelles versions ?</t>
  </si>
  <si>
    <t xml:space="preserve">Référentiel des profils types (PDF/Excel)  </t>
  </si>
  <si>
    <t xml:space="preserve">Manque de revues indépendantes des configurations de sécurité des conteneurs.  </t>
  </si>
  <si>
    <t xml:space="preserve">Défaillances dans la surveillance des performances applicatives  </t>
  </si>
  <si>
    <t xml:space="preserve">Définir des politiques de gestion des risques liés au télétravail incluant VPN, MFA et durcissement des postes.  </t>
  </si>
  <si>
    <t>Une migration vers la dernière version est-elle planifiée ?</t>
  </si>
  <si>
    <t xml:space="preserve">Rapport d'audit semestriel des droits  </t>
  </si>
  <si>
    <t xml:space="preserve">Absence de procédures de gestion des incidents liés aux fournisseurs de services managés.  </t>
  </si>
  <si>
    <t xml:space="preserve">Augmentation des coûts de maintenance imprévus  </t>
  </si>
  <si>
    <t xml:space="preserve">Adopter des contrôles de sécurité pour les infrastructures sans serveur (serverless) avec monitoring des fonctions.  </t>
  </si>
  <si>
    <t>Les équipes sont-elles formées sur les évolutions ?</t>
  </si>
  <si>
    <t xml:space="preserve">Procès-verbaux mentionnant les sanctions  </t>
  </si>
  <si>
    <t xml:space="preserve">Non-respect des bonnes pratiques en matière de gestion des journaux système.  </t>
  </si>
  <si>
    <t xml:space="preserve">Incapacité à capitaliser sur les nouvelles technologies  </t>
  </si>
  <si>
    <t xml:space="preserve">Mettre en place des audits de conformité des configurations de sécurité des solutions de messagerie électronique.  </t>
  </si>
  <si>
    <t>Un suivi des développements spécifiques existe-t-il ?</t>
  </si>
  <si>
    <t xml:space="preserve">Journal des tentatives de connexion sans identifiant  </t>
  </si>
  <si>
    <t xml:space="preserve">Défaut de mise en œuvre des contrôles de sécurité pour les applications SaaS.  </t>
  </si>
  <si>
    <t xml:space="preserve">Risque de non-atteinte des objectifs métiers clés  </t>
  </si>
  <si>
    <t xml:space="preserve">Créer des procédures de gestion des accès temporaires aux systèmes critiques avec révocation automatique.  </t>
  </si>
  <si>
    <t>Les performances des développements sont-elles satisfaisantes ?</t>
  </si>
  <si>
    <t xml:space="preserve">Liste des comptes système actifs  </t>
  </si>
  <si>
    <t xml:space="preserve">Insuffisance des mécanismes de détection des tentatives de phishing ciblant les employés.  </t>
  </si>
  <si>
    <t xml:space="preserve">Dégradation de l'expérience utilisateur final  </t>
  </si>
  <si>
    <t xml:space="preserve">Déployer des solutions de détection des menaces internes via l'analyse comportementale des utilisateurs privilégiés.  </t>
  </si>
  <si>
    <t>Les utilisateurs sont-ils satisfaits des évolutions ?</t>
  </si>
  <si>
    <t xml:space="preserve">Configuration LDAP/Active Directory synchronisée  </t>
  </si>
  <si>
    <t xml:space="preserve">Absence de documentation des dépendances critiques avec les systèmes tiers.  </t>
  </si>
  <si>
    <t xml:space="preserve">Manque de transparence dans les processus de gouvernance  </t>
  </si>
  <si>
    <t xml:space="preserve">Instaurer des contrôles de sécurité pour les environnements de développement low-code/no-code.  </t>
  </si>
  <si>
    <t>Des améliorations des développements sont-elles prévues ?</t>
  </si>
  <si>
    <t xml:space="preserve">Procédure de réinitialisation sécurisée  </t>
  </si>
  <si>
    <t xml:space="preserve">Exposition aux risques de manipulation des données en raison de contrôles d'intégrité insuffisants.  </t>
  </si>
  <si>
    <t xml:space="preserve">Exposition aux litiges contractuels avec les fournisseurs  </t>
  </si>
  <si>
    <t xml:space="preserve">Implémenter des mécanismes de protection contre les attaques par rebond (isolation des environnements de test).  </t>
  </si>
  <si>
    <t>Les équipes sont-elles formées sur les nouveaux développements ?</t>
  </si>
  <si>
    <t xml:space="preserve">Logs de connexion avec IP et horodatage  </t>
  </si>
  <si>
    <t xml:space="preserve">Non-conformité aux exigences de chiffrement des sauvegardes hors site.  </t>
  </si>
  <si>
    <t xml:space="preserve">Inefficacité des mécanismes de reporting financier  </t>
  </si>
  <si>
    <t xml:space="preserve">Définir des politiques de gestion des risques liés à la 5G incluant la segmentation réseau et le chiffrement E2E.  </t>
  </si>
  <si>
    <t>Une adhésion à un club utilisateurs est-elle active ?</t>
  </si>
  <si>
    <t xml:space="preserve">Politique de mots de passe documentée  </t>
  </si>
  <si>
    <t xml:space="preserve">Défaillance dans la gestion des accès aux systèmes de gestion des identités et des accès (IAM).  </t>
  </si>
  <si>
    <t xml:space="preserve">Défaillances dans la gestion des changements techniques  </t>
  </si>
  <si>
    <t xml:space="preserve">Adopter des contrôles de sécurité pour les infrastructures edge computing avec supervision centralisée.  </t>
  </si>
  <si>
    <t>L'entreprise participe-t-elle aux réunions du club ?</t>
  </si>
  <si>
    <t xml:space="preserve">Rapports de détection de mots de passe faibles  </t>
  </si>
  <si>
    <t xml:space="preserve">Manque de supervision des activités des comptes privilégiés dans les environnements cloud.  </t>
  </si>
  <si>
    <t xml:space="preserve">Incapacité à prioriser les investissements IT stratégiques  </t>
  </si>
  <si>
    <t xml:space="preserve">Mettre en œuvre des audits de conformité des configurations de sécurité des appliances réseau (firewalls, routeurs).  </t>
  </si>
  <si>
    <t>Les utilisateurs trouvent-ils le club utile ?</t>
  </si>
  <si>
    <t xml:space="preserve">Configuration de réinitialisation forcée après 90j  </t>
  </si>
  <si>
    <t xml:space="preserve">Absence de procédures de gestion des risques liés aux APIs publiques exposées.  </t>
  </si>
  <si>
    <t xml:space="preserve">Risque de fuite d'informations sensibles  </t>
  </si>
  <si>
    <t xml:space="preserve">Créer des procédures de réponse aux attaques ciblant les systèmes de contrôle industriel (ICS/SCADA).  </t>
  </si>
  <si>
    <t>Une collaboration active avec le club est-elle mise en place ?</t>
  </si>
  <si>
    <t xml:space="preserve">Alertes de réutilisation d'anciens mots de passe  </t>
  </si>
  <si>
    <t xml:space="preserve">Non-respect des normes en matière de gestion des journaux d'activité des utilisateurs.  </t>
  </si>
  <si>
    <t xml:space="preserve">Détérioration de la qualité des services fournis  </t>
  </si>
  <si>
    <t xml:space="preserve">Déployer des solutions de protection des données biométriques conforme à la norme ISO/IEC 24745.  </t>
  </si>
  <si>
    <t>Les équipes bénéficient-elles des échanges du club ?</t>
  </si>
  <si>
    <t xml:space="preserve">Journal des tentatives infructueuses sur 30j  </t>
  </si>
  <si>
    <t xml:space="preserve">Défaut de contrôle des accès aux outils de diagnostic et de maintenance à distance.  </t>
  </si>
  <si>
    <t xml:space="preserve">Manque d'agilité pour s'adapter aux évolutions du marché  </t>
  </si>
  <si>
    <t xml:space="preserve">Instaurer des contrôles d'accès aux systèmes de gestion des identités (IAM) avec journalisation des changements.  </t>
  </si>
  <si>
    <t>Un contrat de maintenance avec l'éditeur existe-t-il ?</t>
  </si>
  <si>
    <t xml:space="preserve">Configuration de verrouillage après 5 échecs  </t>
  </si>
  <si>
    <t xml:space="preserve">Insuffisance des mécanismes de protection contre les injections de code malveillant.  </t>
  </si>
  <si>
    <t xml:space="preserve">Défaillances dans l'archivage sécurisé des données  </t>
  </si>
  <si>
    <t xml:space="preserve">Implémenter des mécanismes de vérification de l'intégrité des données dans les entrepôts de données (Data Lakes).  </t>
  </si>
  <si>
    <t>Les performances du support technique sont-elles suivies ?</t>
  </si>
  <si>
    <t xml:space="preserve">Alertes automatiques aux administrateurs  </t>
  </si>
  <si>
    <t xml:space="preserve">Absence de revues périodiques des politiques de sécurité des applications web.  </t>
  </si>
  <si>
    <t xml:space="preserve">Incapacité à mesurer l'impact réel des initiatives IT  </t>
  </si>
  <si>
    <t xml:space="preserve">Définir des politiques de gestion des risques liés à la blockchain incluant la validation des smart contracts.  </t>
  </si>
  <si>
    <t>Les utilisateurs sont-ils satisfaits du support ?</t>
  </si>
  <si>
    <t xml:space="preserve">Procédure de réinitialisation manuelle  </t>
  </si>
  <si>
    <t xml:space="preserve">Exposition aux attaques par force brute en raison de politiques de mot de passe laxistes.  </t>
  </si>
  <si>
    <t xml:space="preserve">Augmentation des erreurs de configuration réseau  </t>
  </si>
  <si>
    <t xml:space="preserve">Adopter des contrôles de sécurité pour les applications RPA (Robotic Process Automation) avec audit des scripts.  </t>
  </si>
  <si>
    <t>Une renégociation du contrat est-elle prévue ?</t>
  </si>
  <si>
    <t xml:space="preserve">Documentation du suivi des tentatives suspectes  </t>
  </si>
  <si>
    <t xml:space="preserve">Non-conformité aux exigences de journalisation des accès aux données financières sensibles.  </t>
  </si>
  <si>
    <t xml:space="preserve">Manque de sensibilisation des employés aux risques cyber  </t>
  </si>
  <si>
    <t xml:space="preserve">Mettre en place des audits de conformité des configurations de sécurité des solutions de virtualisation de postes.  </t>
  </si>
  <si>
    <t>Les équipes bénéficient-elles des formations du support ?</t>
  </si>
  <si>
    <t xml:space="preserve">Logs d'accès aux transactions sensibles  </t>
  </si>
  <si>
    <t xml:space="preserve">Défaillance dans la gestion des vulnérabilités des systèmes de paiement électronique.  </t>
  </si>
  <si>
    <t xml:space="preserve">Défaillances dans la gestion des correctifs de sécurité  </t>
  </si>
  <si>
    <t xml:space="preserve">Créer des procédures de gestion des incidents de sécurité des systèmes de paiement électronique (PCI DSS).  </t>
  </si>
  <si>
    <t>Les redevances de maintenance sont-elles payées régulièrement ?</t>
  </si>
  <si>
    <t xml:space="preserve">Certificats de chiffrement des données en transit  </t>
  </si>
  <si>
    <t xml:space="preserve">Manque de procédures de réponse aux incidents de compromission de comptes administrateurs.  </t>
  </si>
  <si>
    <t xml:space="preserve">Incapacité à anticiper les besoins futurs en infrastructure  </t>
  </si>
  <si>
    <t xml:space="preserve">Déployer des solutions de détection des cryptojacking via l'analyse des ressources système anormales.  </t>
  </si>
  <si>
    <t>Un suivi des paiements existe-t-il ?</t>
  </si>
  <si>
    <t xml:space="preserve">Procédures de validation hiérarchique d'accès  </t>
  </si>
  <si>
    <t xml:space="preserve">Absence de tests de résistance aux attaques sur les infrastructures virtualisées.  </t>
  </si>
  <si>
    <t xml:space="preserve">Risque de perte de productivité due à des outils inadaptés  </t>
  </si>
  <si>
    <t xml:space="preserve">Instaurer des contrôles d'accès aux outils de monitoring avec authentification forte et limites de privilèges.  </t>
  </si>
  <si>
    <t>Les utilisateurs valident-ils l'utilité de la maintenance ?</t>
  </si>
  <si>
    <t xml:space="preserve">Non-respect des bonnes pratiques en matière de gestion des correctifs de sécurité.  </t>
  </si>
  <si>
    <t xml:space="preserve">Dégradation de la collaboration entre équipes techniques  </t>
  </si>
  <si>
    <t xml:space="preserve">Implémenter des mécanismes de protection contre les attaques par side-channel via le durcissement matériel.  </t>
  </si>
  <si>
    <t>Des économies sur les coûts de maintenance sont-elles recherchées ?</t>
  </si>
  <si>
    <t xml:space="preserve">Alertes d'accès hors plage horaire  </t>
  </si>
  <si>
    <t xml:space="preserve">Défaut de supervision des activités des scripts automatisés dans les processus critiques.  </t>
  </si>
  <si>
    <t xml:space="preserve">Manque de visibilité sur les coûts totaux de possession  </t>
  </si>
  <si>
    <t xml:space="preserve">Définir des politiques de gestion des risques liés aux données ouvertes (open data) incluant l'anonymisation.  </t>
  </si>
  <si>
    <t>Les équipes sont-elles formées sur les bonnes pratiques ?</t>
  </si>
  <si>
    <t xml:space="preserve">Logs d'actions administratives sur 90j  </t>
  </si>
  <si>
    <t xml:space="preserve">Insuffisance des contrôles d'accès aux données dans les entrepôts de données (data warehouses).  </t>
  </si>
  <si>
    <t xml:space="preserve">Incapacité à respecter les engagements de service (SLA)  </t>
  </si>
  <si>
    <t xml:space="preserve">Adopter des contrôles de sécurité pour les infrastructures quantum-ready avec chiffrement post-quantique.  </t>
  </si>
  <si>
    <t>Une clause "Escrow Agreement" est-elle incluse dans le contrat ?</t>
  </si>
  <si>
    <t xml:space="preserve">Configuration de journalisation centralisée  </t>
  </si>
  <si>
    <t xml:space="preserve">Absence de stratégie de gestion des risques liés à l'utilisation de l'intelligence artificielle.  </t>
  </si>
  <si>
    <t xml:space="preserve">Défaillances dans la gestion des droits d'accès temporaires  </t>
  </si>
  <si>
    <t xml:space="preserve">Mettre en œuvre des audits de conformité des configurations de sécurité des systèmes de gestion de contenu (CMS).  </t>
  </si>
  <si>
    <t>Le respect de cette clause est-il vérifié régulièrement ?</t>
  </si>
  <si>
    <t xml:space="preserve">Alertes pour actions critiques  </t>
  </si>
  <si>
    <t xml:space="preserve">Exposition aux failles de sécurité en raison de configurations par défaut non modifiées.  </t>
  </si>
  <si>
    <t xml:space="preserve">Exposition aux perturbations des chaînes d'approvisionnement  </t>
  </si>
  <si>
    <t xml:space="preserve">Créer des procédures de réponse aux attaques ciblant les systèmes de gestion de la relation client (CRM).  </t>
  </si>
  <si>
    <t>Les utilisateurs connaissent-ils les implications de cette clause ?</t>
  </si>
  <si>
    <t xml:space="preserve">Traces d'audit via compte administrateur  </t>
  </si>
  <si>
    <t xml:space="preserve">Non-conformité aux exigences de traçabilité des modifications des règles métiers.  </t>
  </si>
  <si>
    <t xml:space="preserve">Incapacité à garantir l'authenticité des transactions  </t>
  </si>
  <si>
    <t xml:space="preserve">Déployer des solutions de protection des métadonnées via des techniques de chiffrement et d'obfuscation.  </t>
  </si>
  <si>
    <t>Une renégociation de la clause est-elle envisagée ?</t>
  </si>
  <si>
    <t xml:space="preserve">Procédure de revue trimestrielle des logs  </t>
  </si>
  <si>
    <t xml:space="preserve">Défaillance dans la gestion des accès aux systèmes de gestion des logs centralisés.  </t>
  </si>
  <si>
    <t xml:space="preserve">Manque de cohérence dans les stratégies de sauvegarde  </t>
  </si>
  <si>
    <t xml:space="preserve">Instaurer des contrôles d'accès aux systèmes de business intelligence avec restriction des exports sensibles.  </t>
  </si>
  <si>
    <t>Les équipes sont-elles informées des modalités de cette clause ?</t>
  </si>
  <si>
    <t xml:space="preserve">Exemples de documents sources validés  </t>
  </si>
  <si>
    <t xml:space="preserve">Manque de revues indépendantes des configurations de sécurité des bases de données NoSQL.  </t>
  </si>
  <si>
    <t xml:space="preserve">Défaillances dans l'intégration des nouveaux modules  </t>
  </si>
  <si>
    <t xml:space="preserve">Implémenter des mécanismes de vérification de l'intégrité des modèles d'IA/ML via des tests adversariaux.  </t>
  </si>
  <si>
    <t>Un suivi des montées de version existe-t-il ?</t>
  </si>
  <si>
    <t xml:space="preserve">Workflow de validation des documents  </t>
  </si>
  <si>
    <t xml:space="preserve">Absence de procédures de gestion des incidents liés aux services d'authentification tiers.  </t>
  </si>
  <si>
    <t xml:space="preserve">Risque de non-conformité aux standards sectoriels  </t>
  </si>
  <si>
    <t xml:space="preserve">Définir des politiques de gestion des risques liés aux jumeaux numériques (digital twins) incluant la sécurité des flux.  </t>
  </si>
  <si>
    <t>La compatibilité est-elle testée avant chaque mise à jour ?</t>
  </si>
  <si>
    <t xml:space="preserve">Logs de saisie corrélés aux sources  </t>
  </si>
  <si>
    <t xml:space="preserve">Non-respect des normes en matière de gestion des journaux d'accès aux applications critiques.  </t>
  </si>
  <si>
    <t xml:space="preserve">Incapacité à maintenir un référentiel de données fiable  </t>
  </si>
  <si>
    <t xml:space="preserve">Adopter des contrôles de sécurité pour les environnements multicloud avec gestion centralisée des identités.  </t>
  </si>
  <si>
    <t xml:space="preserve">Procédure de reprise après erreur de saisie  </t>
  </si>
  <si>
    <t xml:space="preserve">Défaut de mise en œuvre des contrôles de sécurité pour les environnements DevOps.  </t>
  </si>
  <si>
    <t xml:space="preserve">Dégradation de la qualité des décisions métiers  </t>
  </si>
  <si>
    <t xml:space="preserve">Mettre en place des audits de conformité des configurations de sécurité des solutions de collaboration en temps réel.  </t>
  </si>
  <si>
    <t>Une migration progressive est-elle planifiée ?</t>
  </si>
  <si>
    <t xml:space="preserve">Checklists de contrôle qualité des saisies  </t>
  </si>
  <si>
    <t xml:space="preserve">Insuffisance des mécanismes de détection des activités anormales dans les réseaux OT/ICS.  </t>
  </si>
  <si>
    <t xml:space="preserve">Manque de réactivité face aux incidents de sécurité  </t>
  </si>
  <si>
    <t xml:space="preserve">Créer des procédures de gestion des incidents de sécurité des systèmes de gestion des identités décentralisées (SSI).  </t>
  </si>
  <si>
    <t>Les équipes sont-elles préparées aux changements techniques ?</t>
  </si>
  <si>
    <t xml:space="preserve">Captures d'écran des interfaces de saisie  </t>
  </si>
  <si>
    <t xml:space="preserve">Absence de documentation des flux de données entre systèmes internes et externes.  </t>
  </si>
  <si>
    <t xml:space="preserve">Défaillances dans la gestion des versions logicielles  </t>
  </si>
  <si>
    <t xml:space="preserve">Déployer des solutions de détection des attaques par ingérence physique (cold boot, tampering).  </t>
  </si>
  <si>
    <t>Un rapport sur la pérennité de l'application existe-t-il ?</t>
  </si>
  <si>
    <t xml:space="preserve">Messages d'erreur système documentés  </t>
  </si>
  <si>
    <t xml:space="preserve">Exposition aux risques de fuite de données en raison de contrôles d'accès insuffisants.  </t>
  </si>
  <si>
    <t xml:space="preserve">Incapacité à optimiser l'utilisation des ressources IT  </t>
  </si>
  <si>
    <t xml:space="preserve">Instaurer des contrôles d'accès aux infrastructures hyperconvergées (HCI) avec séparation des rôles stricts.  </t>
  </si>
  <si>
    <t>Des tests de performance sur la durée sont-ils réalisés ?</t>
  </si>
  <si>
    <t xml:space="preserve">Rapports de tests utilisateurs d'ergonomie  </t>
  </si>
  <si>
    <t xml:space="preserve">Non-conformité aux exigences de chiffrement des communications avec les partenaires externes.  </t>
  </si>
  <si>
    <t xml:space="preserve">Risque de conflits juridiques liés à la propriété intellectuelle  </t>
  </si>
  <si>
    <t xml:space="preserve">Implémenter des mécanismes de protection des données en mouvement via des tunnels chiffrés (IPsec, WireGuard).  </t>
  </si>
  <si>
    <t>Les utilisateurs ont-ils confiance dans la pérennité du système ?</t>
  </si>
  <si>
    <t xml:space="preserve">Configuration de validation automatique des champs  </t>
  </si>
  <si>
    <t xml:space="preserve">Défaillance dans la gestion des certificats numériques pour les services web exposés.  </t>
  </si>
  <si>
    <t xml:space="preserve">Manque de flexibilité pour adapter l'infrastructure existante  </t>
  </si>
  <si>
    <t xml:space="preserve">Mettre en œuvre une architecture informatique modulaire et évolutive pour faciliter les adaptations futures.  </t>
  </si>
  <si>
    <t>Des actions pour maintenir la pérennité sont-elles mises en œuvre ?</t>
  </si>
  <si>
    <t xml:space="preserve">Historique des mises à jour d'interface  </t>
  </si>
  <si>
    <t xml:space="preserve">Manque de supervision des activités des comptes de service dans les environnements cloud hybrides.  </t>
  </si>
  <si>
    <t xml:space="preserve">Défaillances dans la gestion des performances des fournisseurs  </t>
  </si>
  <si>
    <t xml:space="preserve">Déployer une solution automatisée de gestion des certificats numériques avec surveillance proactive des dates d'expiration.  </t>
  </si>
  <si>
    <t>Les équipes sont-elles formées sur les enjeux de pérennité ?</t>
  </si>
  <si>
    <t xml:space="preserve">Brouillards de saisie validés  </t>
  </si>
  <si>
    <t xml:space="preserve">Absence de procédures de gestion des risques liés aux technologies de conteneurisation.  </t>
  </si>
  <si>
    <t xml:space="preserve">Incapacité à aligner les KPI IT sur les objectifs stratégiques  </t>
  </si>
  <si>
    <t xml:space="preserve">Instaurer des audits réguliers des configurations de sécurité et des politiques de renouvellement des certificats.  </t>
  </si>
  <si>
    <t>Des tests de compatibilité avec les nouvelles versions sont-ils effectuer ?</t>
  </si>
  <si>
    <t xml:space="preserve">Workflow de réconciliation documenté  </t>
  </si>
  <si>
    <t xml:space="preserve">Non-respect des bonnes pratiques en matière de gestion des clés d'API.  </t>
  </si>
  <si>
    <t xml:space="preserve">Risque de perturbation des opérations lors des mises à jour  </t>
  </si>
  <si>
    <t xml:space="preserve">Intégrer des contrôles automatisés pour vérifier la validité des certificats dans les workflows de déploiement.  </t>
  </si>
  <si>
    <t>Est-ce que les retours d'experiences des utilisateurs sont analyser ?</t>
  </si>
  <si>
    <t xml:space="preserve">Logs de validation des brouillards  </t>
  </si>
  <si>
    <t xml:space="preserve">Défaut de contrôle des accès aux outils de surveillance des performances applicatives.  </t>
  </si>
  <si>
    <t xml:space="preserve">Manque de contrôles sur les environnements cloud  </t>
  </si>
  <si>
    <t xml:space="preserve">Formaliser une politique de gestion du cycle de vie des certificats incluant leur révocation en cas de compromission.  </t>
  </si>
  <si>
    <t>Les plans de migration vers les nouvelles versions sont-ils identifiables ?</t>
  </si>
  <si>
    <t xml:space="preserve">Rapports de détection d'erreurs automatiques  </t>
  </si>
  <si>
    <t xml:space="preserve">Insuffisance des mécanismes de protection contre les attaques par déni de service applicatif.  </t>
  </si>
  <si>
    <t xml:space="preserve">Défaillances dans la gestion des accès privilégiés  </t>
  </si>
  <si>
    <t xml:space="preserve">Renforcer les mécanismes d'authentification des services web via des protocoles sécurisés (TLS 1.3, etc.).  </t>
  </si>
  <si>
    <t>Les preuves de formation des des équipes sur les montées sont elles controler ?</t>
  </si>
  <si>
    <t xml:space="preserve">Procédures de correction des erreurs  </t>
  </si>
  <si>
    <t xml:space="preserve">Absence de revues périodiques des configurations de sécurité des passerelles API.  </t>
  </si>
  <si>
    <t xml:space="preserve">Incapacité à maintenir un inventaire précis des actifs IT  </t>
  </si>
  <si>
    <t xml:space="preserve">Documenter les procédures de gestion des certificats dans le manuel de sécurité informatique.  </t>
  </si>
  <si>
    <t>Existe t-il des rapports de pérennité de l’application ?</t>
  </si>
  <si>
    <t xml:space="preserve">Logs de saisie de données sensibles  </t>
  </si>
  <si>
    <t xml:space="preserve">Exposition aux attaques par injection SQL en raison de contrôles d'entrée insuffisants.  </t>
  </si>
  <si>
    <t xml:space="preserve">Risque de non-respect des engagements contractuels  </t>
  </si>
  <si>
    <t xml:space="preserve">Sensibiliser les équipes techniques aux bonnes pratiques de gestion des identités numériques.  </t>
  </si>
  <si>
    <t>Des tests de performance sur la pérennité sont ils effectuer ?</t>
  </si>
  <si>
    <t xml:space="preserve">Certificats de chiffrement des données  </t>
  </si>
  <si>
    <t xml:space="preserve">Non-conformité aux exigences de journalisation des accès aux systèmes de gestion des identités.  </t>
  </si>
  <si>
    <t xml:space="preserve">Manque de processus formalisés pour les audits internes  </t>
  </si>
  <si>
    <t xml:space="preserve">Implémenter un système centralisé de surveillance des certificats avec alertes en temps réel.  </t>
  </si>
  <si>
    <t>Existe t-il des retours d’expérience des utilisateurs sur la pérennité ?</t>
  </si>
  <si>
    <t xml:space="preserve">Procédures de validation hiérarchique  </t>
  </si>
  <si>
    <t xml:space="preserve">Défaillance dans la gestion des vulnérabilités des frameworks JavaScript utilisés.  </t>
  </si>
  <si>
    <t xml:space="preserve">Défaillances dans la gestion des demandes utilisateurs  </t>
  </si>
  <si>
    <t xml:space="preserve">Réaliser des tests de pénétration réguliers pour identifier les vulnérabilités liées aux certificats expirés.  </t>
  </si>
  <si>
    <t>Existe t-il des plans de maitien de la pérennité ?</t>
  </si>
  <si>
    <t xml:space="preserve">Alertes de détection d'accès non autorisés  </t>
  </si>
  <si>
    <t xml:space="preserve">Manque de procédures de réponse aux incidents de compromission des clés de chiffrement.  </t>
  </si>
  <si>
    <t xml:space="preserve">Incapacité à garantir la disponibilité des services critiques  </t>
  </si>
  <si>
    <t xml:space="preserve">Adopter des outils de gestion des identités et accès (IAM) pour harmoniser les droits sur les services web.  </t>
  </si>
  <si>
    <t>Existe t-il des preuves de formation des équipes sur la pérennité ?</t>
  </si>
  <si>
    <t xml:space="preserve">Journal des modifications de données sensibles  </t>
  </si>
  <si>
    <t xml:space="preserve">Absence de tests de résistance aux attaques sur les systèmes de gestion des logs.  </t>
  </si>
  <si>
    <t xml:space="preserve">Risque de perte de compétences clés au sein des équipes  </t>
  </si>
  <si>
    <t xml:space="preserve">Créer un référentiel unique pour inventorier tous les certificats en vigueur et leurs métadonnées.  </t>
  </si>
  <si>
    <t>éléments requis</t>
  </si>
  <si>
    <t>La charte éthique est-elle formellement documentée et facilement accessible ?</t>
  </si>
  <si>
    <t>Charte éthique officielle</t>
  </si>
  <si>
    <t>Manque d'engagement des acteurs</t>
  </si>
  <si>
    <t>Perte de crédibilité de l'organisation</t>
  </si>
  <si>
    <t>Assurer la mise à disposition sur l'intranet et les outils collaboratifs</t>
  </si>
  <si>
    <t>La charte couvre-t-elle les comportements attendus dans un cadre professionnel ?</t>
  </si>
  <si>
    <t>Contenu de la charte</t>
  </si>
  <si>
    <t>Incompréhensions des attentes éthiques</t>
  </si>
  <si>
    <t>Comportements inappropriés non sanctionnés</t>
  </si>
  <si>
    <t>Revoir la charte pour inclure des exemples concrets de pratiques</t>
  </si>
  <si>
    <t>La direction a-t-elle validé et diffusé la charte ?</t>
  </si>
  <si>
    <t>PV de validation, note de service</t>
  </si>
  <si>
    <t>Manque de légitimité de la charte</t>
  </si>
  <si>
    <t>Non-adhésion du personnel</t>
  </si>
  <si>
    <t>Intégrer l’approbation formelle au lancement de toute nouvelle version</t>
  </si>
  <si>
    <t>La charte éthique est disponible dans les langues principales des employés et partenaires</t>
  </si>
  <si>
    <t>La charte est-elle traduite dans les langues couramment utilisées ?</t>
  </si>
  <si>
    <t>Traductions de la charte</t>
  </si>
  <si>
    <t>Mauvaise compréhension par les parties prenantes</t>
  </si>
  <si>
    <t>Risque de non-conformité culturelle</t>
  </si>
  <si>
    <t>Prévoir une traduction professionnelle en langues pertinentes</t>
  </si>
  <si>
    <t>La charte est alignée sur des standards reconnus</t>
  </si>
  <si>
    <t>La charte fait-elle référence à des normes éthiques internationales ?</t>
  </si>
  <si>
    <t>Références à ISO 26000, OCDE, etc.</t>
  </si>
  <si>
    <t>Manque de pertinence face aux obligations actuelles</t>
  </si>
  <si>
    <t>Manque de reconnaissance externe</t>
  </si>
  <si>
    <t>Revoir et aligner le contenu sur les standards du secteur</t>
  </si>
  <si>
    <t>Des clauses contractuelles ou accords sont signés par les partenaires/prestataires</t>
  </si>
  <si>
    <t>Les contrats avec les partenaires incluent-ils une clause éthique ?</t>
  </si>
  <si>
    <t>Modèles de contrats, annexes</t>
  </si>
  <si>
    <t>Non-respect des engagements éthiques par les tiers</t>
  </si>
  <si>
    <t>Atteinte à la réputation en cas d'abus</t>
  </si>
  <si>
    <t>Mettre à jour les contrats types avec une clause obligatoire</t>
  </si>
  <si>
    <t>Des audits internes portent-ils sur le respect de la charte ?</t>
  </si>
  <si>
    <t>Détection tardive de violations</t>
  </si>
  <si>
    <t>Accumulation de comportements contraires à l’éthique</t>
  </si>
  <si>
    <t>Intégrer un volet éthique aux audits annuels internes</t>
  </si>
  <si>
    <t>Des outils de surveillance sont mis en place pour les SI</t>
  </si>
  <si>
    <t>Y a-t-il des outils pour surveiller les comportements dans les SI ?</t>
  </si>
  <si>
    <t>Dossiers techniques des outils</t>
  </si>
  <si>
    <t>Activités non-conformes non détectées</t>
  </si>
  <si>
    <t>Fuite de données ou abus d'accès</t>
  </si>
  <si>
    <t>Renforcer la configuration des alertes et leur suivi</t>
  </si>
  <si>
    <t>Des outils de surveillance automatisés garantissent le respect de la charte</t>
  </si>
  <si>
    <t>Les outils sont-ils paramétrés pour détecter les infractions éthiques ?</t>
  </si>
  <si>
    <t>Paramétrage SI, règles d'alerte</t>
  </si>
  <si>
    <t>Failles dans la détection automatisée</t>
  </si>
  <si>
    <t>Infractions récurrentes</t>
  </si>
  <si>
    <t>Mettre en place des règles de surveillance fondées sur les risques</t>
  </si>
  <si>
    <t>Les partenaires fournissent des attestations annuelles de conformité</t>
  </si>
  <si>
    <t>Les partenaires transmettent-ils une attestation annuelle d’adhésion ?</t>
  </si>
  <si>
    <t>Attestations signées</t>
  </si>
  <si>
    <t>Absence de contrôle externe sur les engagements</t>
  </si>
  <si>
    <t>Engagements éthiques non respectés par les tiers</t>
  </si>
  <si>
    <t>Intégrer cette exigence aux contrats et en suivre le retour chaque année</t>
  </si>
  <si>
    <t>Des formations annuelles sur l’éthique et les SI sont dispensées</t>
  </si>
  <si>
    <t>Une formation annuelle sur l’éthique est-elle organisée pour tous les collaborateurs ?</t>
  </si>
  <si>
    <t>Planning de formation, supports</t>
  </si>
  <si>
    <t>Méconnaissance des règles éthiques</t>
  </si>
  <si>
    <t>Comportements non conformes ou illégaux</t>
  </si>
  <si>
    <t>Intégrer systématiquement ces formations dans les plans annuels</t>
  </si>
  <si>
    <t>Le taux de participation aux formations dépasse-t-il 90 % ?</t>
  </si>
  <si>
    <t>Feuilles de présence, rapports RH</t>
  </si>
  <si>
    <t>Sensibilisation partielle</t>
  </si>
  <si>
    <t>Manque d'homogénéité dans l'application des règles</t>
  </si>
  <si>
    <t>Rendre certaines formations obligatoires avec relance automatique</t>
  </si>
  <si>
    <t>Des supports pédagogiques sont disponibles pour renforcer la sensibilisation</t>
  </si>
  <si>
    <t>Des documents de sensibilisation sont-ils disponibles en ligne ?</t>
  </si>
  <si>
    <t>Livrets, fiches pratiques, intranet</t>
  </si>
  <si>
    <t>Difficulté à ancrer les bons réflexes</t>
  </si>
  <si>
    <t>Répétition des erreurs basiques</t>
  </si>
  <si>
    <t>Créer des supports adaptés à chaque métier et les diffuser régulièrement</t>
  </si>
  <si>
    <t>Des tests sont administrés pour évaluer la compréhension des principes</t>
  </si>
  <si>
    <t>Un test ou quiz est-il réalisé après chaque formation ?</t>
  </si>
  <si>
    <t>Plateforme de test, résultats</t>
  </si>
  <si>
    <t>Aucune évaluation réelle de la compréhension</t>
  </si>
  <si>
    <t>Participants non préparés à appliquer les règles</t>
  </si>
  <si>
    <t>Intégrer un module de test avec seuil minimal requis</t>
  </si>
  <si>
    <t>Un système de collecte de feedback sur les formations est mis en place</t>
  </si>
  <si>
    <t>Les participants peuvent-ils évaluer les formations reçues ?</t>
  </si>
  <si>
    <t>Questionnaires de satisfaction</t>
  </si>
  <si>
    <t>Formations mal adaptées ou obsolètes</t>
  </si>
  <si>
    <t>Diminution de l’efficacité pédagogique</t>
  </si>
  <si>
    <t>Adapter les contenus en fonction du retour des participants</t>
  </si>
  <si>
    <t>Existe-t-il une procédure anonyme de signalement des abus éthiques ?</t>
  </si>
  <si>
    <t>Procédure, plateforme de signalement</t>
  </si>
  <si>
    <t>Cas non signalés par peur de représailles</t>
  </si>
  <si>
    <t>Poursuite des comportements répréhensibles</t>
  </si>
  <si>
    <t>Garantir l’anonymat et sensibiliser sur les droits</t>
  </si>
  <si>
    <t>Les violations sont documentées, analysées et traitées dans les délais définis</t>
  </si>
  <si>
    <t>Les incidents sont-ils formellement traités selon une procédure claire ?</t>
  </si>
  <si>
    <t>Registre des incidents, délais de traitement</t>
  </si>
  <si>
    <t>Accumulation des cas non résolus</t>
  </si>
  <si>
    <t>Perte de confiance des salariés</t>
  </si>
  <si>
    <t>Mettre en place un processus de suivi automatique</t>
  </si>
  <si>
    <t>Des sanctions proportionnées sont appliquées en cas de non-respect</t>
  </si>
  <si>
    <t>Existe-t-il un barème de sanctions associé aux types d’infractions ?</t>
  </si>
  <si>
    <t>Code disciplinaire, tableau de sanctions</t>
  </si>
  <si>
    <t>Injustice perçue ou traitement inéquitable</t>
  </si>
  <si>
    <t>Conflits internes, démotivation</t>
  </si>
  <si>
    <t>Élaborer et publier un référentiel des sanctions éthiques</t>
  </si>
  <si>
    <t>Des rapports internes sur les violations sont publiés avec les actions correctives</t>
  </si>
  <si>
    <t>Des rapports sur les incidents éthiques sont-ils diffusés en interne ?</t>
  </si>
  <si>
    <t>Rapports trimestriels/analyse incidents</t>
  </si>
  <si>
    <t>Manque de transparence et d'amélioration continue</t>
  </si>
  <si>
    <t>Reproduction des mêmes erreurs</t>
  </si>
  <si>
    <t>Produire un rapport synthétique et l’intégrer au bilan annuel</t>
  </si>
  <si>
    <t>Un système de protection des lanceurs d’alerte est en place</t>
  </si>
  <si>
    <t>Un dispositif protège-t-il les employés qui dénoncent des abus ?</t>
  </si>
  <si>
    <t>Politique interne, dispositif RH</t>
  </si>
  <si>
    <t>Peur de représailles</t>
  </si>
  <si>
    <t>Silence face à des comportements graves</t>
  </si>
  <si>
    <t>Créer un cadre légal interne et une ligne dédiée confidentielle</t>
  </si>
  <si>
    <t>La charte est-elle mise à jour annuellement ou suite à des évolutions majeures ?</t>
  </si>
  <si>
    <t>Historique des versions, PV de révision</t>
  </si>
  <si>
    <t>Non-conformité avec les nouvelles exigences</t>
  </si>
  <si>
    <t>Risques légaux, perte de crédibilité</t>
  </si>
  <si>
    <t>Mettre en place un calendrier de révision annuel</t>
  </si>
  <si>
    <t>Les modifications sont-elles diffusées à l'ensemble des parties prenantes ?</t>
  </si>
  <si>
    <t>Mails de diffusion, notes internes</t>
  </si>
  <si>
    <t>Manque d'information chez les utilisateurs</t>
  </si>
  <si>
    <t>Incompréhension, mauvaise application</t>
  </si>
  <si>
    <t>Automatiser la diffusion par e-mail et affichage</t>
  </si>
  <si>
    <t>Les nouvelles dispositions sont intégrées dans les formations</t>
  </si>
  <si>
    <t>Les formations incluent-elles les nouvelles règles issues des mises à jour ?</t>
  </si>
  <si>
    <t>Supports de formation mis à jour</t>
  </si>
  <si>
    <t>Formations obsolètes</t>
  </si>
  <si>
    <t>Écart entre la théorie et la pratique</t>
  </si>
  <si>
    <t>Intégrer un module "actualités éthiques" dans chaque session</t>
  </si>
  <si>
    <t>Une veille est assurée pour suivre les évolutions légales et technologiques</t>
  </si>
  <si>
    <t>Existe-t-il un processus de veille légale et technologique pour ajuster la charte ?</t>
  </si>
  <si>
    <t>Plan de veille, abonnements réglementaires</t>
  </si>
  <si>
    <t>Déconnexion des pratiques vis-à-vis du cadre réglementaire</t>
  </si>
  <si>
    <t>Infractions non intentionnelles</t>
  </si>
  <si>
    <t>Désigner un responsable de la veille et documenter ses actions</t>
  </si>
  <si>
    <t>Les mises à jour incluent une consultation des parties prenantes</t>
  </si>
  <si>
    <t>Les utilisateurs sont-ils consultés avant les changements majeurs de la charte ?</t>
  </si>
  <si>
    <t>Enquêtes, comptes rendus de réunion</t>
  </si>
  <si>
    <t>Mettre en place des ateliers de co-construction de la charte</t>
  </si>
  <si>
    <t>La majorité des membres du Conseil sont indépendants</t>
  </si>
  <si>
    <t>Plus de 50 % des membres du Conseil sont-ils indépendants ?</t>
  </si>
  <si>
    <t>Liste des membres, CV</t>
  </si>
  <si>
    <t>Risque de collusion ou de conflits d'intérêts</t>
  </si>
  <si>
    <t>Manque d’impartialité dans la prise de décision</t>
  </si>
  <si>
    <t>Maintenir un équilibre favorable aux membres externes</t>
  </si>
  <si>
    <t>Les membres indépendants n'ont aucun lien compromettant</t>
  </si>
  <si>
    <t>Les membres indépendants n’ont-ils pas de relation économique avec l’organisation ?</t>
  </si>
  <si>
    <t>Déclarations d’intérêts</t>
  </si>
  <si>
    <t>Perte d’impartialité</t>
  </si>
  <si>
    <t>Décisions biaisées, perte de confiance</t>
  </si>
  <si>
    <t>Exiger des déclarations annuelles de conflits d’intérêts</t>
  </si>
  <si>
    <t>Une charte de gouvernance définit les rôles du Conseil</t>
  </si>
  <si>
    <t>Existe-t-il un document officiel détaillant les rôles et responsabilités du Conseil ?</t>
  </si>
  <si>
    <t>Charte de gouvernance</t>
  </si>
  <si>
    <t>Inefficacité dans la supervision</t>
  </si>
  <si>
    <t>Rédiger une charte claire, validée par le Conseil</t>
  </si>
  <si>
    <t>Le processus de nomination des membres est documenté</t>
  </si>
  <si>
    <t>La nomination des membres du Conseil suit-elle une procédure formelle ?</t>
  </si>
  <si>
    <t>Procédure de nomination, PV</t>
  </si>
  <si>
    <t>Opacité, favoritisme</t>
  </si>
  <si>
    <t>Contestation interne</t>
  </si>
  <si>
    <t>Standardiser le processus et assurer sa transparence</t>
  </si>
  <si>
    <t>Des évaluations de l’indépendance des membres sont réalisées</t>
  </si>
  <si>
    <t>Une évaluation régulière de l’indépendance est-elle effectuée ?</t>
  </si>
  <si>
    <t>Grilles d’évaluation, audit interne</t>
  </si>
  <si>
    <t>Risques d’ancrage ou perte d’objectivité</t>
  </si>
  <si>
    <t>Gouvernance affaiblie</t>
  </si>
  <si>
    <t>Mettre en place un audit annuel de gouvernance</t>
  </si>
  <si>
    <t>Le Conseil a accès à des experts indépendants</t>
  </si>
  <si>
    <t>Le Conseil sollicite-t-il des experts externes pour ses missions ?</t>
  </si>
  <si>
    <t>Contrats de mission, rapports d’experts</t>
  </si>
  <si>
    <t>Manque d’objectivité</t>
  </si>
  <si>
    <t>Mauvaises décisions stratégiques</t>
  </si>
  <si>
    <t>Prévoir un budget annuel pour prestations externes</t>
  </si>
  <si>
    <t>Les informations sont complètes, précises et transmises à temps</t>
  </si>
  <si>
    <t>Les informations remises au Conseil sont-elles toujours fiables et en temps utile ?</t>
  </si>
  <si>
    <t>Rapports, calendriers de diffusion</t>
  </si>
  <si>
    <t>Décisions prises sur des bases erronées</t>
  </si>
  <si>
    <t>Mettre en place un processus de validation des informations</t>
  </si>
  <si>
    <t>Le Conseil dispose d’un budget dédié</t>
  </si>
  <si>
    <t>Un budget spécifique est-il attribué pour les activités du Conseil ?</t>
  </si>
  <si>
    <t>Budget annuel, lignes budgétaires</t>
  </si>
  <si>
    <t>Manque d’autonomie</t>
  </si>
  <si>
    <t>Incapacité à agir efficacement</t>
  </si>
  <si>
    <t>Dédier une ligne budgétaire pour les audits et formations</t>
  </si>
  <si>
    <t>Des outils technologiques sont mis à disposition</t>
  </si>
  <si>
    <t>Le Conseil a-t-il accès à des outils pour le pilotage du contrôle interne ?</t>
  </si>
  <si>
    <t>Liste des outils, licences</t>
  </si>
  <si>
    <t>Manque de visibilité sur les risques</t>
  </si>
  <si>
    <t>Contrôle inefficace</t>
  </si>
  <si>
    <t>Fournir une solution logicielle de suivi des risques</t>
  </si>
  <si>
    <t>Le Conseil est formé aux meilleures pratiques</t>
  </si>
  <si>
    <t>Les membres reçoivent-ils des formations continues sur le contrôle interne ?</t>
  </si>
  <si>
    <t>Registre de formation</t>
  </si>
  <si>
    <t>Méconnaissance des enjeux actuels</t>
  </si>
  <si>
    <t>Ralentissement dans les actions</t>
  </si>
  <si>
    <t>Intégrer des sessions de mise à niveau annuelles</t>
  </si>
  <si>
    <t>Des rapports trimestriels sont transmis au Conseil</t>
  </si>
  <si>
    <t>Le Conseil reçoit-il des rapports réguliers sur le contrôle interne ?</t>
  </si>
  <si>
    <t>Rapports trimestriels, tableau de bord</t>
  </si>
  <si>
    <t>Réactions tardives aux dysfonctionnements</t>
  </si>
  <si>
    <t>Structurer un calendrier de reporting régulier</t>
  </si>
  <si>
    <t>Le Conseil analyse les résultats des audits internes</t>
  </si>
  <si>
    <t>Le Conseil participe-t-il à l’analyse des audits internes ?</t>
  </si>
  <si>
    <t>PV des réunions, comptes rendus</t>
  </si>
  <si>
    <t>Faible implication</t>
  </si>
  <si>
    <t>Suivi incomplet des recommandations</t>
  </si>
  <si>
    <t>Intégrer systématiquement les audits aux ordres du jour</t>
  </si>
  <si>
    <t>Les rapports incluent des indicateurs de performance</t>
  </si>
  <si>
    <t>Les KPI sont-ils présents dans les rapports de contrôle interne ?</t>
  </si>
  <si>
    <t>Modèle de rapport, liste des KPI</t>
  </si>
  <si>
    <t>Absence de mesure d'efficacité</t>
  </si>
  <si>
    <t>Décisions floues et peu priorisées</t>
  </si>
  <si>
    <t>Définir une liste d’indicateurs standard à suivre</t>
  </si>
  <si>
    <t>Les lacunes sont accompagnées de recommandations</t>
  </si>
  <si>
    <t>Chaque lacune identifiée est-elle assortie d’une recommandation ?</t>
  </si>
  <si>
    <t>Rapports d’audit, plan d’actions</t>
  </si>
  <si>
    <t>Suivi incomplet</t>
  </si>
  <si>
    <t>Problèmes récurrents non traités</t>
  </si>
  <si>
    <t>Mettre en place un modèle d’audit obligatoire incluant recommandations</t>
  </si>
  <si>
    <t>Le Conseil a accès aux auditeurs internes</t>
  </si>
  <si>
    <t>Les membres du Conseil peuvent-ils échanger directement avec les auditeurs ?</t>
  </si>
  <si>
    <t>Filtrage de l'information</t>
  </si>
  <si>
    <t>Organiser au moins une réunion directe par trimestre</t>
  </si>
  <si>
    <t>Le Conseil participe à la définition des objectifs de contrôle</t>
  </si>
  <si>
    <t>Le Conseil intervient-il dans l’élaboration des objectifs de contrôle interne ?</t>
  </si>
  <si>
    <t>Comptes rendus de réunions stratégiques</t>
  </si>
  <si>
    <t>Objectifs déconnectés des enjeux</t>
  </si>
  <si>
    <t>Inefficacité du système de contrôle</t>
  </si>
  <si>
    <t>Impliquer systématiquement le Conseil lors de la définition annuelle</t>
  </si>
  <si>
    <t>Les objectifs de contrôle sont alignés avec la stratégie</t>
  </si>
  <si>
    <t>Les objectifs de contrôle interne sont-ils cohérents avec les objectifs stratégiques ?</t>
  </si>
  <si>
    <t>Plan stratégique, feuille de route des risques</t>
  </si>
  <si>
    <t>Perte de cohérence globale</t>
  </si>
  <si>
    <t>Risques mal priorisés</t>
  </si>
  <si>
    <t>Aligner les objectifs de contrôle sur la stratégie d’entreprise</t>
  </si>
  <si>
    <t>Des critères mesurables sont définis</t>
  </si>
  <si>
    <t>Les objectifs de contrôle sont-ils accompagnés de KPI mesurables ?</t>
  </si>
  <si>
    <t>Tableau de bord, matrice des indicateurs</t>
  </si>
  <si>
    <t>Absence d’amélioration continue</t>
  </si>
  <si>
    <t>Définir des KPI spécifiques et des seuils de performance</t>
  </si>
  <si>
    <t>Le Conseil valide les plans de mise en œuvre</t>
  </si>
  <si>
    <t>Le Conseil approuve-t-il les plans de mise en œuvre des contrôles ?</t>
  </si>
  <si>
    <t>PV de validation, fiches d’actions</t>
  </si>
  <si>
    <t>Mise en œuvre non conforme</t>
  </si>
  <si>
    <t>Retards dans l’application des mesures</t>
  </si>
  <si>
    <t>Formaliser le processus de validation systématique</t>
  </si>
  <si>
    <t>Des révisions régulières sont effectuées</t>
  </si>
  <si>
    <t>Les objectifs et critères de contrôle sont-ils régulièrement mis à jour ?</t>
  </si>
  <si>
    <t>Calendrier de révision, rapports d’évolution</t>
  </si>
  <si>
    <t>Obsolescence du dispositif</t>
  </si>
  <si>
    <t>Non-conformité aux évolutions réglementaires</t>
  </si>
  <si>
    <t>Mettre en place une revue semestrielle obligatoire</t>
  </si>
  <si>
    <t>Les dysfonctionnements sont classés par priorité</t>
  </si>
  <si>
    <t>Les anomalies sont-elles hiérarchisées selon leur criticité ?</t>
  </si>
  <si>
    <t>Registre des anomalies, grille d’analyse de risque</t>
  </si>
  <si>
    <t>Traitement non ciblé</t>
  </si>
  <si>
    <t>Retards dans la résolution des problèmes critiques</t>
  </si>
  <si>
    <t>Utiliser une méthode d’évaluation du risque pour prioriser</t>
  </si>
  <si>
    <t>Des plans d’action sont validés par le Conseil</t>
  </si>
  <si>
    <t>Les plans d’action correctifs sont-ils validés par le Conseil dans des délais définis ?</t>
  </si>
  <si>
    <t>Plans d’actions, échéancier validé</t>
  </si>
  <si>
    <t>Retards dans la mise en œuvre</t>
  </si>
  <si>
    <t>Répétition des incidents</t>
  </si>
  <si>
    <t>Mettre en place un délai maximum de validation (ex. : 30 jours)</t>
  </si>
  <si>
    <t>Le Conseil suit l’avancement des plans</t>
  </si>
  <si>
    <t>Le Conseil dispose-t-il d’un suivi régulier des plans d’action ?</t>
  </si>
  <si>
    <t>Tableau de bord d’avancement, PV de réunions</t>
  </si>
  <si>
    <t>Faible visibilité sur les progrès</t>
  </si>
  <si>
    <t>Non clôture des non-conformités</t>
  </si>
  <si>
    <t>Mettre en place un outil de suivi des actions avec relance automatique</t>
  </si>
  <si>
    <t>CRITICITES</t>
  </si>
  <si>
    <t>Plan d'action correctif</t>
  </si>
  <si>
    <t>Organigramme officiel</t>
  </si>
  <si>
    <t>Fiches de poste</t>
  </si>
  <si>
    <t>Les responsables des correctifs sont-ils formellement désignés ?</t>
  </si>
  <si>
    <t>Plan d'action / Fiche de responsabilités</t>
  </si>
  <si>
    <t>Confusion dans la mise en œuvre des mesures</t>
  </si>
  <si>
    <t>ÉLEVÉE</t>
  </si>
  <si>
    <t>Retards dans la résolution des failles</t>
  </si>
  <si>
    <t>Identifier et nommer les responsables dans un document officiel</t>
  </si>
  <si>
    <t>Les rapports de suivi sont-ils régulièrement transmis au Conseil ?</t>
  </si>
  <si>
    <t>Rapports de suivi / Procès-verbaux de réunion</t>
  </si>
  <si>
    <t>Manque de transparence et de suivi</t>
  </si>
  <si>
    <t>MOYENNE</t>
  </si>
  <si>
    <t>Perte de contrôle sur l'évolution des correctifs</t>
  </si>
  <si>
    <t>Instaurer un calendrier de reporting périodique</t>
  </si>
  <si>
    <t>L’organigramme est-il disponible pour tous les employés ?</t>
  </si>
  <si>
    <t>Méconnaissance des circuits hiérarchiques</t>
  </si>
  <si>
    <t>Communication inefficace</t>
  </si>
  <si>
    <t>Mettre à jour régulièrement l’organigramme et le diffuser</t>
  </si>
  <si>
    <t>Les fiches de poste sont-elles suffisamment détaillées ?</t>
  </si>
  <si>
    <t>Ambiguïtés sur les rôles</t>
  </si>
  <si>
    <t>Clarifier et formaliser chaque fiche de poste</t>
  </si>
  <si>
    <t>Les lignes hiérarchiques sont-elles bien connues des équipes ?</t>
  </si>
  <si>
    <t>Organigramme / Notes de service</t>
  </si>
  <si>
    <t>Décisions prises hors périmètre</t>
  </si>
  <si>
    <t>Perte d’autorité ou double gestion</t>
  </si>
  <si>
    <t>Communiquer clairement la hiérarchie par canaux internes</t>
  </si>
  <si>
    <t>Les délégations de pouvoir soutiennent-elles les objectifs ?</t>
  </si>
  <si>
    <t>Plan stratégique / Matrice de délégation</t>
  </si>
  <si>
    <t>Décisions déconnectées des objectifs</t>
  </si>
  <si>
    <t>Inefficacité stratégique</t>
  </si>
  <si>
    <t>Aligner délégations avec les objectifs à travers un comité</t>
  </si>
  <si>
    <t>Les manuels de procédure sont-ils accessibles à tous ?</t>
  </si>
  <si>
    <t>Manuel des procédures / Intranet</t>
  </si>
  <si>
    <t>Mauvaise interprétation des processus</t>
  </si>
  <si>
    <t>Erreurs dans les opérations</t>
  </si>
  <si>
    <t>Mettre à jour et centraliser la documentation</t>
  </si>
  <si>
    <t>Les affectations de responsabilités tiennent-elles compte des compétences ?</t>
  </si>
  <si>
    <t>Fiches RH / Dossiers de formation</t>
  </si>
  <si>
    <t>Inadéquation entre profil et poste</t>
  </si>
  <si>
    <t>Inefficacité, erreurs opérationnelles</t>
  </si>
  <si>
    <t>Réaliser des évaluations avant l’attribution</t>
  </si>
  <si>
    <t>Les performances sont-elles évaluées au moins annuellement ?</t>
  </si>
  <si>
    <t>Rapports d’évaluation / Entretien annuel</t>
  </si>
  <si>
    <t>Sous-performance non détectée</t>
  </si>
  <si>
    <t>Diminution de la productivité</t>
  </si>
  <si>
    <t>Mettre en place un calendrier d’évaluation formel</t>
  </si>
  <si>
    <t>Les objectifs personnels sont-ils fixés en lien avec la stratégie ?</t>
  </si>
  <si>
    <t>Grille d’objectifs / Plan stratégique</t>
  </si>
  <si>
    <t>Objectifs incohérents</t>
  </si>
  <si>
    <t>Baisse d’engagement</t>
  </si>
  <si>
    <t>Intégrer les objectifs individuels au processus stratégique</t>
  </si>
  <si>
    <t>Flou dans la répartition des responsabilités</t>
  </si>
  <si>
    <t>Les collaborateurs disposent-ils des outils et ressources nécessaires pour accomplir leurs tâches ?</t>
  </si>
  <si>
    <t>Liste des outils et ressources</t>
  </si>
  <si>
    <t>Risque de sous-performance</t>
  </si>
  <si>
    <t>Les collaborateurs peuvent ne pas être efficaces, impactant la productivité</t>
  </si>
  <si>
    <t>Évaluer régulièrement les besoins en ressources et ajuster les fournitures nécessaires.</t>
  </si>
  <si>
    <t>Des formations sont-elles proposées pour les compétences clés ?</t>
  </si>
  <si>
    <t>Plan de formation annuel</t>
  </si>
  <si>
    <t>Risque de compétences obsolètes</t>
  </si>
  <si>
    <t>Faible efficacité dans l'accomplissement des tâches et non-adaptation aux évolutions du marché</t>
  </si>
  <si>
    <t>Développer un plan de formation continuellement actualisé en fonction des évolutions du secteur.</t>
  </si>
  <si>
    <t>La structure organisationnelle est-elle révisée régulièrement ?</t>
  </si>
  <si>
    <t>Document de révision annuelle</t>
  </si>
  <si>
    <t>Risque d'organisation inefficace</t>
  </si>
  <si>
    <t>Mauvaise coordination des équipes et gestion inefficace des ressources</t>
  </si>
  <si>
    <t>Mettre en place une révision annuelle obligatoire et s’assurer de sa mise à jour en cas de changements majeurs.</t>
  </si>
  <si>
    <t>Les modifications de la structure organisationnelle sont-elles documentées et approuvées par la direction ?</t>
  </si>
  <si>
    <t>Document d'approbation de la direction</t>
  </si>
  <si>
    <t>Risque de décisions non validées</t>
  </si>
  <si>
    <t>Des changements non validés peuvent entraîner des perturbations dans les opérations</t>
  </si>
  <si>
    <t>Mettre en place une procédure formelle de documentation et d'approbation pour toute modification.</t>
  </si>
  <si>
    <t>Les impacts des changements sont-ils systématiquement évalués ?</t>
  </si>
  <si>
    <t>Analyse d'impact</t>
  </si>
  <si>
    <t>Risque de mauvaise gestion du changement</t>
  </si>
  <si>
    <t>Des impacts non anticipés peuvent créer des résistances et des inefficacités</t>
  </si>
  <si>
    <t>Implémenter un processus d'évaluation des impacts avant toute modification de la structure.</t>
  </si>
  <si>
    <t>Les collaborateurs sont-ils informés des changements dans la structure organisationnelle ?</t>
  </si>
  <si>
    <t>Communication interne (email, réunion)</t>
  </si>
  <si>
    <t>Risque de malentendus et confusion</t>
  </si>
  <si>
    <t>Diminution de la motivation et de l'engagement des collaborateurs</t>
  </si>
  <si>
    <t>Assurer une communication claire et transparente concernant les changements organisationnels.</t>
  </si>
  <si>
    <t>Des ajustements sont-ils effectués pour s’adapter aux évolutions externes ?</t>
  </si>
  <si>
    <t>Rapports d'analyse des changements externes</t>
  </si>
  <si>
    <t>Risque de non-conformité</t>
  </si>
  <si>
    <t>Risque de non-conformité réglementaire et perte de compétitivité</t>
  </si>
  <si>
    <t>Évaluer régulièrement les tendances du marché et les exigences réglementaires pour ajuster la structure.</t>
  </si>
  <si>
    <t>Les propositions de modification sont-elles soumises au Conseil ?</t>
  </si>
  <si>
    <t>Procès-verbal des réunions du Conseil</t>
  </si>
  <si>
    <t>Risque de décisions non validées par la gouvernance</t>
  </si>
  <si>
    <t>Modifications non approuvées peuvent nuire à la stratégie organisationnelle</t>
  </si>
  <si>
    <t>S'assurer que toute modification soit validée par le Conseil avant mise en œuvre.</t>
  </si>
  <si>
    <t>Le Conseil examine-t-il systématiquement les impacts des modifications ?</t>
  </si>
  <si>
    <t>Document d'analyse des impacts</t>
  </si>
  <si>
    <t>Risque de décisions non éclairées</t>
  </si>
  <si>
    <t>Des décisions mal informées peuvent nuire à la stratégie de l'entreprise</t>
  </si>
  <si>
    <t>Développer des rapports d'analyse détaillés avant toute modification pour faciliter la prise de décision.</t>
  </si>
  <si>
    <t>Les décisions du Conseil sont-elles formellement documentées ?</t>
  </si>
  <si>
    <t>Risque de perte d'information cruciale</t>
  </si>
  <si>
    <t>Manque de documentation pouvant entraîner des erreurs d'interprétation ou de mise en œuvre</t>
  </si>
  <si>
    <t>Mettre en place un processus standardisé pour documenter toutes les décisions importantes du Conseil.</t>
  </si>
  <si>
    <t>Le Conseil dispose-t-il de suffisamment de temps pour examiner les propositions ?</t>
  </si>
  <si>
    <t>Planning de soumission et approbation</t>
  </si>
  <si>
    <t>Risque de décisions hâtives</t>
  </si>
  <si>
    <t>Des décisions prises dans l'urgence peuvent nuire à la qualité de la stratégie</t>
  </si>
  <si>
    <t>Prévoir un calendrier permettant un examen approfondi de chaque proposition.</t>
  </si>
  <si>
    <t>Les modifications approuvées sont-elles correctement communiquées ?</t>
  </si>
  <si>
    <t>Annonce officielle via intranet ou email</t>
  </si>
  <si>
    <t>Risque de malentendus</t>
  </si>
  <si>
    <t>Les collaborateurs peuvent mal comprendre ou ignorer les nouvelles directives</t>
  </si>
  <si>
    <t>Assurer une communication claire et multi-canaux (réunions, emails, intranet).</t>
  </si>
  <si>
    <t>La structure est-elle bien communiquée à tous les collaborateurs ?</t>
  </si>
  <si>
    <t>Document de la structure organisationnelle</t>
  </si>
  <si>
    <t>Risque de confusion ou de manque de clarté</t>
  </si>
  <si>
    <t>Mauvaise compréhension des responsabilités et relations hiérarchiques</t>
  </si>
  <si>
    <t>Maintenir une communication régulière et mettre à jour les documents officiels en temps réel.</t>
  </si>
  <si>
    <t>Les descriptions de poste sont-elles accessibles à tous les collaborateurs ?</t>
  </si>
  <si>
    <t>Descriptions de poste sur intranet</t>
  </si>
  <si>
    <t>Risque de malentendus sur les rôles</t>
  </si>
  <si>
    <t>Confusion sur les responsabilités et les attentes vis-à-vis des collaborateurs</t>
  </si>
  <si>
    <t>Mettre à jour et rendre accessibles les descriptions de poste régulièrement.</t>
  </si>
  <si>
    <t>Des formations sont-elles organisées pour expliquer les rôles et responsabilités ?</t>
  </si>
  <si>
    <t>Risque de mauvaise compréhension des responsabilités</t>
  </si>
  <si>
    <t>Les collaborateurs ne seront pas en mesure d'exercer pleinement leurs fonctions</t>
  </si>
  <si>
    <t>Organiser des sessions de formation régulières pour clarifier les rôles et responsabilités.</t>
  </si>
  <si>
    <t>Les collaborateurs ont-ils la possibilité de poser des questions concernant leur rôle ?</t>
  </si>
  <si>
    <t>Boîte à questions, sessions de feedback</t>
  </si>
  <si>
    <t>Risque de confusion non résolue</t>
  </si>
  <si>
    <t>Des erreurs ou malentendus peuvent survenir si les questions ne sont pas traitées</t>
  </si>
  <si>
    <t>Encourager les managers à organiser des sessions de clarification régulières.</t>
  </si>
  <si>
    <t>Les mises à jour sont-elles communiquées en temps réel ?</t>
  </si>
  <si>
    <t>Notifications sur intranet ou via email</t>
  </si>
  <si>
    <t>Risque de décalage d'information</t>
  </si>
  <si>
    <t>Les collaborateurs peuvent être mal informés des changements récents</t>
  </si>
  <si>
    <t>Mettre en place un système de notifications instantanées pour toutes les mises à jour.</t>
  </si>
  <si>
    <t>Les descriptions de poste sont-elles à jour et détaillées ?</t>
  </si>
  <si>
    <t>Fichier de description de poste actualisé</t>
  </si>
  <si>
    <t>Risque de malentendu sur les attentes des rôles</t>
  </si>
  <si>
    <t>Les attentes peuvent être mal définies et affecter la performance</t>
  </si>
  <si>
    <t>Réaliser une révision annuelle de chaque description de poste pour la mettre à jour.</t>
  </si>
  <si>
    <t>Les processus de recrutement sont documentés et suivent des étapes claires</t>
  </si>
  <si>
    <t>Les processus de recrutement sont-ils bien documentés et suivis ?</t>
  </si>
  <si>
    <t>Procédure de recrutement formalisée</t>
  </si>
  <si>
    <t>Risque de recrutement non conforme</t>
  </si>
  <si>
    <t>Mauvais recrutement pouvant affecter la performance et la culture de l'organisation</t>
  </si>
  <si>
    <t>Standardiser et formaliser chaque étape du processus de recrutement.</t>
  </si>
  <si>
    <t>Des partenariats sont-ils établis pour attirer des talents ?</t>
  </si>
  <si>
    <t>Contrats de partenariat</t>
  </si>
  <si>
    <t>Risque de manque de talents qualifiés</t>
  </si>
  <si>
    <t>Diminution de la qualité des candidats recrutés et de l'innovation</t>
  </si>
  <si>
    <t>Renforcer les partenariats avec des écoles et réseaux pour attirer les meilleurs talents.</t>
  </si>
  <si>
    <t>Les offres d'emploi sont-elles publiées sur des plateformes pertinentes ?</t>
  </si>
  <si>
    <t>Liste des plateformes de recrutement utilisées</t>
  </si>
  <si>
    <t>Risque de recrutement limité à un cercle restreint</t>
  </si>
  <si>
    <t>Les candidats qualifiés peuvent ne pas avoir accès aux opportunités</t>
  </si>
  <si>
    <t>Étendre la publication des offres sur des plateformes spécialisées pour une plus grande visibilité.</t>
  </si>
  <si>
    <t>Un système de gestion des candidatures (ATS) est-il utilisé ?</t>
  </si>
  <si>
    <t>Logiciel de gestion des candidatures</t>
  </si>
  <si>
    <t>Risque de suivi inefficace des candidatures</t>
  </si>
  <si>
    <t>Mauvaise gestion du recrutement, entraînant des erreurs ou des retards</t>
  </si>
  <si>
    <t>Utiliser un ATS pour centraliser et suivre efficacement toutes les candidatures.</t>
  </si>
  <si>
    <t>Un plan de formation annuel est-il élaboré pour répondre aux besoins de l'organisation ?</t>
  </si>
  <si>
    <t>Risque de non-alignement des compétences</t>
  </si>
  <si>
    <t>Les collaborateurs risquent de ne pas être préparés aux évolutions de l'organisation</t>
  </si>
  <si>
    <t>Réaliser une évaluation annuelle des besoins de formation et l'aligner sur les objectifs stratégiques.</t>
  </si>
  <si>
    <t>Des formations spécifiques sont-elles proposées pour les domaines stratégiques ou critiques ?</t>
  </si>
  <si>
    <t>Plan de formation ciblé</t>
  </si>
  <si>
    <t>Risque de non-développement des compétences clés</t>
  </si>
  <si>
    <t>Les collaborateurs pourraient être mal préparés face aux défis stratégiques</t>
  </si>
  <si>
    <t>Identifier les domaines critiques et proposer des formations adaptées pour chaque domaine.</t>
  </si>
  <si>
    <t>Les collaborateurs ont-ils accès à des outils de formation en ligne ou des sessions en présentiel ?</t>
  </si>
  <si>
    <t>Liste des plateformes et des sessions</t>
  </si>
  <si>
    <t>Risque d'accès limité à la formation</t>
  </si>
  <si>
    <t>Les collaborateurs risquent de ne pas développer de nouvelles compétences importantes</t>
  </si>
  <si>
    <t>Mettre à disposition une combinaison de formations en ligne et en présentiel pour plus d'accessibilité.</t>
  </si>
  <si>
    <t>Les évaluations post-formation sont-elles effectuées pour mesurer l'impact des programmes ?</t>
  </si>
  <si>
    <t>Rapports d'évaluation de formation</t>
  </si>
  <si>
    <t>Risque de formation inefficace</t>
  </si>
  <si>
    <t>Le programme de formation pourrait ne pas répondre aux besoins des collaborateurs</t>
  </si>
  <si>
    <t>Introduire des évaluations post-formation systématiques pour évaluer leur efficacité et ajuster les contenus.</t>
  </si>
  <si>
    <t>Les collaborateurs sont-ils incités à obtenir des certifications ?</t>
  </si>
  <si>
    <t>Programmes de certification</t>
  </si>
  <si>
    <t>Risque de manque de reconnaissance des compétences</t>
  </si>
  <si>
    <t>Les collaborateurs peuvent manquer d'opportunités de croissance professionnelle</t>
  </si>
  <si>
    <t>Offrir des incitations à l'obtention de certifications pertinentes dans leurs domaines d'expertise.</t>
  </si>
  <si>
    <t>Des plans de carrière sont-ils établis pour chaque collaborateur ?</t>
  </si>
  <si>
    <t>Plan de carrière personnalisé</t>
  </si>
  <si>
    <t>Risque de démotivation ou de rotation élevée</t>
  </si>
  <si>
    <t>Les collaborateurs peuvent se sentir bloqués et chercher des opportunités ailleurs</t>
  </si>
  <si>
    <t>Mettre en place des entretiens de développement pour construire des plans de carrière alignés avec les aspirations des collaborateurs.</t>
  </si>
  <si>
    <t>L'organisation offre-t-elle des avantages compétitifs à ses collaborateurs ?</t>
  </si>
  <si>
    <t>Liste des avantages compétitifs</t>
  </si>
  <si>
    <t>Risque de perte de talents</t>
  </si>
  <si>
    <t>L'attrait de l'entreprise peut diminuer, affectant la rétention des talents</t>
  </si>
  <si>
    <t>Évaluer les avantages compétitifs offerts et les comparer régulièrement à ceux du marché.</t>
  </si>
  <si>
    <t>L'organisation propose-t-elle des programmes de mentorat ou de coaching ?</t>
  </si>
  <si>
    <t>Détails des programmes de mentorat</t>
  </si>
  <si>
    <t>Risque de manque de développement personnel</t>
  </si>
  <si>
    <t>Les collaborateurs peuvent manquer d'accompagnement dans leur progression professionnelle</t>
  </si>
  <si>
    <t>Renforcer les programmes de mentorat et de coaching pour favoriser un développement professionnel continu.</t>
  </si>
  <si>
    <t>Les opportunités de mobilité interne sont-elles accessibles aux collaborateurs ?</t>
  </si>
  <si>
    <t>Programme de mobilité interne</t>
  </si>
  <si>
    <t>Risque de désengagement des collaborateurs</t>
  </si>
  <si>
    <t>Les collaborateurs peuvent chercher des opportunités ailleurs si la mobilité interne est limitée</t>
  </si>
  <si>
    <t>Créer et promouvoir activement des opportunités de mobilité interne pour encourager la rétention.</t>
  </si>
  <si>
    <t>Des enquêtes de satisfaction sont-elles menées régulièrement ?</t>
  </si>
  <si>
    <t>Résultats des enquêtes de satisfaction</t>
  </si>
  <si>
    <t>Risque de mécontentement non identifié</t>
  </si>
  <si>
    <t>Un manque d'améliorations pourrait affecter la motivation et l'engagement des collaborateurs</t>
  </si>
  <si>
    <t>Organiser des enquêtes de satisfaction de manière régulière et agir rapidement sur les retours reçus.</t>
  </si>
  <si>
    <t>Les entretiens d'évaluation sont-ils réalisés annuellement pour chaque collaborateur ?</t>
  </si>
  <si>
    <t>Risque de performance non suivie</t>
  </si>
  <si>
    <t>Les collaborateurs peuvent ne pas être alignés avec les objectifs de l'organisation ou manquer de feedback</t>
  </si>
  <si>
    <t>Mettre en place un processus d'évaluation annuel structuré avec des feedbacks constructifs.</t>
  </si>
  <si>
    <t>Les objectifs individuels sont-ils bien alignés avec les objectifs de l'organisation ?</t>
  </si>
  <si>
    <t>Liste des objectifs individuels et stratégiques</t>
  </si>
  <si>
    <t>Risque de non-alignement des efforts</t>
  </si>
  <si>
    <t>Les collaborateurs risquent de travailler sur des tâches non prioritaires, affectant la stratégie de l'organisation</t>
  </si>
  <si>
    <t>Vérifier régulièrement l'alignement des objectifs individuels avec la stratégie organisationnelle.</t>
  </si>
  <si>
    <t>Des retours sont-ils fournis après chaque évaluation de performance ?</t>
  </si>
  <si>
    <t>Rapports d'évaluation et plans d'amélioration</t>
  </si>
  <si>
    <t>Risque de non-amélioration continue</t>
  </si>
  <si>
    <t>Les collaborateurs pourraient ne pas progresser s'ils ne reçoivent pas de feedback constructif</t>
  </si>
  <si>
    <t>Fournir des retours détaillés et des plans d'amélioration personnalisés après chaque évaluation.</t>
  </si>
  <si>
    <t>Les collaborateurs ont-ils accès à des ressources pour améliorer leurs compétences ?</t>
  </si>
  <si>
    <t>Liste des ressources disponibles</t>
  </si>
  <si>
    <t>Risque de stagnation professionnelle</t>
  </si>
  <si>
    <t>Les collaborateurs risquent de ne pas évoluer dans leurs fonctions, ce qui affecte leur performance</t>
  </si>
  <si>
    <t>Mettre à disposition des ressources accessibles pour favoriser le développement professionnel continu.</t>
  </si>
  <si>
    <t>Les évaluations de performance sont-elles bien documentées et archivées ?</t>
  </si>
  <si>
    <t>Dossier d'évaluation de performance</t>
  </si>
  <si>
    <t>Risque de perte d'informations</t>
  </si>
  <si>
    <t>Les performances passées risquent de ne pas être prises en compte pour les promotions ou décisions futures</t>
  </si>
  <si>
    <t>Assurer un stockage électronique sécurisé et facilement accessible des évaluations de performance.</t>
  </si>
  <si>
    <t>Les processus de gestion des talents sont-ils alignés avec la stratégie de l'organisation ?</t>
  </si>
  <si>
    <t>Plan de gestion des talents</t>
  </si>
  <si>
    <t>Risque de développement de talents non stratégique</t>
  </si>
  <si>
    <t>L'organisation peut manquer de talents clés ou de leadership à long terme</t>
  </si>
  <si>
    <t>Réévaluer les processus de gestion des talents pour assurer leur alignement avec les objectifs stratégiques à long terme.</t>
  </si>
  <si>
    <t>Des KPI sont-ils utilisés pour mesurer l'efficacité des processus de gestion des talents ?</t>
  </si>
  <si>
    <t>Liste des KPI utilisés</t>
  </si>
  <si>
    <t>Risque de non-évaluation de l'efficacité</t>
  </si>
  <si>
    <t>La performance des processus pourrait ne pas être mesurée, entraînant des inefficacités</t>
  </si>
  <si>
    <t>Mettre en place des KPI clairs et mesurer régulièrement l'efficacité des programmes de gestion des talents.</t>
  </si>
  <si>
    <t>Les résultats des processus de gestion des talents sont-ils examinés régulièrement par la direction ?</t>
  </si>
  <si>
    <t>Rapports de gestion des talents</t>
  </si>
  <si>
    <t>Risque de non-ajustement des stratégies</t>
  </si>
  <si>
    <t>L'organisation peut ne pas réagir aux besoins changeants du marché</t>
  </si>
  <si>
    <t>Effectuer des examens réguliers des processus de gestion des talents pour assurer une adaptation rapide.</t>
  </si>
  <si>
    <t>Les processus de gestion des talents sont-ils ajustés pour s'adapter aux changements stratégiques ?</t>
  </si>
  <si>
    <t>Documentation sur les ajustements</t>
  </si>
  <si>
    <t>Risque de stagnation des processus</t>
  </si>
  <si>
    <t>L'organisation pourrait manquer des opportunités de croissance ou d'adaptation à de nouvelles réalités</t>
  </si>
  <si>
    <t>Effectuer des ajustements réguliers des processus pour répondre aux évolutions stratégiques et aux nouvelles priorités.</t>
  </si>
  <si>
    <t>Les collaborateurs clés sont-ils identifiés et des plans de succession sont-ils définis ?</t>
  </si>
  <si>
    <t>Plans de succession</t>
  </si>
  <si>
    <t>Risque de manque de leadership</t>
  </si>
  <si>
    <t>Un manque de planification de la succession pourrait entraîner une perte de talents essentiels</t>
  </si>
  <si>
    <t>Identifier et développer les talents internes et mettre en place des plans de succession formels.</t>
  </si>
  <si>
    <t>Les descriptions de poste incluent-elles des responsabilités en matière de contrôle interne ?</t>
  </si>
  <si>
    <t>Descriptions de poste mises à jour</t>
  </si>
  <si>
    <t>Risque de non-respect des contrôles internes</t>
  </si>
  <si>
    <t>Des responsabilités mal définies pourraient entraîner des failles dans le contrôle interne</t>
  </si>
  <si>
    <t>Mettre à jour régulièrement les descriptions de poste pour inclure clairement les responsabilités en matière de contrôle interne.</t>
  </si>
  <si>
    <t>Le manuel de contrôle interne est-il accessible à tous les collaborateurs ?</t>
  </si>
  <si>
    <t>Manuel de contrôle interne</t>
  </si>
  <si>
    <t>Risque de non-conformité aux normes</t>
  </si>
  <si>
    <t>Le non-respect des contrôles internes peut entraîner des erreurs ou des fraudes</t>
  </si>
  <si>
    <t>Rendre le manuel de contrôle interne accessible et assurer une formation régulière sur son contenu.</t>
  </si>
  <si>
    <t>Les collaborateurs sont-ils formés sur leurs responsabilités en matière de contrôle interne ?</t>
  </si>
  <si>
    <t>Dossier de formation sur le contrôle interne</t>
  </si>
  <si>
    <t>Risque de mauvaise application des contrôles</t>
  </si>
  <si>
    <t>Le manque de formation peut entraîner des erreurs critiques dans les processus internes</t>
  </si>
  <si>
    <t>Organiser des sessions de formation régulières sur les procédures et responsabilités de contrôle interne.</t>
  </si>
  <si>
    <t>Les responsabilités sont-elles communiquées clairement lors des réunions ou par des canaux officiels ?</t>
  </si>
  <si>
    <t>Procès-verbal des réunions</t>
  </si>
  <si>
    <t>Risque de confusion ou malentendu</t>
  </si>
  <si>
    <t>Les collaborateurs pourraient mal comprendre leurs responsabilités</t>
  </si>
  <si>
    <t>Renforcer la communication régulière sur les responsabilités via des réunions et des supports écrits.</t>
  </si>
  <si>
    <t>Des outils de communication sont-ils utilisés pour rappeler les responsabilités en matière de contrôle interne ?</t>
  </si>
  <si>
    <t>Outils de communication internes</t>
  </si>
  <si>
    <t>Risque de non-mise à jour de l'information</t>
  </si>
  <si>
    <t>Les collaborateurs pourraient ne pas se tenir informés des évolutions dans leurs responsabilités</t>
  </si>
  <si>
    <t>Mettre à jour régulièrement les outils de communication pour s'assurer que les informations sur les responsabilités sont accessibles et visibles.</t>
  </si>
  <si>
    <t>Des rapports réguliers sont-ils produits pour évaluer le respect des responsabilités en matière de contrôle interne ?</t>
  </si>
  <si>
    <t>Rapports de contrôle interne</t>
  </si>
  <si>
    <t>Risque de non-évaluation du respect des responsabilités</t>
  </si>
  <si>
    <t>L'inefficacité dans le respect des responsabilités pourrait entraîner des violations de sécurité ou des erreurs opérationnelles</t>
  </si>
  <si>
    <t>Mettre en place un système de rapports réguliers sur la conformité aux responsabilités de contrôle interne.</t>
  </si>
  <si>
    <t>Des audits internes sont-ils réalisés pour vérifier le respect des responsabilités en matière de contrôle interne ?</t>
  </si>
  <si>
    <t>Rapports d'audit interne</t>
  </si>
  <si>
    <t>Risque de non-détection de failles</t>
  </si>
  <si>
    <t>Des violations non détectées pourraient compromettre la sécurité ou la conformité de l'organisation</t>
  </si>
  <si>
    <t>Organiser des audits internes réguliers et approfondis pour vérifier la conformité et identifier des failles.</t>
  </si>
  <si>
    <t>Les responsables soumettent-ils des rapports d'auto-évaluation sur leur respect des responsabilités ?</t>
  </si>
  <si>
    <t>Rapports d'auto-évaluation</t>
  </si>
  <si>
    <t>Risque de non-conformité des actions des responsables</t>
  </si>
  <si>
    <t>L'auto-évaluation pourrait ne pas refléter la réalité, entraînant des lacunes dans les contrôles internes</t>
  </si>
  <si>
    <t>Encourager des auto-évaluations régulières et, si nécessaire, compléter par des évaluations externes ou par les pairs.</t>
  </si>
  <si>
    <t>Les KPI sont-ils définis pour mesurer le respect des responsabilités ?</t>
  </si>
  <si>
    <t>Documentation des KPI</t>
  </si>
  <si>
    <t>Risque de non-mesure des performances</t>
  </si>
  <si>
    <t>Le respect des responsabilités peut ne pas être suivi efficacement</t>
  </si>
  <si>
    <t>Définir des KPI spécifiques et alignés sur les objectifs de l'organisation.</t>
  </si>
  <si>
    <t>Des réunions de suivi sont-elles organisées régulièrement ?</t>
  </si>
  <si>
    <t>Comptes rendus des réunions</t>
  </si>
  <si>
    <t>Risque de non-suivi des progrès</t>
  </si>
  <si>
    <t>Les défis pourraient persister sans prise en charge</t>
  </si>
  <si>
    <t>Organiser des réunions de suivi régulières pour évaluer les progrès.</t>
  </si>
  <si>
    <t>Existe-t-il des modèles de reporting standardisés pour les responsables ?</t>
  </si>
  <si>
    <t>Modèles de reporting</t>
  </si>
  <si>
    <t>Risque d'incohérence dans les rapports</t>
  </si>
  <si>
    <t>Les rapports pourraient être mal structurés, nuisant à la prise de décision</t>
  </si>
  <si>
    <t>Fournir des modèles standardisés et former les responsables à leur utilisation.</t>
  </si>
  <si>
    <t>Les rapports incluent-ils des KPI liés au contrôle interne ?</t>
  </si>
  <si>
    <t>Exemples de rapports</t>
  </si>
  <si>
    <t>Risque de manque de transparence sur la performance du contrôle interne</t>
  </si>
  <si>
    <t>La performance du contrôle interne pourrait ne pas être correctement suivie</t>
  </si>
  <si>
    <t>Intégrer des KPI pertinents dans tous les rapports de performance.</t>
  </si>
  <si>
    <t>Les rapports sont-ils soumis à intervalles réguliers ?</t>
  </si>
  <si>
    <t>Planification des rapports</t>
  </si>
  <si>
    <t>Risque de retard dans la soumission des rapports</t>
  </si>
  <si>
    <t>Les délais peuvent être manqués, retardant la prise de décision</t>
  </si>
  <si>
    <t>Établir un calendrier précis pour la soumission des rapports.</t>
  </si>
  <si>
    <t>Les rapports sont-ils examinés par la direction ou le comité de contrôle interne ?</t>
  </si>
  <si>
    <t>Comptes rendus des réunions de direction</t>
  </si>
  <si>
    <t>Risque de non-examen des performances</t>
  </si>
  <si>
    <t>La direction pourrait ne pas prendre de mesures correctives à temps</t>
  </si>
  <si>
    <t>Assurer un examen rigoureux des rapports par la direction.</t>
  </si>
  <si>
    <t>Des outils numériques sont-ils utilisés pour collecter et analyser les données ?</t>
  </si>
  <si>
    <t>Liste des outils numériques</t>
  </si>
  <si>
    <t>Risque de collecte de données inefficace</t>
  </si>
  <si>
    <t>Les données peuvent être incomplètes ou erronées, affectant l'analyse</t>
  </si>
  <si>
    <t>Utiliser des outils numériques fiables pour automatiser la collecte et l'analyse des données.</t>
  </si>
  <si>
    <t>Des check-lists ou grilles d'évaluation sont-elles utilisées pour vérifier la conformité ?</t>
  </si>
  <si>
    <t>Exemples de check-lists</t>
  </si>
  <si>
    <t>Risque de négligence dans la vérification de la conformité</t>
  </si>
  <si>
    <t>La conformité pourrait être mise en danger si les vérifications ne sont pas effectuées systématiquement</t>
  </si>
  <si>
    <t>Intégrer des check-lists systématiques dans les processus de contrôle.</t>
  </si>
  <si>
    <t>Des audits internes ou externes sont-ils réalisés régulièrement ?</t>
  </si>
  <si>
    <t>Risque de non-conformité détectée trop tard</t>
  </si>
  <si>
    <t>Des violations de conformité pourraient ne pas être détectées à temps</t>
  </si>
  <si>
    <t>Planifier des audits réguliers internes et externes.</t>
  </si>
  <si>
    <t>Les non-conformités sont-elles documentées et classées par niveau de gravité ?</t>
  </si>
  <si>
    <t>Rapport de non-conformité</t>
  </si>
  <si>
    <t>Risque de mauvaise gestion des non-conformités</t>
  </si>
  <si>
    <t>Les non-conformités graves pourraient entraîner des sanctions ou des amendes</t>
  </si>
  <si>
    <t>Documenter et classer les non-conformités selon leur gravité pour une gestion appropriée.</t>
  </si>
  <si>
    <t>Les procédures de contrôle sont-elles intégrées dans les processus opérationnels ?</t>
  </si>
  <si>
    <t>Documentation des processus opérationnels</t>
  </si>
  <si>
    <t>Risque de failles dans les contrôles internes</t>
  </si>
  <si>
    <t>Les failles pourraient entraîner des erreurs ou des fraudes</t>
  </si>
  <si>
    <t>Intégrer des procédures de contrôle dans tous les processus opérationnels.</t>
  </si>
  <si>
    <t>Les responsables sont-ils informés des résultats des évaluations de conformité ?</t>
  </si>
  <si>
    <t>Résultats des évaluations de conformité</t>
  </si>
  <si>
    <t>Risque de non-action suite à des évaluations</t>
  </si>
  <si>
    <t>Les responsables pourraient ignorer des problèmes critiques de conformité</t>
  </si>
  <si>
    <t>Communiquer systématiquement les résultats des évaluations aux responsables concernés.</t>
  </si>
  <si>
    <t>Des plans d'action correctifs sont-ils élaborés pour chaque cas de non-respect ?</t>
  </si>
  <si>
    <t>Plans d'action correctifs</t>
  </si>
  <si>
    <t>Risque de persistance des non-conformités</t>
  </si>
  <si>
    <t>Les non-conformités pourraient se reproduire sans action corrective</t>
  </si>
  <si>
    <t>Élaborer et suivre des plans d'action correctifs pour toutes les non-conformités.</t>
  </si>
  <si>
    <t>Les responsables reçoivent-ils un soutien (formation, coaching) pour améliorer leurs pratiques ?</t>
  </si>
  <si>
    <t>Documentation des formations</t>
  </si>
  <si>
    <t>Risque de manque de développement des compétences</t>
  </si>
  <si>
    <t>Les responsables pourraient ne pas améliorer leurs pratiques, entraînant des erreurs</t>
  </si>
  <si>
    <t>Offrir un soutien continu sous forme de formations ou de coaching.</t>
  </si>
  <si>
    <t>Des mesures disciplinaires sont-elles appliquées en cas de manquements répétés ?</t>
  </si>
  <si>
    <t>Documentation des mesures disciplinaires</t>
  </si>
  <si>
    <t>Risque d'impunité face aux manquements</t>
  </si>
  <si>
    <t>Des comportements non conformes peuvent être encouragés si des mesures ne sont pas appliquées</t>
  </si>
  <si>
    <t>Mettre en œuvre un processus disciplinaires rigoureux et documenté.</t>
  </si>
  <si>
    <t>Les actions correctives sont-elles suivies jusqu'à leur achèvement ?</t>
  </si>
  <si>
    <t>Rapport de suivi des actions correctives</t>
  </si>
  <si>
    <t>Risque de non-implémentation des actions correctives</t>
  </si>
  <si>
    <t>Les actions correctives pourraient ne pas résoudre les problèmes identifiés</t>
  </si>
  <si>
    <t>Suivre systématiquement les actions correctives jusqu'à leur achèvement.</t>
  </si>
  <si>
    <t>Les rapports sur les actions correctives sont-ils soumis à la direction ?</t>
  </si>
  <si>
    <t>Rapport sur les actions correctives</t>
  </si>
  <si>
    <t>Risque de manque de visibilité sur l'avancement des corrections</t>
  </si>
  <si>
    <t>La direction pourrait ne pas être informée des progrès, retardant l'action</t>
  </si>
  <si>
    <t>Assurer une communication régulière et détaillée des actions correctives à la direction.</t>
  </si>
  <si>
    <t>L'organigramme incluant les rôles liés aux systèmes d'information est-il disponible et accessible ?</t>
  </si>
  <si>
    <t>Risque de confusion sur les responsabilités</t>
  </si>
  <si>
    <t>Des conflits de responsabilité peuvent survenir si les rôles ne sont pas clairs</t>
  </si>
  <si>
    <t>Rendre l'organigramme disponible et facilement accessible à tous.</t>
  </si>
  <si>
    <t>Les descriptions de poste détaillent-elles clairement les responsabilités liées à la gestion des systèmes d'information ?</t>
  </si>
  <si>
    <t>Descriptions de poste</t>
  </si>
  <si>
    <t>Risque de flou dans les responsabilités</t>
  </si>
  <si>
    <t>Les rôles pourraient être mal compris, menant à des lacunes dans la gestion des systèmes</t>
  </si>
  <si>
    <t>Clarifier et détailler les descriptions de poste, en incluant les responsabilités liées aux SI.</t>
  </si>
  <si>
    <t>Les rattachements hiérarchiques des responsables des systèmes d'information sont-ils clairement définis ?</t>
  </si>
  <si>
    <t>Organigramme et documentation</t>
  </si>
  <si>
    <t>Risque de confusion hiérarchique</t>
  </si>
  <si>
    <t>Les décisions importantes pourraient être retardées en raison de la confusion hiérarchique</t>
  </si>
  <si>
    <t>Définir clairement les rattachements hiérarchiques et les communiquer à tous.</t>
  </si>
  <si>
    <t>Les rôles et responsabilités sont-ils alignés sur les objectifs stratégiques de l'organisation ?</t>
  </si>
  <si>
    <t>Plan stratégique et documentation des rôles</t>
  </si>
  <si>
    <t>Risque de désalignement stratégique</t>
  </si>
  <si>
    <t>L'alignement stratégique pourrait être compromis, affectant la performance globale</t>
  </si>
  <si>
    <t>Réviser régulièrement les rôles et responsabilités pour garantir leur alignement avec les objectifs.</t>
  </si>
  <si>
    <t>Les collaborateurs ont-ils accès à des documents de référence pour comprendre leurs rôles ?</t>
  </si>
  <si>
    <t>Documents de référence</t>
  </si>
  <si>
    <t>Les collaborateurs pourraient ne pas comprendre entièrement leurs responsabilités, menant à des erreurs</t>
  </si>
  <si>
    <t>Fournir un accès facile et constant aux documents de référence.</t>
  </si>
  <si>
    <t>Des postes spécifiques sont-ils dédiés à la sécurité des systèmes d'information et à la gestion des données ?</t>
  </si>
  <si>
    <t>Descriptions de rôle et organigramme</t>
  </si>
  <si>
    <t>Risque de négligence en matière de sécurité</t>
  </si>
  <si>
    <t>La sécurité des SI et des données pourrait être compromise sans responsables dédiés</t>
  </si>
  <si>
    <t>Nommer des responsables dédiés et leur fournir les ressources nécessaires.</t>
  </si>
  <si>
    <t>Les descriptions de rôle pour ces postes sont-elles formalisées et accessibles ?</t>
  </si>
  <si>
    <t>Descriptions de rôle formalisées</t>
  </si>
  <si>
    <t>Risque de flou dans les responsabilités de sécurité</t>
  </si>
  <si>
    <t>Les responsabilités en matière de sécurité pourraient être mal comprises ou ignorées</t>
  </si>
  <si>
    <t>Formaliser et rendre accessibles les descriptions de rôle.</t>
  </si>
  <si>
    <t>Les responsables disposent-ils des compétences et certifications nécessaires pour exercer leurs fonctions ?</t>
  </si>
  <si>
    <t>Dossiers de certification</t>
  </si>
  <si>
    <t>Risque de manque de qualifications des responsables</t>
  </si>
  <si>
    <t>Les responsables pourraient être incapables de remplir efficacement leurs fonctions</t>
  </si>
  <si>
    <t>Assurer que tous les responsables ont les certifications requises et suivent des formations continues.</t>
  </si>
  <si>
    <t>Les responsabilités sont-elles régulièrement mises à jour en fonction des évolutions technologiques et réglementaires ?</t>
  </si>
  <si>
    <t>Risque d'inadéquation des responsabilités face aux évolutions</t>
  </si>
  <si>
    <t>Les responsables pourraient ne pas être préparés aux nouvelles exigences technologiques et réglementaires</t>
  </si>
  <si>
    <t>Mettre en place un processus de révision régulier des responsabilités.</t>
  </si>
  <si>
    <t>Les collaborateurs ont-ils reçu une formation sur leurs responsabilités ?</t>
  </si>
  <si>
    <t>Risque de mauvaise exécution des responsabilités</t>
  </si>
  <si>
    <t>Les collaborateurs pourraient commettre des erreurs faute de formation adéquate</t>
  </si>
  <si>
    <t>Organiser des formations régulières sur les responsabilités de chacun.</t>
  </si>
  <si>
    <t>Les responsables des systèmes d'information disposent-ils d'un budget dédié pour leurs missions ?</t>
  </si>
  <si>
    <t>Risque de ressources insuffisantes pour les missions</t>
  </si>
  <si>
    <t>Les responsables pourraient ne pas disposer des moyens nécessaires pour accomplir leurs missions</t>
  </si>
  <si>
    <t>Allouer un budget suffisant aux responsables des SI pour leurs missions.</t>
  </si>
  <si>
    <t>Les outils et technologies nécessaires sont-ils mis à leur disposition ?</t>
  </si>
  <si>
    <t>Risque de non-disponibilité des outils nécessaires</t>
  </si>
  <si>
    <t>L'efficacité des responsables pourrait être réduite si les outils sont manquants ou obsolètes</t>
  </si>
  <si>
    <t>Fournir régulièrement des mises à jour sur les outils et technologies nécessaires.</t>
  </si>
  <si>
    <t>Les autorisations d'accès sont-elles accordées en fonction des rôles et responsabilités ?</t>
  </si>
  <si>
    <t>Risque d'accès non contrôlé aux informations sensibles</t>
  </si>
  <si>
    <t>L'accès non autorisé pourrait entraîner des fuites de données ou des violations de sécurité</t>
  </si>
  <si>
    <t>Appliquer une politique stricte de gestion des accès basée sur les rôles.</t>
  </si>
  <si>
    <t>Des formations régulières sont-elles proposées pour maintenir les compétences à jour ?</t>
  </si>
  <si>
    <t>Les collaborateurs risquent de ne pas être au courant des dernières évolutions et innovations</t>
  </si>
  <si>
    <t>Organiser des formations régulières pour tous les collaborateurs.</t>
  </si>
  <si>
    <t>Les responsables ont-ils accès à des experts externes si nécessaire ?</t>
  </si>
  <si>
    <t>Liste d'experts externes</t>
  </si>
  <si>
    <t>Risque de manquer de conseils d'experts</t>
  </si>
  <si>
    <t>Les responsables pourraient prendre des décisions erronées en l'absence d'expertise externe</t>
  </si>
  <si>
    <t>Mettre en place un réseau d'experts externes accessibles selon les besoins.</t>
  </si>
  <si>
    <t>Des réunions régulières sont-elles organisées entre les départements et les responsables des systèmes d'information ?</t>
  </si>
  <si>
    <t>Calendrier des réunions</t>
  </si>
  <si>
    <t>Risque de mauvaise communication entre départements</t>
  </si>
  <si>
    <t>Les départements pourraient ne pas être alignés, entraînant des inefficacités dans les processus</t>
  </si>
  <si>
    <t>Planifier des réunions régulières pour garantir la coordination.</t>
  </si>
  <si>
    <t>Des canaux de communication officiels sont-ils utilisés pour faciliter les échanges ?</t>
  </si>
  <si>
    <t>Outils de communication (intranet, messagerie sécurisée)</t>
  </si>
  <si>
    <t>Risque de fuites d'information</t>
  </si>
  <si>
    <t>Les informations sensibles pourraient être partagées de manière non sécurisée</t>
  </si>
  <si>
    <t>Mettre en place et utiliser des canaux de communication sécurisés et officiels.</t>
  </si>
  <si>
    <t>Les processus de communication sont-ils documentés et accessibles à tous ?</t>
  </si>
  <si>
    <t>Documentation des processus de communication</t>
  </si>
  <si>
    <t>Risque de confusion dans les échanges</t>
  </si>
  <si>
    <t>Les informations pourraient être mal transmises, créant des malentendus</t>
  </si>
  <si>
    <t>Assurer que la documentation des processus de communication est claire et accessible à tous.</t>
  </si>
  <si>
    <t>Des outils collaboratifs sont-ils mis en place pour améliorer la coordination ?</t>
  </si>
  <si>
    <t>Outils collaboratifs (plateformes de gestion de projet)</t>
  </si>
  <si>
    <t>Risque de mauvaise coordination</t>
  </si>
  <si>
    <t>Les équipes pourraient ne pas bien collaborer, réduisant l'efficacité du projet</t>
  </si>
  <si>
    <t>Implémenter des outils collaboratifs adaptés pour améliorer la coordination entre équipes.</t>
  </si>
  <si>
    <t>Les retours d'information entre les départements sont-ils collectés et pris en compte ?</t>
  </si>
  <si>
    <t>Rapports de feedback</t>
  </si>
  <si>
    <t>Risque de négligence des retours</t>
  </si>
  <si>
    <t>Des problèmes ou améliorations possibles pourraient être ignorés, retardant les projets</t>
  </si>
  <si>
    <t>Mettre en place un processus systématique pour collecter et analyser les retours d'information.</t>
  </si>
  <si>
    <t>Une hiérarchie claire de responsabilité est-elle définie pour la gestion des systèmes d'information ?</t>
  </si>
  <si>
    <t>Organigramme des responsabilités SI</t>
  </si>
  <si>
    <t>Risque de confusion dans les responsabilités</t>
  </si>
  <si>
    <t>Des conflits de gestion pourraient surgir si les responsabilités sont floues</t>
  </si>
  <si>
    <t>Clarifier et diffuser l'organigramme des responsabilités pour les systèmes d'information.</t>
  </si>
  <si>
    <t>Des rapports réguliers sont-ils soumis sur la performance des systèmes d'information ?</t>
  </si>
  <si>
    <t>Rapports de performance SI</t>
  </si>
  <si>
    <t>Risque de manque d'information sur la performance des SI</t>
  </si>
  <si>
    <t>Les décisions stratégiques pourraient être mal informées, affectant la performance</t>
  </si>
  <si>
    <t>Mettre en place des rapports réguliers sur la performance des systèmes d'information.</t>
  </si>
  <si>
    <t>Les rapports incluent-ils des KPI pour mesurer l'efficacité des systèmes d'information ?</t>
  </si>
  <si>
    <t>Rapports avec KPI</t>
  </si>
  <si>
    <t>Risque d'inefficacité dans le suivi des performances</t>
  </si>
  <si>
    <t>Il sera difficile de suivre l'efficacité des systèmes sans indicateurs mesurables</t>
  </si>
  <si>
    <t>Inclure systématiquement des KPI dans les rapports de performance.</t>
  </si>
  <si>
    <t>Les écarts par rapport aux objectifs sont-ils documentés et analysés ?</t>
  </si>
  <si>
    <t>Rapport d'analyse des écarts</t>
  </si>
  <si>
    <t>Risque de ne pas corriger les écarts</t>
  </si>
  <si>
    <t>Les écarts non corrigés peuvent entraîner un retard ou une baisse de performance</t>
  </si>
  <si>
    <t>Documenter et analyser les écarts pour prendre des mesures correctives appropriées.</t>
  </si>
  <si>
    <t>Des plans d'action sont-ils élaborés pour corriger les lacunes identifiées ?</t>
  </si>
  <si>
    <t>Risque de non-correction des lacunes</t>
  </si>
  <si>
    <t>Les lacunes non corrigées pourraient nuire à la performance des systèmes</t>
  </si>
  <si>
    <t>Élaborer et suivre des plans d'action pour corriger les lacunes.</t>
  </si>
  <si>
    <t>Le risque de fraude est-il inclus dans le registre des risques ?</t>
  </si>
  <si>
    <t>Registre des risques</t>
  </si>
  <si>
    <t>Risque de fraude non pris en compte</t>
  </si>
  <si>
    <t>La fraude pourrait se produire si elle n'est pas identifiée comme un risque clé</t>
  </si>
  <si>
    <t>Inclure systématiquement le risque de fraude dans le registre des risques.</t>
  </si>
  <si>
    <t>Les scénarios de fraude sont-ils identifiés et documentés ?</t>
  </si>
  <si>
    <t>Documentation des scénarios de fraude</t>
  </si>
  <si>
    <t>Risque de fraude non anticipée</t>
  </si>
  <si>
    <t>Si les scénarios ne sont pas identifiés, la fraude pourrait passer inaperçue</t>
  </si>
  <si>
    <t>Identifier et documenter tous les scénarios de fraude potentiels.</t>
  </si>
  <si>
    <t>Les risques de fraude sont-ils classés par niveau de probabilité et d'impact ?</t>
  </si>
  <si>
    <t>Analyse des risques de fraude</t>
  </si>
  <si>
    <t>Risque de sous-estimation des risques de fraude</t>
  </si>
  <si>
    <t>Une fraude pourrait se produire dans un domaine sous-estimé, impactant gravement l'organisation</t>
  </si>
  <si>
    <t>Classer les risques de fraude par probabilité et impact pour prioriser les actions.</t>
  </si>
  <si>
    <t>Les risques de fraude sont-ils alignés sur les objectifs stratégiques de l'organisation ?</t>
  </si>
  <si>
    <t>Registre des risques stratégiques</t>
  </si>
  <si>
    <t>Risque de décalage entre les risques et les objectifs stratégiques</t>
  </si>
  <si>
    <t>Les stratégies de gestion des risques pourraient être inefficaces si elles ne sont pas alignées sur les objectifs</t>
  </si>
  <si>
    <t>Aligner systématiquement les risques de fraude avec les objectifs stratégiques de l'organisation.</t>
  </si>
  <si>
    <t>Des consultations avec des experts en fraude sont-elles menées pour identifier les risques spécifiques ?</t>
  </si>
  <si>
    <t>Liste d'experts en fraude</t>
  </si>
  <si>
    <t>Risque de ne pas avoir d'avis d'experts sur les risques de fraude</t>
  </si>
  <si>
    <t>Des décisions prises sans l'expertise nécessaire pourraient accroître le risque de fraude</t>
  </si>
  <si>
    <t>Mettre en place des consultations régulières avec des experts en fraude.</t>
  </si>
  <si>
    <t>Des méthodologies reconnues sont-elles utilisées pour évaluer le risque de fraude ?</t>
  </si>
  <si>
    <t>Rapports d'analyse SWOT ou cartographie des risques</t>
  </si>
  <si>
    <t>Risque d'évaluation incomplète des risques</t>
  </si>
  <si>
    <t>L'évaluation des risques de fraude pourrait être superficielle, conduisant à des mesures inefficaces</t>
  </si>
  <si>
    <t>Utiliser des méthodologies reconnues pour évaluer les risques de fraude de manière approfondie.</t>
  </si>
  <si>
    <t>Les domaines vulnérables à la fraude sont-ils identifiés et documentés ?</t>
  </si>
  <si>
    <t>Documentation des domaines vulnérables</t>
  </si>
  <si>
    <t>Risque de fraude dans des domaines non identifiés</t>
  </si>
  <si>
    <t>La fraude pourrait avoir un impact significatif si les zones vulnérables ne sont pas identifiées</t>
  </si>
  <si>
    <t>Identifier et documenter systématiquement les domaines vulnérables à la fraude.</t>
  </si>
  <si>
    <t>Les contrôles existants sont-ils évalués pour leur efficacité à atténuer les risques de fraude ?</t>
  </si>
  <si>
    <t>Évaluation des contrôles</t>
  </si>
  <si>
    <t>Risque de contrôle inefficace</t>
  </si>
  <si>
    <t>Les contrôles inefficaces pourraient permettre à la fraude de se produire</t>
  </si>
  <si>
    <t>Effectuer des évaluations régulières des contrôles de fraude pour assurer leur efficacité.</t>
  </si>
  <si>
    <t>Des tests de vulnérabilité sont-ils réalisés pour identifier les failles potentielles ?</t>
  </si>
  <si>
    <t>Rapports de tests de vulnérabilité</t>
  </si>
  <si>
    <t>Risque de failles de sécurité non détectées</t>
  </si>
  <si>
    <t>Des failles non détectées pourraient être exploitées pour commettre des fraudes</t>
  </si>
  <si>
    <t>Réaliser des tests de vulnérabilité réguliers et documentés.</t>
  </si>
  <si>
    <t>Les résultats de l'évaluation des risques de fraude sont-ils documentés et partagés avec les parties prenantes ?</t>
  </si>
  <si>
    <t>Rapport d'évaluation des risques de fraude</t>
  </si>
  <si>
    <t>Risque d'information insuffisante</t>
  </si>
  <si>
    <t>Les parties prenantes pourraient ne pas être informées des risques de fraude, retardant les actions nécessaires</t>
  </si>
  <si>
    <t>Partager systématiquement les résultats des évaluations de fraude avec toutes les parties prenantes.</t>
  </si>
  <si>
    <t>Des responsables spécifiques sont-ils désignés pour la gestion des risques de fraude ?</t>
  </si>
  <si>
    <t>Liste des responsables de la gestion des risques de fraude</t>
  </si>
  <si>
    <t>Risque de gestion inefficace des risques de fraude</t>
  </si>
  <si>
    <t>L'absence de responsables dédiés pourrait nuire à l'efficacité des actions de prévention de fraude</t>
  </si>
  <si>
    <t>Désigner des responsables spécifiques et leur attribuer des responsabilités claires.</t>
  </si>
  <si>
    <t>Les responsables ont-ils reçu une formation sur les techniques d'identification et de gestion de la fraude ?</t>
  </si>
  <si>
    <t>Certificats de formation</t>
  </si>
  <si>
    <t>Risque de mauvaise gestion des fraudes</t>
  </si>
  <si>
    <t>Les responsables pourraient ne pas être suffisamment préparés pour identifier ou gérer les fraudes</t>
  </si>
  <si>
    <t>Offrir des formations régulières sur l'identification et la gestion de la fraude aux responsables.</t>
  </si>
  <si>
    <t>Les responsables ont-ils obtenu des certifications reconnues en gestion de la fraude ?</t>
  </si>
  <si>
    <t>Certificats professionnels</t>
  </si>
  <si>
    <t>Risque de manque de qualification des responsables</t>
  </si>
  <si>
    <t>Des responsables non certifiés pourraient manquer de compétences nécessaires pour gérer efficacement les fraudes</t>
  </si>
  <si>
    <t>Encourager l'obtention de certifications reconnues pour les responsables.</t>
  </si>
  <si>
    <t>Les responsables participent-ils à des formations continues pour se tenir à jour sur les nouvelles tendances de fraude ?</t>
  </si>
  <si>
    <t>Liste des formations continues</t>
  </si>
  <si>
    <t>Risque de connaissances obsolètes</t>
  </si>
  <si>
    <t>Les responsables risquent de ne pas être au courant des nouvelles tendances, limitant la capacité à prévenir la fraude</t>
  </si>
  <si>
    <t>Assurer une formation continue sur les dernières tendances et techniques de fraude.</t>
  </si>
  <si>
    <t>Les responsabilités des responsables en matière de fraude sont-elles clairement définies et documentées ?</t>
  </si>
  <si>
    <t>Risque de confusion dans la gestion de la fraude</t>
  </si>
  <si>
    <t>Des responsabilités mal définies pourraient entraîner des lacunes dans la prévention de la fraude</t>
  </si>
  <si>
    <t>Clarifier et documenter les responsabilités des responsables en matière de fraude.</t>
  </si>
  <si>
    <t>Des outils de surveillance automatisés sont-ils utilisés pour détecter la fraude ?</t>
  </si>
  <si>
    <t>Outils de détection de fraude</t>
  </si>
  <si>
    <t>Risque de fraude non détectée</t>
  </si>
  <si>
    <t>La fraude pourrait ne pas être détectée à temps sans outils appropriés</t>
  </si>
  <si>
    <t>Implémenter des outils de surveillance automatisés et les mettre à jour régulièrement.</t>
  </si>
  <si>
    <t>Des audits internes réguliers sont-ils réalisés pour évaluer l'efficacité des contrôles de fraude ?</t>
  </si>
  <si>
    <t>Sans audits réguliers, les failles dans les contrôles de fraude pourraient ne pas être détectées</t>
  </si>
  <si>
    <t>Organiser des audits internes réguliers pour évaluer les contrôles de fraude.</t>
  </si>
  <si>
    <t>Des rapports trimestriels sur les risques de fraude sont-ils soumis à la direction ?</t>
  </si>
  <si>
    <t>Rapports trimestriels</t>
  </si>
  <si>
    <t>Risque de manque de visibilité sur la fraude</t>
  </si>
  <si>
    <t>La direction pourrait ne pas être informée des risques de fraude, affectant la prise de décision</t>
  </si>
  <si>
    <t>Soumettre des rapports trimestriels détaillant les risques de fraude à la direction.</t>
  </si>
  <si>
    <t>Les incidents potentiels de fraude sont-ils documentés et analysés ?</t>
  </si>
  <si>
    <t>Documentation des incidents</t>
  </si>
  <si>
    <t>Risque d'ignorance des incidents potentiels</t>
  </si>
  <si>
    <t>Les incidents pourraient se reproduire si la documentation et l'analyse ne sont pas effectuées correctement</t>
  </si>
  <si>
    <t>Documenter et analyser tous les incidents de fraude potentiels pour en tirer des leçons.</t>
  </si>
  <si>
    <t>Des indicateurs de performance sont-ils définis pour mesurer l'efficacité des contrôles de fraude ?</t>
  </si>
  <si>
    <t>Rapport sur les KPI</t>
  </si>
  <si>
    <t>Risque d'incapacité à évaluer l'efficacité des contrôles</t>
  </si>
  <si>
    <t>L'incapacité à évaluer les contrôles pourrait laisser persister des vulnérabilités de fraude</t>
  </si>
  <si>
    <t>Définir des KPI clairs et mesurables pour évaluer l'efficacité des contrôles de fraude.</t>
  </si>
  <si>
    <t>Les évaluations de performance incluent-elles une analyse des risques de fraude ?</t>
  </si>
  <si>
    <t>Rapports d'évaluation de la performance</t>
  </si>
  <si>
    <t>Risque d'ignorer les risques de fraude dans l'évaluation de la performance</t>
  </si>
  <si>
    <t>Les risques de fraude pourraient être négligés, augmentant le potentiel de fraude</t>
  </si>
  <si>
    <t>Intégrer une analyse des risques de fraude dans toutes les évaluations de performance.</t>
  </si>
  <si>
    <t>Des plans d'action correctifs sont-ils élaborés pour chaque faille identifiée dans les contrôles de fraude ?</t>
  </si>
  <si>
    <t>Risque de non-correction des failles de contrôle</t>
  </si>
  <si>
    <t>L'inefficacité des contrôles de fraude pourrait persister si les actions correctives ne sont pas mises en place</t>
  </si>
  <si>
    <t>Élaborer des plans d'action correctifs pour chaque faille identifiée dans les contrôles de fraude.</t>
  </si>
  <si>
    <t>Les mesures correctives sont-elles suivies jusqu'à leur achèvement ?</t>
  </si>
  <si>
    <t>Suivi des mesures correctives</t>
  </si>
  <si>
    <t>Risque d'inefficacité si les mesures ne sont pas suivies</t>
  </si>
  <si>
    <t>La fraude pourrait se reproduire si les mesures correctives sont incomplètes ou inefficaces</t>
  </si>
  <si>
    <t>Assurer un suivi rigoureux de l'achèvement des mesures correctives.</t>
  </si>
  <si>
    <t>Des rapports sur les mesures correctives sont-ils soumis à la direction ?</t>
  </si>
  <si>
    <t>Rapports de suivi des mesures correctives</t>
  </si>
  <si>
    <t>Risque d'absence de contrôle de l'implémentation des mesures</t>
  </si>
  <si>
    <t>La direction pourrait ne pas être informée des mesures prises, retardant les décisions nécessaires</t>
  </si>
  <si>
    <t>Soumettre régulièrement des rapports sur l'état des mesures correctives à la direction.</t>
  </si>
  <si>
    <t>Les résultats des mesures correctives sont-ils évalués pour mesurer leur efficacité ?</t>
  </si>
  <si>
    <t>Évaluation des résultats des mesures correctives</t>
  </si>
  <si>
    <t>Risque de non-évaluation de l'efficacité des mesures correctives</t>
  </si>
  <si>
    <t>Les failles de contrôle pourraient persister si l'efficacité des actions correctives n'est pas évaluée</t>
  </si>
  <si>
    <t>Évaluer systématiquement l'efficacité des mesures correctives et ajuster si nécessaire.</t>
  </si>
  <si>
    <t>Un processus formel pour identifier les changements internes et externes est-il documenté ?</t>
  </si>
  <si>
    <t>Processus documenté d'identification des changements</t>
  </si>
  <si>
    <t>Risque de ne pas identifier des changements importants</t>
  </si>
  <si>
    <t>Des changements non identifiés pourraient entraîner des risques de fraude ou de non-conformité</t>
  </si>
  <si>
    <t>Documenter et formaliser le processus d'identification des changements internes et externes.</t>
  </si>
  <si>
    <t>Des outils de veille sont-ils utilisés pour détecter les changements internes et externes ?</t>
  </si>
  <si>
    <t>Outils de veille (réglementaire, technologique)</t>
  </si>
  <si>
    <t>Risque de ne pas détecter des changements pertinents</t>
  </si>
  <si>
    <t>La non-détection des changements pourrait entraîner un décalage avec la réglementation ou des vulnérabilités</t>
  </si>
  <si>
    <t>Mettre en place des outils de veille proactive pour détecter tous les changements pertinents.</t>
  </si>
  <si>
    <t>Les changements identifiés sont-ils enregistrés dans un registre dédié ?</t>
  </si>
  <si>
    <t>Registre des changements identifiés</t>
  </si>
  <si>
    <t>Risque de perte de données ou de changements non suivis</t>
  </si>
  <si>
    <t>Des changements non enregistrés pourraient entraîner des risques non anticipés</t>
  </si>
  <si>
    <t>Créer et maintenir un registre dédié pour tous les changements identifiés.</t>
  </si>
  <si>
    <t>Les collaborateurs sont-ils sensibilisés à l'importance de signaler les changements potentiels ?</t>
  </si>
  <si>
    <t>Programmes de sensibilisation</t>
  </si>
  <si>
    <t>Risque que des changements importants ne soient pas signalés</t>
  </si>
  <si>
    <t>Des changements potentiels pourraient ne pas être pris en compte, exposant l'organisation à des risques</t>
  </si>
  <si>
    <t>Mettre en place des programmes de sensibilisation pour encourager le signalement des changements.</t>
  </si>
  <si>
    <t>Des réunions régulières sont-elles organisées pour discuter des changements identifiés ?</t>
  </si>
  <si>
    <t>Compte-rendus des réunions</t>
  </si>
  <si>
    <t>Risque de manque de coordination sur les changements</t>
  </si>
  <si>
    <t>Les changements pourraient être mal coordonnés, augmentant les risques de non-conformité</t>
  </si>
  <si>
    <t>Organiser des réunions régulières pour discuter des changements et de leurs impacts.</t>
  </si>
  <si>
    <t>Une méthodologie d'évaluation des impacts des changements est-elle définie et documentée ?</t>
  </si>
  <si>
    <t>Méthodologie d'évaluation des impacts</t>
  </si>
  <si>
    <t>Risque d'évaluation incorrecte des impacts des changements</t>
  </si>
  <si>
    <t>L'impact des changements pourrait être mal évalué, entraînant des décisions non optimales</t>
  </si>
  <si>
    <t>Définir et documenter une méthodologie d'évaluation des impacts des changements.</t>
  </si>
  <si>
    <t>Les impacts sur les contrôles internes et les risques associés sont-ils analysés et documentés ?</t>
  </si>
  <si>
    <t>Documentation des impacts sur les contrôles internes</t>
  </si>
  <si>
    <t>Risque de ne pas évaluer l'impact des changements sur les contrôles internes</t>
  </si>
  <si>
    <t>Des changements non analysés pourraient déstabiliser les contrôles internes existants</t>
  </si>
  <si>
    <t>Analyser et documenter systématiquement les impacts des changements sur les contrôles internes.</t>
  </si>
  <si>
    <t>Des outils d'analyse sont-ils utilisés pour évaluer les changements ?</t>
  </si>
  <si>
    <t>Outils d'analyse (matrices d'impact, SWOT)</t>
  </si>
  <si>
    <t>Risque d'analyse superficielle des impacts des changements</t>
  </si>
  <si>
    <t>Les changements pourraient ne pas être correctement évalués, augmentant les risques de gestion</t>
  </si>
  <si>
    <t>Utiliser des outils d'analyse reconnus pour évaluer l'impact des changements.</t>
  </si>
  <si>
    <t>Les résultats de l'évaluation sont-ils partagés avec les parties prenantes concernées ?</t>
  </si>
  <si>
    <t>Rapports d'évaluation partagés</t>
  </si>
  <si>
    <t>Risque de non-communication des résultats</t>
  </si>
  <si>
    <t>Les parties prenantes risquent de ne pas prendre en compte les résultats, retardant l'adaptation des processus</t>
  </si>
  <si>
    <t>Partager systématiquement les résultats de l'évaluation avec toutes les parties prenantes.</t>
  </si>
  <si>
    <t>Des plans d'action sont-ils élaborés pour atténuer les impacts négatifs des changements ?</t>
  </si>
  <si>
    <t>Plans d'action pour atténuer les impacts</t>
  </si>
  <si>
    <t>Risque de ne pas réduire les effets négatifs des changements</t>
  </si>
  <si>
    <t>Les changements pourraient avoir des conséquences graves si les impacts ne sont pas atténués</t>
  </si>
  <si>
    <t>Élaborer des plans d'action spécifiques pour chaque impact négatif des changements.</t>
  </si>
  <si>
    <t>Les responsables du contrôle interne participent-ils aux réunions d'identification des changements ?</t>
  </si>
  <si>
    <t>Comptes-rendus des réunions</t>
  </si>
  <si>
    <t>Risque d'isolement des responsables du contrôle interne</t>
  </si>
  <si>
    <t>Si les responsables du contrôle interne ne sont pas impliqués, les risques de non-conformité peuvent augmenter</t>
  </si>
  <si>
    <t>Assurer la participation active des responsables du contrôle interne à toutes les réunions pertinentes.</t>
  </si>
  <si>
    <t>Les responsables du contrôle interne sont-ils consultés lors de l'évaluation des impacts des changements ?</t>
  </si>
  <si>
    <t>Documentation des consultations</t>
  </si>
  <si>
    <t>Risque de non-prise en compte des impacts sur les contrôles internes</t>
  </si>
  <si>
    <t>L'impact des changements sur le contrôle interne pourrait ne pas être bien évalué</t>
  </si>
  <si>
    <t>Impliquer systématiquement les responsables du contrôle interne dans l'évaluation des impacts des changements.</t>
  </si>
  <si>
    <t>Les contrôles internes sont-ils adaptés en fonction des résultats de l'évaluation des changements ?</t>
  </si>
  <si>
    <t>Documentation des adaptations des contrôles</t>
  </si>
  <si>
    <t>Risque de non-adaptation des contrôles internes</t>
  </si>
  <si>
    <t>Les contrôles internes peuvent devenir obsolètes, augmentant les risques de fraude et de non-conformité</t>
  </si>
  <si>
    <t>Adapter les contrôles internes de manière proactive suite aux résultats de l'évaluation des changements.</t>
  </si>
  <si>
    <t>Les responsables du contrôle interne reçoivent-ils des formations sur les nouvelles technologies ou réglementations ?</t>
  </si>
  <si>
    <t>Risque de compétences obsolètes des responsables du contrôle interne</t>
  </si>
  <si>
    <t>Les responsables pourraient ne pas être préparés à gérer les nouveaux défis liés aux changements réglementaires ou technologiques</t>
  </si>
  <si>
    <t>Fournir des formations continues sur les nouvelles technologies et les réglementations en vigueur.</t>
  </si>
  <si>
    <t>Les adaptations des contrôles internes sont-elles documentées et communiquées aux parties prenantes ?</t>
  </si>
  <si>
    <t>Risque de non-communication des adaptations des contrôles internes</t>
  </si>
  <si>
    <t>Les parties prenantes pourraient ne pas être informées des changements importants, ce qui pourrait compromettre l'efficacité des contrôles</t>
  </si>
  <si>
    <t>Documenter et communiquer systématiquement les adaptations des contrôles internes aux parties prenantes concernées.</t>
  </si>
  <si>
    <t>Des rapports trimestriels sur les changements et leurs impacts sont-ils soumis à la direction ?</t>
  </si>
  <si>
    <t>Risque de non-informatisation des impacts des changements</t>
  </si>
  <si>
    <t>La direction pourrait ne pas être informée à temps pour réagir efficacement aux impacts des changements</t>
  </si>
  <si>
    <t>Soumettre régulièrement des rapports détaillés sur les changements et leurs impacts à la direction.</t>
  </si>
  <si>
    <t>Les rapports incluent-ils des KPI pour mesurer l'impact des changements ?</t>
  </si>
  <si>
    <t>Rapports incluant des KPI</t>
  </si>
  <si>
    <t>Risque de non-mesure de l'impact des changements</t>
  </si>
  <si>
    <t>L'impact des changements pourrait ne pas être correctement mesuré, compromettant les décisions stratégiques</t>
  </si>
  <si>
    <t>Ajouter des KPI pertinents dans les rapports pour évaluer l'impact des changements.</t>
  </si>
  <si>
    <t>Rapports d'analyse des écarts</t>
  </si>
  <si>
    <t>Risque de ne pas identifier les causes des écarts</t>
  </si>
  <si>
    <t>Les écarts par rapport aux objectifs peuvent persister, entraînant des inefficacités</t>
  </si>
  <si>
    <t>Analyser et documenter systématiquement les écarts par rapport aux objectifs pour prendre des actions correctives.</t>
  </si>
  <si>
    <t>Des réunions de suivi sont-elles organisées pour discuter des rapports avec la direction ?</t>
  </si>
  <si>
    <t>Risque de manque de suivi des rapports</t>
  </si>
  <si>
    <t>Les décisions importantes pourraient être retardées en raison de l'absence de suivi</t>
  </si>
  <si>
    <t>Organiser des réunions régulières pour examiner et discuter des rapports avec la direction.</t>
  </si>
  <si>
    <t>Les décisions prises par la direction suite aux rapports sont-elles documentées ?</t>
  </si>
  <si>
    <t>Documentation des décisions</t>
  </si>
  <si>
    <t>Risque de manque de clarté sur les décisions prises</t>
  </si>
  <si>
    <t>Les actions de la direction pourraient être mal comprises ou mal exécutées sans documentation adéquate</t>
  </si>
  <si>
    <t>Documenter toutes les décisions prises suite aux rapports pour assurer la clarté et la traçabilité.</t>
  </si>
  <si>
    <t>Le Conseil ou un comité de gouvernance reçoit-il des rapports réguliers sur les changements significatifs ?</t>
  </si>
  <si>
    <t>Rapports réguliers au Conseil</t>
  </si>
  <si>
    <t>Risque de non-information du Conseil sur les changements significatifs</t>
  </si>
  <si>
    <t>Le Conseil pourrait ne pas être suffisamment informé pour prendre des décisions éclairées</t>
  </si>
  <si>
    <t>Soumettre des rapports réguliers détaillant les changements significatifs au Conseil ou au comité de gouvernance.</t>
  </si>
  <si>
    <t>Les impacts des changements sur le contrôle interne sont-ils clairement expliqués au Conseil ?</t>
  </si>
  <si>
    <t>Documentation explicative des impacts</t>
  </si>
  <si>
    <t>Risque de mal interpréter les impacts des changements sur les contrôles internes</t>
  </si>
  <si>
    <t>Le Conseil pourrait prendre des décisions erronées en raison d'une mauvaise compréhension des impacts</t>
  </si>
  <si>
    <t>Présenter de manière claire et détaillée les impacts des changements sur les contrôles internes au Conseil.</t>
  </si>
  <si>
    <t>Les décisions du Conseil concernant les adaptations du contrôle interne sont-elles documentées ?</t>
  </si>
  <si>
    <t>Risque de non-tracking des décisions du Conseil</t>
  </si>
  <si>
    <t>Les actions de mise en œuvre peuvent être mal orientées ou perdues sans documentation</t>
  </si>
  <si>
    <t>S'assurer que toutes les décisions du Conseil concernant le contrôle interne sont dûment documentées et communiquées.</t>
  </si>
  <si>
    <t>Le Conseil suit-il l'implémentation des mesures validées ?</t>
  </si>
  <si>
    <t>Suivi des mesures validées</t>
  </si>
  <si>
    <t>Risque de non-suivi des mesures adoptées</t>
  </si>
  <si>
    <t>Les mesures validées peuvent ne pas être correctement mises en œuvre</t>
  </si>
  <si>
    <t>Assurer un suivi systématique des mesures validées par le Conseil, avec des rapports réguliers.</t>
  </si>
  <si>
    <t>Un registre des risques est-il mis en place pour documenter tous les risques identifiés ?</t>
  </si>
  <si>
    <t>Risque d'oubli de certains risques importants</t>
  </si>
  <si>
    <t>Les risques non identifiés peuvent entraîner des pertes importantes pour l'organisation</t>
  </si>
  <si>
    <t>Mettre en place et maintenir à jour un registre centralisé des risques identifiés.</t>
  </si>
  <si>
    <t>Les risques sont-ils classés par catégorie ?</t>
  </si>
  <si>
    <t>Registre des risques classés</t>
  </si>
  <si>
    <t>Risque de mauvaise priorisation des risques</t>
  </si>
  <si>
    <t>Des ressources peuvent être allouées de manière inefficace, en ne priorisant pas les risques majeurs</t>
  </si>
  <si>
    <t>Classer les risques de manière claire et logique, afin de prioriser les actions de gestion des risques.</t>
  </si>
  <si>
    <t>Des outils d'analyse des risques sont-ils utilisés pour évaluer les risques ?</t>
  </si>
  <si>
    <t>Outils d'analyse des risques</t>
  </si>
  <si>
    <t>Risque de mauvaise évaluation des risques</t>
  </si>
  <si>
    <t>Une mauvaise évaluation des risques peut entraîner des décisions erronées</t>
  </si>
  <si>
    <t>Utiliser systématiquement des outils d'analyse des risques comme les matrices de risques et les analyses SWOT.</t>
  </si>
  <si>
    <t>Les risques sont-ils évalués en termes de probabilité d'occurrence et d'impact potentiel ?</t>
  </si>
  <si>
    <t>Rapports d'évaluation des risques</t>
  </si>
  <si>
    <t>Risque d'évaluation erronée des risques</t>
  </si>
  <si>
    <t>Les risques mal évalués peuvent affecter les stratégies de gestion et conduire à des pertes significatives</t>
  </si>
  <si>
    <t>Assurer une évaluation approfondie des risques en tenant compte à la fois de leur probabilité et de leur impact potentiel.</t>
  </si>
  <si>
    <t>Les risques identifiés sont-ils alignés sur les objectifs stratégiques de l'organisation ?</t>
  </si>
  <si>
    <t>Rapports d'alignement des risques</t>
  </si>
  <si>
    <t>Risque de désalignement entre les risques identifiés et les priorités stratégiques</t>
  </si>
  <si>
    <t>Le non-alignement peut mener à des actions qui ne sont pas en phase avec les objectifs stratégiques de l'organisation</t>
  </si>
  <si>
    <t>Assurer que les risques identifiés sont régulièrement réévalués pour rester alignés sur les objectifs stratégiques.</t>
  </si>
  <si>
    <t>Des révisions régulières du registre des risques sont-elles effectuées ?</t>
  </si>
  <si>
    <t>Registre des risques révisé</t>
  </si>
  <si>
    <t>Risque de non-mise à jour du registre des risques</t>
  </si>
  <si>
    <t>Des risques obsolètes peuvent rester documentés et les nouveaux risques ne seront pas pris en compte</t>
  </si>
  <si>
    <t>Planifier des révisions régulières pour mettre à jour le registre des risques et intégrer les nouvelles menaces.</t>
  </si>
  <si>
    <t>Les nouvelles menaces ou opportunités sont-elles intégrées dans le processus d'évaluation des risques ?</t>
  </si>
  <si>
    <t>Rapports sur les menaces et opportunités</t>
  </si>
  <si>
    <t>Risque de négliger des opportunités ou des menaces émergentes</t>
  </si>
  <si>
    <t>Les nouvelles menaces ou opportunités non identifiées peuvent conduire à des pertes ou à une absence de compétitivité</t>
  </si>
  <si>
    <t>Mettre à jour le processus d'évaluation des risques en fonction des nouvelles menaces et opportunités.</t>
  </si>
  <si>
    <t>Des outils de veille sont-ils utilisés pour détecter les nouveaux risques ?</t>
  </si>
  <si>
    <t>Outils de veille</t>
  </si>
  <si>
    <t>Risque de ne pas détecter des risques émergents</t>
  </si>
  <si>
    <t>L'absence de veille peut entraîner la perte de compétitivité ou la non-conformité aux nouvelles réglementations</t>
  </si>
  <si>
    <t>Utiliser des outils de veille performants pour rester informé des nouvelles tendances et risques émergents.</t>
  </si>
  <si>
    <t>Les résultats des évaluations continues sont-ils documentés et partagés avec les parties prenantes ?</t>
  </si>
  <si>
    <t>Documentation des évaluations</t>
  </si>
  <si>
    <t>La non-communication peut entraîner des décisions basées sur des informations incomplètes</t>
  </si>
  <si>
    <t>Documenter et partager systématiquement les résultats des évaluations continues avec les parties prenantes.</t>
  </si>
  <si>
    <t>Des ajustements sont-ils apportés aux plans de gestion des risques en fonction des nouvelles évaluations ?</t>
  </si>
  <si>
    <t>Plans d'ajustement des risques</t>
  </si>
  <si>
    <t>Risque de maintenir des plans obsolètes</t>
  </si>
  <si>
    <t>L'inefficacité des plans de gestion des risques peut exposer l'organisation à des pertes importantes</t>
  </si>
  <si>
    <t>Réévaluer et ajuster régulièrement les plans de gestion des risques pour tenir compte des nouvelles évaluations.</t>
  </si>
  <si>
    <t>Une méthodologie d'évaluation des risques est définie et appliquée</t>
  </si>
  <si>
    <t>Existe-t-il une méthodologie d'évaluation des risques formelle et appliquée ?</t>
  </si>
  <si>
    <t>Documentation de la méthodologie</t>
  </si>
  <si>
    <t>Risque de non-conformité aux meilleures pratiques d'évaluation des risques</t>
  </si>
  <si>
    <t>L'absence de méthodologie claire peut conduire à une mauvaise évaluation des risques</t>
  </si>
  <si>
    <t>Développer et documenter une méthodologie d'évaluation des risques conforme aux normes et l'appliquer systématiquement.</t>
  </si>
  <si>
    <t>Les risques sont-ils classés selon leur probabilité ?</t>
  </si>
  <si>
    <t>Risque de priorisation incorrecte des risques</t>
  </si>
  <si>
    <t>Des risques potentiellement graves peuvent être sous-estimés, mettant en danger l'organisation</t>
  </si>
  <si>
    <t>Appliquer une classification rigoureuse des risques selon leur probabilité et leur impact.</t>
  </si>
  <si>
    <t>Les risques sont-ils classés par niveau d'impact ?</t>
  </si>
  <si>
    <t>Registre des risques classifiés</t>
  </si>
  <si>
    <t>Risque d'évaluation incorrecte de l'impact</t>
  </si>
  <si>
    <t>Une mauvaise classification peut mener à une gestion inappropriée des risques</t>
  </si>
  <si>
    <t>Assurer une classification précise des risques en fonction de leur impact, et réévaluer régulièrement les critères.</t>
  </si>
  <si>
    <t>Les résultats de l'évaluation des risques sont-ils documentés dans un registre centralisé ?</t>
  </si>
  <si>
    <t>Registre des évaluations des risques</t>
  </si>
  <si>
    <t>Risque de perte d'informations critiques</t>
  </si>
  <si>
    <t>Le manque de documentation centralisée peut entraîner des erreurs ou des oublis dans la gestion des risques</t>
  </si>
  <si>
    <t>Assurer un enregistrement centralisé et à jour des résultats d'évaluation des risques.</t>
  </si>
  <si>
    <t>Les risques sont-ils priorisés en fonction de leur probabilité et de leur impact ?</t>
  </si>
  <si>
    <t>Matrice de risques</t>
  </si>
  <si>
    <t>Une priorisation incorrecte peut conduire à des décisions inefficaces dans la gestion des risques</t>
  </si>
  <si>
    <t>Utiliser une matrice de risques pour prioriser clairement les risques en fonction de leur probabilité et impact.</t>
  </si>
  <si>
    <t>Une méthodologie d'évaluation structurée est utilisée</t>
  </si>
  <si>
    <t>Une méthodologie d'évaluation structurée est-elle appliquée ?</t>
  </si>
  <si>
    <t>Documentation de la méthodologie structurée</t>
  </si>
  <si>
    <t>Risque d'inefficacité dans l'évaluation des risques</t>
  </si>
  <si>
    <t>L'absence d'une méthodologie claire peut mener à des évaluations incohérentes</t>
  </si>
  <si>
    <t>Mettre en place et suivre une méthodologie structurée d'évaluation des risques, avec des étapes bien définies.</t>
  </si>
  <si>
    <t>Les risques sont classés selon leur probabilité et leur impact</t>
  </si>
  <si>
    <t>Les risques sont-ils correctement classés selon leur probabilité et leur impact ?</t>
  </si>
  <si>
    <t>Risque de mauvaise analyse des risques</t>
  </si>
  <si>
    <t>Un classement incorrect peut entraîner une réponse inadéquate aux risques identifiés</t>
  </si>
  <si>
    <t>Assurer une revue périodique et rigoureuse de la classification des risques.</t>
  </si>
  <si>
    <t>Les risques sont-ils priorisés selon leur criticité ?</t>
  </si>
  <si>
    <t>Liste des risques prioritaires</t>
  </si>
  <si>
    <t>Risque de gestion incorrecte des risques</t>
  </si>
  <si>
    <t>Les risques non priorisés peuvent ne pas être traités à temps, augmentant leur impact</t>
  </si>
  <si>
    <t>Appliquer un système de priorisation des risques basé sur leur criticité.</t>
  </si>
  <si>
    <t>Les évaluations des risques sont-elles validées par une autorité compétente ?</t>
  </si>
  <si>
    <t>Actes de validation</t>
  </si>
  <si>
    <t>Risque de décisions basées sur des évaluations non validées</t>
  </si>
  <si>
    <t>L'absence de validation peut entraîner des erreurs stratégiques ou opérationnelles</t>
  </si>
  <si>
    <t>S'assurer que chaque évaluation des risques est validée par l'autorité compétente avant d'être utilisée dans la prise de décision.</t>
  </si>
  <si>
    <t>Les évaluations des risques sont-elles mises à jour régulièrement ?</t>
  </si>
  <si>
    <t>Registre des évaluations mises à jour</t>
  </si>
  <si>
    <t>Risque d'obsolescence des informations de risque</t>
  </si>
  <si>
    <t>Des évaluations obsolètes peuvent compromettre la réactivité aux risques émergents</t>
  </si>
  <si>
    <t>Mettre en place un processus de mise à jour périodique des évaluations des risques.</t>
  </si>
  <si>
    <t>Des plans d'action sont-ils élaborés pour chaque risque significatif ?</t>
  </si>
  <si>
    <t>Plans d'action documentés</t>
  </si>
  <si>
    <t>Risque de négliger des actions pour des risques significatifs</t>
  </si>
  <si>
    <t>L'absence de plan d'action spécifique peut augmenter l'impact des risques</t>
  </si>
  <si>
    <t>Élaborer des plans d'action détaillés pour chaque risque significatif et assurer leur suivi.</t>
  </si>
  <si>
    <t>Les plans d'action précisent-ils des délais de mise en œuvre et des responsables ?</t>
  </si>
  <si>
    <t>Plans d'action avec échéances et responsables</t>
  </si>
  <si>
    <t>Risque de retard dans l'atténuation des risques</t>
  </si>
  <si>
    <t>Des délais non respectés peuvent entraîner une gestion des risques inefficace</t>
  </si>
  <si>
    <t>S'assurer que chaque plan d'action inclut des délais précis et des responsables désignés.</t>
  </si>
  <si>
    <t>Les ressources nécessaires sont-elles allouées pour les plans d'action ?</t>
  </si>
  <si>
    <t>Budget et allocation de ressources</t>
  </si>
  <si>
    <t>Risque de manque de ressources pour implémenter les plans d'action</t>
  </si>
  <si>
    <t>Un manque de ressources peut empêcher la mise en œuvre effective des actions</t>
  </si>
  <si>
    <t>Allouer des ressources suffisantes pour chaque plan d'action et suivre leur utilisation.</t>
  </si>
  <si>
    <t>Les actions de gestion des risques sont-elles suivies jusqu'à leur achèvement ?</t>
  </si>
  <si>
    <t>Suivi de l'avancement des actions</t>
  </si>
  <si>
    <t>Risque de non-achèvement des actions</t>
  </si>
  <si>
    <t>Les actions inachevées laissent les risques non atténués</t>
  </si>
  <si>
    <t>Suivre de près l'avancement de chaque action de gestion des risques jusqu'à leur complète mise en œuvre.</t>
  </si>
  <si>
    <t>L'efficacité des actions est-elle évaluée après leur mise en œuvre ?</t>
  </si>
  <si>
    <t>Rapports d'évaluation d'efficacité</t>
  </si>
  <si>
    <t>Risque de gestion inefficace des risques</t>
  </si>
  <si>
    <t>Une évaluation insuffisante de l'efficacité peut laisser persister des vulnérabilités</t>
  </si>
  <si>
    <t>Mettre en place un processus d'évaluation systématique de l'efficacité des actions prises.</t>
  </si>
  <si>
    <t>Les activités de contrôle sont-elles alignées sur les risques identifiés ?</t>
  </si>
  <si>
    <t>Documentation des activités de contrôle</t>
  </si>
  <si>
    <t>Risque de non-alignement entre les contrôles et les risques</t>
  </si>
  <si>
    <t>Les contrôles mal alignés peuvent ne pas traiter les risques prioritaires</t>
  </si>
  <si>
    <t>Vérifier l'alignement des activités de contrôle avec les risques identifiés avant leur mise en œuvre.</t>
  </si>
  <si>
    <t>Des outils de sélection des activités de contrôle sont utilisés</t>
  </si>
  <si>
    <t>Des outils de sélection des activités de contrôle sont-ils utilisés ?</t>
  </si>
  <si>
    <t>Outils de sélection des contrôles (matrices, logiciels)</t>
  </si>
  <si>
    <t>Risque de sélection incorrecte des activités de contrôle</t>
  </si>
  <si>
    <t>Une sélection inappropriée peut rendre les contrôles inefficaces</t>
  </si>
  <si>
    <t>Utiliser des outils d'évaluation adaptés pour sélectionner les activités de contrôle les plus pertinentes.</t>
  </si>
  <si>
    <t>Les activités de contrôle sont-elles documentées et communiquées ?</t>
  </si>
  <si>
    <t>Documentation des contrôles</t>
  </si>
  <si>
    <t>Risque de mauvaise communication des contrôles</t>
  </si>
  <si>
    <t>Les parties prenantes peuvent ne pas être informées des contrôles en place, compromettant leur efficacité</t>
  </si>
  <si>
    <t>Assurer une documentation claire et une communication régulière des activités de contrôle aux parties prenantes.</t>
  </si>
  <si>
    <t>Les activités de contrôle sont-elles testées avant leur mise en œuvre ?</t>
  </si>
  <si>
    <t>Rapports de tests de contrôle</t>
  </si>
  <si>
    <t>Risque de mise en œuvre de contrôles inefficaces</t>
  </si>
  <si>
    <t>Les contrôles inefficaces risquent de ne pas réduire les risques comme prévu</t>
  </si>
  <si>
    <t>Effectuer des tests rigoureux avant la mise en œuvre des contrôles pour garantir leur efficacité.</t>
  </si>
  <si>
    <t>Les activités de contrôle sont-elles révisées régulièrement ?</t>
  </si>
  <si>
    <t>Risque de maintenir des contrôles obsolètes</t>
  </si>
  <si>
    <t>Les contrôles obsolètes peuvent ne plus être adaptés aux nouveaux risques</t>
  </si>
  <si>
    <t>Mettre en place une révision régulière des activités de contrôle pour s'assurer qu'elles restent pertinentes.</t>
  </si>
  <si>
    <t>Des KPI sont-ils définis pour mesurer l'efficacité des contrôles ?</t>
  </si>
  <si>
    <t>Tableaux de bord KPI</t>
  </si>
  <si>
    <t>Risque de ne pas mesurer l'efficacité des contrôles</t>
  </si>
  <si>
    <t>L'absence de KPI rend difficile l'évaluation de l'efficacité des contrôles</t>
  </si>
  <si>
    <t>Définir des KPI spécifiques pour mesurer et suivre l'efficacité des activités de contrôle.</t>
  </si>
  <si>
    <t>Des audits internes sont-ils réalisés régulièrement pour évaluer les contrôles ?</t>
  </si>
  <si>
    <t>Risque de non-détection des lacunes des contrôles</t>
  </si>
  <si>
    <t>Sans audits réguliers, les failles de contrôle peuvent persister</t>
  </si>
  <si>
    <t>Réaliser des audits internes réguliers pour identifier les failles et corriger les contrôles inefficaces.</t>
  </si>
  <si>
    <t>Les résultats des évaluations sont-ils partagés avec la direction ?</t>
  </si>
  <si>
    <t>Rapports partagés avec la direction</t>
  </si>
  <si>
    <t>Risque de mauvaise communication des résultats</t>
  </si>
  <si>
    <t>La direction peut ne pas avoir une vision claire des résultats des évaluations</t>
  </si>
  <si>
    <t>Assurer une communication régulière et détaillée des résultats d'évaluation à la direction.</t>
  </si>
  <si>
    <t>Des plans d'action correctifs sont-ils élaborés pour traiter les lacunes ?</t>
  </si>
  <si>
    <t>Plans d'action correctifs documentés</t>
  </si>
  <si>
    <t>Risque de persistance des lacunes non adressées</t>
  </si>
  <si>
    <t>Les lacunes non corrigées peuvent augmenter la vulnérabilité aux risques</t>
  </si>
  <si>
    <t>Élaborer immédiatement des plans d'action correctifs pour chaque lacune identifiée.</t>
  </si>
  <si>
    <t>Les activités de contrôle sont-elles ajustées après l'évaluation des résultats ?</t>
  </si>
  <si>
    <t>Rapports de révision des contrôles</t>
  </si>
  <si>
    <t>Risque de maintien de contrôles inadaptés</t>
  </si>
  <si>
    <t>Des contrôles non ajustés peuvent devenir obsolètes et inefficaces face aux nouveaux risques</t>
  </si>
  <si>
    <t>Ajuster les contrôles en fonction des résultats des évaluations et des retours des audits.</t>
  </si>
  <si>
    <t>Les activités de contrôle sont-elles intégrées dans les processus clés ?</t>
  </si>
  <si>
    <t>Documentation des processus et contrôles intégrés</t>
  </si>
  <si>
    <t>Risque de non-intégration dans les processus opérationnels</t>
  </si>
  <si>
    <t>Sans intégration, les contrôles peuvent être ignorés dans les processus quotidiens</t>
  </si>
  <si>
    <t>Assurer l'intégration des activités de contrôle dans tous les processus opérationnels clés.</t>
  </si>
  <si>
    <t>Des outils automatisés sont-ils utilisés pour faciliter l'intégration des contrôles ?</t>
  </si>
  <si>
    <t>Outils automatisés utilisés</t>
  </si>
  <si>
    <t>Risque de processus manuels inefficaces</t>
  </si>
  <si>
    <t>Les processus manuels sont plus sujets à des erreurs et peuvent être inefficaces</t>
  </si>
  <si>
    <t>Utiliser des outils automatisés pour optimiser et faciliter l'intégration des contrôles.</t>
  </si>
  <si>
    <t>Les collaborateurs sont-ils formés à l'importance des contrôles ?</t>
  </si>
  <si>
    <t>Risque de méconnaissance de l'importance des contrôles</t>
  </si>
  <si>
    <t>Un manque de formation peut entraîner une négligence des contrôles de sécurité</t>
  </si>
  <si>
    <t>Mettre en place des programmes de formation continue sur les contrôles pour sensibiliser tous les collaborateurs.</t>
  </si>
  <si>
    <t>Les activités de contrôle sont-elles alignées avec les objectifs de l'organisation ?</t>
  </si>
  <si>
    <t>Documentation de l'alignement</t>
  </si>
  <si>
    <t>Risque de non-alignement stratégique</t>
  </si>
  <si>
    <t>Les contrôles non alignés peuvent réduire l'efficacité des objectifs organisationnels</t>
  </si>
  <si>
    <t>S'assurer que chaque activité de contrôle est alignée avec les objectifs stratégiques de l'organisation.</t>
  </si>
  <si>
    <t>Des réunions régulières sont-elles organisées pour discuter des contrôles ?</t>
  </si>
  <si>
    <t>Comptes rendus de réunions</t>
  </si>
  <si>
    <t>Risque de manque de suivi des contrôles</t>
  </si>
  <si>
    <t>L'absence de réunions régulières peut entraîner des lacunes dans l'intégration des contrôles</t>
  </si>
  <si>
    <t>Organiser des réunions régulières pour discuter de l'intégration et de l'efficacité des contrôles.</t>
  </si>
  <si>
    <t>Les activités de contrôle sont-elles révisées en fonction des nouveaux risques ?</t>
  </si>
  <si>
    <t>Risque de non-ajustement aux nouveaux risques</t>
  </si>
  <si>
    <t>Les contrôles non révisés peuvent ne pas être efficaces face aux nouvelles menaces</t>
  </si>
  <si>
    <t>Réviser les activités de contrôle de manière régulière pour les adapter aux nouveaux risques.</t>
  </si>
  <si>
    <t>Les activités de contrôle sont-elles ajustées en fonction des évaluations continues ?</t>
  </si>
  <si>
    <t>Rapports d'ajustements</t>
  </si>
  <si>
    <t>Risque de non-réactivité aux évaluations continues</t>
  </si>
  <si>
    <t>Ignorer les évaluations continues peut entraîner des contrôles obsolètes</t>
  </si>
  <si>
    <t>Mettre en place un processus de révision et d'ajustement continu des activités de contrôle.</t>
  </si>
  <si>
    <t>Les contrôles généraux informatiques sont alignés sur les risques identifiés</t>
  </si>
  <si>
    <t>Les contrôles généraux sont-ils alignés sur les risques identifiés ?</t>
  </si>
  <si>
    <t>Risque de non-couverture des risques</t>
  </si>
  <si>
    <t>Des contrôles non alignés peuvent laisser des vulnérabilités non couvertes</t>
  </si>
  <si>
    <t>Assurer que les contrôles sont constamment mis à jour pour refléter les risques identifiés.</t>
  </si>
  <si>
    <t>Des outils de sélection de contrôles sont-ils utilisés ?</t>
  </si>
  <si>
    <t>Matrices de contrôle</t>
  </si>
  <si>
    <t>Risque d'utiliser des contrôles inappropriés</t>
  </si>
  <si>
    <t>L'inefficacité des contrôles peut augmenter les risques d'attaque ou de défaillance</t>
  </si>
  <si>
    <t>Mettre en place des outils adaptés pour évaluer et sélectionner les contrôles en fonction des risques.</t>
  </si>
  <si>
    <t>Les contrôles sont-ils documentés et communiqués ?</t>
  </si>
  <si>
    <t>Documentation des contrôles et rapports de communication</t>
  </si>
  <si>
    <t>Une mauvaise communication peut entraîner des malentendus et des failles dans l'application des contrôles</t>
  </si>
  <si>
    <t>Assurer une documentation claire et une communication efficace à toutes les parties prenantes.</t>
  </si>
  <si>
    <t>Les contrôles sont-ils testés avant leur mise en œuvre ?</t>
  </si>
  <si>
    <t>Résultats de tests de contrôle</t>
  </si>
  <si>
    <t>Des contrôles inefficaces peuvent compromettre la sécurité des systèmes</t>
  </si>
  <si>
    <t>Tester systématiquement chaque contrôle avant sa mise en œuvre pour garantir son efficacité.</t>
  </si>
  <si>
    <t>Les contrôles sont-ils régulièrement révisés ?</t>
  </si>
  <si>
    <t>Risque de non-adaptation aux évolutions des risques</t>
  </si>
  <si>
    <t>Des contrôles non révisés peuvent devenir obsolètes face à des menaces nouvelles</t>
  </si>
  <si>
    <t>Effectuer des révisions régulières des contrôles pour garantir leur efficacité continue.</t>
  </si>
  <si>
    <t>Les contrôles généraux informatiques couvrent tous les niveaux de l'infrastructure</t>
  </si>
  <si>
    <t>Les contrôles couvrent-ils tous les niveaux de l'infrastructure ?</t>
  </si>
  <si>
    <t>Cartographie des niveaux de l'infrastructure</t>
  </si>
  <si>
    <t>Risque de couverture insuffisante des infrastructures</t>
  </si>
  <si>
    <t>Des contrôles partiels peuvent laisser des failles de sécurité</t>
  </si>
  <si>
    <t>S'assurer que les contrôles sont déployés sur tous les niveaux de l'infrastructure pour une couverture complète.</t>
  </si>
  <si>
    <t>Des outils automatisés sont-ils utilisés pour surveiller l'efficacité des contrôles ?</t>
  </si>
  <si>
    <t>Outils de surveillance automatisés</t>
  </si>
  <si>
    <t>Risque de surveillance inefficace</t>
  </si>
  <si>
    <t>Une surveillance inefficace peut entraîner des lacunes non détectées</t>
  </si>
  <si>
    <t>Utiliser des outils de surveillance automatisés pour garantir une surveillance en temps réel.</t>
  </si>
  <si>
    <t>Les contrôles sont-ils intégrés dans les processus opérationnels ?</t>
  </si>
  <si>
    <t>Risque de non-intégration des contrôles dans les processus</t>
  </si>
  <si>
    <t>Les processus sans contrôle adéquat peuvent entraîner des vulnérabilités</t>
  </si>
  <si>
    <t>Intégrer les contrôles dans les processus pour assurer leur efficacité dans la gestion des risques.</t>
  </si>
  <si>
    <t>Les résultats des tests de contrôle sont-ils partagés avec les responsables ?</t>
  </si>
  <si>
    <t>Rapports de test de contrôle</t>
  </si>
  <si>
    <t>Risque de non-action sur les résultats</t>
  </si>
  <si>
    <t>Ne pas agir sur les résultats peut permettre à des failles de subsister</t>
  </si>
  <si>
    <t>Partager systématiquement les résultats des tests avec les responsables pour des actions correctives rapides.</t>
  </si>
  <si>
    <t>Des plans d'action correctifs sont-ils élaborés en cas de lacunes ?</t>
  </si>
  <si>
    <t>Risque de persistance des lacunes non corrigées</t>
  </si>
  <si>
    <t>Des lacunes non corrigées peuvent augmenter les vulnérabilités</t>
  </si>
  <si>
    <t>Élaborer des plans d'action correctifs immédiats pour traiter les lacunes identifiées.</t>
  </si>
  <si>
    <t>Les contrôles sont-ils réévalués régulièrement ?</t>
  </si>
  <si>
    <t>Rapports de réévaluation annuelle</t>
  </si>
  <si>
    <t>Risque de non-adaptation aux changements</t>
  </si>
  <si>
    <t>Le non-ajustement des contrôles aux évolutions technologiques peut rendre les systèmes vulnérables</t>
  </si>
  <si>
    <t>Réévaluer les contrôles annuellement ou en cas de changements importants pour maintenir leur pertinence.</t>
  </si>
  <si>
    <t>Des outils de veille technologique sont-ils utilisés ?</t>
  </si>
  <si>
    <t>Outils de veille technologique</t>
  </si>
  <si>
    <t>Risque de non-détection des nouvelles menaces</t>
  </si>
  <si>
    <t>Ne pas détecter les menaces émergentes peut laisser les systèmes vulnérables</t>
  </si>
  <si>
    <t>Mettre en place une veille technologique proactive pour détecter les nouvelles menaces et évolutions.</t>
  </si>
  <si>
    <t>Les résultats des réévaluations sont-ils partagés avec les parties prenantes ?</t>
  </si>
  <si>
    <t>Rapports de réévaluation</t>
  </si>
  <si>
    <t>Risque de mauvaise gestion de l'information</t>
  </si>
  <si>
    <t>Les parties prenantes peuvent manquer des informations importantes sur les réévaluations</t>
  </si>
  <si>
    <t>Partager systématiquement les résultats des réévaluations pour garantir une gestion adéquate des risques.</t>
  </si>
  <si>
    <t>Les contrôles sont-ils ajustés en fonction des nouvelles menaces ?</t>
  </si>
  <si>
    <t>Risque d'obsolescence des contrôles</t>
  </si>
  <si>
    <t>Des contrôles non adaptés aux nouvelles menaces peuvent compromettre la sécurité</t>
  </si>
  <si>
    <t>Réajuster régulièrement les contrôles en fonction des nouvelles menaces et des évolutions technologiques.</t>
  </si>
  <si>
    <t>Les contrôles sont-ils testés pour s'assurer de leur efficacité face aux nouvelles menaces ?</t>
  </si>
  <si>
    <t>Résultats des tests de contrôle</t>
  </si>
  <si>
    <t>Risque de non-efficacité des contrôles</t>
  </si>
  <si>
    <t>Des contrôles inefficaces face aux nouvelles menaces augmentent les risques</t>
  </si>
  <si>
    <t>Tester régulièrement les contrôles pour assurer leur efficacité face aux nouvelles menaces.</t>
  </si>
  <si>
    <t>Liste des KPI définis</t>
  </si>
  <si>
    <t>Risque de non-mesure de l'efficacité</t>
  </si>
  <si>
    <t>L'inefficacité des contrôles peut rester non détectée sans indicateurs clairs</t>
  </si>
  <si>
    <t>Définir des KPI spécifiques pour mesurer l'efficacité des contrôles en continu.</t>
  </si>
  <si>
    <t>Des audits internes sont-ils réalisés pour évaluer les contrôles ?</t>
  </si>
  <si>
    <t>Risque d'inefficacité non détectée</t>
  </si>
  <si>
    <t>L'inefficacité des contrôles peut compromettre la sécurité des systèmes</t>
  </si>
  <si>
    <t>Effectuer des audits internes réguliers pour détecter les éventuelles lacunes dans les contrôles.</t>
  </si>
  <si>
    <t>Rapports d'évaluation</t>
  </si>
  <si>
    <t>Risque de manque d'information pour la direction</t>
  </si>
  <si>
    <t>La direction peut prendre des décisions mal informées sans accès aux résultats</t>
  </si>
  <si>
    <t>Partager les résultats des évaluations avec la direction pour un suivi efficace des risques.</t>
  </si>
  <si>
    <t>Des plans d'action correctifs sont-ils élaborés ?</t>
  </si>
  <si>
    <t>Plans d'action</t>
  </si>
  <si>
    <t>Des lacunes non corrigées peuvent augmenter la vulnérabilité des systèmes</t>
  </si>
  <si>
    <t>Élaborer immédiatement des plans d'action pour corriger les lacunes identifiées.</t>
  </si>
  <si>
    <t>Les activités de contrôle sont-elles ajustées selon les évaluations ?</t>
  </si>
  <si>
    <t>Risque de persistance des failles</t>
  </si>
  <si>
    <t>Des activités de contrôle inadaptées peuvent laisser des vulnérabilités non corrigées</t>
  </si>
  <si>
    <t>Ajuster les activités de contrôle en fonction des résultats des évaluations pour renforcer la sécurité.</t>
  </si>
  <si>
    <t>Risque de non-intégration des contrôles</t>
  </si>
  <si>
    <t>La non-intégration des contrôles dans les processus opérationnels peut réduire leur efficacité</t>
  </si>
  <si>
    <t>Assurer que les activités de contrôle sont intégrées dans les processus opérationnels clés.</t>
  </si>
  <si>
    <t>Des outils automatisés sont-ils utilisés pour faciliter l'intégration ?</t>
  </si>
  <si>
    <t>Liste des outils automatisés</t>
  </si>
  <si>
    <t>Risque de gestion manuelle inefficace</t>
  </si>
  <si>
    <t>L'absence d'automatisation peut entraîner des erreurs humaines et une gestion inefficace</t>
  </si>
  <si>
    <t>Utiliser des outils automatisés pour faciliter l'intégration et le suivi des contrôles.</t>
  </si>
  <si>
    <t>Risque de mauvaise gestion des contrôles</t>
  </si>
  <si>
    <t>Des collaborateurs mal formés peuvent ne pas appliquer correctement les contrôles</t>
  </si>
  <si>
    <t>Organiser des sessions de formation continues pour sensibiliser les collaborateurs à l'importance des contrôles.</t>
  </si>
  <si>
    <t>Les activités de contrôle sont-elles alignées sur les objectifs ?</t>
  </si>
  <si>
    <t>Documentation des objectifs</t>
  </si>
  <si>
    <t>Risque de désalignement des contrôles avec les objectifs</t>
  </si>
  <si>
    <t>Des contrôles mal alignés peuvent affecter les objectifs opérationnels de l'organisation</t>
  </si>
  <si>
    <t>S'assurer que toutes les activités de contrôle sont en harmonie avec les objectifs stratégiques de l'organisation.</t>
  </si>
  <si>
    <t>Risque de manque de communication sur l'intégration des contrôles</t>
  </si>
  <si>
    <t>L'absence de discussion régulière peut entraîner des lacunes dans l'intégration des contrôles</t>
  </si>
  <si>
    <t>Organiser des réunions périodiques pour évaluer et ajuster l'intégration des contrôles.</t>
  </si>
  <si>
    <t>Les activités de contrôle sont-elles révisées pour s'adapter aux nouveaux risques ?</t>
  </si>
  <si>
    <t>Risque de non-adaptation aux nouveaux risques</t>
  </si>
  <si>
    <t>Des contrôles obsolètes peuvent ne pas couvrir les nouveaux risques émergents</t>
  </si>
  <si>
    <t>Mettre en place un mécanisme de révision régulière des contrôles pour les adapter aux nouveaux risques.</t>
  </si>
  <si>
    <t>Des ajustements sont-ils effectués selon les évaluations continues ?</t>
  </si>
  <si>
    <t>Rapports d'évaluation continue</t>
  </si>
  <si>
    <t>Risque de non-ajustement des contrôles</t>
  </si>
  <si>
    <t>Ne pas ajuster les contrôles peut conduire à des lacunes dans la couverture des risques</t>
  </si>
  <si>
    <t>Apporter des ajustements constants aux contrôles en fonction des évaluations continues.</t>
  </si>
  <si>
    <t>Les contrôles sont-ils testés pour leur efficacité face aux nouveaux risques ?</t>
  </si>
  <si>
    <t>Risque de non-efficacité des contrôles face aux nouveaux risques</t>
  </si>
  <si>
    <t>Des contrôles non testés peuvent ne pas être capables de répondre aux nouveaux risques</t>
  </si>
  <si>
    <t>Tester régulièrement les contrôles pour garantir leur efficacité face aux nouveaux risques émergents.</t>
  </si>
  <si>
    <t>Les responsables disposent-ils de certifications reconnues dans le domaine de la sécurité informatique ?</t>
  </si>
  <si>
    <t>Copies des certificats</t>
  </si>
  <si>
    <t>Compétences non vérifiables</t>
  </si>
  <si>
    <t>Inefficacité des contrôles en cas d’incidents critiques</t>
  </si>
  <si>
    <t>Exiger des certifications reconnues pour tous les responsables de contrôle</t>
  </si>
  <si>
    <t>Des formations continues sont-elles organisées au moins une fois par an pour les responsables ?</t>
  </si>
  <si>
    <t>Calendrier et attestations de formation</t>
  </si>
  <si>
    <t>Obsolescence des compétences</t>
  </si>
  <si>
    <t>Contrôles inadaptés aux menaces actuelles</t>
  </si>
  <si>
    <t>Mettre en place un plan de formation continue obligatoire</t>
  </si>
  <si>
    <t>Les responsables suivent-ils des formations spécialisées sur les nouvelles menaces ?</t>
  </si>
  <si>
    <t>Liste des formations suivies</t>
  </si>
  <si>
    <t>Méconnaissance des menaces émergentes</t>
  </si>
  <si>
    <t>Incapacité à répondre à une attaque moderne</t>
  </si>
  <si>
    <t>Intégrer des modules de veille technologique dans les formations continues</t>
  </si>
  <si>
    <t>Les rôles et responsabilités sont-ils formalisés dans un document officiel ?</t>
  </si>
  <si>
    <t>Retards ou conflits dans la mise en œuvre des contrôles</t>
  </si>
  <si>
    <t>Mettre à jour régulièrement les fiches de poste et les communiquer</t>
  </si>
  <si>
    <t>Les responsables ont-ils accès aux outils et aux budgets nécessaires à leurs missions ?</t>
  </si>
  <si>
    <t>Budgets, outils de gestion</t>
  </si>
  <si>
    <t>Manque de moyens pour appliquer les contrôles</t>
  </si>
  <si>
    <t>Failles de sécurité non couvertes</t>
  </si>
  <si>
    <t>Réévaluer les budgets et fournir des outils adaptés à chaque niveau de contrôle</t>
  </si>
  <si>
    <t>Des KPI sont-ils en place pour mesurer l’application des règles de contrôle ?</t>
  </si>
  <si>
    <t>Tableau de bord KPI</t>
  </si>
  <si>
    <t>Difficulté à évaluer l'efficacité des contrôles</t>
  </si>
  <si>
    <t>Absence de visibilité sur les performances</t>
  </si>
  <si>
    <t>Définir et suivre régulièrement des KPI pertinents</t>
  </si>
  <si>
    <t>Des audits sont-ils planifiés et réalisés à fréquence régulière ?</t>
  </si>
  <si>
    <t>Non-détection des failles organisationnelles</t>
  </si>
  <si>
    <t>Maintien de faiblesses dans le système</t>
  </si>
  <si>
    <t>Planifier des audits à fréquence fixe et les documenter</t>
  </si>
  <si>
    <t>Les résultats sont-ils communiqués aux parties responsables ?</t>
  </si>
  <si>
    <t>Rapports partagés</t>
  </si>
  <si>
    <t>Manque de transparence ou d’action suite aux constats</t>
  </si>
  <si>
    <t>Actions correctives retardées</t>
  </si>
  <si>
    <t>Instaurer un processus formel de diffusion et de suivi</t>
  </si>
  <si>
    <t>La direction reçoit-elle un reporting régulier sur la conformité ?</t>
  </si>
  <si>
    <t>Manque de pilotage stratégique</t>
  </si>
  <si>
    <t>Retard dans la prise de décision stratégique</t>
  </si>
  <si>
    <t>Mettre en place un reporting périodique structuré</t>
  </si>
  <si>
    <t>Des plans sont-ils définis lorsqu’une non-conformité est constatée ?</t>
  </si>
  <si>
    <t>Plans d’action</t>
  </si>
  <si>
    <t>Répétition des mêmes non-conformités</t>
  </si>
  <si>
    <t>Perte de confiance des parties prenantes</t>
  </si>
  <si>
    <t>Formaliser les plans avec un suivi rigoureux</t>
  </si>
  <si>
    <t>Un plan d’action est-il systématiquement établi pour chaque écart détecté ?</t>
  </si>
  <si>
    <t>Rapports d’audit et plans d’action</t>
  </si>
  <si>
    <t>Écarts non traités ou récurrents</t>
  </si>
  <si>
    <t>Non-conformité persistante</t>
  </si>
  <si>
    <t>Élaborer un plan correctif pour chaque écart avec responsable désigné</t>
  </si>
  <si>
    <t>Les plans d’action comportent-ils des échéances et des responsables clairs ?</t>
  </si>
  <si>
    <t>Manque de responsabilisation et de suivi</t>
  </si>
  <si>
    <t>Retards dans la mise en conformité</t>
  </si>
  <si>
    <t>Inclure systématiquement des délais et un pilote pour chaque action</t>
  </si>
  <si>
    <t>Un suivi régulier des actions correctives est-il effectué ?</t>
  </si>
  <si>
    <t>Registre de suivi des actions</t>
  </si>
  <si>
    <t>Abandon des actions en cours de route</t>
  </si>
  <si>
    <t>Risques non corrigés</t>
  </si>
  <si>
    <t>Mettre en place un tableau de suivi des actions avec rappels périodiques</t>
  </si>
  <si>
    <t>Évalue-t-on l’efficacité réelle des actions mises en place ?</t>
  </si>
  <si>
    <t>Inefficacité des solutions apportées</t>
  </si>
  <si>
    <t>Résurgence des mêmes problèmes</t>
  </si>
  <si>
    <t>Intégrer une phase de validation post-action corrective</t>
  </si>
  <si>
    <t>La direction est-elle informée régulièrement de l’état des actions correctives ?</t>
  </si>
  <si>
    <t>Rapports d’état</t>
  </si>
  <si>
    <t>Perte de visibilité au niveau décisionnel</t>
  </si>
  <si>
    <t>Décisions inadaptées ou tardives</t>
  </si>
  <si>
    <t>Transmettre périodiquement un reporting de l’avancement des actions</t>
  </si>
  <si>
    <t>Un plan de formation annuel est-il formalisé et diffusé ?</t>
  </si>
  <si>
    <t>Inadéquation des compétences</t>
  </si>
  <si>
    <t>Erreurs dans l'application des contrôles</t>
  </si>
  <si>
    <t>Mettre en place un plan de formation annuel structuré et validé par la direction</t>
  </si>
  <si>
    <t>Les contenus de formation sont-ils personnalisés selon les métiers ?</t>
  </si>
  <si>
    <t>Supports de formation différenciés</t>
  </si>
  <si>
    <t>Faible appropriation des règles</t>
  </si>
  <si>
    <t>Inefficacité des contrôles</t>
  </si>
  <si>
    <t>Adapter les modules selon les risques et enjeux de chaque service</t>
  </si>
  <si>
    <t>Des supports pédagogiques sont-ils disponibles pour les collaborateurs ?</t>
  </si>
  <si>
    <t>Guides, tutoriels, vidéos</t>
  </si>
  <si>
    <t>Manque de compréhension ou d’accès à l’information</t>
  </si>
  <si>
    <t>Interprétations erronées</t>
  </si>
  <si>
    <t>Maintenir et enrichir les supports accessibles via l’intranet</t>
  </si>
  <si>
    <t>Des évaluations post-formation sont réalisées pour mesurer l’efficacité des formations</t>
  </si>
  <si>
    <t>Les connaissances sont-elles évaluées après chaque formation ?</t>
  </si>
  <si>
    <t>Fiches d’évaluation, quiz</t>
  </si>
  <si>
    <t>Aucun retour sur l’assimilation</t>
  </si>
  <si>
    <t>Formations inefficaces</t>
  </si>
  <si>
    <t>Intégrer une évaluation systématique à la fin de chaque session</t>
  </si>
  <si>
    <t>Un canal de communication est-il ouvert pour les questions post-formation ?</t>
  </si>
  <si>
    <t>FAQ, messagerie dédiée</t>
  </si>
  <si>
    <t>Incompréhensions persistantes</t>
  </si>
  <si>
    <t>Risques de mauvaise application</t>
  </si>
  <si>
    <t>Mettre en place une hotline ou un forum pour les questions post-formation</t>
  </si>
  <si>
    <t>L’organisation utilise-t-elle des outils spécifiques pour la collecte des données ?</t>
  </si>
  <si>
    <t>Logiciel de collecte / base de données</t>
  </si>
  <si>
    <t>Données non centralisées ou incomplètes</t>
  </si>
  <si>
    <t>Décisions fondées sur des informations partielles</t>
  </si>
  <si>
    <t>Uniformiser et automatiser les outils de collecte dans tous les services</t>
  </si>
  <si>
    <t>Existe-t-il un processus de validation des données collectées ?</t>
  </si>
  <si>
    <t>Procédure de contrôle qualité des données</t>
  </si>
  <si>
    <t>Utilisation de données erronées</t>
  </si>
  <si>
    <t>Mauvaise évaluation des risques ou performances</t>
  </si>
  <si>
    <t>Mettre en place une procédure de vérification systématique des données</t>
  </si>
  <si>
    <t>Des KPI mesurent-ils la qualité et l’exactitude des données ?</t>
  </si>
  <si>
    <t>Tableau de bord qualité / KPIs</t>
  </si>
  <si>
    <t>Impossibilité de juger la fiabilité de l'information</t>
  </si>
  <si>
    <t>Informations peu exploitables</t>
  </si>
  <si>
    <t>Définir des indicateurs de qualité des données collectées</t>
  </si>
  <si>
    <t>Un calendrier de mise à jour des données est-il en place ?</t>
  </si>
  <si>
    <t>Planning ou politique de mise à jour</t>
  </si>
  <si>
    <t>Décisions non alignées sur la réalité opérationnelle</t>
  </si>
  <si>
    <t>Établir un processus régulier de mise à jour des données</t>
  </si>
  <si>
    <t>Les utilisateurs sont-ils formés aux outils et aux bonnes pratiques de collecte ?</t>
  </si>
  <si>
    <t>Attestations de formation ou modules e-learning</t>
  </si>
  <si>
    <t>Collecte erronée ou incohérente</t>
  </si>
  <si>
    <t>Risques accrus d’erreurs ou d’interprétations fausses</t>
  </si>
  <si>
    <t>Former systématiquement les utilisateurs à la collecte et au traitement des données</t>
  </si>
  <si>
    <t>Mise en œuvre de contrôles inefficaces</t>
  </si>
  <si>
    <t>Des indicateurs de performance (KPI) sont définis pour mesurer l’efficacité des activités de contrôle</t>
  </si>
  <si>
    <t>Avez-vous des KPI permettant d’évaluer la performance des activités de contrôle ?</t>
  </si>
  <si>
    <t>Tableaux de bord, rapport d'indicateurs</t>
  </si>
  <si>
    <t>Difficulté à évaluer l’efficacité</t>
  </si>
  <si>
    <t>Manque de visibilité sur la performance</t>
  </si>
  <si>
    <t>Définir des KPI spécifiques et les intégrer dans un reporting périodique</t>
  </si>
  <si>
    <t>Des audits internes sont réalisés pour évaluer l’efficacité des activités de contrôle</t>
  </si>
  <si>
    <t>Des audits internes sont-ils régulièrement réalisés sur les activités de contrôle ?</t>
  </si>
  <si>
    <t>Rapports d’audit, plan d’audit</t>
  </si>
  <si>
    <t>Non-identification des failles de contrôle</t>
  </si>
  <si>
    <t>Perte d'efficacité du dispositif de contrôle</t>
  </si>
  <si>
    <t>Maintenir une fréquence régulière des audits avec une couverture complète</t>
  </si>
  <si>
    <t>Les résultats d’audits sont-ils transmis à la direction ?</t>
  </si>
  <si>
    <t>Rapports d’audit, comptes rendus</t>
  </si>
  <si>
    <t>Absence de pilotage stratégique</t>
  </si>
  <si>
    <t>Décisions managériales non informées</t>
  </si>
  <si>
    <t>Transmettre systématiquement les rapports à la gouvernance</t>
  </si>
  <si>
    <t>Des plans d’action correctifs sont élaborés en cas de lacunes identifiées</t>
  </si>
  <si>
    <t>Des plans d’action sont-ils systématiquement mis en place après audit ?</t>
  </si>
  <si>
    <t>Plan d'action, tableau de suivi</t>
  </si>
  <si>
    <t>Maintien des faiblesses dans le système de contrôle</t>
  </si>
  <si>
    <t>Répétition des erreurs ou incidents</t>
  </si>
  <si>
    <t>Élaborer des plans correctifs dès l’identification d’écarts</t>
  </si>
  <si>
    <t>Les activités de contrôle sont-elles révisées après les audits ?</t>
  </si>
  <si>
    <t>Compte rendu de révision, nouvelle procédure</t>
  </si>
  <si>
    <t>Contrôles inefficaces conservés</t>
  </si>
  <si>
    <t>Perte d’adaptation face aux risques évolutifs</t>
  </si>
  <si>
    <t>Implémenter des ajustements immédiats post-audit</t>
  </si>
  <si>
    <t>Vérifier que des mécanismes de feedback sont mis en place pour permettre aux parties prenantes internes de poser des questions et d’obtenir des éclaircissements sur les informations reçues</t>
  </si>
  <si>
    <t>Mise en place de canaux de communication ouverts pour que les parties prenantes puissent poser des questions et demander des éclaircissements.</t>
  </si>
  <si>
    <t>Des canaux de communication ouverts permettent-ils aux parties prenantes de poser questions et demander éclaircissements ?</t>
  </si>
  <si>
    <t>Registre des canaux de communication ouverts</t>
  </si>
  <si>
    <t>Canaux de dialogue insuffisamment ouverts</t>
  </si>
  <si>
    <t>Canaux insuffisamment ouverts limitant le dialogue nécessaire</t>
  </si>
  <si>
    <t>Disponibilité de mécanismes de feedback pour évaluer la compréhension des informations partagées.</t>
  </si>
  <si>
    <t>Des mécanismes de feedback existent-ils pour évaluer la compréhension des informations partagées ?</t>
  </si>
  <si>
    <t>Procédures de feedback et évaluation de compréhension</t>
  </si>
  <si>
    <t>Mécanismes d'évaluation de compréhension absents</t>
  </si>
  <si>
    <t>Mécanismes d'évaluation absents empêchant de mesurer la compréhension</t>
  </si>
  <si>
    <t>Suivi de l'efficacité des mécanismes de feedback et prise en compte des retours reçus.</t>
  </si>
  <si>
    <t>L'efficacité des mécanismes de feedback est-elle suivie et les retours pris en compte ?</t>
  </si>
  <si>
    <t>Tableau de suivi de l'efficacité des mécanismes de feedback</t>
  </si>
  <si>
    <t>Suivi inexistant de l'efficacité des feedbacks</t>
  </si>
  <si>
    <t>Suivi inexistant des feedbacks gaspillant des opportunités d'amélioration</t>
  </si>
  <si>
    <t>Responsabilité assignée pour traiter les demandes de clarification ou de précision.</t>
  </si>
  <si>
    <t>Une responsabilité est-elle assignée pour traiter les demandes de clarification ou précision ?</t>
  </si>
  <si>
    <t>Fiche de poste du responsable des clarifications</t>
  </si>
  <si>
    <t>Responsable des clarifications non identifié</t>
  </si>
  <si>
    <t>Responsable non identifié créant des demandes sans réponse</t>
  </si>
  <si>
    <t>Surveillance régulière des processus de feedback pour identifier les besoins d'amélioration.</t>
  </si>
  <si>
    <t>Les processus de feedback font-ils l'objet d'une surveillance régulière pour identifier besoins d'amélioration ?</t>
  </si>
  <si>
    <t>Rapports de surveillance des processus de feedback</t>
  </si>
  <si>
    <t>Surveillance irrégulière des retours</t>
  </si>
  <si>
    <t>Surveillance irrégulière des retours laissant passer des signaux faibles</t>
  </si>
  <si>
    <t>S’assurer que des outils de communication adéquats (réunions, rapports, systèmes d’information) sont utilisés pour faciliter l’échange d’informations entre les différentes parties prenantes impliquées dans le contrôle interne.</t>
  </si>
  <si>
    <t>Utilisation de différents outils de communication adaptés pour l'échange d'informations (réunions, rapports écrits, systèmes informatiques).</t>
  </si>
  <si>
    <t>Différents outils de communication adaptés sont-ils utilisés pour l'échange d'informations ?</t>
  </si>
  <si>
    <t>Inventaire des outils de communication utilisés</t>
  </si>
  <si>
    <t>Outils de communication non recensés</t>
  </si>
  <si>
    <t>Outils non recensés empêchant une vision globale des moyens de communication</t>
  </si>
  <si>
    <t>Fréquence et régularité des réunions de suivi et des rapports de contrôle interne.</t>
  </si>
  <si>
    <t>Quelle est la fréquence et régularité des réunions de suivi et rapports de contrôle interne ?</t>
  </si>
  <si>
    <t>Calendrier des réunions et rapports de contrôle interne</t>
  </si>
  <si>
    <t>Calendrier des réunions non respecté</t>
  </si>
  <si>
    <t>Calendrier non respecté perturbant le rythme des échanges</t>
  </si>
  <si>
    <t>Mise en place de systèmes de gestion de l'information pour centraliser et faciliter l'accès aux informations partagées.</t>
  </si>
  <si>
    <t>Des systèmes de gestion de l'information centralisent-ils et facilitent-ils l'accès aux informations partagées ?</t>
  </si>
  <si>
    <t>Documentation du système de gestion centralisée de l'information</t>
  </si>
  <si>
    <t>Système d'information décentralisé et incohérent</t>
  </si>
  <si>
    <t>Système d'information décentralisé générant des incohérences</t>
  </si>
  <si>
    <t>Assurer la synchronisation des informations échangées entre les différentes parties prenantes.</t>
  </si>
  <si>
    <t>Les informations échangées entre parties prenantes sont-elles synchronisées ?</t>
  </si>
  <si>
    <t>Procédures de synchronisation des informations entre parties</t>
  </si>
  <si>
    <t>Synchronisation défaillante entre services</t>
  </si>
  <si>
    <t>Désorganisation des processus interdépendants</t>
  </si>
  <si>
    <t>Suivi pour garantir l'efficacité des outils de communication utilisés.</t>
  </si>
  <si>
    <t>L'efficacité des outils de communication utilisés fait-elle l'objet d'un suivi ?</t>
  </si>
  <si>
    <t>Tableau de bord de suivi des outils de communication</t>
  </si>
  <si>
    <t>Indicateurs de performance des outils absents</t>
  </si>
  <si>
    <t>Impossibilité de mesurer l'efficacité réelle des outils utilisés</t>
  </si>
  <si>
    <t>Vérifier que la communication interne des informations nécessaires au contrôle interne est régulièrement suivie, avec des rapports ou des audits pour évaluer l'efficacité des mécanismes de communication en place</t>
  </si>
  <si>
    <t>Réalisation de suivis réguliers pour évaluer l'efficacité des canaux de communication interne utilisés pour le contrôle interne.</t>
  </si>
  <si>
    <t>Des suivis réguliers évaluent-ils l'efficacité des canaux de communication interne pour le contrôle interne ?</t>
  </si>
  <si>
    <t>Programme d'évaluation des canaux de communication interne</t>
  </si>
  <si>
    <t>Évaluation rare des canaux de communication</t>
  </si>
  <si>
    <t>Maintien de canaux de communication inefficaces par manque d'évaluation</t>
  </si>
  <si>
    <t>Audit périodique de la qualité de la communication interne et de l’utilisation des informations relatives au contrôle interne.</t>
  </si>
  <si>
    <t>Des audits périodiques évaluent-ils la qualité de la communication interne et l'utilisation des informations ?</t>
  </si>
  <si>
    <t>Rapports d'audit qualité de la communication interne</t>
  </si>
  <si>
    <t>Audits qualité non réalisés</t>
  </si>
  <si>
    <t>Qualité des communications non contrôlée ni améliorée</t>
  </si>
  <si>
    <t>Élaboration de rapports détaillant les forces et faiblesses des mécanismes de communication internes.</t>
  </si>
  <si>
    <t>Des rapports détaillent-ils les forces et faiblesses des mécanismes de communication internes ?</t>
  </si>
  <si>
    <t>Analyse SWOT des mécanismes de communication internes</t>
  </si>
  <si>
    <t>Analyse des forces/faiblesses non formalisée</t>
  </si>
  <si>
    <t>Absence de diagnostic structuré des points à améliorer</t>
  </si>
  <si>
    <t>Mise en place de mesures pour améliorer les processus de communication, lorsque nécessaire.</t>
  </si>
  <si>
    <t>Des mesures sont-elles mises en place pour améliorer les processus de communication lorsque nécessaire ?</t>
  </si>
  <si>
    <t>Plan d'amélioration des processus de communication</t>
  </si>
  <si>
    <t>Plans d'amélioration non mis en œuvre</t>
  </si>
  <si>
    <t>Persistance des dysfonctionnements sans plan de correction</t>
  </si>
  <si>
    <t>Responsabilité assignée pour superviser l'efficacité des échanges d’informations</t>
  </si>
  <si>
    <t>Une responsabilité est-elle assignée pour superviser l'efficacité des échanges d'informations ?</t>
  </si>
  <si>
    <t>Fiche de poste du superviseur des échanges d'information</t>
  </si>
  <si>
    <t>Supervision inefficace des flux informationnels</t>
  </si>
  <si>
    <t>Flux d'information incohérents et inefficaces</t>
  </si>
  <si>
    <t>S’assurer que l’organisation dispose de processus formels pour communiquer avec les tiers sur les points pertinents concernant le contrôle interne, notamment les risques et les mesures prises pour y faire face</t>
  </si>
  <si>
    <t>Définition de processus formels pour communiquer avec les parties externes sur le contrôle interne.</t>
  </si>
  <si>
    <t>Des processus formels existent-ils pour communiquer avec les parties externes sur le contrôle interne ?</t>
  </si>
  <si>
    <t>Procédures formalisées de communication externe</t>
  </si>
  <si>
    <t>Absence de cadre structuré pour les échanges externes</t>
  </si>
  <si>
    <t>Relations externes désorganisées et peu professionnelles</t>
  </si>
  <si>
    <t>Identification des parties prenantes externes pertinentes et des informations à leur transmettre.</t>
  </si>
  <si>
    <t>Les parties prenantes externes pertinentes et informations à leur transmettre sont-elles identifiées ?</t>
  </si>
  <si>
    <t>Répertoire des parties prenantes externes et informations partageables</t>
  </si>
  <si>
    <t>Méconnaissance des interlocuteurs clés et des informations partageables</t>
  </si>
  <si>
    <t>Transmission inappropriée d'informations sensibles</t>
  </si>
  <si>
    <t>Communication régulière sur les risques identifiés et les actions prises pour y faire face.</t>
  </si>
  <si>
    <t>Une communication régulière a-t-elle lieu sur les risques identifiés et actions prises ?</t>
  </si>
  <si>
    <t>Calendrier des communications sur risques et actions</t>
  </si>
  <si>
    <t>Défaut de planification des communications stratégiques</t>
  </si>
  <si>
    <t>Retards dans la gestion des crises et opportunités manquées</t>
  </si>
  <si>
    <t>Assurer la conformité avec les exigences légales et réglementaires en matière de communication externe.</t>
  </si>
  <si>
    <t>La communication externe est-elle conforme aux exigences légales et réglementaires ?</t>
  </si>
  <si>
    <t>Check-list de conformité réglementaire communication externe</t>
  </si>
  <si>
    <t>Non-conformité aux exigences légales en communication</t>
  </si>
  <si>
    <t>Amendes réglementaires et atteinte à la réputation</t>
  </si>
  <si>
    <t>Suivi de l'efficacité de la communication externe et de l’impact sur le contrôle interne.</t>
  </si>
  <si>
    <t>L'efficacité de la communication externe et son impact sur le contrôle interne font-ils l'objet d'un suivi ?</t>
  </si>
  <si>
    <t>Rapports d'impact de la communication externe</t>
  </si>
  <si>
    <t>Impact non mesuré des communications externes</t>
  </si>
  <si>
    <t>Investissements dans des actions de communication inefficaces</t>
  </si>
  <si>
    <t>Vérifier que les parties prenantes externes sont informées en temps utile des évolutions qui peuvent avoir un impact sur le fonctionnement du contrôle interne, en particulier lorsqu'il y a des changements significatifs dans l’organisation ou dans la réglementation applicable</t>
  </si>
  <si>
    <t>Communication rapide des évolutions internes ou externes pouvant affecter le contrôle interne.</t>
  </si>
  <si>
    <t>Les évolutions internes/externes affectant le contrôle interne sont-elles communiquées rapidement ?</t>
  </si>
  <si>
    <t>Protocole de communication rapide des évolutions</t>
  </si>
  <si>
    <t>Retard dans la transmission des évolutions critiques</t>
  </si>
  <si>
    <t>Décisions stratégiques prises sur des informations obsolètes</t>
  </si>
  <si>
    <t>Identification des événements significatifs (réorganisations, nouvelles réglementations) et diffusion des informations pertinentes à l'extérieur.</t>
  </si>
  <si>
    <t>Les événements significatifs sont-ils identifiés et les informations pertinentes diffusées à l'extérieur ?</t>
  </si>
  <si>
    <t>Registre des événements significatifs et diffusion externe</t>
  </si>
  <si>
    <t>Défaillance dans l'identification des événements majeurs</t>
  </si>
  <si>
    <t>Opportunités manquées et gestion de crise retardée</t>
  </si>
  <si>
    <t>Mise en place de processus pour garantir la transmission rapide de ces informations aux parties externes concernées.</t>
  </si>
  <si>
    <t>Des processus garantissent-ils la transmission rapide de ces informations aux parties externes concernées ?</t>
  </si>
  <si>
    <t>Procédures de transmission rapide aux parties externes</t>
  </si>
  <si>
    <t>Lenteur dans l'information des parties concernées</t>
  </si>
  <si>
    <t>Communication inadaptée aux différents publics cibles</t>
  </si>
  <si>
    <t>Suivi des retours des parties prenantes externes pour s'assurer qu'elles ont bien reçu et compris les informations.</t>
  </si>
  <si>
    <t>Les retours des parties prenantes externes sont-ils suivis pour s'assurer de leur bonne compréhension ?</t>
  </si>
  <si>
    <t>Registre des retours et compréhension des parties externes</t>
  </si>
  <si>
    <t>Incapacité à vérifier la bonne compréhension des messages</t>
  </si>
  <si>
    <t>Malentendus et conflits avec les parties prenantes externes</t>
  </si>
  <si>
    <t>Réactivité face aux changements réglementaires ou organisationnels.</t>
  </si>
  <si>
    <t>L'organisation est-elle réactive face aux changements réglementaires ou organisationnels ?</t>
  </si>
  <si>
    <t>Procédure de réactivité aux changements</t>
  </si>
  <si>
    <t>Rigidité face aux changements réglementaires ou organisationnels</t>
  </si>
  <si>
    <t>Diffusion d'informations erronées ou trompeuses</t>
  </si>
  <si>
    <t>Vérifier que des mécanismes de suivi et de contrôle sont en place pour s’assurer que les tiers respectent les engagements relatifs au contrôle interne, et que les résultats de cette coopération sont régulièrement évalués.</t>
  </si>
  <si>
    <t>Mise en place de mécanismes de suivi pour s'assurer que les tiers respectent les engagements relatifs au contrôle interne.</t>
  </si>
  <si>
    <t>Des mécanismes de suivi existent-ils pour s'assurer que les tiers respectent leurs engagements ?</t>
  </si>
  <si>
    <t>Contrats d'engagement avec mécanismes de suivi</t>
  </si>
  <si>
    <t>Engagements non respectés par les partenaires externes</t>
  </si>
  <si>
    <t>Problèmes récurrents avec les partenaires non résolus</t>
  </si>
  <si>
    <t>Évaluation régulière des résultats de la coopération avec les parties externes.</t>
  </si>
  <si>
    <t>Les résultats de la coopération avec les parties externes sont-ils évalués régulièrement ?</t>
  </si>
  <si>
    <t>Rapports d'évaluation de la coopération externe</t>
  </si>
  <si>
    <t>Évaluation absente ou biaisée des collaborations</t>
  </si>
  <si>
    <t>Confusion dans la gestion des interfaces externes</t>
  </si>
  <si>
    <t>Mise en place d'indicateurs de performance pour mesurer l'efficacité de la coopération externe.</t>
  </si>
  <si>
    <t>Des indicateurs de performance mesurent-ils l'efficacité de la coopération externe ?</t>
  </si>
  <si>
    <t>Indicateurs de performance de coopération externe</t>
  </si>
  <si>
    <t>Défaut de mesure de la performance des relations externes</t>
  </si>
  <si>
    <t>Atteinte à la réputation et perte de confiance</t>
  </si>
  <si>
    <t>Suivi des actions correctives nécessaires si des non-conformités sont identifiées.</t>
  </si>
  <si>
    <t>Les actions correctives nécessaires sont-elles suivies en cas de non-conformités identifiées ?</t>
  </si>
  <si>
    <t>Registre des actions correctives avec tiers</t>
  </si>
  <si>
    <t>Correctifs non appliqués dans les relations avec les tiers</t>
  </si>
  <si>
    <t>Sanctions légales et amendes réglementaires</t>
  </si>
  <si>
    <t>Responsabilités définies pour la gestion et l’évaluation des relations avec les tiers.</t>
  </si>
  <si>
    <t>Des responsabilités sont-elles définies pour la gestion et évaluation des relations avec les tiers ?</t>
  </si>
  <si>
    <t>Matrice des responsabilités relations avec tiers</t>
  </si>
  <si>
    <t>Compromission de données sensibles</t>
  </si>
  <si>
    <t>S’assurer que des mesures sont mises en place pour gérer les risques associés à la communication avec les tiers, notamment en termes de confidentialité, de conformité aux réglementations et de protection des données sensibles</t>
  </si>
  <si>
    <t>Mise en place de mesures pour assurer la confidentialité des informations partagées avec les tiers.</t>
  </si>
  <si>
    <t>Des mesures assurent-elles la confidentialité des informations partagées avec les tiers ?</t>
  </si>
  <si>
    <t>Politique de confidentialité des échanges externes</t>
  </si>
  <si>
    <t>Fuites d'informations sensibles ou confidentielles</t>
  </si>
  <si>
    <t>Failles de sécurité non détectées</t>
  </si>
  <si>
    <t>Conformité aux lois et réglementations pertinentes en matière de communication avec les tiers (par exemple, RGPD pour la protection des données personnelles).</t>
  </si>
  <si>
    <t>La communication avec les tiers est-elle conforme aux lois et réglementations pertinentes ?</t>
  </si>
  <si>
    <t>Check-list de conformité légale des communications externes</t>
  </si>
  <si>
    <t>Violation des réglementations sur les communications</t>
  </si>
  <si>
    <t>Non-respect des obligations de protection des données</t>
  </si>
  <si>
    <t>Mise en œuvre de contrôles pour protéger les données sensibles lors des échanges avec des tiers.</t>
  </si>
  <si>
    <t>Des contrôles protègent-ils les données sensibles lors des échanges avec des tiers ?</t>
  </si>
  <si>
    <t>Procédures de protection des données sensibles</t>
  </si>
  <si>
    <t>Exposition des données sensibles lors des échanges</t>
  </si>
  <si>
    <t>Impossibilité de tracer les échanges et engagements</t>
  </si>
  <si>
    <t>Surveillance continue pour garantir le respect des normes de confidentialité et de sécurité des données.</t>
  </si>
  <si>
    <t>Une surveillance continue garantit-elle le respect des normes de confidentialité et sécurité des données ?</t>
  </si>
  <si>
    <t>Rapports de surveillance confidentialité et sécurité</t>
  </si>
  <si>
    <t>Défaut de surveillance de la sécurité des données</t>
  </si>
  <si>
    <t>Exposition à des risques externes non maîtrisés</t>
  </si>
  <si>
    <t>Formation des parties prenantes internes et externes sur la gestion des risques de confidentialité et de protection des données.</t>
  </si>
  <si>
    <t>Les parties prenantes internes/externes sont-elles formées sur la gestion des risques de confidentialité ?</t>
  </si>
  <si>
    <t>Programmes de formation sur la confidentialité</t>
  </si>
  <si>
    <t>Méconnaissance des règles de protection par le personnel</t>
  </si>
  <si>
    <t>Impact négatif sur l'efficacité du contrôle interne</t>
  </si>
  <si>
    <t>Vérifier que les résultats des échanges avec les tiers sont documentés et intégrés dans le système de gestion des risques, afin d’assurer que le contrôle interne reste efficace face aux risques externes</t>
  </si>
  <si>
    <t>Documentation complète des résultats des échanges avec les tiers, y compris les risques identifiés et les actions entreprises.</t>
  </si>
  <si>
    <t>Les résultats des échanges avec les tiers sont-ils documentés de manière complète ?</t>
  </si>
  <si>
    <t>Registre complet des échanges avec tiers</t>
  </si>
  <si>
    <t>Perte de traçabilité des échanges avec l'extérieur</t>
  </si>
  <si>
    <t>Actions correctives non mises en œuvre malgré les risques</t>
  </si>
  <si>
    <t>Intégration systématique des informations relatives aux risques externes dans le système de gestion des risques de l'organisation.</t>
  </si>
  <si>
    <t>Les informations sur les risques externes sont-elles intégrées dans le système de gestion des risques ?</t>
  </si>
  <si>
    <t>Procédure d'intégration des risques externes</t>
  </si>
  <si>
    <t>Intégration incomplète des risques externes dans la gestion</t>
  </si>
  <si>
    <t>Base de décision obsolète et non fiable</t>
  </si>
  <si>
    <t>Évaluation régulière de l'impact des échanges avec les tiers sur les processus de contrôle interne.</t>
  </si>
  <si>
    <t>L'impact des échanges avec les tiers sur les processus de contrôle interne est-il évalué régulièrement ?</t>
  </si>
  <si>
    <t>Rapports d'impact des échanges sur contrôle interne</t>
  </si>
  <si>
    <t>Impact non évalué des relations externes sur les contrôles</t>
  </si>
  <si>
    <t>Contrôles insuffisants ou inadaptés aux risques réels</t>
  </si>
  <si>
    <t>Suivi des actions correctives ou des ajustements nécessaires pour faire face aux risques externes.</t>
  </si>
  <si>
    <t>Les actions correctives ou ajustements nécessaires face aux risques externes font-ils l'objet d'un suivi ?</t>
  </si>
  <si>
    <t>Plan de suivi des actions correctives risques externes</t>
  </si>
  <si>
    <t>Actions correctives non suivies pour les risques externes</t>
  </si>
  <si>
    <t>Faiblesses du système non détectées ni corrigées</t>
  </si>
  <si>
    <t>Mise à jour continue des informations sur les risques externes dans le système de gestion des risques.</t>
  </si>
  <si>
    <t>Les informations sur les risques externes sont-elles mises à jour continuellement dans le système ?</t>
  </si>
  <si>
    <t>Base de données des risques externes mise à jour</t>
  </si>
  <si>
    <t>Base de données des risques non actualisée</t>
  </si>
  <si>
    <t>Manque de responsabilisation dans l'évaluation</t>
  </si>
  <si>
    <t>S’assurer que l’organisation met en place des processus d’évaluation continue pour surveiller l’efficacité des composantes du contrôle interne de manière régulière et systématique.</t>
  </si>
  <si>
    <t>Mise en place d'un processus d'évaluation continue pour surveiller l'efficacité des composantes du contrôle interne.</t>
  </si>
  <si>
    <t>Un processus d'évaluation continue surveille-t-il l'efficacité des composantes du contrôle interne ?</t>
  </si>
  <si>
    <t>Programme d'évaluation continue du contrôle interne</t>
  </si>
  <si>
    <t>Évaluation irrégulière ou incomplète des contrôles</t>
  </si>
  <si>
    <t>Performance des contrôles non mesurable</t>
  </si>
  <si>
    <t>Surveillance régulière des performances des différents mécanismes de contrôle interne.</t>
  </si>
  <si>
    <t>Les performances des mécanismes de contrôle interne font-elles l'objet d'une surveillance régulière ?</t>
  </si>
  <si>
    <t>Tableau de bord de surveillance des mécanismes de contrôle</t>
  </si>
  <si>
    <t>Surveillance défaillante des mécanismes en place</t>
  </si>
  <si>
    <t>Réalisation d’évaluations systématiques pour identifier les points faibles et les opportunités d'amélioration.</t>
  </si>
  <si>
    <t>Des évaluations systématiques identifient-elles les points faibles et opportunités d'amélioration ?</t>
  </si>
  <si>
    <t>Rapports d'évaluation systématique des points faibles</t>
  </si>
  <si>
    <t>Faiblesses non identifiées dans le système de contrôle</t>
  </si>
  <si>
    <t>Retards dans l'alignement des processus</t>
  </si>
  <si>
    <t>Responsabilité attribuée à des équipes spécifiques pour superviser et évaluer les composantes du contrôle interne de manière continue.</t>
  </si>
  <si>
    <t>Des équipes spécifiques ont-elles la responsabilité de superviser et évaluer les composantes du contrôle interne ?</t>
  </si>
  <si>
    <t>Organigramme des équipes d'évaluation du contrôle interne</t>
  </si>
  <si>
    <t>Responsabilités floues dans l'évaluation des contrôles</t>
  </si>
  <si>
    <t>Perte de traçabilité des décisions clés</t>
  </si>
  <si>
    <t>Utilisation d'indicateurs de performance pour mesurer l'efficacité des actions de contrôle interne.</t>
  </si>
  <si>
    <t>Des indicateurs de performance mesurent-ils l'efficacité des actions de contrôle interne ?</t>
  </si>
  <si>
    <t>Indicateurs clés de performance des actions de contrôle</t>
  </si>
  <si>
    <t>Performance non mesurée des dispositifs de contrôle</t>
  </si>
  <si>
    <t>Processus non actualisés malgré les changements</t>
  </si>
  <si>
    <t>Vérifier que des évaluations ponctuelles sont réalisées lors de changements importants (réorganisation, introduction de nouvelles technologies, etc.) pour s’assurer que les composantes du contrôle interne restent adaptées et efficaces dans ces nouveaux contextes.</t>
  </si>
  <si>
    <t>Réalisation d’évaluations ponctuelles pour évaluer l'impact des changements majeurs (réorganisation, nouvelles technologies) sur le contrôle interne.</t>
  </si>
  <si>
    <t>Des évaluations ponctuelles évaluent-elles l'impact des changements majeurs sur le contrôle interne ?</t>
  </si>
  <si>
    <t>Rapports d'évaluation d'impact des changements majeurs</t>
  </si>
  <si>
    <t>Inadaptation des contrôles aux transformations majeures</t>
  </si>
  <si>
    <t>Implication inégale générant des angles morts</t>
  </si>
  <si>
    <t>Évaluation de l'adaptation des mécanismes de contrôle interne face aux nouvelles réalités organisationnelles ou technologiques.</t>
  </si>
  <si>
    <t>Les mécanismes de contrôle interne s'adaptent-ils aux nouvelles réalités organisationnelles ou technologiques ?</t>
  </si>
  <si>
    <t>Procédures d'adaptation du contrôle interne</t>
  </si>
  <si>
    <t>Retard dans l'ajustement des processus internes</t>
  </si>
  <si>
    <t>Retard dans la mise en œuvre des améliorations</t>
  </si>
  <si>
    <t>Vérification que les contrôles internes sont ajustés en fonction des nouveaux processus, technologies ou structures organisationnelles.</t>
  </si>
  <si>
    <t>Les contrôles internes sont-ils ajustés face aux nouveaux processus, technologies ou structures ?</t>
  </si>
  <si>
    <t>Registre des ajustements de contrôles internes</t>
  </si>
  <si>
    <t>Décisions non documentées après évaluation</t>
  </si>
  <si>
    <t>Actions correctives inefficaces non identifiées</t>
  </si>
  <si>
    <t>Documentation des évaluations ponctuelles et des décisions prises à la suite de ces évaluations.</t>
  </si>
  <si>
    <t>Les évaluations ponctuelles et décisions prises sont-elles documentées ?</t>
  </si>
  <si>
    <t>Dossiers des évaluations ponctuelles et décisions</t>
  </si>
  <si>
    <t>Révisions non effectuées après changements</t>
  </si>
  <si>
    <t>Flou dans l'attribution des tâches de correction</t>
  </si>
  <si>
    <t>Révision des processus internes après des changements significatifs pour maintenir l’efficacité du contrôle interne.</t>
  </si>
  <si>
    <t>Les processus internes sont-ils révisés après changements significatifs pour maintenir l'efficacité du contrôle ?</t>
  </si>
  <si>
    <t>Procédures de révision post-changement</t>
  </si>
  <si>
    <t>Implication inégale des responsables dans les évaluations</t>
  </si>
  <si>
    <t>Évaluations non pertinentes ou dépassées</t>
  </si>
  <si>
    <t>Des critères d'évaluation bien définis, mesurables et pertinents existent-ils pour toutes les composantes ?</t>
  </si>
  <si>
    <t>Référentiel des critères d'évaluation</t>
  </si>
  <si>
    <t>Seuils de tolérance mal définis ou non respectés</t>
  </si>
  <si>
    <t>Recommandations précieuses ignorées</t>
  </si>
  <si>
    <t>Des indicateurs de performance spécifiques avec seuils de tolérance clairs sont-ils définis ?</t>
  </si>
  <si>
    <t>Grille d'indicateurs avec seuils de tolérance</t>
  </si>
  <si>
    <t>Évaluations irrégulières ou incomplètes</t>
  </si>
  <si>
    <t>Décisions non tracées ni justifiées</t>
  </si>
  <si>
    <t>La performance des composantes du contrôle interne est-elle évaluée régulièrement sur cette base ?</t>
  </si>
  <si>
    <t>Calendrier d'évaluation régulière des composantes</t>
  </si>
  <si>
    <t>Actions non déclenchées malgré les écarts</t>
  </si>
  <si>
    <t>Retards dans les améliorations nécessaires</t>
  </si>
  <si>
    <t>Des actions correctives sont-elles identifiées lorsque des seuils de tolérance sont dépassés ?</t>
  </si>
  <si>
    <t>Registre des actions correctives seuils dépassés</t>
  </si>
  <si>
    <t>Mise à jour retardée des référentiels d'évaluation</t>
  </si>
  <si>
    <t>Impact réel des corrections non connu</t>
  </si>
  <si>
    <t>Les critères et indicateurs sont-ils révisés continuellement pour s'adapter aux évolutions ?</t>
  </si>
  <si>
    <t>Procédures de révision des critères et indicateurs</t>
  </si>
  <si>
    <t>Capitalisation insuffisante des résultats</t>
  </si>
  <si>
    <t>Actions correctives mal définies et inefficaces</t>
  </si>
  <si>
    <t>Les résultats des évaluations sont-ils systématiquement documentés et partagés avec la direction ?</t>
  </si>
  <si>
    <t>Base de données des résultats d'évaluation</t>
  </si>
  <si>
    <t>Recommandations non prises en compte</t>
  </si>
  <si>
    <t>Responsabilités diluées dans la mise en œuvre</t>
  </si>
  <si>
    <t>Des rapports clairs et détaillés sur l'efficacité du contrôle interne incluent-ils des recommandations ?</t>
  </si>
  <si>
    <t>Rapports détaillés avec recommandations</t>
  </si>
  <si>
    <t>Décisions stratégiques non documentées</t>
  </si>
  <si>
    <t>Suivi irrégulier des plans d'action</t>
  </si>
  <si>
    <t>Instaurer un registre centralisé des décisions stratégiques avec suivi des actions</t>
  </si>
  <si>
    <t>La direction et le Conseil prennent-ils des décisions informées sur les actions correctives à mettre en place ?</t>
  </si>
  <si>
    <t>PV des décisions stratégiques sur actions correctives</t>
  </si>
  <si>
    <t>Mise en œuvre partielle ou retardée des décisions</t>
  </si>
  <si>
    <t>Impossibilité de tirer les leçons du passé</t>
  </si>
  <si>
    <t>Développer un système de suivi des décisions avec alertes pour les retards</t>
  </si>
  <si>
    <t>Un suivi garantit-il que les décisions prises sont correctement mises en œuvre ?</t>
  </si>
  <si>
    <t>Tableau de suivi de mise en œuvre des décisions</t>
  </si>
  <si>
    <t>Impact non mesuré des actions correctives</t>
  </si>
  <si>
    <t>Réévaluation absente des corrections apportées</t>
  </si>
  <si>
    <t>Mettre en place des indicateurs de performance pour mesurer l'impact des correctifs</t>
  </si>
  <si>
    <t>L'impact des décisions sur l'amélioration continue du contrôle interne est-il évalué ?</t>
  </si>
  <si>
    <t>Rapports d'impact des décisions</t>
  </si>
  <si>
    <t>Plans d'action non formalisés ou incomplets</t>
  </si>
  <si>
    <t>Problèmes récurrents non résolus durablement</t>
  </si>
  <si>
    <t>Élaborer des plans d'action standardisés avec jalons et livrables clairs</t>
  </si>
  <si>
    <t>Des plans d'action correctifs sont-ils élaborés et mis en œuvre suite à l'identification de failles ?</t>
  </si>
  <si>
    <t>Responsabilités floues dans la correction</t>
  </si>
  <si>
    <t>Causes systémiques non traitées</t>
  </si>
  <si>
    <t>Définir des matrices RACI pour chaque plan de correction</t>
  </si>
  <si>
    <t>Les responsabilités pour la mise en œuvre des plans d'action correctifs sont-elles clairement attribuées ?</t>
  </si>
  <si>
    <t>Matrice de responsabilités des plans d'action</t>
  </si>
  <si>
    <t>Suivi irrégulier des plans de correction</t>
  </si>
  <si>
    <t>Améliorations ponctuelles sans vision globale</t>
  </si>
  <si>
    <t>Implémenter un outil de suivi des corrections avec rapports automatiques</t>
  </si>
  <si>
    <t>L'exécution des plans d'action fait-elle l'objet d'un suivi régulier pour en assurer l'efficacité et le respect des délais ?</t>
  </si>
  <si>
    <t>Calendrier de suivi des plans d'action</t>
  </si>
  <si>
    <t>Historique des corrections non conservé</t>
  </si>
  <si>
    <t>Expérience non valorisée ni partagée</t>
  </si>
  <si>
    <t>Créer une base de connaissances des corrections passées et leçons apprises</t>
  </si>
  <si>
    <t>Les actions correctives prises et résultats obtenus sont-ils documentés ?</t>
  </si>
  <si>
    <t>Registre des actions correctives et résultats</t>
  </si>
  <si>
    <t>Réévaluation absente après corrections</t>
  </si>
  <si>
    <t>Progrès non mesurés ni encouragés</t>
  </si>
  <si>
    <t>Instaurer des revues systématiques post-implantation des correctifs</t>
  </si>
  <si>
    <t>Les processus de contrôle interne sont-ils réévalués après l'exécution des actions correctives ?</t>
  </si>
  <si>
    <t>Procédures de réévaluation post-corrective</t>
  </si>
  <si>
    <t>Déficiences récurrentes non analysées</t>
  </si>
  <si>
    <t>Supervision inefficace des corrections</t>
  </si>
  <si>
    <t>Mettre en place des analyses de cause racine pour les déficiences récurrentes</t>
  </si>
  <si>
    <t>Des revues périodiques analysent-elles les déficiences récurrentes dans le contrôle interne ?</t>
  </si>
  <si>
    <t>Analyses des déficiences récurrentes</t>
  </si>
  <si>
    <t>Causes profondes non identifiées</t>
  </si>
  <si>
    <t>Actions non réalisées comme prévu</t>
  </si>
  <si>
    <t>Former les équipes aux techniques d'analyse des causes profondes (5 pourquoi, diagramme d'Ishikawa)</t>
  </si>
  <si>
    <t>Les causes profondes des déficiences récurrentes sont-elles identifiées et des mesures correctives mises en place ?</t>
  </si>
  <si>
    <t>Registre des causes racines et mesures</t>
  </si>
  <si>
    <t>Amélioration continue non effective</t>
  </si>
  <si>
    <t>Mécanismes de suivi inadaptés</t>
  </si>
  <si>
    <t>Développer un processus formalisé d'amélioration continue (PDCA)</t>
  </si>
  <si>
    <t>Les processus et mécanismes de contrôle interne s'améliorent-ils continuellement selon les résultats des revues ?</t>
  </si>
  <si>
    <t>Plan d'amélioration continue des processus</t>
  </si>
  <si>
    <t>Retour d'expérience non capitalisé</t>
  </si>
  <si>
    <t>Résultats non documentés ni analysés</t>
  </si>
  <si>
    <t>Créer un système de capitalisation des retours d'expérience accessible à tous</t>
  </si>
  <si>
    <t>Les points soulevés lors des revues et actions entreprises sont-ils documentés ?</t>
  </si>
  <si>
    <t>Dossiers des revues et actions entreprises</t>
  </si>
  <si>
    <t>Suivi insuffisant des progrès</t>
  </si>
  <si>
    <t>Dysfonctionnements persistants non remontés</t>
  </si>
  <si>
    <t>Établir des tableaux de bord de suivi des progrès avec indicateurs clés</t>
  </si>
  <si>
    <t>Les résultats des revues font-ils l'objet d'un suivi pour garantir l'amélioration continue ?</t>
  </si>
  <si>
    <t>Tableau de suivi des résultats des revues</t>
  </si>
  <si>
    <t>Problèmes récurrents non signalés ni traités</t>
  </si>
  <si>
    <t>Nommer des responsables de supervision avec compte-rendu régulier</t>
  </si>
  <si>
    <t>Des responsabilités claires sont-elles attribuées pour la mise en œuvre des actions correctives et le suivi de leur exécution ?</t>
  </si>
  <si>
    <t>Fiche de poste des responsables de mise en œuvre</t>
  </si>
  <si>
    <t>Exécution non contrôlée des actions</t>
  </si>
  <si>
    <t>Persistance des problèmes opérationnels malgré les corrections</t>
  </si>
  <si>
    <t>Instaurer des points de contrôle intermédiaires pour les actions en cours</t>
  </si>
  <si>
    <t>Des mécanismes de supervision garantissent-ils que les actions correctives sont bien exécutées ?</t>
  </si>
  <si>
    <t>Procédures de supervision des actions correctives</t>
  </si>
  <si>
    <t>Mécanismes de supervision inadaptés</t>
  </si>
  <si>
    <t>Déviation systématique par rapport aux plans d'action</t>
  </si>
  <si>
    <t>Mettre en place des mécanismes de supervision adaptés aux risques</t>
  </si>
  <si>
    <t>L'exécution des actions correctives fait-elle l'objet d'un suivi régulier pour en assurer l'efficacité ?</t>
  </si>
  <si>
    <t>Calendrier de suivi de l'exécution des corrections</t>
  </si>
  <si>
    <t>Évaluation et documentation lacunaires des résultats</t>
  </si>
  <si>
    <t>Incapacité à identifier les lacunes de mise en œuvre</t>
  </si>
  <si>
    <t>Standardiser les rapports d'évaluation avec preuves à l'appui</t>
  </si>
  <si>
    <t>Les mécanismes de supervision sont-ils réévalués pour s'assurer de leur efficacité ?</t>
  </si>
  <si>
    <t>Rapports d'évaluation des mécanismes de supervision</t>
  </si>
  <si>
    <t>Défaut d'analyse critique des dispositifs de supervision</t>
  </si>
  <si>
    <t>Impossibilité de prouver l'efficacité des correctifs</t>
  </si>
  <si>
    <t>Organiser des revues critiques trimestrielles des dispositifs de supervision</t>
  </si>
  <si>
    <t>Une responsabilité existe-t-elle pour l'évaluation des résultats et la documentation des actions prises ?</t>
  </si>
  <si>
    <t>Procédures d'évaluation et documentation des résultats</t>
  </si>
  <si>
    <t>Absence de remontée systématique des dysfonctionnements</t>
  </si>
  <si>
    <t>Maintien de méthodes de supervision inefficaces</t>
  </si>
  <si>
    <t>Implémenter un système de remontée obligatoire des dysfonctionnements</t>
  </si>
  <si>
    <t>Synthèse Numérique</t>
  </si>
  <si>
    <t>Equipe de Mission</t>
  </si>
  <si>
    <t>N°</t>
  </si>
  <si>
    <t>Total OUI</t>
  </si>
  <si>
    <t>Total NON</t>
  </si>
  <si>
    <t>Total PAS</t>
  </si>
  <si>
    <t>Total</t>
  </si>
  <si>
    <t>Score</t>
  </si>
  <si>
    <t>Nom</t>
  </si>
  <si>
    <t>Prénom</t>
  </si>
  <si>
    <t>Grade</t>
  </si>
  <si>
    <t>Chef :</t>
  </si>
  <si>
    <t>Sythèse Graphique</t>
  </si>
  <si>
    <t>AUDIT DES APPLICATIONS EN SERVICE</t>
  </si>
  <si>
    <t>FONCTION INFORMATIQUE</t>
  </si>
  <si>
    <t>AUDIT DE CONTRÔLE DES PROJETS INFORMATIQUES</t>
  </si>
  <si>
    <t>AUDIT DES SUPPORTS UTILISATEURS</t>
  </si>
  <si>
    <t>AUDIT DE LA SECURITE INFORMATIQUE</t>
  </si>
  <si>
    <t>Les activités de contrôle sont-elles formalisées et partagées avec les parties prenantes ?</t>
  </si>
  <si>
    <t>Procédures de contrôle, communication interne</t>
  </si>
  <si>
    <t>Manque de clarté et de compréhension des contrôles</t>
  </si>
  <si>
    <t>Application incohérente des contrôles</t>
  </si>
  <si>
    <t>Documenter et diffuser systématiquement les contrôles à toutes les parties concernées</t>
  </si>
  <si>
    <t>Les contrôles sont-ils testés avant leur déploiement ?</t>
  </si>
  <si>
    <t>Rapports de tests, environnement de test</t>
  </si>
  <si>
    <t>Vulnérabilités non détectées</t>
  </si>
  <si>
    <t>Intégrer des phases de test dans le processus de validation des contrôles</t>
  </si>
  <si>
    <t>Les contrôles sont-ils revus périodiquement ?</t>
  </si>
  <si>
    <t>Planning de révision, rapports d'évaluation</t>
  </si>
  <si>
    <t>Obsolescence des mesures de contrôle</t>
  </si>
  <si>
    <t>Inefficacité face aux nouvelles menaces</t>
  </si>
  <si>
    <t>Mettre en place un cycle de révision régulière des contrôles</t>
  </si>
  <si>
    <t>Existe-t-il des KPI pour suivre l'efficacité des contrôles ?</t>
  </si>
  <si>
    <t>Tableaux de bord, fiches de performance</t>
  </si>
  <si>
    <t>Impossibilité de mesurer l'efficacité des actions</t>
  </si>
  <si>
    <t>Décisions basées sur des données incomplètes</t>
  </si>
  <si>
    <t>Définir des KPI pertinents et les intégrer dans le suivi régulier</t>
  </si>
  <si>
    <t>Des audits internes sont-ils planifiés pour évaluer les contrôles ?</t>
  </si>
  <si>
    <t>Plan d’audit, rapports d’audit</t>
  </si>
  <si>
    <t>Non-détection de défaillances en l’absence d’audit</t>
  </si>
  <si>
    <t>Maintien des lacunes</t>
  </si>
  <si>
    <t>Maintenir une fréquence d’audit régulière avec suivi des recommandations</t>
  </si>
  <si>
    <t>Les rapports d’évaluation sont-ils transmis à la direction ?</t>
  </si>
  <si>
    <t>Rapports d’audit, comptes rendus de réunion</t>
  </si>
  <si>
    <t>Manque d’implication de la direction dans les décisions correctives</t>
  </si>
  <si>
    <t>Formaliser le partage des évaluations avec les instances dirigeantes</t>
  </si>
  <si>
    <t>Des actions correctives sont-elles mises en œuvre suite aux audits ?</t>
  </si>
  <si>
    <t>Plan d’action, tableau de suivi</t>
  </si>
  <si>
    <t>Maintien des lacunes identifiées</t>
  </si>
  <si>
    <t>Répétition d'incidents</t>
  </si>
  <si>
    <t>Élaborer et suivre des plans d'action correctifs pour chaque écart constaté</t>
  </si>
  <si>
    <t>Les résultats d’évaluation mènent-ils à des ajustements des contrôles ?</t>
  </si>
  <si>
    <t>Compte rendu de révision, plan d’ajustement</t>
  </si>
  <si>
    <t>Inadéquation continue des contrôles</t>
  </si>
  <si>
    <t>Perte d’efficacité du dispositif de contrôle</t>
  </si>
  <si>
    <t>Mettre en place un processus réactif d’ajustement post-évaluation</t>
  </si>
  <si>
    <t>Les activités de contrôle sont-elles intégrées aux processus opérationnels clés ?</t>
  </si>
  <si>
    <t>Cartographie des processus, documents de contrôle</t>
  </si>
  <si>
    <t>Manque de coordination entre les contrôles et les processus</t>
  </si>
  <si>
    <t>Incohérence dans l'exécution des contrôles</t>
  </si>
  <si>
    <t>Assurer l'intégration systématique des contrôles dans tous les processus clés</t>
  </si>
  <si>
    <t>Utilise-t-on des outils automatisés pour le suivi des contrôles ?</t>
  </si>
  <si>
    <t>Outils de surveillance automatisée</t>
  </si>
  <si>
    <t>Charge manuelle élevée, risque d'erreur humaine</t>
  </si>
  <si>
    <t>Inefficacité des contrôles en raison d'erreurs humaines</t>
  </si>
  <si>
    <t>Déployer des outils d'automatisation pour renforcer l'efficacité des contrôles</t>
  </si>
  <si>
    <t>Les collaborateurs reçoivent-ils une formation sur l'importance des contrôles dans leur travail ?</t>
  </si>
  <si>
    <t>Programme de formation, évaluations de formation</t>
  </si>
  <si>
    <t>Manque de sensibilisation aux contrôles</t>
  </si>
  <si>
    <t>Non-respect des procédures de contrôle</t>
  </si>
  <si>
    <t>Intégrer des sessions de sensibilisation régulières sur les contrôles dans les programmes de formation</t>
  </si>
  <si>
    <t>Les activités de contrôle sont-elles alignées sur les objectifs opérationnels ?</t>
  </si>
  <si>
    <t>Planification stratégique, rapports d’alignement</t>
  </si>
  <si>
    <t>Disconnexion entre objectifs opérationnels et contrôles</t>
  </si>
  <si>
    <t>Inefficacité dans l’atteinte des objectifs</t>
  </si>
  <si>
    <t>Vérifier régulièrement l'alignement des contrôles avec les objectifs stratégiques</t>
  </si>
  <si>
    <t>Des réunions sont-elles régulièrement organisées pour discuter de l’intégration des contrôles ?</t>
  </si>
  <si>
    <t>Agendas de réunions, procès-verbaux</t>
  </si>
  <si>
    <t>Manque de suivi et d’adaptation des contrôles</t>
  </si>
  <si>
    <t>Faible adaptation aux nouveaux enjeux opérationnels</t>
  </si>
  <si>
    <t>Organiser des réunions périodiques pour faire évoluer les contrôles en fonction des besoins</t>
  </si>
  <si>
    <t>Les contrôles sont-ils régulièrement révisés pour s'adapter aux risques émergents ?</t>
  </si>
  <si>
    <t>Rapport de révision, plan de gestion des risques</t>
  </si>
  <si>
    <t>Absence de réactivité aux nouvelles menaces</t>
  </si>
  <si>
    <t>Risque accru face à des menaces non identifiées</t>
  </si>
  <si>
    <t>Implémenter une révision continue des contrôles basée sur les nouveaux risques identifiés</t>
  </si>
  <si>
    <t>Les contrôles sont-ils ajustés après chaque évaluation continue ?</t>
  </si>
  <si>
    <t>Plan d’action, suivi des ajustements</t>
  </si>
  <si>
    <t>Maintien de contrôles obsolètes</t>
  </si>
  <si>
    <t>Récurrence des incidents non maîtrisés</t>
  </si>
  <si>
    <t>Développer un processus d'ajustement immédiat après chaque évaluation</t>
  </si>
  <si>
    <t>Les contrôles sont-ils testés régulièrement pour leur efficacité face aux nouveaux risques ?</t>
  </si>
  <si>
    <t>Résultats de tests, rapports d'évaluation</t>
  </si>
  <si>
    <t>Risque d'inefficacité des contrôles face à de nouvelles menaces</t>
  </si>
  <si>
    <t>Incidents de sécurité non détectés</t>
  </si>
  <si>
    <t>Mettre en place des tests réguliers des contrôles contre les risques émergents</t>
  </si>
  <si>
    <t>Les ajustements des contrôles sont-ils communiqués aux collaborateurs ?</t>
  </si>
  <si>
    <t>Procès-verbal, communication interne</t>
  </si>
  <si>
    <t>Manque de réactivité des collaborateurs</t>
  </si>
  <si>
    <t>Non-adoption des ajustements</t>
  </si>
  <si>
    <t>Assurer une communication claire et rapide des changements auprès des collaborateurs</t>
  </si>
  <si>
    <t>Les rapports d’adaptation des contrôles sont-ils régulièrement envoyés à la direction ?</t>
  </si>
  <si>
    <t>Rapports de gestion, compte-rendus de réunion</t>
  </si>
  <si>
    <t>Absence d'implication de la direction dans l’adaptation des contrôles</t>
  </si>
  <si>
    <t>Continuer à fournir des rapports réguliers et détaillés à la direction sur les ajustements des contrôles</t>
  </si>
  <si>
    <t>Les activités de contrôle sont-elles révisées régulièrement pour s'adapter aux risques émergents ?</t>
  </si>
  <si>
    <t>Retard dans la mise à jour des contrôles</t>
  </si>
  <si>
    <t>Non-adaptation aux nouvelles menaces</t>
  </si>
  <si>
    <t>Assurer une révision continue et un processus de mise à jour rapide des contrôles</t>
  </si>
  <si>
    <t>Les ajustements des contrôles sont-ils effectués après chaque évaluation continue ?</t>
  </si>
  <si>
    <t>Non-application des recommandations d’évaluation</t>
  </si>
  <si>
    <t>Faible réactivité aux nouveaux risques identifiés</t>
  </si>
  <si>
    <t>Appliquer systématiquement les ajustements après chaque évaluation</t>
  </si>
  <si>
    <t>Les contrôles sont-ils testés pour vérifier leur efficacité par rapport aux nouveaux risques ?</t>
  </si>
  <si>
    <t>Non-détection des risques émergents</t>
  </si>
  <si>
    <t>Incidents de sécurité non maîtrisés</t>
  </si>
  <si>
    <t>Mettre en place un processus de test continu pour évaluer l'efficacité des contrôles face aux nouveaux risques</t>
  </si>
  <si>
    <t>Les collaborateurs sont-ils informés des ajustements des contrôles ?</t>
  </si>
  <si>
    <t>Communication interne, bulletins d'information</t>
  </si>
  <si>
    <t>Manque de compréhension des changements</t>
  </si>
  <si>
    <t>Adoption lente des ajustements par les collaborateurs</t>
  </si>
  <si>
    <t>Mettre en place des formations et des sessions d'information régulières sur les ajustements des contrôles</t>
  </si>
  <si>
    <t>Des rapports sont-ils régulièrement envoyés à la direction sur l'adaptation des contrôles ?</t>
  </si>
  <si>
    <t>Rapport de gestion, compte-rendus de réunion</t>
  </si>
  <si>
    <t>Absence de vision stratégique sur les contrôles</t>
  </si>
  <si>
    <t>Dégradation de l'efficacité de la gestion des risques</t>
  </si>
  <si>
    <t>Assurer une fréquence régulière et une qualité élevée des rapports sur l'adaptation des contrôles</t>
  </si>
  <si>
    <t>Des outils de collecte de données sont-ils utilisés dans l'organisation ?</t>
  </si>
  <si>
    <t>Liste des outils, rapports d'utilisation</t>
  </si>
  <si>
    <t>Collecte de données manuelle inefficace</t>
  </si>
  <si>
    <t>Risque d'erreur humaine et de lenteur dans la collecte</t>
  </si>
  <si>
    <t>Mettre en place des outils automatisés pour la collecte et la gestion des données</t>
  </si>
  <si>
    <t>Les informations collectées sont-elles régulièrement vérifiées pour s'assurer de leur fiabilité ?</t>
  </si>
  <si>
    <t>Rapports de vérification, procédures de validation</t>
  </si>
  <si>
    <t>Information erronée ou incomplète utilisée dans les décisions</t>
  </si>
  <si>
    <t>Mauvaises décisions basées sur des données incorrectes</t>
  </si>
  <si>
    <t>Instaurer un processus de vérification systématique et automatisé des données collectées</t>
  </si>
  <si>
    <t>Le Conseil valide-t-il régulièrement les mesures proposées pour adapter le système de contrôle interne ?</t>
  </si>
  <si>
    <t>Comptes rendus de réunion, procès-verbal de validation</t>
  </si>
  <si>
    <t>Retard dans l’adoption des mesures nécessaires</t>
  </si>
  <si>
    <t>Adaptation lente aux nouveaux risques ou évolutions réglementaires</t>
  </si>
  <si>
    <t>Assurer des réunions régulières pour valider rapidement les propositions d’adaptation du système de contrôle</t>
  </si>
  <si>
    <t>Rapport de restitution</t>
  </si>
  <si>
    <t>Manque d’appropriation par les utilisateurs</t>
  </si>
  <si>
    <t>Faible adoption des solutions mises en œuvre</t>
  </si>
  <si>
    <t>Partager systématiquement les résultats avec toutes les parties prenantes</t>
  </si>
  <si>
    <t>Rapport ROI</t>
  </si>
  <si>
    <t>Mauvaise évaluation des bénéfices réels</t>
  </si>
  <si>
    <t>Décisions stratégiques biaisées</t>
  </si>
  <si>
    <t>Formaliser un modèle ROI validé par la direction</t>
  </si>
  <si>
    <t>Étude comparative sectorielle</t>
  </si>
  <si>
    <t>Isolement de la performance</t>
  </si>
  <si>
    <t>Difficulté à situer l’efficacité par rapport au marché</t>
  </si>
  <si>
    <t>Intégrer des benchmarks externes dans les rapports d’analyse</t>
  </si>
  <si>
    <t>Impossibilité de piloter efficacement</t>
  </si>
  <si>
    <t>Mettre en place un suivi régulier des KPI</t>
  </si>
  <si>
    <t>Rapports financiers trimestriels</t>
  </si>
  <si>
    <t>Dérapage budgétaire non détecté</t>
  </si>
  <si>
    <t>Perte de contrôle sur les coûts opérationnels</t>
  </si>
  <si>
    <t>Instaurer un reporting régulier sur les coûts</t>
  </si>
  <si>
    <t>Factures comparatives</t>
  </si>
  <si>
    <t>Absence de justification des économies</t>
  </si>
  <si>
    <t>Perte de crédibilité auprès de la direction</t>
  </si>
  <si>
    <t>Collecter systématiquement des preuves tangibles des gains réalisés</t>
  </si>
  <si>
    <t>Rapport de déploiement budgétaire</t>
  </si>
  <si>
    <t>Sous-estimation des investissements réels</t>
  </si>
  <si>
    <t>Retards ou annulations de projets futurs</t>
  </si>
  <si>
    <t>Intégrer tous les postes de coûts dans le rapport initial</t>
  </si>
  <si>
    <t>Budget prévisionnel et dépenses réelles</t>
  </si>
  <si>
    <t>Manque de visibilité sur les écarts</t>
  </si>
  <si>
    <t>Difficulté à améliorer la planification budgétaire</t>
  </si>
  <si>
    <t>Effectuer une analyse régulière des écarts entre prévisions et réalisations</t>
  </si>
  <si>
    <t>Tableau de bord budgétaire</t>
  </si>
  <si>
    <t>Absence de pilotage financier en temps réel</t>
  </si>
  <si>
    <t>Perte de maîtrise budgétaire</t>
  </si>
  <si>
    <t>Instaurer un suivi mensuel des indicateurs de coût</t>
  </si>
  <si>
    <t>Comptes rendus de négociation, contrats révisés</t>
  </si>
  <si>
    <t>Coûts excessifs non négociés</t>
  </si>
  <si>
    <t>Surcoût évitable</t>
  </si>
  <si>
    <t>Documenter systématiquement les démarches de négociation</t>
  </si>
  <si>
    <t>Rapport financier consolidé</t>
  </si>
  <si>
    <t>Mauvaise visibilité globale des coûts</t>
  </si>
  <si>
    <t>Décisions stratégiques faussées</t>
  </si>
  <si>
    <t>Veiller à l'intégration systématique dans les rapports globaux</t>
  </si>
  <si>
    <t>Rapport d’analyse de marché</t>
  </si>
  <si>
    <t>Choix non optimal de fournisseurs</t>
  </si>
  <si>
    <t>Coûts ou performances non optimales</t>
  </si>
  <si>
    <t>Utiliser systématiquement l’analyse comparative pour toute sélection</t>
  </si>
  <si>
    <t>Sélection arbitraire ou biaisée</t>
  </si>
  <si>
    <t>Inadéquation des solutions choisies</t>
  </si>
  <si>
    <t>Formaliser les critères et les faire valider par les parties prenantes</t>
  </si>
  <si>
    <t>Procès-verbaux, appels d’offres</t>
  </si>
  <si>
    <t>Manque de transparence du processus</t>
  </si>
  <si>
    <t>Risque juridique ou contestation</t>
  </si>
  <si>
    <t>Conserver et archiver toutes les preuves de consultation</t>
  </si>
  <si>
    <t>Synthèse des retours utilisateurs</t>
  </si>
  <si>
    <t>Solution non adaptée aux besoins</t>
  </si>
  <si>
    <t>Résistance à l’adoption</t>
  </si>
  <si>
    <t>Intégrer systématiquement les retours utilisateurs dans l’analyse finale</t>
  </si>
  <si>
    <t>Contrats, rapport d’analyse</t>
  </si>
  <si>
    <t>Décalage entre besoins identifiés et engagement contractuel</t>
  </si>
  <si>
    <t>Risque de litiges ou mauvaises prestations</t>
  </si>
  <si>
    <t>Aligner les contrats avec les résultats de l’étude comparative</t>
  </si>
  <si>
    <t>Planning projet validé</t>
  </si>
  <si>
    <t>Partager un planning clair avec tous les acteurs du projet</t>
  </si>
  <si>
    <t>Perte de contrôle sur les délais</t>
  </si>
  <si>
    <t>Accumulation de retards</t>
  </si>
  <si>
    <t>Maintenir une mise à jour régulière et des points de suivi</t>
  </si>
  <si>
    <t>Manque de mesure de performance temporelle</t>
  </si>
  <si>
    <t>Difficulté à corriger les dérives</t>
  </si>
  <si>
    <t>Définir et suivre des indicateurs temporels précis</t>
  </si>
  <si>
    <t>Plan de rattrapage</t>
  </si>
  <si>
    <t>Retards non maîtrisés</t>
  </si>
  <si>
    <t>Non-respect des engagements</t>
  </si>
  <si>
    <t>Prévoir systématiquement un plan B en cas de dérive</t>
  </si>
  <si>
    <t>Comptes rendus de réunions utilisateurs</t>
  </si>
  <si>
    <t>Inadéquation entre attentes et réalité</t>
  </si>
  <si>
    <t>Insatisfaction et baisse d’adhésion</t>
  </si>
  <si>
    <t>Impliquer les utilisateurs dans la planification des délais</t>
  </si>
  <si>
    <t>Rapport de bilan projet</t>
  </si>
  <si>
    <t>Manque de rétrospective formelle</t>
  </si>
  <si>
    <t>Difficulté à capitaliser sur les expériences</t>
  </si>
  <si>
    <t>Rédiger systématiquement un bilan post-projet</t>
  </si>
  <si>
    <t>Tableau de suivi des écarts</t>
  </si>
  <si>
    <t>Échec d’évaluation du succès global</t>
  </si>
  <si>
    <t>Décisions futures mal fondées</t>
  </si>
  <si>
    <t>Comparer systématiquement les résultats aux objectifs</t>
  </si>
  <si>
    <t>Résultats d’enquêtes de satisfaction</t>
  </si>
  <si>
    <t>Perte de retour terrain sur l’usage réel</t>
  </si>
  <si>
    <t>Améliorations mal ciblées</t>
  </si>
  <si>
    <t>Mettre en place des enquêtes de satisfaction post-projet</t>
  </si>
  <si>
    <t>Plan d’amélioration continue</t>
  </si>
  <si>
    <t>Perte d’efficience à long terme</t>
  </si>
  <si>
    <t>Formaliser et suivre un plan d’amélioration</t>
  </si>
  <si>
    <t>Procès-verbal de présentation</t>
  </si>
  <si>
    <t>Manque d’alignement stratégique</t>
  </si>
  <si>
    <t>Incompréhensions ou décisions incohérentes</t>
  </si>
  <si>
    <t>Partager systématiquement les bilans avec toutes les parties</t>
  </si>
  <si>
    <t>Rapport financier post-projet</t>
  </si>
  <si>
    <t>Absence de preuve des gains réalisés</t>
  </si>
  <si>
    <t>Difficulté à justifier le projet</t>
  </si>
  <si>
    <t>Produire et archiver systématiquement ces rapports</t>
  </si>
  <si>
    <t>Tableau comparatif budgétaire</t>
  </si>
  <si>
    <t>Évaluation incomplète de la performance</t>
  </si>
  <si>
    <t>Biais dans la communication des résultats</t>
  </si>
  <si>
    <t>Comparer systématiquement les économies prévues et réelles</t>
  </si>
  <si>
    <t>Gains non mesurables ou ignorés</t>
  </si>
  <si>
    <t>Difficulté à valoriser les bénéfices du projet</t>
  </si>
  <si>
    <t>Définir et suivre des indicateurs post-déploiement</t>
  </si>
  <si>
    <t>Plan stratégique d’optimisation</t>
  </si>
  <si>
    <t>Manque de vision long terme</t>
  </si>
  <si>
    <t>Perte d’opportunités d’économies continues</t>
  </si>
  <si>
    <t>Documenter une stratégie de réduction de charges durable</t>
  </si>
  <si>
    <t>Rapports techniques, captures d’écrans, procès-verbaux de déploiement</t>
  </si>
  <si>
    <t>Non-vérification de l’exécution réelle</t>
  </si>
  <si>
    <t>Présentation erronée des économies</t>
  </si>
  <si>
    <t>Conserver des preuves tangibles des mesures mises en place</t>
  </si>
  <si>
    <t>Rapport d’étude qualitative</t>
  </si>
  <si>
    <t>Sous-estimation de l’impact non-financier</t>
  </si>
  <si>
    <t>Manque de reconnaissance de la valeur perçue</t>
  </si>
  <si>
    <t>Formaliser et diffuser les gains qualitatifs dans un rapport</t>
  </si>
  <si>
    <t>Résultats d’enquêtes, synthèse des retours</t>
  </si>
  <si>
    <t>Absence de feedback réel des utilisateurs</t>
  </si>
  <si>
    <t>Améliorations inadaptées aux besoins</t>
  </si>
  <si>
    <t>Réaliser des enquêtes régulières et analyser les réponses</t>
  </si>
  <si>
    <t>Tableaux de bord, synthèses de feedbacks</t>
  </si>
  <si>
    <t>Suivi qualitatif non structuré</t>
  </si>
  <si>
    <t>Mauvaise compréhension des usages</t>
  </si>
  <si>
    <t>Mettre en place un suivi formalisé et régulier des indicateurs</t>
  </si>
  <si>
    <t>Retour d’expérience ignoré</t>
  </si>
  <si>
    <t>Perte de l’opportunité d’optimisation</t>
  </si>
  <si>
    <t>Élaborer un plan clair basé sur les feedbacks qualitatifs</t>
  </si>
  <si>
    <t>Attestations de formation, programmes</t>
  </si>
  <si>
    <t>Faible appropriation des améliorations</t>
  </si>
  <si>
    <t>Résultats dégradés malgré les améliorations</t>
  </si>
  <si>
    <t>Mettre en place un plan de formation ciblé pour les équipes</t>
  </si>
  <si>
    <t>Document validé par la direction</t>
  </si>
  <si>
    <t>Réingénierie non formalisée ni assumée</t>
  </si>
  <si>
    <t>Changements non suivis ou abandonnés</t>
  </si>
  <si>
    <t>Produire et faire valider le document par la direction</t>
  </si>
  <si>
    <t>Tableaux comparatifs avant/après</t>
  </si>
  <si>
    <t>Absence de preuve d'efficacité</t>
  </si>
  <si>
    <t>Efforts de réingénierie non valorisés</t>
  </si>
  <si>
    <t>Mettre en place des mesures quantitatives des résultats</t>
  </si>
  <si>
    <t>Attestations de formation</t>
  </si>
  <si>
    <t>Non-appropriation des nouveaux processus</t>
  </si>
  <si>
    <t>Maintenir un plan de formation régulier et accessible</t>
  </si>
  <si>
    <t>Perte de visibilité sur l'efficacité</t>
  </si>
  <si>
    <t>Décisions inefficaces</t>
  </si>
  <si>
    <t>Suivre les indicateurs de manière périodique</t>
  </si>
  <si>
    <t>Rapports de mise en œuvre</t>
  </si>
  <si>
    <t>Difficulté d’audit ou de traçabilité</t>
  </si>
  <si>
    <t>Documenter systématiquement les modifications</t>
  </si>
  <si>
    <t>Rapport d’alignement</t>
  </si>
  <si>
    <t>Non-utilisation de l’application</t>
  </si>
  <si>
    <t>Réviser régulièrement l’alignement métier</t>
  </si>
  <si>
    <t>Retours utilisateurs</t>
  </si>
  <si>
    <t>Inadéquation de l’outil</t>
  </si>
  <si>
    <t>Perte d’adoption</t>
  </si>
  <si>
    <t>Lancer une enquête d’analyse des besoins et ajuster</t>
  </si>
  <si>
    <t>Tableaux de bord métier</t>
  </si>
  <si>
    <t>Mauvaise performance</t>
  </si>
  <si>
    <t>Mettre en place des indicateurs métier pertinents</t>
  </si>
  <si>
    <t>Stagnation des processus</t>
  </si>
  <si>
    <t>Perte de compétitivité</t>
  </si>
  <si>
    <t>Réviser le plan d’amélioration tous les 6 mois</t>
  </si>
  <si>
    <t>Incohérences non détectées</t>
  </si>
  <si>
    <t>Non-conformités</t>
  </si>
  <si>
    <t>Planifier des audits annuels</t>
  </si>
  <si>
    <t>Rapport d’automatisation</t>
  </si>
  <si>
    <t>Erreurs non identifiées</t>
  </si>
  <si>
    <t>Élaborer un rapport des processus automatisés</t>
  </si>
  <si>
    <t>Études d’impact</t>
  </si>
  <si>
    <t>Valeur ajoutée non démontrée</t>
  </si>
  <si>
    <t>Sous-estimation des résultats</t>
  </si>
  <si>
    <t>Réaliser des bilans chiffrés par processus</t>
  </si>
  <si>
    <t>KPI techniques</t>
  </si>
  <si>
    <t>Temps de réponse non maîtrisé</t>
  </si>
  <si>
    <t>Définir et suivre les KPI de traitement</t>
  </si>
  <si>
    <t>Plan d’optimisation</t>
  </si>
  <si>
    <t>Obsolescence des automatisations</t>
  </si>
  <si>
    <t>Mettre à jour le plan au fil des évolutions métiers</t>
  </si>
  <si>
    <t>Sondages, questionnaires</t>
  </si>
  <si>
    <t>Traitements mal adaptés</t>
  </si>
  <si>
    <t>Résistance à l’utilisation</t>
  </si>
  <si>
    <t>Formaliser un processus de recueil de feedback</t>
  </si>
  <si>
    <t>Incompréhension technique</t>
  </si>
  <si>
    <t>Erreurs dans la maintenance</t>
  </si>
  <si>
    <t>Mettre à jour et diffuser le document d’architecture</t>
  </si>
  <si>
    <t>Incapacité à anticiper les pics</t>
  </si>
  <si>
    <t>Interruption de service</t>
  </si>
  <si>
    <t>Planifier des tests périodiques</t>
  </si>
  <si>
    <t>Tableaux de bord IT</t>
  </si>
  <si>
    <t>Architecture non adaptée</t>
  </si>
  <si>
    <t>Rupture de service</t>
  </si>
  <si>
    <t>Suivre les performances techniques régulièrement</t>
  </si>
  <si>
    <t>Feuille de route technologique</t>
  </si>
  <si>
    <t>Non-adéquation future</t>
  </si>
  <si>
    <t>Coûts de mise à niveau urgents</t>
  </si>
  <si>
    <t>Élaborer un plan de mise à jour anticipé</t>
  </si>
  <si>
    <t>Mauvaise gestion de l’architecture</t>
  </si>
  <si>
    <t>Déploiement inefficace</t>
  </si>
  <si>
    <t>Absence de pilotage technique</t>
  </si>
  <si>
    <t>Incapacité à réagir aux incidents</t>
  </si>
  <si>
    <t>Mettre en place des tableaux mis à jour automatiquement</t>
  </si>
  <si>
    <t>SLA signé</t>
  </si>
  <si>
    <t>Absence d’obligations</t>
  </si>
  <si>
    <t>Service non garanti</t>
  </si>
  <si>
    <t>Renégocier les SLA avec des métriques claires</t>
  </si>
  <si>
    <t>ELEVEE</t>
  </si>
  <si>
    <t>Maintenir la structure actuelle et effectuer des contrôles périodiques</t>
  </si>
  <si>
    <t>Définir clairement la structure du centre d’assistance avec un organigramme validé</t>
  </si>
  <si>
    <t>Lancer une évaluation pour clarifier la structure et responsabiliser les parties prenantes</t>
  </si>
  <si>
    <t>Maintenir l’attribution actuelle des rôles et responsabilités</t>
  </si>
  <si>
    <t>Documenter et attribuer les rôles et responsabilités à chaque acteur du centre</t>
  </si>
  <si>
    <t>Réaliser un atelier de définition des rôles avec les parties prenantes</t>
  </si>
  <si>
    <t>Conserver les processus actuels et assurer leur mise à jour régulière</t>
  </si>
  <si>
    <t>Déployer des processus clairs de gestion des demandes avec des indicateurs de performance</t>
  </si>
  <si>
    <t>Identifier les étapes critiques et documenter les processus existants</t>
  </si>
  <si>
    <t>Continuer à utiliser les outils en place et assurer leur maintenance</t>
  </si>
  <si>
    <t>Implémenter une solution de gestion des tickets avec reporting intégré</t>
  </si>
  <si>
    <t>Evaluer les outils actuels et sélectionner une solution plus adaptée si nécessaire</t>
  </si>
  <si>
    <t>Poursuivre les pratiques actuelles et les ajuster selon les retours des utilisateurs</t>
  </si>
  <si>
    <t>Redéfinir l’organisation du centre d’assistance pour plus d’efficacité</t>
  </si>
  <si>
    <t>Réaliser un audit d’efficacité organisationnelle et proposer des ajustements</t>
  </si>
  <si>
    <t>Assurer la diffusion régulière de la documentation</t>
  </si>
  <si>
    <t>Documenter les procédures et les rendre disponibles à tous les utilisateurs</t>
  </si>
  <si>
    <t>Créer une version provisoire de la procédure et valider avec les utilisateurs</t>
  </si>
  <si>
    <t>Maintenir les pratiques actuelles de diffusion</t>
  </si>
  <si>
    <t>Mettre en place un canal officiel pour la communication des procédures</t>
  </si>
  <si>
    <t>Élaborer un plan de communication interne pour la diffusion de la procédure</t>
  </si>
  <si>
    <t>Maintenir les compétences actuelles du personnel du centre d’assistance</t>
  </si>
  <si>
    <t>Former le personnel pour mieux répondre aux besoins des utilisateurs</t>
  </si>
  <si>
    <t>Réaliser une évaluation complète des compétences et proposer un plan de formation</t>
  </si>
  <si>
    <t>Continuer à adapter les outils et ressources aux besoins évolutifs</t>
  </si>
  <si>
    <t>Mettre en place une analyse des besoins utilisateurs et adapter les outils en conséquence</t>
  </si>
  <si>
    <t>Lancer une enquête pour identifier les lacunes des outils actuels</t>
  </si>
  <si>
    <t>Poursuivre l’assistance fonctionnelle actuelle</t>
  </si>
  <si>
    <t>Étendre l’assistance aux fonctionnalités manquantes</t>
  </si>
  <si>
    <t>Identifier les fonctionnalités peu couvertes et améliorer le support</t>
  </si>
  <si>
    <t>Maintenir le niveau de couverture fonctionnelle actuel</t>
  </si>
  <si>
    <t>Revoir les services pour mieux répondre aux attentes utilisateurs</t>
  </si>
  <si>
    <t>Mettre en place des indicateurs de satisfaction sur la couverture fonctionnelle</t>
  </si>
  <si>
    <t>Conserver les aides à la saisie actuelles</t>
  </si>
  <si>
    <t>Développer une aide à la saisie facilement accessible</t>
  </si>
  <si>
    <t>Clarifier et rendre visibles les aides existantes</t>
  </si>
  <si>
    <t>Maintenir le format clair actuel de l’aide à la saisie</t>
  </si>
  <si>
    <t>Revoir le contenu pour garantir concision et clarté</t>
  </si>
  <si>
    <t>Tester la compréhension de l’aide auprès des utilisateurs</t>
  </si>
  <si>
    <t>Continuer à adapter l’aide à la saisie aux besoins</t>
  </si>
  <si>
    <t>Reconcevoir l’aide en fonction des cas d’usage utilisateurs</t>
  </si>
  <si>
    <t>Recueillir les besoins réels pour améliorer l’aide à la saisie</t>
  </si>
  <si>
    <t>Maintenir les processus actuels de saisie</t>
  </si>
  <si>
    <t>Simplifier l’interface et le processus de saisie</t>
  </si>
  <si>
    <t>Former les utilisateurs à la saisie correcte de tickets</t>
  </si>
  <si>
    <t>Maintenir l’aide actuelle à la saisie des tickets</t>
  </si>
  <si>
    <t>Réviser l’aide contextuelle et la rendre plus intuitive</t>
  </si>
  <si>
    <t>Améliorer la visibilité de l’aide à la saisie</t>
  </si>
  <si>
    <t>Poursuivre les revues qualité mises en place</t>
  </si>
  <si>
    <t>Mettre en place un processus de revue qualité systématique</t>
  </si>
  <si>
    <t>Définir un calendrier régulier de revues qualité</t>
  </si>
  <si>
    <t>Conserver la fréquence actuelle des revues qualité</t>
  </si>
  <si>
    <t>Planifier des revues qualité périodiques</t>
  </si>
  <si>
    <t>Clarifier la fréquence attendue des revues qualité</t>
  </si>
  <si>
    <t>Maintenir la compétence des réviseurs actuels</t>
  </si>
  <si>
    <t>Désigner et former du personnel qualifié pour les revues qualité</t>
  </si>
  <si>
    <t>Évaluer les compétences des responsables qualité</t>
  </si>
  <si>
    <t>Poursuivre l’utilisation des résultats qualité</t>
  </si>
  <si>
    <t>Utiliser les résultats pour améliorer les pratiques de saisie</t>
  </si>
  <si>
    <t>Instaurer une boucle de retour entre revue et amélioration</t>
  </si>
  <si>
    <t>Maintenir la satisfaction sur les revues qualité</t>
  </si>
  <si>
    <t>Interroger les causes d’insatisfaction et ajuster les pratiques</t>
  </si>
  <si>
    <t>Mettre en place un suivi de satisfaction post-revue</t>
  </si>
  <si>
    <t>Poursuivre l’exploitation de la base de connaissance</t>
  </si>
  <si>
    <t>Mettre en place une base de connaissance accessible</t>
  </si>
  <si>
    <t>Initier la construction d’une base partielle à enrichir</t>
  </si>
  <si>
    <t>Maintenir l’exhaustivité de la base de connaissance</t>
  </si>
  <si>
    <t>Compléter les contenus manquants identifiés</t>
  </si>
  <si>
    <t>Identifier les zones à améliorer dans la base</t>
  </si>
  <si>
    <t>Assurer la mise à jour continue de la base</t>
  </si>
  <si>
    <t>Mettre en place un processus de mise à jour systématique</t>
  </si>
  <si>
    <t>Programmer des revues de contenu régulières</t>
  </si>
  <si>
    <t>Maintenir l’accessibilité à tous les utilisateurs concernés</t>
  </si>
  <si>
    <t>Améliorer l’accès par droits ou ergonomie</t>
  </si>
  <si>
    <t>Réaliser un audit d’accessibilité de la base</t>
  </si>
  <si>
    <t>Continuer les pratiques actuelles de mise à jour</t>
  </si>
  <si>
    <t>Écrire une procédure claire et documentée</t>
  </si>
  <si>
    <t>Standardiser la mise à jour via un processus établi</t>
  </si>
  <si>
    <t>Maintenir la complétude de l’inventaire en vérifiant régulièrement les champs requis</t>
  </si>
  <si>
    <t>Compléter l’inventaire avec les données manquantes : logiciel, version, date, utilisateurs</t>
  </si>
  <si>
    <t>Réaliser une revue pour identifier les éléments incomplets ou absents</t>
  </si>
  <si>
    <t>Poursuivre les mises à jour régulières</t>
  </si>
  <si>
    <t>Mettre en place une procédure de mise à jour systématique et planifiée</t>
  </si>
  <si>
    <t>Évaluer la fréquence actuelle et l'ajuster selon les besoins</t>
  </si>
  <si>
    <t>Conserver les accès actuels s’ils respectent les règles de sécurité</t>
  </si>
  <si>
    <t>Restreindre les accès à des utilisateurs autorisés uniquement</t>
  </si>
  <si>
    <t>Définir clairement les profils ayant droit d'accès et les mettre à jour</t>
  </si>
  <si>
    <t>Consolider les bonnes pratiques ayant conduit à la satisfaction</t>
  </si>
  <si>
    <t>Identifier les points d’insatisfaction et ajuster l’inventaire en conséquence</t>
  </si>
  <si>
    <t>Réaliser une enquête ciblée pour comprendre les attentes des utilisateurs</t>
  </si>
  <si>
    <t>Maintenir le déploiement des outils SAM actuels</t>
  </si>
  <si>
    <t>Déployer immédiatement une solution SAM adaptée à l’organisation</t>
  </si>
  <si>
    <t>Lancer un projet d’analyse de besoins pour sélectionner un outil SAM pertinent</t>
  </si>
  <si>
    <t>Vérifier régulièrement que la configuration reste adaptée aux besoins</t>
  </si>
  <si>
    <t>Configurer correctement les outils SAM selon les processus métier</t>
  </si>
  <si>
    <t>Réaliser un audit de la configuration des outils SAM</t>
  </si>
  <si>
    <t>Poursuivre l’utilisation des outils SAM selon la fréquence actuelle</t>
  </si>
  <si>
    <t>Intégrer l’utilisation des outils SAM dans les processus quotidiens</t>
  </si>
  <si>
    <t>Définir des moments clés pour l’utilisation des outils dans la gestion des licences</t>
  </si>
  <si>
    <t>Continuer à utiliser les outils s’ils apportent des résultats efficaces</t>
  </si>
  <si>
    <t>RECOMMANDATIONS</t>
  </si>
  <si>
    <t>Rapports de performance SLA</t>
  </si>
  <si>
    <t>Difficulté à identifier les écarts de performance</t>
  </si>
  <si>
    <t>Non-respect des SLA, baisse de la satisfaction client</t>
  </si>
  <si>
    <t>Mettre en place des rapports réguliers avec indicateurs clés</t>
  </si>
  <si>
    <t>Plan d’action SLA</t>
  </si>
  <si>
    <t>Non-application du plan en situation réelle</t>
  </si>
  <si>
    <t>Retards dans la résolution des incidents</t>
  </si>
  <si>
    <t>Tester périodiquement l’efficacité du plan</t>
  </si>
  <si>
    <t>Rapports de performance diffusés</t>
  </si>
  <si>
    <t>Manque de transparence perçue</t>
  </si>
  <si>
    <t>Standardiser les formats et canaux de diffusion</t>
  </si>
  <si>
    <t>Dossier de configuration et licences outils</t>
  </si>
  <si>
    <t>Absence de supervision proactive</t>
  </si>
  <si>
    <t>Délai dans la détection des incidents</t>
  </si>
  <si>
    <t>Implémenter et configurer des outils de monitoring adaptés</t>
  </si>
  <si>
    <t>KPI non pertinents ou obsolètes</t>
  </si>
  <si>
    <t>Décisions inadaptées aux réalités du terrain</t>
  </si>
  <si>
    <t>Réviser régulièrement les KPI selon les objectifs</t>
  </si>
  <si>
    <t>Mauvaise interprétation des indicateurs</t>
  </si>
  <si>
    <t>Réactions inappropriées ou tardives</t>
  </si>
  <si>
    <t>Mettre en place des refresh trainings réguliers</t>
  </si>
  <si>
    <t>Paramétrage des alertes</t>
  </si>
  <si>
    <t>Mauvais calibrage des seuils</t>
  </si>
  <si>
    <t>Fausse alerte ou alerte manquée</t>
  </si>
  <si>
    <t>Ajuster régulièrement les seuils en fonction du contexte</t>
  </si>
  <si>
    <t>PV de comités décisionnels avec données</t>
  </si>
  <si>
    <t>Biais dans l’interprétation des données</t>
  </si>
  <si>
    <t>Choix stratégiques non pertinents</t>
  </si>
  <si>
    <t>Intégrer des analystes pour accompagner les décisions</t>
  </si>
  <si>
    <t>Roadmap technologique</t>
  </si>
  <si>
    <t>Absence de vision claire sur l’évolution technique</t>
  </si>
  <si>
    <t>Retards technologiques, obsolescence</t>
  </si>
  <si>
    <t>Élaborer et valider une feuille de route annuelle</t>
  </si>
  <si>
    <t>Rapports de tests de charge</t>
  </si>
  <si>
    <t>Inadaptation à des pics d’utilisation</t>
  </si>
  <si>
    <t>Dégradation des performances en période de charge</t>
  </si>
  <si>
    <t>Réaliser des tests de charge réguliers selon les pics projetés</t>
  </si>
  <si>
    <t>Contrats avec éditeurs</t>
  </si>
  <si>
    <t>Blocage dans l’évolution des besoins techniques</t>
  </si>
  <si>
    <t>Impossibilité de faire évoluer la solution</t>
  </si>
  <si>
    <t>Négocier l’intégration de clauses d’évolutivité dans les contrats</t>
  </si>
  <si>
    <t>Prévisions budgétaires validées</t>
  </si>
  <si>
    <t>Mauvaise estimation budgétaire</t>
  </si>
  <si>
    <t>Retard ou impossibilité de mise à niveau</t>
  </si>
  <si>
    <t>Réviser les budgets selon l’évolution technologique</t>
  </si>
  <si>
    <t>Rapports d’enquêtes utilisateurs</t>
  </si>
  <si>
    <t>Retours non représentatifs ou incomplets</t>
  </si>
  <si>
    <t>Ajustements non adaptés aux besoins réels</t>
  </si>
  <si>
    <t>Diversifier les sources de feedback utilisateurs</t>
  </si>
  <si>
    <t>Rapports d’évaluation technologique</t>
  </si>
  <si>
    <t>Résultats incomplets ou non actualisés</t>
  </si>
  <si>
    <t>Mauvaise intégration aux systèmes existants</t>
  </si>
  <si>
    <t>Mettre à jour les rapports à chaque évolution majeure</t>
  </si>
  <si>
    <t>Rapports de tests de performance</t>
  </si>
  <si>
    <t>Technologies non éprouvées</t>
  </si>
  <si>
    <t>Défaillance en production</t>
  </si>
  <si>
    <t>Documenter et industrialiser les tests de performance</t>
  </si>
  <si>
    <t>Comptes-rendus d’analyse de retours utilisateurs</t>
  </si>
  <si>
    <t>Non-détection de points faibles récurrents</t>
  </si>
  <si>
    <t>Maintien d'une mauvaise expérience utilisateur</t>
  </si>
  <si>
    <t>Mettre en place un cycle régulier d’analyse des retours</t>
  </si>
  <si>
    <t>Plans de migration technologique</t>
  </si>
  <si>
    <t>Sous-estimation des impacts de migration</t>
  </si>
  <si>
    <t>Instabilité lors des transitions</t>
  </si>
  <si>
    <t>Détailler les étapes de migration et prévoir des tests</t>
  </si>
  <si>
    <t>Formation incomplète ou inadaptée</t>
  </si>
  <si>
    <t>Faible appropriation des technologies</t>
  </si>
  <si>
    <t>Adapter le contenu au niveau technique des équipes</t>
  </si>
  <si>
    <t>Rapports d’analyse technologique</t>
  </si>
  <si>
    <t>Biais dans les sources consultées</t>
  </si>
  <si>
    <t>Orientation stratégique mal alignée</t>
  </si>
  <si>
    <t>Croiser plusieurs sources pour fiabiliser les analyses</t>
  </si>
  <si>
    <t>Rapports de tests de stabilité</t>
  </si>
  <si>
    <t>Utilisation de technologies instables</t>
  </si>
  <si>
    <t>Incidents fréquents en production</t>
  </si>
  <si>
    <t>Planifier et réaliser des campagnes de tests de stabilité</t>
  </si>
  <si>
    <t>Rapports de retours utilisateurs</t>
  </si>
  <si>
    <t>Défauts non remontés ou ignorés</t>
  </si>
  <si>
    <t>Détérioration de l’expérience utilisateur</t>
  </si>
  <si>
    <t>Instaurer une veille active sur les remontées utilisateurs</t>
  </si>
  <si>
    <t>Feuille de route des mises à jour</t>
  </si>
  <si>
    <t>Mises à jour non synchronisées avec les besoins métiers</t>
  </si>
  <si>
    <t>Coût inutile ou instabilité temporaire</t>
  </si>
  <si>
    <t>Synchroniser les mises à jour avec les objectifs opérationnels</t>
  </si>
  <si>
    <t>Contrats de support et SLA éditeurs</t>
  </si>
  <si>
    <t>Manque de réactivité de l’éditeur en cas de panne</t>
  </si>
  <si>
    <t>Allongement des interruptions de service</t>
  </si>
  <si>
    <t>Valider la qualité du support par des tests ou retours clients</t>
  </si>
  <si>
    <t>Incapacité à absorber une croissance soudaine</t>
  </si>
  <si>
    <t>Saturation, ralentissements critiques</t>
  </si>
  <si>
    <t>Organiser des campagnes de tests de montée en charge</t>
  </si>
  <si>
    <t>Méconnaissance des limites techniques</t>
  </si>
  <si>
    <t>Incidents sous forte utilisation</t>
  </si>
  <si>
    <t>Produire ces rapports à partir de simulations réalistes</t>
  </si>
  <si>
    <t>Plan d’extension d’infrastructure</t>
  </si>
  <si>
    <t>Inadéquation des ressources matérielles</t>
  </si>
  <si>
    <t>Pertes de performance et indisponibilités</t>
  </si>
  <si>
    <t>Élaborer un plan évolutif de capacité basé sur des prévisions</t>
  </si>
  <si>
    <t>Plan budgétaire infrastructure</t>
  </si>
  <si>
    <t>Sous-dimensionnement structurel</t>
  </si>
  <si>
    <t>Blocage de croissance technique</t>
  </si>
  <si>
    <t>Réserver un budget prévisionnel pour l’extension de capacité</t>
  </si>
  <si>
    <t>Risque de saturation des systèmes</t>
  </si>
  <si>
    <t>Dégradation de la performance ou perte de données</t>
  </si>
  <si>
    <t>Effectuer une analyse de capacité et tester le traitement de volumes croissants</t>
  </si>
  <si>
    <t>Rapports d’intégration</t>
  </si>
  <si>
    <t>Incompatibilités non anticipées</t>
  </si>
  <si>
    <t>Problèmes de synchronisation ou d’automatisation</t>
  </si>
  <si>
    <t>Produire des rapports d’intégration après chaque déploiement</t>
  </si>
  <si>
    <t>Rapports de tests d’interopérabilité</t>
  </si>
  <si>
    <t>Défaillance dans les échanges inter-applicatifs</t>
  </si>
  <si>
    <t>Rupture de flux de données ou erreurs métiers</t>
  </si>
  <si>
    <t>Planifier des tests d’interopérabilité à chaque évolution technique</t>
  </si>
  <si>
    <t>Problèmes non remontés ou ignorés</t>
  </si>
  <si>
    <t>Dégradation progressive de l’interopérabilité</t>
  </si>
  <si>
    <t>Mettre en place un système de retour structuré et suivi</t>
  </si>
  <si>
    <t>Plan de migration vers un SI intégré</t>
  </si>
  <si>
    <t>Mauvaise coordination entre les systèmes</t>
  </si>
  <si>
    <t>Duplication ou perte de données</t>
  </si>
  <si>
    <t>Suivre les plans de migration avec des jalons clairs</t>
  </si>
  <si>
    <t>Supports et attestations de formation</t>
  </si>
  <si>
    <t>Incompréhension des processus d’intégration</t>
  </si>
  <si>
    <t>Erreurs manuelles ou usage limité des intégrations</t>
  </si>
  <si>
    <t>Proposer des formations régulières et mises à jour</t>
  </si>
  <si>
    <t>Documentation technique de l’architecture</t>
  </si>
  <si>
    <t>Difficulté à planifier l’évolution de l’application</t>
  </si>
  <si>
    <t>Incohérence ou rigidité du système</t>
  </si>
  <si>
    <t>Mettre à jour régulièrement la documentation technique</t>
  </si>
  <si>
    <t>Rapports de tests modulaires</t>
  </si>
  <si>
    <t>Blocages lors des évolutions</t>
  </si>
  <si>
    <t>Indisponibilités ou dysfonctionnements</t>
  </si>
  <si>
    <t>Planifier des campagnes de tests d’intégration modulaire</t>
  </si>
  <si>
    <t>Décalage entre les attentes et les fonctionnalités</t>
  </si>
  <si>
    <t>Adoption partielle ou insatisfaction</t>
  </si>
  <si>
    <t>Intégrer les retours utilisateurs dans la feuille de route</t>
  </si>
  <si>
    <t>Roadmap fonctionnelle</t>
  </si>
  <si>
    <t>Mauvais alignement avec les besoins métiers</t>
  </si>
  <si>
    <t>Modules sous-utilisés ou inutiles</t>
  </si>
  <si>
    <t>Valider les besoins métiers avant chaque développement</t>
  </si>
  <si>
    <t>Programmes de formation</t>
  </si>
  <si>
    <t>Incompréhension des possibilités d’adaptation</t>
  </si>
  <si>
    <t>Usage limité des fonctions évolutives</t>
  </si>
  <si>
    <t>Compléter la formation par des ateliers pratiques</t>
  </si>
  <si>
    <t>Journal de version (release notes)</t>
  </si>
  <si>
    <t>Difficulté de diagnostic des anomalies</t>
  </si>
  <si>
    <t>Délais dans la correction d’erreurs</t>
  </si>
  <si>
    <t>Tenir à jour l’historique et le diffuser à toutes les équipes</t>
  </si>
  <si>
    <t>Rapports de tests de compatibilité</t>
  </si>
  <si>
    <t>Incompatibilité entre versions</t>
  </si>
  <si>
    <t>Bugs, perte de données ou blocage après mise à jour</t>
  </si>
  <si>
    <t>Instaurer une procédure systématique de test de compatibilité</t>
  </si>
  <si>
    <t>Comptes-rendus de réunions de consultation</t>
  </si>
  <si>
    <t>Manque d’adhésion des utilisateurs</t>
  </si>
  <si>
    <t>Rejet ou mauvaise utilisation des nouvelles versions</t>
  </si>
  <si>
    <t>Intégrer systématiquement les utilisateurs dans les phases de test</t>
  </si>
  <si>
    <t>Planning de migration</t>
  </si>
  <si>
    <t>Retards ou conflits de version</t>
  </si>
  <si>
    <t>Incohérence ou interruptions de service</t>
  </si>
  <si>
    <t>Suivre rigoureusement le calendrier avec points de contrôle</t>
  </si>
  <si>
    <t>Programme de formation versioning</t>
  </si>
  <si>
    <t>Méconnaissance des évolutions</t>
  </si>
  <si>
    <t>Fonctionnalités mal exploitées</t>
  </si>
  <si>
    <t>Associer documentation à la formation pour garantir l’assimilation</t>
  </si>
  <si>
    <t>Tableau de suivi des demandes</t>
  </si>
  <si>
    <t>Demandes oubliées ou mal priorisées</t>
  </si>
  <si>
    <t>Ralentissement de l’évolution du système</t>
  </si>
  <si>
    <t>Instaurer des comités de priorisation réguliers</t>
  </si>
  <si>
    <t>Cahiers de tests de maintenance</t>
  </si>
  <si>
    <t>Corrections non validées</t>
  </si>
  <si>
    <t>Régressions ou dysfonctionnements persistants</t>
  </si>
  <si>
    <t>Effectuer des tests systématiques post-correction</t>
  </si>
  <si>
    <t>Détérioration non détectée des services</t>
  </si>
  <si>
    <t>Perception erronée de la qualité</t>
  </si>
  <si>
    <t>Maintenir un canal actif de remontée d’avis utilisateurs</t>
  </si>
  <si>
    <t>Maintenance réactive plutôt que proactive</t>
  </si>
  <si>
    <t>Dégradation progressive de la stabilité</t>
  </si>
  <si>
    <t>Établir un processus d’analyse des incidents et retours</t>
  </si>
  <si>
    <t>Traitement non conforme des demandes</t>
  </si>
  <si>
    <t>Résolution partielle ou incorrecte</t>
  </si>
  <si>
    <t>Compléter la formation par des cas pratiques réels</t>
  </si>
  <si>
    <t>Dossier RH des mainteneurs</t>
  </si>
  <si>
    <t>Compétences inadéquates</t>
  </si>
  <si>
    <t>Pannes mal résolues ou prolongées</t>
  </si>
  <si>
    <t>Instaurer un processus de revue annuelle des compétences</t>
  </si>
  <si>
    <t>Tableaux de bord de performance</t>
  </si>
  <si>
    <t>Perte de visibilité sur la performance réelle</t>
  </si>
  <si>
    <t>Mettre en place un suivi périodique avec indicateurs clairs</t>
  </si>
  <si>
    <t>Résultats d’enquête de satisfaction utilisateurs</t>
  </si>
  <si>
    <t>Inadéquation entre perception et réalité</t>
  </si>
  <si>
    <t>Perte de confiance et contournement du support</t>
  </si>
  <si>
    <t>Réaliser des enquêtes régulières et analyser les résultats</t>
  </si>
  <si>
    <t>Plan de recrutement IT</t>
  </si>
  <si>
    <t>Surcharge de travail pour l’équipe actuelle</t>
  </si>
  <si>
    <t>Allongement des délais d’intervention</t>
  </si>
  <si>
    <t>Élaborer un plan de renforcement des effectifs en cas de charge croissante</t>
  </si>
  <si>
    <t>Résolution inadaptée des problèmes techniques récents</t>
  </si>
  <si>
    <t>Intégrer un programme de formation continue obligatoire</t>
  </si>
  <si>
    <t>Clauses contractuelles de pérennité</t>
  </si>
  <si>
    <t>Risque d’abandon de l’application par l’éditeur</t>
  </si>
  <si>
    <t>Perte de support technique et de mises à jour</t>
  </si>
  <si>
    <t>Négocier des clauses de garantie de support à long terme</t>
  </si>
  <si>
    <t>Rapport de tests de performance à long terme</t>
  </si>
  <si>
    <t>Absence de visibilité sur la capacité de l’application à évoluer</t>
  </si>
  <si>
    <t>Risques d’obsolescence rapide et d'investissements perdus</t>
  </si>
  <si>
    <t>Réaliser des tests de performance projetés sur 3 à 5 ans pour évaluer la viabilité</t>
  </si>
  <si>
    <t>Enquêtes de satisfaction utilisateurs</t>
  </si>
  <si>
    <t>Sous-estimation des inquiétudes réelles des utilisateurs</t>
  </si>
  <si>
    <t>Manque de confiance pouvant freiner l’adoption</t>
  </si>
  <si>
    <t>Mettre en place des enquêtes périodiques et anonymes pour capter les signaux faibles</t>
  </si>
  <si>
    <t>Plan de secours documenté</t>
  </si>
  <si>
    <t>Risque d’indisponibilité totale en cas de faillite de l’éditeur</t>
  </si>
  <si>
    <t>Interruption critique du service sans solution de repli</t>
  </si>
  <si>
    <t>Élaborer un plan de secours clair avec des solutions de transition documentées</t>
  </si>
  <si>
    <t>Contrat de support</t>
  </si>
  <si>
    <t>Absence de garanties en cas de retrait de l’éditeur</t>
  </si>
  <si>
    <t>Perte de support technique et de maintenance</t>
  </si>
  <si>
    <t>Renégocier le contrat en intégrant des clauses de continuité de support</t>
  </si>
  <si>
    <t>Rapport de références clients</t>
  </si>
  <si>
    <t>Manque de visibilité sur la fiabilité et la réputation de l’éditeur</t>
  </si>
  <si>
    <t>Difficulté à évaluer le risque fournisseur</t>
  </si>
  <si>
    <t>Demander à l’éditeur un dossier de références clients ou des études de cas</t>
  </si>
  <si>
    <t>Rapport de tests par un tiers indépendant</t>
  </si>
  <si>
    <t>Fiabilité non validée par une tierce partie</t>
  </si>
  <si>
    <t>Mauvaises performances non anticipées en production</t>
  </si>
  <si>
    <t>Commander une évaluation indépendante ou demander des benchmarks certifiés</t>
  </si>
  <si>
    <t>Manque de validation pratique de la fiabilité</t>
  </si>
  <si>
    <t>Adoption limitée ou remise en question du choix de progiciel</t>
  </si>
  <si>
    <t>Collecter et analyser les retours utilisateurs à travers des sondages ou ateliers</t>
  </si>
  <si>
    <t>Certificats ou attestations de partenariat</t>
  </si>
  <si>
    <t>Faible crédibilité si les certifications ne sont pas actualisées</t>
  </si>
  <si>
    <t>Risque d’image ou perte de confiance</t>
  </si>
  <si>
    <t>Mettre en place un suivi annuel de la validité des certifications</t>
  </si>
  <si>
    <t>Contrat avec clauses SLA</t>
  </si>
  <si>
    <t>Incohérence entre la réalité du service et les engagements contractuels</t>
  </si>
  <si>
    <t>Insatisfaction client, litiges contractuels</t>
  </si>
  <si>
    <t>Mettre en place un suivi régulier de la conformité aux SLA</t>
  </si>
  <si>
    <t>Journal des versions installées</t>
  </si>
  <si>
    <t>Risque de sécurité ou de compatibilité si retard dans les mises à jour</t>
  </si>
  <si>
    <t>Vulnérabilités non corrigées ou dysfonctionnements</t>
  </si>
  <si>
    <t>Instaurer une procédure de mise à jour continue avec validation technique</t>
  </si>
  <si>
    <t>Rapport de compatibilité post-mise à jour</t>
  </si>
  <si>
    <t>Incompatibilité avec l’existant pouvant provoquer des bugs</t>
  </si>
  <si>
    <t>Dysfonctionnements majeurs après déploiement</t>
  </si>
  <si>
    <t>Intégrer systématiquement des tests de compatibilité dans les cycles de mise à jour</t>
  </si>
  <si>
    <t>Planning et support de formation</t>
  </si>
  <si>
    <t>Résistance au changement et mauvaise utilisation des nouvelles fonctionnalités</t>
  </si>
  <si>
    <t>Perte de productivité ou erreurs d’utilisation</t>
  </si>
  <si>
    <t>Prévoir une formation à chaque nouvelle version majeure déployée</t>
  </si>
  <si>
    <t>Planning de mises à jour</t>
  </si>
  <si>
    <t>Non-respect des échéances annoncées</t>
  </si>
  <si>
    <t>Retards dans l’accès aux nouvelles fonctionnalités ou correctifs</t>
  </si>
  <si>
    <t>Suivre le planning et ajuster avec l’éditeur selon les priorités</t>
  </si>
  <si>
    <t>Journal d’alertes ou système de notification</t>
  </si>
  <si>
    <t>Oubli de certaines mises à jour critiques</t>
  </si>
  <si>
    <t>Retard de mise à jour ou manque d’anticipation</t>
  </si>
  <si>
    <t>Vérifier régulièrement que le système d’alertes fonctionne correctement</t>
  </si>
  <si>
    <t>Suivi Jira ou GitHub</t>
  </si>
  <si>
    <t>Manque de transparence sur les développements</t>
  </si>
  <si>
    <t>Perte de traçabilité des évolutions ou difficultés de maintenance</t>
  </si>
  <si>
    <t>S’assurer que les outils de suivi sont accessibles à toutes les parties prenantes</t>
  </si>
  <si>
    <t>Rapport de tests spécifiques</t>
  </si>
  <si>
    <t>Vulnérabilités ou lenteurs dans les développements internes</t>
  </si>
  <si>
    <t>Risques de faille de sécurité ou mauvaise expérience utilisateur</t>
  </si>
  <si>
    <t>Mettre en place une batterie de tests obligatoires avant mise en production</t>
  </si>
  <si>
    <t>Comptes-rendus d’ateliers ou de tests utilisateurs</t>
  </si>
  <si>
    <t>Retours biaisés ou insuffisants</t>
  </si>
  <si>
    <t>Fonctionnalités mal adaptées aux besoins</t>
  </si>
  <si>
    <t>Structurer les retours via des protocoles de test utilisateur standardisés</t>
  </si>
  <si>
    <t>Manque de réactivité face aux retours utilisateurs</t>
  </si>
  <si>
    <t>Dégradation progressive de l’adéquation aux besoins</t>
  </si>
  <si>
    <t>Mettre en place un comité d’amélioration continue impliquant les utilisateurs</t>
  </si>
  <si>
    <t>Calendrier et supports de formation</t>
  </si>
  <si>
    <t>Inadéquation des formations aux profils utilisateurs</t>
  </si>
  <si>
    <t>Mauvaise appropriation des nouvelles fonctionnalités</t>
  </si>
  <si>
    <t>Adapter les contenus de formation aux différents profils utilisateurs</t>
  </si>
  <si>
    <t>Contrat ou facture d’adhésion</t>
  </si>
  <si>
    <t>Non-participation aux échanges de bonnes pratiques</t>
  </si>
  <si>
    <t>Isolement par rapport à la communauté d’utilisateurs</t>
  </si>
  <si>
    <t>Procéder à l’adhésion formelle au club utilisateurs</t>
  </si>
  <si>
    <t>Compte-rendu ou relevé de présence</t>
  </si>
  <si>
    <t>Perte d’opportunités d’évolution ou de retour d’expérience</t>
  </si>
  <si>
    <t>Décalage avec les orientations stratégiques de l’éditeur</t>
  </si>
  <si>
    <t>Encourager la participation active et régulière aux forums et réunions</t>
  </si>
  <si>
    <t>Synthèse des bonnes pratiques mises en œuvre</t>
  </si>
  <si>
    <t>Risque de mauvaise adaptation aux besoins internes</t>
  </si>
  <si>
    <t>Solutions mal adaptées si non contextualisées</t>
  </si>
  <si>
    <t>Valider systématiquement l’adéquation des pratiques avant déploiement</t>
  </si>
  <si>
    <t>Plan d’exploitation des ressources du club</t>
  </si>
  <si>
    <t>Sous-utilisation des ressources disponibles</t>
  </si>
  <si>
    <t>Perte de valeur et de veille technologique</t>
  </si>
  <si>
    <t>Planifier l’accès régulier aux ressources clés du club</t>
  </si>
  <si>
    <t>Catalogue de formation du club</t>
  </si>
  <si>
    <t>Faible montée en compétence des équipes</t>
  </si>
  <si>
    <t>Difficultés d’utilisation ou dépendance excessive à l’éditeur</t>
  </si>
  <si>
    <t>Favoriser la montée en compétence via un plan de formation ciblé</t>
  </si>
  <si>
    <t>Copie du contrat de maintenance</t>
  </si>
  <si>
    <t>Difficulté à faire valoir les engagements de l’éditeur</t>
  </si>
  <si>
    <t>Risques juridiques et faibles garanties en cas de litige</t>
  </si>
  <si>
    <t>Archiver et centraliser tous les contrats dans un référentiel accessible</t>
  </si>
  <si>
    <t>Contrat avec clauses SLA détaillées</t>
  </si>
  <si>
    <t>Absence d’indicateurs mesurables pour le suivi du support</t>
  </si>
  <si>
    <t>Support inefficace, insatisfaction des utilisateurs</t>
  </si>
  <si>
    <t>Inclure des engagements précis dans tous les contrats et suivre leur exécution</t>
  </si>
  <si>
    <t>Rapports de support technique</t>
  </si>
  <si>
    <t>Manque de visibilité sur la performance du support</t>
  </si>
  <si>
    <t>Dérive de la qualité de service non détectée</t>
  </si>
  <si>
    <t>Instaurer un comité de suivi régulier pour l’analyse des rapports de support</t>
  </si>
  <si>
    <t>Extrait de contrat avec clause de renégociation</t>
  </si>
  <si>
    <t>Clause inapplicable ou non invoquée à temps</t>
  </si>
  <si>
    <t>Maintien d’un service insatisfaisant ou coûteux</t>
  </si>
  <si>
    <t>Formaliser le processus de renégociation et sensibiliser les responsables</t>
  </si>
  <si>
    <t>Résultats d’enquêtes de satisfaction support</t>
  </si>
  <si>
    <t>Retours biaisés ou non représentatifs</t>
  </si>
  <si>
    <t>Prise de décision basée sur des données partielles</t>
  </si>
  <si>
    <t>Multiplier les canaux de retour utilisateur pour fiabiliser l’évaluation</t>
  </si>
  <si>
    <t>Relevés bancaires, factures</t>
  </si>
  <si>
    <t>Paiements non traçables ou contestés</t>
  </si>
  <si>
    <t>Risques de litige ou interruption de service</t>
  </si>
  <si>
    <t>Mettre en place un archivage systématique des paiements</t>
  </si>
  <si>
    <t>Tableaux de bord de suivi budgétaire</t>
  </si>
  <si>
    <t>Dépassement de budget non détecté à temps</t>
  </si>
  <si>
    <t>Restrictions sur d’autres projets ou services</t>
  </si>
  <si>
    <t>Instaurer des alertes et seuils budgétaires dans le suivi</t>
  </si>
  <si>
    <t>Historique des incidents de paiement et résolutions</t>
  </si>
  <si>
    <t>Réputation entachée auprès de l’éditeur</t>
  </si>
  <si>
    <t>Relations commerciales fragilisées</t>
  </si>
  <si>
    <t>Négocier des conditions de paiement claires et éviter les retards</t>
  </si>
  <si>
    <t>Plan de gestion budgétaire ou compte-rendu de négociation</t>
  </si>
  <si>
    <t>Surcoût persistant non maîtrisé</t>
  </si>
  <si>
    <t>Augmentation progressive des charges de maintenance</t>
  </si>
  <si>
    <t>Élaborer une stratégie annuelle de renégociation et d’optimisation des coûts</t>
  </si>
  <si>
    <t>Procédure de coordination interservices</t>
  </si>
  <si>
    <t>Manque de synchronisation dans la gestion des contrats</t>
  </si>
  <si>
    <t>Retards ou doublons de paiement</t>
  </si>
  <si>
    <t>Formaliser une procédure partagée entre finance et technique</t>
  </si>
  <si>
    <t>Contrat avec clause Escrow</t>
  </si>
  <si>
    <t>Clause obsolète ou non mise en œuvre</t>
  </si>
  <si>
    <t>Perte d’accès au code source en cas de défaillance de l’éditeur</t>
  </si>
  <si>
    <t>Vérifier régulièrement la validité et l’activation possible de la clause</t>
  </si>
  <si>
    <t>Rapports d’audit Escrow</t>
  </si>
  <si>
    <t>Dépôts non à jour ou non exploitables</t>
  </si>
  <si>
    <t>Clause Escrow inopérante au moment critique</t>
  </si>
  <si>
    <t>Programmer des audits annuels obligatoires sur les dépôts Escrow</t>
  </si>
  <si>
    <t>Communication interne ou note de service</t>
  </si>
  <si>
    <t>Méconnaissance des droits en cas de défaillance</t>
  </si>
  <si>
    <t>Perte de temps ou panique en cas de crise</t>
  </si>
  <si>
    <t>Sensibiliser les utilisateurs clés aux garanties offertes</t>
  </si>
  <si>
    <t>Plan d’urgence ou plan de reprise Escrow</t>
  </si>
  <si>
    <t>Manque de réactivité en cas de défaillance de l’éditeur</t>
  </si>
  <si>
    <t>Rupture d’activité prolongée</t>
  </si>
  <si>
    <t>Élaborer un plan d’action immédiat en cas d’activation de la clause Escrow</t>
  </si>
  <si>
    <t>Support de formation ou feuille d’émargement</t>
  </si>
  <si>
    <t>Incompréhension des enjeux par les équipes</t>
  </si>
  <si>
    <t>Risque d’inaction ou mauvaise gestion en cas de crise</t>
  </si>
  <si>
    <t>Intégrer ce module dans les formations des responsables IT et juridiques</t>
  </si>
  <si>
    <t>Journal de version ou changelog</t>
  </si>
  <si>
    <t>Historique incomplet ou non mis à jour</t>
  </si>
  <si>
    <t>Difficultés en cas de rollback ou d’analyse d’incident</t>
  </si>
  <si>
    <t>Maintenir à jour un journal complet et horodaté des évolutions</t>
  </si>
  <si>
    <t>Rapport de tests de non-régression</t>
  </si>
  <si>
    <t>Tests mal planifiés ou insuffisants</t>
  </si>
  <si>
    <t>Introduction de bugs dans les versions futures</t>
  </si>
  <si>
    <t>Intégrer ces tests dans chaque pipeline de déploiement</t>
  </si>
  <si>
    <t>Compte-rendus de retours utilisateurs</t>
  </si>
  <si>
    <t>Problèmes non analysés ou non traités</t>
  </si>
  <si>
    <t>Perte de confiance ou adoption partielle des nouvelles versions</t>
  </si>
  <si>
    <t>Mettre en place un processus structuré de gestion des retours post-mise à jour</t>
  </si>
  <si>
    <t>Procédure de rollback</t>
  </si>
  <si>
    <t>Procédure incomplète ou non testée</t>
  </si>
  <si>
    <t>Blocage complet des services ou perte de données</t>
  </si>
  <si>
    <t>Tester régulièrement le processus de rollback sur des environnements de pré-production</t>
  </si>
  <si>
    <t>Supports de formation version spécifique</t>
  </si>
  <si>
    <t>Formation incomplète ou mal ciblée</t>
  </si>
  <si>
    <t>Erreurs de configuration ou mauvaise exploitation des nouveautés</t>
  </si>
  <si>
    <t>Mettre à jour les supports à chaque version et adapter selon les profils d’utilisateurs</t>
  </si>
  <si>
    <t>Lettre d’engagement ou clause contractuelle</t>
  </si>
  <si>
    <t>Engagements vagues ou non contraignants</t>
  </si>
  <si>
    <t>Absence de garanties en cas d’arrêt du produit</t>
  </si>
  <si>
    <t>Renforcer les clauses contractuelles sur la durée de support et de maintenance</t>
  </si>
  <si>
    <t>Rapports de tests de performance projetés</t>
  </si>
  <si>
    <t>Hypothèses de croissance irréalistes</t>
  </si>
  <si>
    <t>Mauvaise anticipation des besoins futurs</t>
  </si>
  <si>
    <t>Réviser régulièrement les projections selon l’évolution réelle de la charge</t>
  </si>
  <si>
    <t>Résultats d’enquête de satisfaction</t>
  </si>
  <si>
    <t>Sentiment de sécurité peut masquer de vrais risques</t>
  </si>
  <si>
    <t>Décalage entre perception et réalité technologique</t>
  </si>
  <si>
    <t>Maintenir une veille active sur les tendances et les alternatives du marché</t>
  </si>
  <si>
    <t>Plan de continuité ou de migration</t>
  </si>
  <si>
    <t>Plan non testé ou incomplet</t>
  </si>
  <si>
    <t>Temps d’arrêt prolongé et pertes financières importantes</t>
  </si>
  <si>
    <t>Réaliser des tests périodiques du plan et évaluer régulièrement les alternatives</t>
  </si>
  <si>
    <t>Roadmap officielle ou compte-rendu de comité</t>
  </si>
  <si>
    <t>Manque d’appropriation des évolutions futures</t>
  </si>
  <si>
    <t>Décisions non alignées avec les évolutions prévues</t>
  </si>
  <si>
    <t>Partager régulièrement les roadmaps et impliquer les parties prenantes dans leur suivi</t>
  </si>
  <si>
    <t>Analyse du retour sur investissement (ROI).</t>
  </si>
  <si>
    <t>Le retour sur investissement (ROI) est-il pertinent et mesurable ?</t>
  </si>
  <si>
    <t>Pertinence et mesurabilité du retour sur investissement (ROI)</t>
  </si>
  <si>
    <t>ROI mal défini</t>
  </si>
  <si>
    <t>Absence de justification des investissements</t>
  </si>
  <si>
    <t>Définir des indicateurs ROI clairs dès le début du projet</t>
  </si>
  <si>
    <t>Comparaison économique entre les différentes alternatives.</t>
  </si>
  <si>
    <t>Les alternatives ont-elles été correctement comparées sur le plan économique ?</t>
  </si>
  <si>
    <t>Comparaison économique des alternatives</t>
  </si>
  <si>
    <t>Choix économique non optimal</t>
  </si>
  <si>
    <t>Impact financier élevé</t>
  </si>
  <si>
    <t>Utiliser des méthodes de comparaison, comme l'analyse de coût-bénéfice</t>
  </si>
  <si>
    <t>COSO</t>
  </si>
  <si>
    <t>CONTRÔLE PROJETS INFORMATIQUES</t>
  </si>
  <si>
    <t>SUPPORT UTILISATEURS</t>
  </si>
  <si>
    <t>SECURITE INFORMATIQUE</t>
  </si>
  <si>
    <t xml:space="preserve">TSAKENG </t>
  </si>
  <si>
    <t>CLAUDY JUNIOR</t>
  </si>
  <si>
    <t>L3 HN DS</t>
  </si>
  <si>
    <t>MATRICULE</t>
  </si>
  <si>
    <t>22P088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</si>
</sst>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1"/>
      <color theme="1"/>
      <name val="Calibri"/>
      <family val="2"/>
      <scheme val="minor"/>
    </font>
    <font>
      <b/>
      <sz val="11"/>
      <color theme="1"/>
      <name val="Calibri"/>
      <family val="2"/>
      <scheme val="minor"/>
    </font>
    <font>
      <b/>
      <sz val="16"/>
      <name val="Times New Roman"/>
      <family val="1"/>
    </font>
    <font>
      <b/>
      <sz val="12"/>
      <name val="Times New Roman"/>
      <family val="1"/>
    </font>
    <font>
      <b/>
      <sz val="11"/>
      <name val="Times New Roman"/>
      <family val="1"/>
    </font>
    <font>
      <sz val="12"/>
      <name val="Segoe UI"/>
      <family val="2"/>
    </font>
    <font>
      <sz val="11"/>
      <name val="Calibri"/>
      <family val="2"/>
      <scheme val="minor"/>
    </font>
    <font>
      <b/>
      <sz val="11"/>
      <color theme="1"/>
      <name val="Times New Roman"/>
      <family val="1"/>
    </font>
    <font>
      <sz val="11"/>
      <color theme="1"/>
      <name val="Calibri"/>
      <family val="2"/>
      <scheme val="minor"/>
    </font>
    <font>
      <b/>
      <sz val="11"/>
      <color theme="0"/>
      <name val="Calibri"/>
      <family val="2"/>
      <scheme val="minor"/>
    </font>
    <font>
      <sz val="11"/>
      <color theme="0"/>
      <name val="Calibri"/>
      <family val="2"/>
      <scheme val="minor"/>
    </font>
    <font>
      <sz val="16"/>
      <color theme="1"/>
      <name val="Calibri"/>
      <family val="2"/>
      <scheme val="minor"/>
    </font>
    <font>
      <sz val="18"/>
      <color theme="1"/>
      <name val="Calibri"/>
      <family val="2"/>
      <scheme val="minor"/>
    </font>
    <font>
      <b/>
      <sz val="16"/>
      <color theme="1"/>
      <name val="Times New Roman"/>
      <family val="1"/>
    </font>
    <font>
      <b/>
      <sz val="16"/>
      <color theme="1"/>
      <name val="Aptos"/>
      <family val="2"/>
    </font>
    <font>
      <b/>
      <sz val="12"/>
      <color theme="1"/>
      <name val="Times New Roman"/>
      <family val="1"/>
    </font>
    <font>
      <sz val="12"/>
      <color theme="1"/>
      <name val="Segoe UI"/>
      <family val="2"/>
    </font>
    <font>
      <sz val="12"/>
      <name val="Calibri"/>
      <family val="2"/>
      <scheme val="minor"/>
    </font>
    <font>
      <b/>
      <sz val="11"/>
      <name val="Calibri"/>
      <family val="2"/>
      <scheme val="minor"/>
    </font>
    <font>
      <b/>
      <sz val="12"/>
      <color theme="1"/>
      <name val="Calibri"/>
      <family val="2"/>
      <scheme val="minor"/>
    </font>
    <font>
      <b/>
      <sz val="14"/>
      <color theme="1"/>
      <name val="Calibri"/>
      <family val="2"/>
      <scheme val="minor"/>
    </font>
    <font>
      <sz val="11"/>
      <color rgb="FF000000"/>
      <name val="Calibri"/>
      <family val="2"/>
      <scheme val="minor"/>
    </font>
    <font>
      <sz val="12"/>
      <color rgb="FF000000"/>
      <name val="Calibri"/>
      <family val="2"/>
      <scheme val="minor"/>
    </font>
    <font>
      <sz val="11"/>
      <color theme="1"/>
      <name val="Times New Roman"/>
      <family val="1"/>
    </font>
    <font>
      <sz val="11"/>
      <name val="Times New Roman"/>
      <family val="1"/>
    </font>
  </fonts>
  <fills count="6">
    <fill>
      <patternFill patternType="none"/>
    </fill>
    <fill>
      <patternFill patternType="gray125"/>
    </fill>
    <fill>
      <patternFill patternType="solid">
        <fgColor theme="0" tint="-4.9989318521683403E-2"/>
        <bgColor indexed="64"/>
      </patternFill>
    </fill>
    <fill>
      <patternFill patternType="solid">
        <fgColor theme="2" tint="-9.9978637043366805E-2"/>
        <bgColor indexed="64"/>
      </patternFill>
    </fill>
    <fill>
      <patternFill patternType="solid">
        <fgColor theme="0"/>
        <bgColor indexed="64"/>
      </patternFill>
    </fill>
    <fill>
      <patternFill patternType="solid">
        <fgColor rgb="FF7030A0"/>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thin">
        <color indexed="64"/>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s>
  <cellStyleXfs count="2">
    <xf numFmtId="0" fontId="0" fillId="0" borderId="0"/>
    <xf numFmtId="9" fontId="8" fillId="0" borderId="0" applyFont="0" applyFill="0" applyBorder="0" applyAlignment="0" applyProtection="0"/>
  </cellStyleXfs>
  <cellXfs count="176">
    <xf numFmtId="0" fontId="0" fillId="0" borderId="0" xfId="0"/>
    <xf numFmtId="0" fontId="0" fillId="0" borderId="0" xfId="0" applyBorder="1"/>
    <xf numFmtId="0" fontId="5" fillId="0" borderId="1" xfId="0" applyFont="1" applyBorder="1" applyAlignment="1">
      <alignment horizontal="left" vertical="center"/>
    </xf>
    <xf numFmtId="0" fontId="6" fillId="0" borderId="1" xfId="0" applyFont="1" applyBorder="1" applyAlignment="1">
      <alignment vertical="center"/>
    </xf>
    <xf numFmtId="0" fontId="6" fillId="0" borderId="6" xfId="0" applyFont="1" applyBorder="1" applyAlignment="1"/>
    <xf numFmtId="0" fontId="5" fillId="0" borderId="1" xfId="0" applyFont="1" applyBorder="1" applyAlignment="1">
      <alignment horizontal="left" vertical="center" wrapText="1"/>
    </xf>
    <xf numFmtId="0" fontId="0" fillId="0" borderId="0" xfId="0" applyAlignment="1">
      <alignment vertical="center" wrapText="1"/>
    </xf>
    <xf numFmtId="0" fontId="0" fillId="0" borderId="1" xfId="0" applyBorder="1" applyAlignment="1">
      <alignment horizontal="left" vertical="center"/>
    </xf>
    <xf numFmtId="0" fontId="0" fillId="0" borderId="1" xfId="0" applyBorder="1" applyAlignment="1">
      <alignment vertical="center"/>
    </xf>
    <xf numFmtId="0" fontId="0" fillId="0" borderId="0" xfId="0" applyAlignment="1">
      <alignment wrapText="1"/>
    </xf>
    <xf numFmtId="0" fontId="0" fillId="0" borderId="0" xfId="0" applyAlignment="1">
      <alignment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0" fillId="0" borderId="0" xfId="0" applyAlignment="1">
      <alignment horizontal="center" vertical="center"/>
    </xf>
    <xf numFmtId="0" fontId="1" fillId="0" borderId="1" xfId="0" applyFont="1" applyBorder="1" applyAlignment="1">
      <alignment horizontal="center" vertical="center"/>
    </xf>
    <xf numFmtId="15" fontId="1" fillId="0" borderId="1" xfId="0" applyNumberFormat="1" applyFont="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center" vertical="center"/>
    </xf>
    <xf numFmtId="0" fontId="6" fillId="0" borderId="1" xfId="0" applyFont="1" applyBorder="1" applyAlignment="1"/>
    <xf numFmtId="0" fontId="0" fillId="0" borderId="1" xfId="0" applyBorder="1"/>
    <xf numFmtId="0" fontId="2" fillId="0" borderId="1" xfId="0" applyFont="1" applyBorder="1" applyAlignment="1">
      <alignment horizontal="center" vertical="center"/>
    </xf>
    <xf numFmtId="0" fontId="2" fillId="0" borderId="1" xfId="0" applyFont="1" applyFill="1" applyBorder="1" applyAlignment="1">
      <alignment horizontal="center" vertical="center"/>
    </xf>
    <xf numFmtId="0" fontId="3" fillId="0" borderId="1" xfId="0" applyFont="1" applyBorder="1" applyAlignment="1">
      <alignment horizontal="center" vertical="center"/>
    </xf>
    <xf numFmtId="0" fontId="3" fillId="0" borderId="1" xfId="0" applyFont="1" applyFill="1" applyBorder="1" applyAlignment="1">
      <alignment horizontal="center" vertical="top" wrapText="1"/>
    </xf>
    <xf numFmtId="0" fontId="0" fillId="0" borderId="10" xfId="0" applyFill="1" applyBorder="1" applyAlignment="1">
      <alignment horizontal="center" vertical="center" wrapText="1"/>
    </xf>
    <xf numFmtId="0" fontId="0" fillId="0" borderId="11" xfId="0" applyFill="1" applyBorder="1" applyAlignment="1">
      <alignment horizontal="center" vertical="center" wrapText="1"/>
    </xf>
    <xf numFmtId="0" fontId="0" fillId="0" borderId="12" xfId="0" applyFill="1" applyBorder="1" applyAlignment="1">
      <alignment horizontal="center" vertical="center" wrapText="1"/>
    </xf>
    <xf numFmtId="0" fontId="0" fillId="0" borderId="10" xfId="0" applyFill="1" applyBorder="1" applyAlignment="1">
      <alignment horizontal="center" vertical="center"/>
    </xf>
    <xf numFmtId="0" fontId="0" fillId="0" borderId="11" xfId="0" applyFill="1" applyBorder="1" applyAlignment="1">
      <alignment horizontal="center" vertical="center"/>
    </xf>
    <xf numFmtId="0" fontId="0" fillId="0" borderId="12" xfId="0" applyFill="1" applyBorder="1" applyAlignment="1">
      <alignment horizontal="center" vertical="center"/>
    </xf>
    <xf numFmtId="0" fontId="0" fillId="0" borderId="0" xfId="0" applyFill="1"/>
    <xf numFmtId="0" fontId="3" fillId="0" borderId="1" xfId="0" applyFont="1" applyFill="1" applyBorder="1" applyAlignment="1">
      <alignment horizontal="center" vertical="top"/>
    </xf>
    <xf numFmtId="0" fontId="15" fillId="0" borderId="1" xfId="0" applyFont="1" applyFill="1" applyBorder="1" applyAlignment="1">
      <alignment vertical="top"/>
    </xf>
    <xf numFmtId="0" fontId="0" fillId="0" borderId="1" xfId="0" applyFill="1" applyBorder="1"/>
    <xf numFmtId="0" fontId="0" fillId="0" borderId="0" xfId="0" applyFill="1" applyAlignment="1">
      <alignment wrapText="1"/>
    </xf>
    <xf numFmtId="0" fontId="0" fillId="0" borderId="1" xfId="0" applyFont="1" applyBorder="1" applyAlignment="1">
      <alignment horizontal="center" vertical="center" wrapText="1"/>
    </xf>
    <xf numFmtId="0" fontId="0" fillId="0" borderId="10" xfId="0" applyFont="1" applyBorder="1" applyAlignment="1">
      <alignment horizontal="center" vertical="center" wrapText="1"/>
    </xf>
    <xf numFmtId="0" fontId="0" fillId="0" borderId="11" xfId="0" applyFont="1" applyBorder="1" applyAlignment="1">
      <alignment horizontal="center" vertical="center" wrapText="1"/>
    </xf>
    <xf numFmtId="0" fontId="0" fillId="0" borderId="12" xfId="0" applyFont="1" applyBorder="1" applyAlignment="1">
      <alignment horizontal="center" vertical="center" wrapText="1"/>
    </xf>
    <xf numFmtId="0" fontId="2" fillId="0" borderId="14" xfId="0" applyFont="1" applyBorder="1" applyAlignment="1">
      <alignment horizontal="center" vertical="center" wrapText="1"/>
    </xf>
    <xf numFmtId="0" fontId="4" fillId="0" borderId="12" xfId="0" applyFont="1" applyBorder="1" applyAlignment="1">
      <alignment horizontal="center" vertical="center" wrapText="1"/>
    </xf>
    <xf numFmtId="0" fontId="4" fillId="0" borderId="1" xfId="0" applyFont="1" applyBorder="1" applyAlignment="1">
      <alignment horizontal="center" vertical="center" wrapText="1"/>
    </xf>
    <xf numFmtId="0" fontId="2" fillId="0" borderId="14" xfId="0" applyFont="1" applyBorder="1" applyAlignment="1">
      <alignment horizontal="center" vertical="center"/>
    </xf>
    <xf numFmtId="0" fontId="3" fillId="0" borderId="12" xfId="0" applyFont="1" applyBorder="1" applyAlignment="1">
      <alignment horizontal="center" vertical="center"/>
    </xf>
    <xf numFmtId="0" fontId="5" fillId="0" borderId="1" xfId="0" applyFont="1" applyBorder="1" applyAlignment="1"/>
    <xf numFmtId="0" fontId="16" fillId="0" borderId="1" xfId="0" applyFont="1" applyBorder="1" applyAlignment="1"/>
    <xf numFmtId="0" fontId="5" fillId="0" borderId="1" xfId="0" applyFont="1" applyBorder="1" applyAlignment="1">
      <alignment vertical="center"/>
    </xf>
    <xf numFmtId="0" fontId="17" fillId="0" borderId="1" xfId="0" applyFont="1" applyBorder="1" applyAlignment="1">
      <alignment vertical="center"/>
    </xf>
    <xf numFmtId="0" fontId="6" fillId="0" borderId="1" xfId="0" applyFont="1" applyBorder="1" applyAlignment="1">
      <alignment horizontal="center" vertical="center"/>
    </xf>
    <xf numFmtId="0" fontId="5" fillId="4" borderId="1" xfId="0" applyFont="1" applyFill="1" applyBorder="1" applyAlignment="1">
      <alignment horizontal="center" vertical="center"/>
    </xf>
    <xf numFmtId="0" fontId="5" fillId="0" borderId="1" xfId="0" applyFont="1" applyBorder="1" applyAlignment="1">
      <alignment horizontal="center" vertical="center"/>
    </xf>
    <xf numFmtId="0" fontId="6" fillId="0" borderId="0" xfId="0" applyFont="1"/>
    <xf numFmtId="0" fontId="0" fillId="0" borderId="1" xfId="0" applyFill="1" applyBorder="1" applyAlignment="1">
      <alignment horizontal="center"/>
    </xf>
    <xf numFmtId="0" fontId="0" fillId="0" borderId="1" xfId="0" applyBorder="1" applyAlignment="1">
      <alignment horizontal="left" vertical="center" wrapText="1"/>
    </xf>
    <xf numFmtId="0" fontId="0" fillId="0" borderId="1" xfId="0" applyFont="1" applyBorder="1" applyAlignment="1">
      <alignment horizontal="center" vertical="center"/>
    </xf>
    <xf numFmtId="0" fontId="20" fillId="0" borderId="1" xfId="0" applyFont="1" applyBorder="1" applyAlignment="1">
      <alignment horizontal="center" vertical="center"/>
    </xf>
    <xf numFmtId="0" fontId="7" fillId="0" borderId="1" xfId="0" applyFont="1" applyBorder="1" applyAlignment="1">
      <alignment horizontal="center" vertical="center" wrapText="1"/>
    </xf>
    <xf numFmtId="0" fontId="16" fillId="0" borderId="1" xfId="0" applyFont="1" applyBorder="1" applyAlignment="1">
      <alignment horizontal="center" vertical="center"/>
    </xf>
    <xf numFmtId="0" fontId="7"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 fillId="0" borderId="0" xfId="0" applyFont="1" applyAlignment="1">
      <alignment horizontal="center"/>
    </xf>
    <xf numFmtId="0" fontId="1" fillId="0" borderId="2" xfId="0" applyFont="1" applyBorder="1"/>
    <xf numFmtId="0" fontId="1" fillId="0" borderId="3" xfId="0" applyFont="1" applyBorder="1"/>
    <xf numFmtId="0" fontId="1" fillId="0" borderId="4" xfId="0" applyFont="1" applyBorder="1"/>
    <xf numFmtId="0" fontId="0" fillId="0" borderId="5" xfId="0" applyBorder="1"/>
    <xf numFmtId="9" fontId="0" fillId="0" borderId="6" xfId="1" applyFont="1" applyBorder="1"/>
    <xf numFmtId="0" fontId="0" fillId="0" borderId="0" xfId="0" applyAlignment="1">
      <alignment horizontal="left"/>
    </xf>
    <xf numFmtId="0" fontId="1" fillId="0" borderId="8" xfId="0" applyFont="1" applyBorder="1"/>
    <xf numFmtId="9" fontId="1" fillId="0" borderId="9" xfId="1" applyFont="1" applyBorder="1"/>
    <xf numFmtId="0" fontId="19" fillId="0" borderId="18" xfId="0" applyFont="1" applyBorder="1" applyAlignment="1">
      <alignment horizontal="center"/>
    </xf>
    <xf numFmtId="0" fontId="19" fillId="0" borderId="13" xfId="0" applyFont="1" applyBorder="1" applyAlignment="1">
      <alignment horizontal="center"/>
    </xf>
    <xf numFmtId="0" fontId="2" fillId="0" borderId="1" xfId="0" applyFont="1" applyFill="1" applyBorder="1" applyAlignment="1">
      <alignment horizontal="left" vertical="center"/>
    </xf>
    <xf numFmtId="0" fontId="0" fillId="0" borderId="1" xfId="0" applyBorder="1" applyAlignment="1">
      <alignment horizontal="left"/>
    </xf>
    <xf numFmtId="0" fontId="0" fillId="0" borderId="1" xfId="0" applyBorder="1" applyAlignment="1">
      <alignment horizontal="center"/>
    </xf>
    <xf numFmtId="0" fontId="0" fillId="0" borderId="0" xfId="0" applyAlignment="1">
      <alignment horizontal="center"/>
    </xf>
    <xf numFmtId="0" fontId="2" fillId="0" borderId="1" xfId="0" applyFont="1" applyBorder="1" applyAlignment="1">
      <alignment horizontal="left" vertical="center"/>
    </xf>
    <xf numFmtId="0" fontId="13" fillId="0" borderId="1" xfId="0" applyFont="1" applyBorder="1" applyAlignment="1"/>
    <xf numFmtId="0" fontId="16" fillId="4" borderId="1" xfId="0" applyFont="1" applyFill="1" applyBorder="1" applyAlignment="1">
      <alignment horizontal="center" vertical="center"/>
    </xf>
    <xf numFmtId="0" fontId="21" fillId="0" borderId="0" xfId="0" applyFont="1" applyAlignment="1">
      <alignment vertical="center" wrapText="1"/>
    </xf>
    <xf numFmtId="0" fontId="21" fillId="0" borderId="1" xfId="0" applyFont="1" applyBorder="1" applyAlignment="1">
      <alignment vertical="center" wrapText="1"/>
    </xf>
    <xf numFmtId="0" fontId="22" fillId="0" borderId="0" xfId="0" applyFont="1" applyAlignment="1">
      <alignment vertical="center"/>
    </xf>
    <xf numFmtId="0" fontId="22" fillId="0" borderId="1" xfId="0" applyFont="1" applyBorder="1" applyAlignment="1">
      <alignment vertical="center"/>
    </xf>
    <xf numFmtId="0" fontId="7" fillId="0" borderId="1" xfId="0" applyFont="1" applyBorder="1" applyAlignment="1"/>
    <xf numFmtId="0" fontId="23" fillId="2" borderId="1" xfId="0" applyFont="1" applyFill="1" applyBorder="1" applyAlignment="1">
      <alignment horizontal="left" vertical="center"/>
    </xf>
    <xf numFmtId="0" fontId="23" fillId="2" borderId="1" xfId="0" applyFont="1" applyFill="1" applyBorder="1" applyAlignment="1">
      <alignment horizontal="center"/>
    </xf>
    <xf numFmtId="0" fontId="23" fillId="0" borderId="1" xfId="0" applyFont="1" applyBorder="1" applyAlignment="1">
      <alignment vertical="center"/>
    </xf>
    <xf numFmtId="0" fontId="7" fillId="0" borderId="1" xfId="0" applyFont="1" applyBorder="1" applyAlignment="1">
      <alignment vertical="center" wrapText="1"/>
    </xf>
    <xf numFmtId="0" fontId="7" fillId="0" borderId="1" xfId="0" applyFont="1" applyBorder="1" applyAlignment="1">
      <alignment vertical="center"/>
    </xf>
    <xf numFmtId="0" fontId="4" fillId="0" borderId="1" xfId="0" applyFont="1" applyBorder="1" applyAlignment="1">
      <alignment vertical="center"/>
    </xf>
    <xf numFmtId="0" fontId="7" fillId="0" borderId="1" xfId="0" applyFont="1" applyBorder="1" applyAlignment="1">
      <alignment horizontal="center" vertical="center"/>
    </xf>
    <xf numFmtId="0" fontId="23" fillId="0" borderId="1" xfId="0" applyFont="1" applyBorder="1" applyAlignment="1">
      <alignment horizontal="center" vertical="center" wrapText="1"/>
    </xf>
    <xf numFmtId="0" fontId="24" fillId="0" borderId="1" xfId="0" applyFont="1" applyBorder="1" applyAlignment="1">
      <alignment vertical="center"/>
    </xf>
    <xf numFmtId="0" fontId="23" fillId="0" borderId="1" xfId="0" applyFont="1" applyBorder="1" applyAlignment="1">
      <alignment horizontal="center" vertical="center"/>
    </xf>
    <xf numFmtId="0" fontId="23" fillId="0" borderId="0" xfId="0" applyFont="1"/>
    <xf numFmtId="0" fontId="23" fillId="0" borderId="10"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12" xfId="0" applyFont="1" applyBorder="1" applyAlignment="1">
      <alignment horizontal="center" vertical="center" wrapText="1"/>
    </xf>
    <xf numFmtId="0" fontId="0" fillId="2" borderId="1" xfId="0" applyFont="1" applyFill="1" applyBorder="1" applyAlignment="1">
      <alignment horizontal="left" vertical="center"/>
    </xf>
    <xf numFmtId="0" fontId="0" fillId="0" borderId="1" xfId="0" applyFont="1" applyBorder="1" applyAlignment="1"/>
    <xf numFmtId="0" fontId="0" fillId="0" borderId="0" xfId="0" applyFont="1"/>
    <xf numFmtId="0" fontId="6" fillId="0" borderId="1" xfId="0" applyFont="1" applyBorder="1" applyAlignment="1">
      <alignment horizontal="left" vertical="center"/>
    </xf>
    <xf numFmtId="0" fontId="0" fillId="0" borderId="1" xfId="0" applyFont="1" applyFill="1" applyBorder="1" applyAlignment="1">
      <alignment horizontal="center"/>
    </xf>
    <xf numFmtId="0" fontId="0" fillId="0" borderId="1" xfId="0" applyFont="1" applyBorder="1" applyAlignment="1">
      <alignment horizontal="left" vertical="center"/>
    </xf>
    <xf numFmtId="0" fontId="21" fillId="0" borderId="1" xfId="0" applyFont="1" applyBorder="1" applyAlignment="1">
      <alignment vertical="center"/>
    </xf>
    <xf numFmtId="0" fontId="0" fillId="0" borderId="1" xfId="0" applyFont="1" applyBorder="1" applyAlignment="1">
      <alignment horizontal="left"/>
    </xf>
    <xf numFmtId="0" fontId="0" fillId="0" borderId="1" xfId="0" applyFont="1" applyBorder="1" applyAlignment="1">
      <alignment vertical="center"/>
    </xf>
    <xf numFmtId="0" fontId="0" fillId="0" borderId="1" xfId="0" applyFont="1" applyFill="1" applyBorder="1"/>
    <xf numFmtId="0" fontId="0" fillId="0" borderId="10" xfId="0" applyFont="1" applyFill="1" applyBorder="1" applyAlignment="1">
      <alignment horizontal="center" vertical="center" wrapText="1"/>
    </xf>
    <xf numFmtId="0" fontId="0" fillId="0" borderId="11" xfId="0" applyFont="1" applyFill="1" applyBorder="1" applyAlignment="1">
      <alignment horizontal="center" vertical="center" wrapText="1"/>
    </xf>
    <xf numFmtId="0" fontId="0" fillId="0" borderId="12" xfId="0" applyFont="1" applyFill="1" applyBorder="1" applyAlignment="1">
      <alignment horizontal="center" vertical="center" wrapText="1"/>
    </xf>
    <xf numFmtId="0" fontId="0" fillId="0" borderId="1" xfId="0" applyFont="1" applyBorder="1"/>
    <xf numFmtId="0" fontId="0" fillId="0" borderId="1" xfId="0" applyFont="1" applyBorder="1" applyAlignment="1">
      <alignment horizontal="center"/>
    </xf>
    <xf numFmtId="0" fontId="0" fillId="0" borderId="1" xfId="0" applyFont="1" applyBorder="1" applyAlignment="1">
      <alignment horizontal="left" vertical="center" wrapText="1"/>
    </xf>
    <xf numFmtId="0" fontId="18" fillId="0" borderId="12" xfId="0" applyFont="1" applyBorder="1" applyAlignment="1">
      <alignment horizontal="center" vertical="center" wrapText="1"/>
    </xf>
    <xf numFmtId="0" fontId="0" fillId="4" borderId="1" xfId="0" applyFont="1" applyFill="1" applyBorder="1" applyAlignment="1">
      <alignment horizontal="center" vertical="center"/>
    </xf>
    <xf numFmtId="0" fontId="18" fillId="0" borderId="1" xfId="0" applyFont="1" applyBorder="1" applyAlignment="1">
      <alignment horizontal="center" vertical="center" wrapText="1"/>
    </xf>
    <xf numFmtId="0" fontId="6" fillId="4" borderId="1" xfId="0" applyFont="1" applyFill="1" applyBorder="1" applyAlignment="1">
      <alignment horizontal="center" vertical="center"/>
    </xf>
    <xf numFmtId="0" fontId="0" fillId="2" borderId="1" xfId="0" applyFont="1" applyFill="1" applyBorder="1" applyAlignment="1">
      <alignment horizontal="center"/>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9" fillId="5" borderId="1" xfId="0" applyFont="1" applyFill="1" applyBorder="1" applyAlignment="1">
      <alignment horizontal="center"/>
    </xf>
    <xf numFmtId="0" fontId="9" fillId="5" borderId="1" xfId="0" applyFont="1" applyFill="1" applyBorder="1" applyAlignment="1">
      <alignment horizontal="center" vertical="center" wrapText="1"/>
    </xf>
    <xf numFmtId="0" fontId="9" fillId="5" borderId="1" xfId="0" applyFont="1" applyFill="1" applyBorder="1" applyAlignment="1">
      <alignment vertical="center" wrapText="1"/>
    </xf>
    <xf numFmtId="0" fontId="9" fillId="5" borderId="1" xfId="0" applyFont="1" applyFill="1" applyBorder="1" applyAlignment="1">
      <alignment vertical="center"/>
    </xf>
    <xf numFmtId="0" fontId="0" fillId="0" borderId="0" xfId="0" applyFont="1" applyAlignment="1">
      <alignment wrapText="1"/>
    </xf>
    <xf numFmtId="0" fontId="9" fillId="5" borderId="1" xfId="0" applyFont="1" applyFill="1" applyBorder="1" applyAlignment="1">
      <alignment horizontal="left" vertical="center"/>
    </xf>
    <xf numFmtId="0" fontId="9" fillId="5" borderId="1" xfId="0" applyFont="1" applyFill="1" applyBorder="1" applyAlignment="1">
      <alignment horizontal="center" vertical="top" wrapText="1"/>
    </xf>
    <xf numFmtId="0" fontId="9" fillId="5" borderId="1" xfId="0" applyFont="1" applyFill="1" applyBorder="1" applyAlignment="1">
      <alignment horizontal="center" vertical="top"/>
    </xf>
    <xf numFmtId="0" fontId="9" fillId="5" borderId="14" xfId="0" applyFont="1" applyFill="1" applyBorder="1" applyAlignment="1">
      <alignment horizontal="center" vertical="center" wrapText="1"/>
    </xf>
    <xf numFmtId="0" fontId="10" fillId="5" borderId="15" xfId="0" applyFont="1" applyFill="1" applyBorder="1"/>
    <xf numFmtId="0" fontId="9" fillId="5" borderId="3" xfId="0" applyFont="1" applyFill="1" applyBorder="1" applyAlignment="1">
      <alignment horizontal="center" vertical="center"/>
    </xf>
    <xf numFmtId="0" fontId="9" fillId="5" borderId="4" xfId="0" applyFont="1" applyFill="1" applyBorder="1" applyAlignment="1"/>
    <xf numFmtId="0" fontId="0" fillId="0" borderId="19" xfId="0" applyFont="1" applyBorder="1" applyAlignment="1">
      <alignment horizontal="center" vertical="center" wrapText="1"/>
    </xf>
    <xf numFmtId="0" fontId="6" fillId="0" borderId="6" xfId="0" applyFont="1" applyBorder="1" applyAlignment="1">
      <alignment vertical="center"/>
    </xf>
    <xf numFmtId="0" fontId="10" fillId="5" borderId="16" xfId="0" applyFont="1" applyFill="1" applyBorder="1"/>
    <xf numFmtId="0" fontId="9" fillId="5" borderId="6" xfId="0" applyFont="1" applyFill="1" applyBorder="1" applyAlignment="1">
      <alignment horizontal="center" vertical="center"/>
    </xf>
    <xf numFmtId="0" fontId="0" fillId="0" borderId="6" xfId="0" applyFont="1" applyBorder="1" applyAlignment="1"/>
    <xf numFmtId="0" fontId="9" fillId="5" borderId="6" xfId="0" applyFont="1" applyFill="1" applyBorder="1" applyAlignment="1">
      <alignment vertical="center"/>
    </xf>
    <xf numFmtId="0" fontId="0" fillId="0" borderId="6" xfId="0" applyFont="1" applyBorder="1" applyAlignment="1">
      <alignment vertical="center"/>
    </xf>
    <xf numFmtId="0" fontId="0" fillId="0" borderId="17" xfId="0" applyFont="1" applyBorder="1"/>
    <xf numFmtId="0" fontId="9" fillId="5" borderId="6" xfId="0" applyFont="1" applyFill="1" applyBorder="1" applyAlignment="1"/>
    <xf numFmtId="0" fontId="9" fillId="5" borderId="6" xfId="0" applyFont="1" applyFill="1" applyBorder="1" applyAlignment="1">
      <alignment vertical="top"/>
    </xf>
    <xf numFmtId="0" fontId="0" fillId="0" borderId="0" xfId="0" applyFont="1" applyFill="1" applyBorder="1"/>
    <xf numFmtId="0" fontId="0" fillId="0" borderId="6" xfId="0" applyFont="1" applyFill="1" applyBorder="1"/>
    <xf numFmtId="0" fontId="9" fillId="5" borderId="6" xfId="0" applyFont="1" applyFill="1" applyBorder="1" applyAlignment="1">
      <alignment horizontal="left" vertical="center"/>
    </xf>
    <xf numFmtId="0" fontId="0" fillId="0" borderId="6" xfId="0" applyFont="1" applyBorder="1" applyAlignment="1">
      <alignment horizontal="left"/>
    </xf>
    <xf numFmtId="0" fontId="0" fillId="0" borderId="6" xfId="0" applyFont="1" applyBorder="1" applyAlignment="1">
      <alignment horizontal="left" vertical="center"/>
    </xf>
    <xf numFmtId="0" fontId="0" fillId="0" borderId="20" xfId="0" applyFont="1" applyBorder="1" applyAlignment="1">
      <alignment horizontal="center" vertical="center" wrapText="1"/>
    </xf>
    <xf numFmtId="0" fontId="0" fillId="0" borderId="8" xfId="0" applyFont="1" applyBorder="1" applyAlignment="1">
      <alignment horizontal="left" vertical="center"/>
    </xf>
    <xf numFmtId="0" fontId="0" fillId="0" borderId="8" xfId="0" applyFont="1" applyBorder="1" applyAlignment="1">
      <alignment horizontal="center" vertical="center"/>
    </xf>
    <xf numFmtId="0" fontId="0" fillId="0" borderId="8" xfId="0" applyFont="1" applyBorder="1" applyAlignment="1">
      <alignment horizontal="center"/>
    </xf>
    <xf numFmtId="0" fontId="0" fillId="0" borderId="9" xfId="0" applyFont="1" applyBorder="1" applyAlignment="1">
      <alignment horizontal="left" vertical="center"/>
    </xf>
    <xf numFmtId="0" fontId="10" fillId="0" borderId="0" xfId="0" applyFont="1" applyFill="1"/>
    <xf numFmtId="0" fontId="0" fillId="0" borderId="19" xfId="0" applyFont="1" applyBorder="1" applyAlignment="1">
      <alignment horizontal="center" vertical="center"/>
    </xf>
    <xf numFmtId="0" fontId="0" fillId="0" borderId="21" xfId="0" applyFont="1" applyBorder="1" applyAlignment="1">
      <alignment horizontal="center" vertical="center"/>
    </xf>
    <xf numFmtId="15" fontId="1" fillId="0" borderId="1" xfId="0" applyNumberFormat="1" applyFont="1" applyBorder="1" applyAlignment="1">
      <alignment horizontal="center" vertical="center" wrapText="1"/>
    </xf>
    <xf numFmtId="0" fontId="1" fillId="0" borderId="8" xfId="0" applyFont="1" applyBorder="1" applyAlignment="1">
      <alignment horizontal="center" vertical="center" wrapText="1"/>
    </xf>
    <xf numFmtId="0" fontId="14" fillId="0" borderId="1" xfId="0" applyFont="1" applyFill="1" applyBorder="1" applyAlignment="1">
      <alignment horizontal="left" vertical="center"/>
    </xf>
    <xf numFmtId="0" fontId="11" fillId="0" borderId="1" xfId="0" applyFont="1" applyFill="1" applyBorder="1" applyAlignment="1">
      <alignment horizontal="left" vertical="center"/>
    </xf>
    <xf numFmtId="0" fontId="12" fillId="0" borderId="1" xfId="0" applyFont="1" applyFill="1" applyBorder="1" applyAlignment="1">
      <alignment horizontal="left" vertical="center"/>
    </xf>
    <xf numFmtId="0" fontId="0" fillId="0" borderId="0" xfId="0" applyFill="1" applyAlignment="1">
      <alignment horizontal="left" vertical="center"/>
    </xf>
    <xf numFmtId="0" fontId="6" fillId="0" borderId="1" xfId="0" applyFont="1" applyBorder="1" applyAlignment="1">
      <alignment horizontal="center" vertical="center" wrapText="1"/>
    </xf>
    <xf numFmtId="0" fontId="0" fillId="0" borderId="2" xfId="0" applyBorder="1"/>
    <xf numFmtId="0" fontId="0" fillId="0" borderId="3" xfId="0" applyBorder="1"/>
    <xf numFmtId="0" fontId="0" fillId="0" borderId="4" xfId="0" applyBorder="1"/>
    <xf numFmtId="0" fontId="0" fillId="0" borderId="7" xfId="0" applyBorder="1"/>
    <xf numFmtId="0" fontId="0" fillId="0" borderId="3" xfId="0" applyBorder="1" applyAlignment="1">
      <alignment horizontal="center"/>
    </xf>
    <xf numFmtId="0" fontId="0" fillId="0" borderId="6" xfId="0" applyBorder="1" applyAlignment="1">
      <alignment horizontal="center" vertical="center"/>
    </xf>
    <xf numFmtId="0" fontId="0" fillId="0" borderId="0" xfId="0" applyBorder="1" applyAlignment="1">
      <alignment horizontal="left"/>
    </xf>
    <xf numFmtId="0" fontId="0" fillId="0" borderId="8" xfId="0" applyBorder="1" applyAlignment="1">
      <alignment horizontal="center" vertical="center"/>
    </xf>
    <xf numFmtId="0" fontId="0" fillId="0" borderId="9" xfId="0" applyBorder="1" applyAlignment="1">
      <alignment horizontal="center" vertical="center"/>
    </xf>
  </cellXfs>
  <cellStyles count="2">
    <cellStyle name="Normal" xfId="0" builtinId="0"/>
    <cellStyle name="Pourcentage" xfId="1" builtinId="5"/>
  </cellStyles>
  <dxfs count="108">
    <dxf>
      <fill>
        <patternFill>
          <bgColor rgb="FFFF0000"/>
        </patternFill>
      </fill>
    </dxf>
    <dxf>
      <fill>
        <patternFill>
          <bgColor rgb="FFFFC000"/>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0000"/>
        </patternFill>
      </fill>
    </dxf>
    <dxf>
      <fill>
        <patternFill>
          <bgColor rgb="FFFFC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ont>
        <b/>
        <i val="0"/>
        <color theme="1"/>
      </font>
      <fill>
        <patternFill>
          <bgColor rgb="FFFF0000"/>
        </patternFill>
      </fill>
    </dxf>
    <dxf>
      <font>
        <b/>
        <i val="0"/>
        <color theme="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FF00"/>
        </patternFill>
      </fill>
    </dxf>
    <dxf>
      <font>
        <b/>
        <i val="0"/>
        <color theme="1"/>
      </font>
      <fill>
        <patternFill>
          <bgColor rgb="FF00B05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0000"/>
        </patternFill>
      </fill>
    </dxf>
    <dxf>
      <fill>
        <patternFill>
          <bgColor rgb="FFFFC000"/>
        </patternFill>
      </fill>
    </dxf>
    <dxf>
      <fill>
        <patternFill>
          <bgColor rgb="FF92D05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0000"/>
        </patternFill>
      </fill>
    </dxf>
    <dxf>
      <fill>
        <patternFill>
          <bgColor rgb="FFFFC000"/>
        </patternFill>
      </fill>
    </dxf>
    <dxf>
      <fill>
        <patternFill>
          <bgColor rgb="FF00B05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FFC000"/>
        </patternFill>
      </fill>
    </dxf>
    <dxf>
      <fill>
        <patternFill>
          <bgColor rgb="FF00B050"/>
        </patternFill>
      </fill>
    </dxf>
    <dxf>
      <font>
        <b/>
        <i val="0"/>
        <color theme="1"/>
      </font>
      <fill>
        <patternFill>
          <bgColor rgb="FFFF0000"/>
        </patternFill>
      </fill>
    </dxf>
    <dxf>
      <font>
        <b/>
        <i val="0"/>
        <color theme="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FF00"/>
        </patternFill>
      </fill>
    </dxf>
    <dxf>
      <font>
        <b/>
        <i val="0"/>
        <color theme="1"/>
      </font>
      <fill>
        <patternFill>
          <bgColor rgb="FF00B050"/>
        </patternFill>
      </fill>
    </dxf>
    <dxf>
      <font>
        <b/>
        <i val="0"/>
        <color theme="1"/>
      </font>
      <fill>
        <patternFill>
          <bgColor rgb="FFFF0000"/>
        </patternFill>
      </fill>
    </dxf>
    <dxf>
      <font>
        <b/>
        <i val="0"/>
        <color theme="1"/>
      </font>
      <fill>
        <patternFill>
          <bgColor rgb="FFFFFF00"/>
        </patternFill>
      </fill>
    </dxf>
    <dxf>
      <font>
        <b/>
        <i val="0"/>
        <color theme="1"/>
      </font>
      <fill>
        <patternFill>
          <bgColor rgb="FF00B050"/>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C000"/>
        </patternFill>
      </fill>
    </dxf>
    <dxf>
      <fill>
        <patternFill>
          <bgColor rgb="FF00B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cap="none" spc="50" baseline="0">
              <a:solidFill>
                <a:schemeClr val="lt1">
                  <a:lumMod val="85000"/>
                </a:schemeClr>
              </a:solidFill>
              <a:latin typeface="+mn-lt"/>
              <a:ea typeface="+mn-ea"/>
              <a:cs typeface="+mn-cs"/>
            </a:defRPr>
          </a:pPr>
          <a:endParaRPr lang="fr-FR"/>
        </a:p>
      </c:txPr>
    </c:title>
    <c:autoTitleDeleted val="0"/>
    <c:plotArea>
      <c:layout/>
      <c:radarChart>
        <c:radarStyle val="marker"/>
        <c:varyColors val="0"/>
        <c:ser>
          <c:idx val="0"/>
          <c:order val="0"/>
          <c:tx>
            <c:strRef>
              <c:f>SYNTHESE!$D$4</c:f>
              <c:strCache>
                <c:ptCount val="1"/>
                <c:pt idx="0">
                  <c:v>Total OUI</c:v>
                </c:pt>
              </c:strCache>
            </c:strRef>
          </c:tx>
          <c:spPr>
            <a:ln w="28575" cap="rnd">
              <a:solidFill>
                <a:schemeClr val="accent1"/>
              </a:solidFill>
            </a:ln>
            <a:effectLst>
              <a:glow rad="76200">
                <a:schemeClr val="accent1">
                  <a:satMod val="175000"/>
                  <a:alpha val="34000"/>
                </a:schemeClr>
              </a:glow>
            </a:effectLst>
          </c:spPr>
          <c:marker>
            <c:symbol val="none"/>
          </c:marker>
          <c:cat>
            <c:strRef>
              <c:extLst>
                <c:ext xmlns:c15="http://schemas.microsoft.com/office/drawing/2012/chart" uri="{02D57815-91ED-43cb-92C2-25804820EDAC}">
                  <c15:fullRef>
                    <c15:sqref>SYNTHESE!$B$5:$C$11</c15:sqref>
                  </c15:fullRef>
                  <c15:levelRef>
                    <c15:sqref>SYNTHESE!$B$5:$B$11</c15:sqref>
                  </c15:levelRef>
                </c:ext>
              </c:extLst>
              <c:f>SYNTHESE!$B$5:$B$11</c:f>
              <c:strCache>
                <c:ptCount val="7"/>
                <c:pt idx="0">
                  <c:v>1</c:v>
                </c:pt>
                <c:pt idx="1">
                  <c:v>2</c:v>
                </c:pt>
                <c:pt idx="2">
                  <c:v>3</c:v>
                </c:pt>
                <c:pt idx="3">
                  <c:v>4</c:v>
                </c:pt>
                <c:pt idx="4">
                  <c:v>5</c:v>
                </c:pt>
                <c:pt idx="5">
                  <c:v>8</c:v>
                </c:pt>
                <c:pt idx="6">
                  <c:v>Total</c:v>
                </c:pt>
              </c:strCache>
            </c:strRef>
          </c:cat>
          <c:val>
            <c:numRef>
              <c:f>SYNTHESE!$D$5:$D$11</c:f>
              <c:numCache>
                <c:formatCode>General</c:formatCode>
                <c:ptCount val="7"/>
                <c:pt idx="0">
                  <c:v>400</c:v>
                </c:pt>
                <c:pt idx="1">
                  <c:v>266</c:v>
                </c:pt>
                <c:pt idx="2">
                  <c:v>178</c:v>
                </c:pt>
                <c:pt idx="3">
                  <c:v>34</c:v>
                </c:pt>
                <c:pt idx="4">
                  <c:v>188</c:v>
                </c:pt>
                <c:pt idx="5">
                  <c:v>317</c:v>
                </c:pt>
                <c:pt idx="6">
                  <c:v>1383</c:v>
                </c:pt>
              </c:numCache>
            </c:numRef>
          </c:val>
          <c:extLst>
            <c:ext xmlns:c16="http://schemas.microsoft.com/office/drawing/2014/chart" uri="{C3380CC4-5D6E-409C-BE32-E72D297353CC}">
              <c16:uniqueId val="{00000000-200C-49BB-98F5-D50695950C4C}"/>
            </c:ext>
          </c:extLst>
        </c:ser>
        <c:ser>
          <c:idx val="1"/>
          <c:order val="1"/>
          <c:tx>
            <c:strRef>
              <c:f>SYNTHESE!$E$4</c:f>
              <c:strCache>
                <c:ptCount val="1"/>
                <c:pt idx="0">
                  <c:v>Total NON</c:v>
                </c:pt>
              </c:strCache>
            </c:strRef>
          </c:tx>
          <c:spPr>
            <a:ln w="28575" cap="rnd">
              <a:solidFill>
                <a:schemeClr val="accent2"/>
              </a:solidFill>
            </a:ln>
            <a:effectLst>
              <a:glow rad="76200">
                <a:schemeClr val="accent2">
                  <a:satMod val="175000"/>
                  <a:alpha val="34000"/>
                </a:schemeClr>
              </a:glow>
            </a:effectLst>
          </c:spPr>
          <c:marker>
            <c:symbol val="none"/>
          </c:marker>
          <c:cat>
            <c:strRef>
              <c:extLst>
                <c:ext xmlns:c15="http://schemas.microsoft.com/office/drawing/2012/chart" uri="{02D57815-91ED-43cb-92C2-25804820EDAC}">
                  <c15:fullRef>
                    <c15:sqref>SYNTHESE!$B$5:$C$11</c15:sqref>
                  </c15:fullRef>
                  <c15:levelRef>
                    <c15:sqref>SYNTHESE!$B$5:$B$11</c15:sqref>
                  </c15:levelRef>
                </c:ext>
              </c:extLst>
              <c:f>SYNTHESE!$B$5:$B$11</c:f>
              <c:strCache>
                <c:ptCount val="7"/>
                <c:pt idx="0">
                  <c:v>1</c:v>
                </c:pt>
                <c:pt idx="1">
                  <c:v>2</c:v>
                </c:pt>
                <c:pt idx="2">
                  <c:v>3</c:v>
                </c:pt>
                <c:pt idx="3">
                  <c:v>4</c:v>
                </c:pt>
                <c:pt idx="4">
                  <c:v>5</c:v>
                </c:pt>
                <c:pt idx="5">
                  <c:v>8</c:v>
                </c:pt>
                <c:pt idx="6">
                  <c:v>Total</c:v>
                </c:pt>
              </c:strCache>
            </c:strRef>
          </c:cat>
          <c:val>
            <c:numRef>
              <c:f>SYNTHESE!$E$5:$E$11</c:f>
              <c:numCache>
                <c:formatCode>General</c:formatCode>
                <c:ptCount val="7"/>
                <c:pt idx="0">
                  <c:v>105</c:v>
                </c:pt>
                <c:pt idx="1">
                  <c:v>175</c:v>
                </c:pt>
                <c:pt idx="2">
                  <c:v>140</c:v>
                </c:pt>
                <c:pt idx="3">
                  <c:v>33</c:v>
                </c:pt>
                <c:pt idx="4">
                  <c:v>122</c:v>
                </c:pt>
                <c:pt idx="5">
                  <c:v>122</c:v>
                </c:pt>
                <c:pt idx="6">
                  <c:v>697</c:v>
                </c:pt>
              </c:numCache>
            </c:numRef>
          </c:val>
          <c:extLst>
            <c:ext xmlns:c16="http://schemas.microsoft.com/office/drawing/2014/chart" uri="{C3380CC4-5D6E-409C-BE32-E72D297353CC}">
              <c16:uniqueId val="{00000001-200C-49BB-98F5-D50695950C4C}"/>
            </c:ext>
          </c:extLst>
        </c:ser>
        <c:ser>
          <c:idx val="2"/>
          <c:order val="2"/>
          <c:tx>
            <c:strRef>
              <c:f>SYNTHESE!$F$4</c:f>
              <c:strCache>
                <c:ptCount val="1"/>
                <c:pt idx="0">
                  <c:v>Total PAS</c:v>
                </c:pt>
              </c:strCache>
            </c:strRef>
          </c:tx>
          <c:spPr>
            <a:ln w="28575" cap="rnd">
              <a:solidFill>
                <a:schemeClr val="accent3"/>
              </a:solidFill>
            </a:ln>
            <a:effectLst>
              <a:glow rad="76200">
                <a:schemeClr val="accent3">
                  <a:satMod val="175000"/>
                  <a:alpha val="34000"/>
                </a:schemeClr>
              </a:glow>
            </a:effectLst>
          </c:spPr>
          <c:marker>
            <c:symbol val="none"/>
          </c:marker>
          <c:cat>
            <c:strRef>
              <c:extLst>
                <c:ext xmlns:c15="http://schemas.microsoft.com/office/drawing/2012/chart" uri="{02D57815-91ED-43cb-92C2-25804820EDAC}">
                  <c15:fullRef>
                    <c15:sqref>SYNTHESE!$B$5:$C$11</c15:sqref>
                  </c15:fullRef>
                  <c15:levelRef>
                    <c15:sqref>SYNTHESE!$B$5:$B$11</c15:sqref>
                  </c15:levelRef>
                </c:ext>
              </c:extLst>
              <c:f>SYNTHESE!$B$5:$B$11</c:f>
              <c:strCache>
                <c:ptCount val="7"/>
                <c:pt idx="0">
                  <c:v>1</c:v>
                </c:pt>
                <c:pt idx="1">
                  <c:v>2</c:v>
                </c:pt>
                <c:pt idx="2">
                  <c:v>3</c:v>
                </c:pt>
                <c:pt idx="3">
                  <c:v>4</c:v>
                </c:pt>
                <c:pt idx="4">
                  <c:v>5</c:v>
                </c:pt>
                <c:pt idx="5">
                  <c:v>8</c:v>
                </c:pt>
                <c:pt idx="6">
                  <c:v>Total</c:v>
                </c:pt>
              </c:strCache>
            </c:strRef>
          </c:cat>
          <c:val>
            <c:numRef>
              <c:f>SYNTHESE!$F$5:$F$11</c:f>
              <c:numCache>
                <c:formatCode>General</c:formatCode>
                <c:ptCount val="7"/>
                <c:pt idx="0">
                  <c:v>0</c:v>
                </c:pt>
                <c:pt idx="1">
                  <c:v>64</c:v>
                </c:pt>
                <c:pt idx="2">
                  <c:v>52</c:v>
                </c:pt>
                <c:pt idx="3">
                  <c:v>33</c:v>
                </c:pt>
                <c:pt idx="4">
                  <c:v>20</c:v>
                </c:pt>
                <c:pt idx="5">
                  <c:v>20</c:v>
                </c:pt>
                <c:pt idx="6">
                  <c:v>189</c:v>
                </c:pt>
              </c:numCache>
            </c:numRef>
          </c:val>
          <c:extLst>
            <c:ext xmlns:c16="http://schemas.microsoft.com/office/drawing/2014/chart" uri="{C3380CC4-5D6E-409C-BE32-E72D297353CC}">
              <c16:uniqueId val="{00000002-200C-49BB-98F5-D50695950C4C}"/>
            </c:ext>
          </c:extLst>
        </c:ser>
        <c:ser>
          <c:idx val="3"/>
          <c:order val="3"/>
          <c:tx>
            <c:strRef>
              <c:f>SYNTHESE!$G$4</c:f>
              <c:strCache>
                <c:ptCount val="1"/>
                <c:pt idx="0">
                  <c:v>Total</c:v>
                </c:pt>
              </c:strCache>
            </c:strRef>
          </c:tx>
          <c:spPr>
            <a:ln w="28575" cap="rnd">
              <a:solidFill>
                <a:schemeClr val="accent4"/>
              </a:solidFill>
            </a:ln>
            <a:effectLst>
              <a:glow rad="76200">
                <a:schemeClr val="accent4">
                  <a:satMod val="175000"/>
                  <a:alpha val="34000"/>
                </a:schemeClr>
              </a:glow>
            </a:effectLst>
          </c:spPr>
          <c:marker>
            <c:symbol val="none"/>
          </c:marker>
          <c:cat>
            <c:strRef>
              <c:extLst>
                <c:ext xmlns:c15="http://schemas.microsoft.com/office/drawing/2012/chart" uri="{02D57815-91ED-43cb-92C2-25804820EDAC}">
                  <c15:fullRef>
                    <c15:sqref>SYNTHESE!$B$5:$C$11</c15:sqref>
                  </c15:fullRef>
                  <c15:levelRef>
                    <c15:sqref>SYNTHESE!$B$5:$B$11</c15:sqref>
                  </c15:levelRef>
                </c:ext>
              </c:extLst>
              <c:f>SYNTHESE!$B$5:$B$11</c:f>
              <c:strCache>
                <c:ptCount val="7"/>
                <c:pt idx="0">
                  <c:v>1</c:v>
                </c:pt>
                <c:pt idx="1">
                  <c:v>2</c:v>
                </c:pt>
                <c:pt idx="2">
                  <c:v>3</c:v>
                </c:pt>
                <c:pt idx="3">
                  <c:v>4</c:v>
                </c:pt>
                <c:pt idx="4">
                  <c:v>5</c:v>
                </c:pt>
                <c:pt idx="5">
                  <c:v>8</c:v>
                </c:pt>
                <c:pt idx="6">
                  <c:v>Total</c:v>
                </c:pt>
              </c:strCache>
            </c:strRef>
          </c:cat>
          <c:val>
            <c:numRef>
              <c:f>SYNTHESE!$G$5:$G$11</c:f>
              <c:numCache>
                <c:formatCode>General</c:formatCode>
                <c:ptCount val="7"/>
                <c:pt idx="0">
                  <c:v>505</c:v>
                </c:pt>
                <c:pt idx="1">
                  <c:v>505</c:v>
                </c:pt>
                <c:pt idx="2">
                  <c:v>370</c:v>
                </c:pt>
                <c:pt idx="3">
                  <c:v>100</c:v>
                </c:pt>
                <c:pt idx="4">
                  <c:v>330</c:v>
                </c:pt>
                <c:pt idx="5">
                  <c:v>459</c:v>
                </c:pt>
                <c:pt idx="6">
                  <c:v>2269</c:v>
                </c:pt>
              </c:numCache>
            </c:numRef>
          </c:val>
          <c:extLst>
            <c:ext xmlns:c16="http://schemas.microsoft.com/office/drawing/2014/chart" uri="{C3380CC4-5D6E-409C-BE32-E72D297353CC}">
              <c16:uniqueId val="{00000003-200C-49BB-98F5-D50695950C4C}"/>
            </c:ext>
          </c:extLst>
        </c:ser>
        <c:ser>
          <c:idx val="4"/>
          <c:order val="4"/>
          <c:tx>
            <c:strRef>
              <c:f>SYNTHESE!$H$4</c:f>
              <c:strCache>
                <c:ptCount val="1"/>
                <c:pt idx="0">
                  <c:v>Score</c:v>
                </c:pt>
              </c:strCache>
            </c:strRef>
          </c:tx>
          <c:spPr>
            <a:ln w="28575" cap="rnd">
              <a:solidFill>
                <a:schemeClr val="accent5"/>
              </a:solidFill>
            </a:ln>
            <a:effectLst>
              <a:glow rad="76200">
                <a:schemeClr val="accent5">
                  <a:satMod val="175000"/>
                  <a:alpha val="34000"/>
                </a:schemeClr>
              </a:glow>
            </a:effectLst>
          </c:spPr>
          <c:marker>
            <c:symbol val="none"/>
          </c:marker>
          <c:cat>
            <c:strRef>
              <c:extLst>
                <c:ext xmlns:c15="http://schemas.microsoft.com/office/drawing/2012/chart" uri="{02D57815-91ED-43cb-92C2-25804820EDAC}">
                  <c15:fullRef>
                    <c15:sqref>SYNTHESE!$B$5:$C$11</c15:sqref>
                  </c15:fullRef>
                  <c15:levelRef>
                    <c15:sqref>SYNTHESE!$B$5:$B$11</c15:sqref>
                  </c15:levelRef>
                </c:ext>
              </c:extLst>
              <c:f>SYNTHESE!$B$5:$B$11</c:f>
              <c:strCache>
                <c:ptCount val="7"/>
                <c:pt idx="0">
                  <c:v>1</c:v>
                </c:pt>
                <c:pt idx="1">
                  <c:v>2</c:v>
                </c:pt>
                <c:pt idx="2">
                  <c:v>3</c:v>
                </c:pt>
                <c:pt idx="3">
                  <c:v>4</c:v>
                </c:pt>
                <c:pt idx="4">
                  <c:v>5</c:v>
                </c:pt>
                <c:pt idx="5">
                  <c:v>8</c:v>
                </c:pt>
                <c:pt idx="6">
                  <c:v>Total</c:v>
                </c:pt>
              </c:strCache>
            </c:strRef>
          </c:cat>
          <c:val>
            <c:numRef>
              <c:f>SYNTHESE!$H$5:$H$11</c:f>
              <c:numCache>
                <c:formatCode>0%</c:formatCode>
                <c:ptCount val="7"/>
                <c:pt idx="0">
                  <c:v>0.79207920792079212</c:v>
                </c:pt>
                <c:pt idx="1">
                  <c:v>0.52673267326732676</c:v>
                </c:pt>
                <c:pt idx="2">
                  <c:v>0.48108108108108111</c:v>
                </c:pt>
                <c:pt idx="3">
                  <c:v>0.34</c:v>
                </c:pt>
                <c:pt idx="4">
                  <c:v>0.5696969696969697</c:v>
                </c:pt>
                <c:pt idx="5">
                  <c:v>0.69063180827886705</c:v>
                </c:pt>
                <c:pt idx="6">
                  <c:v>0.6095196121639489</c:v>
                </c:pt>
              </c:numCache>
            </c:numRef>
          </c:val>
          <c:extLst>
            <c:ext xmlns:c16="http://schemas.microsoft.com/office/drawing/2014/chart" uri="{C3380CC4-5D6E-409C-BE32-E72D297353CC}">
              <c16:uniqueId val="{00000004-200C-49BB-98F5-D50695950C4C}"/>
            </c:ext>
          </c:extLst>
        </c:ser>
        <c:dLbls>
          <c:showLegendKey val="0"/>
          <c:showVal val="0"/>
          <c:showCatName val="0"/>
          <c:showSerName val="0"/>
          <c:showPercent val="0"/>
          <c:showBubbleSize val="0"/>
        </c:dLbls>
        <c:axId val="854038368"/>
        <c:axId val="854040664"/>
      </c:radarChart>
      <c:catAx>
        <c:axId val="854038368"/>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854040664"/>
        <c:crosses val="autoZero"/>
        <c:auto val="1"/>
        <c:lblAlgn val="ctr"/>
        <c:lblOffset val="100"/>
        <c:noMultiLvlLbl val="0"/>
      </c:catAx>
      <c:valAx>
        <c:axId val="854040664"/>
        <c:scaling>
          <c:orientation val="minMax"/>
        </c:scaling>
        <c:delete val="0"/>
        <c:axPos val="l"/>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crossAx val="85403836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fr-FR"/>
        </a:p>
      </c:txPr>
    </c:legend>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tx>
            <c:strRef>
              <c:f>SYNTHESE!$D$4</c:f>
              <c:strCache>
                <c:ptCount val="1"/>
                <c:pt idx="0">
                  <c:v>Total OUI</c:v>
                </c:pt>
              </c:strCache>
            </c:strRef>
          </c:tx>
          <c:spPr>
            <a:ln w="28575" cap="rnd">
              <a:solidFill>
                <a:schemeClr val="accent1"/>
              </a:solidFill>
              <a:round/>
            </a:ln>
            <a:effectLst/>
          </c:spPr>
          <c:marker>
            <c:symbol val="none"/>
          </c:marker>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SYNTHESE!$D$5:$D$10</c:f>
              <c:numCache>
                <c:formatCode>General</c:formatCode>
                <c:ptCount val="6"/>
                <c:pt idx="0">
                  <c:v>400</c:v>
                </c:pt>
                <c:pt idx="1">
                  <c:v>266</c:v>
                </c:pt>
                <c:pt idx="2">
                  <c:v>178</c:v>
                </c:pt>
                <c:pt idx="3">
                  <c:v>34</c:v>
                </c:pt>
                <c:pt idx="4">
                  <c:v>188</c:v>
                </c:pt>
                <c:pt idx="5">
                  <c:v>317</c:v>
                </c:pt>
              </c:numCache>
            </c:numRef>
          </c:val>
          <c:extLst>
            <c:ext xmlns:c16="http://schemas.microsoft.com/office/drawing/2014/chart" uri="{C3380CC4-5D6E-409C-BE32-E72D297353CC}">
              <c16:uniqueId val="{00000000-8D2C-4393-8747-96F58CA8D36E}"/>
            </c:ext>
          </c:extLst>
        </c:ser>
        <c:ser>
          <c:idx val="1"/>
          <c:order val="1"/>
          <c:tx>
            <c:strRef>
              <c:f>SYNTHESE!$E$4</c:f>
              <c:strCache>
                <c:ptCount val="1"/>
                <c:pt idx="0">
                  <c:v>Total NON</c:v>
                </c:pt>
              </c:strCache>
            </c:strRef>
          </c:tx>
          <c:spPr>
            <a:ln w="28575" cap="rnd">
              <a:solidFill>
                <a:schemeClr val="accent2"/>
              </a:solidFill>
              <a:round/>
            </a:ln>
            <a:effectLst/>
          </c:spPr>
          <c:marker>
            <c:symbol val="none"/>
          </c:marker>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SYNTHESE!$E$5:$E$10</c:f>
              <c:numCache>
                <c:formatCode>General</c:formatCode>
                <c:ptCount val="6"/>
                <c:pt idx="0">
                  <c:v>105</c:v>
                </c:pt>
                <c:pt idx="1">
                  <c:v>175</c:v>
                </c:pt>
                <c:pt idx="2">
                  <c:v>140</c:v>
                </c:pt>
                <c:pt idx="3">
                  <c:v>33</c:v>
                </c:pt>
                <c:pt idx="4">
                  <c:v>122</c:v>
                </c:pt>
                <c:pt idx="5">
                  <c:v>122</c:v>
                </c:pt>
              </c:numCache>
            </c:numRef>
          </c:val>
          <c:extLst>
            <c:ext xmlns:c16="http://schemas.microsoft.com/office/drawing/2014/chart" uri="{C3380CC4-5D6E-409C-BE32-E72D297353CC}">
              <c16:uniqueId val="{00000001-8D2C-4393-8747-96F58CA8D36E}"/>
            </c:ext>
          </c:extLst>
        </c:ser>
        <c:ser>
          <c:idx val="2"/>
          <c:order val="2"/>
          <c:tx>
            <c:strRef>
              <c:f>SYNTHESE!$F$4</c:f>
              <c:strCache>
                <c:ptCount val="1"/>
                <c:pt idx="0">
                  <c:v>Total PAS</c:v>
                </c:pt>
              </c:strCache>
            </c:strRef>
          </c:tx>
          <c:spPr>
            <a:ln w="28575" cap="rnd">
              <a:solidFill>
                <a:schemeClr val="accent3"/>
              </a:solidFill>
              <a:round/>
            </a:ln>
            <a:effectLst/>
          </c:spPr>
          <c:marker>
            <c:symbol val="none"/>
          </c:marker>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SYNTHESE!$F$5:$F$10</c:f>
              <c:numCache>
                <c:formatCode>General</c:formatCode>
                <c:ptCount val="6"/>
                <c:pt idx="0">
                  <c:v>0</c:v>
                </c:pt>
                <c:pt idx="1">
                  <c:v>64</c:v>
                </c:pt>
                <c:pt idx="2">
                  <c:v>52</c:v>
                </c:pt>
                <c:pt idx="3">
                  <c:v>33</c:v>
                </c:pt>
                <c:pt idx="4">
                  <c:v>20</c:v>
                </c:pt>
                <c:pt idx="5">
                  <c:v>20</c:v>
                </c:pt>
              </c:numCache>
            </c:numRef>
          </c:val>
          <c:extLst>
            <c:ext xmlns:c16="http://schemas.microsoft.com/office/drawing/2014/chart" uri="{C3380CC4-5D6E-409C-BE32-E72D297353CC}">
              <c16:uniqueId val="{00000002-8D2C-4393-8747-96F58CA8D36E}"/>
            </c:ext>
          </c:extLst>
        </c:ser>
        <c:ser>
          <c:idx val="3"/>
          <c:order val="3"/>
          <c:tx>
            <c:strRef>
              <c:f>SYNTHESE!$G$4</c:f>
              <c:strCache>
                <c:ptCount val="1"/>
                <c:pt idx="0">
                  <c:v>Total</c:v>
                </c:pt>
              </c:strCache>
            </c:strRef>
          </c:tx>
          <c:spPr>
            <a:ln w="28575" cap="rnd">
              <a:solidFill>
                <a:schemeClr val="accent4"/>
              </a:solidFill>
              <a:round/>
            </a:ln>
            <a:effectLst/>
          </c:spPr>
          <c:marker>
            <c:symbol val="none"/>
          </c:marker>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SYNTHESE!$G$5:$G$10</c:f>
              <c:numCache>
                <c:formatCode>General</c:formatCode>
                <c:ptCount val="6"/>
                <c:pt idx="0">
                  <c:v>505</c:v>
                </c:pt>
                <c:pt idx="1">
                  <c:v>505</c:v>
                </c:pt>
                <c:pt idx="2">
                  <c:v>370</c:v>
                </c:pt>
                <c:pt idx="3">
                  <c:v>100</c:v>
                </c:pt>
                <c:pt idx="4">
                  <c:v>330</c:v>
                </c:pt>
                <c:pt idx="5">
                  <c:v>459</c:v>
                </c:pt>
              </c:numCache>
            </c:numRef>
          </c:val>
          <c:extLst>
            <c:ext xmlns:c16="http://schemas.microsoft.com/office/drawing/2014/chart" uri="{C3380CC4-5D6E-409C-BE32-E72D297353CC}">
              <c16:uniqueId val="{00000003-8D2C-4393-8747-96F58CA8D36E}"/>
            </c:ext>
          </c:extLst>
        </c:ser>
        <c:dLbls>
          <c:showLegendKey val="0"/>
          <c:showVal val="0"/>
          <c:showCatName val="0"/>
          <c:showSerName val="0"/>
          <c:showPercent val="0"/>
          <c:showBubbleSize val="0"/>
        </c:dLbls>
        <c:axId val="721652472"/>
        <c:axId val="721652800"/>
      </c:radarChart>
      <c:catAx>
        <c:axId val="721652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1652800"/>
        <c:crosses val="autoZero"/>
        <c:auto val="1"/>
        <c:lblAlgn val="ctr"/>
        <c:lblOffset val="100"/>
        <c:noMultiLvlLbl val="0"/>
      </c:catAx>
      <c:valAx>
        <c:axId val="721652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2165247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strRef>
              <c:f>SYNTHESE!$D$4</c:f>
              <c:strCache>
                <c:ptCount val="1"/>
                <c:pt idx="0">
                  <c:v>Total OUI</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SYNTHESE!$D$5:$D$10</c:f>
              <c:numCache>
                <c:formatCode>General</c:formatCode>
                <c:ptCount val="6"/>
                <c:pt idx="0">
                  <c:v>400</c:v>
                </c:pt>
                <c:pt idx="1">
                  <c:v>266</c:v>
                </c:pt>
                <c:pt idx="2">
                  <c:v>178</c:v>
                </c:pt>
                <c:pt idx="3">
                  <c:v>34</c:v>
                </c:pt>
                <c:pt idx="4">
                  <c:v>188</c:v>
                </c:pt>
                <c:pt idx="5">
                  <c:v>317</c:v>
                </c:pt>
              </c:numCache>
            </c:numRef>
          </c:val>
          <c:extLst>
            <c:ext xmlns:c16="http://schemas.microsoft.com/office/drawing/2014/chart" uri="{C3380CC4-5D6E-409C-BE32-E72D297353CC}">
              <c16:uniqueId val="{00000000-1409-4430-B3ED-6A36C188BF6A}"/>
            </c:ext>
          </c:extLst>
        </c:ser>
        <c:ser>
          <c:idx val="1"/>
          <c:order val="1"/>
          <c:tx>
            <c:strRef>
              <c:f>SYNTHESE!$E$4</c:f>
              <c:strCache>
                <c:ptCount val="1"/>
                <c:pt idx="0">
                  <c:v>Total NON</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SYNTHESE!$E$5:$E$10</c:f>
              <c:numCache>
                <c:formatCode>General</c:formatCode>
                <c:ptCount val="6"/>
                <c:pt idx="0">
                  <c:v>105</c:v>
                </c:pt>
                <c:pt idx="1">
                  <c:v>175</c:v>
                </c:pt>
                <c:pt idx="2">
                  <c:v>140</c:v>
                </c:pt>
                <c:pt idx="3">
                  <c:v>33</c:v>
                </c:pt>
                <c:pt idx="4">
                  <c:v>122</c:v>
                </c:pt>
                <c:pt idx="5">
                  <c:v>122</c:v>
                </c:pt>
              </c:numCache>
            </c:numRef>
          </c:val>
          <c:extLst>
            <c:ext xmlns:c16="http://schemas.microsoft.com/office/drawing/2014/chart" uri="{C3380CC4-5D6E-409C-BE32-E72D297353CC}">
              <c16:uniqueId val="{00000001-1409-4430-B3ED-6A36C188BF6A}"/>
            </c:ext>
          </c:extLst>
        </c:ser>
        <c:ser>
          <c:idx val="2"/>
          <c:order val="2"/>
          <c:tx>
            <c:strRef>
              <c:f>SYNTHESE!$F$4</c:f>
              <c:strCache>
                <c:ptCount val="1"/>
                <c:pt idx="0">
                  <c:v>Total PAS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SYNTHESE!$F$5:$F$10</c:f>
              <c:numCache>
                <c:formatCode>General</c:formatCode>
                <c:ptCount val="6"/>
                <c:pt idx="0">
                  <c:v>0</c:v>
                </c:pt>
                <c:pt idx="1">
                  <c:v>64</c:v>
                </c:pt>
                <c:pt idx="2">
                  <c:v>52</c:v>
                </c:pt>
                <c:pt idx="3">
                  <c:v>33</c:v>
                </c:pt>
                <c:pt idx="4">
                  <c:v>20</c:v>
                </c:pt>
                <c:pt idx="5">
                  <c:v>20</c:v>
                </c:pt>
              </c:numCache>
            </c:numRef>
          </c:val>
          <c:extLst>
            <c:ext xmlns:c16="http://schemas.microsoft.com/office/drawing/2014/chart" uri="{C3380CC4-5D6E-409C-BE32-E72D297353CC}">
              <c16:uniqueId val="{00000002-1409-4430-B3ED-6A36C188BF6A}"/>
            </c:ext>
          </c:extLst>
        </c:ser>
        <c:ser>
          <c:idx val="3"/>
          <c:order val="3"/>
          <c:tx>
            <c:strRef>
              <c:f>SYNTHESE!$G$4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SYNTHESE!$G$5:$G$10</c:f>
              <c:numCache>
                <c:formatCode>General</c:formatCode>
                <c:ptCount val="6"/>
                <c:pt idx="0">
                  <c:v>505</c:v>
                </c:pt>
                <c:pt idx="1">
                  <c:v>505</c:v>
                </c:pt>
                <c:pt idx="2">
                  <c:v>370</c:v>
                </c:pt>
                <c:pt idx="3">
                  <c:v>100</c:v>
                </c:pt>
                <c:pt idx="4">
                  <c:v>330</c:v>
                </c:pt>
                <c:pt idx="5">
                  <c:v>459</c:v>
                </c:pt>
              </c:numCache>
            </c:numRef>
          </c:val>
          <c:extLst>
            <c:ext xmlns:c16="http://schemas.microsoft.com/office/drawing/2014/chart" uri="{C3380CC4-5D6E-409C-BE32-E72D297353CC}">
              <c16:uniqueId val="{00000003-1409-4430-B3ED-6A36C188BF6A}"/>
            </c:ext>
          </c:extLst>
        </c:ser>
        <c:dLbls>
          <c:dLblPos val="ctr"/>
          <c:showLegendKey val="0"/>
          <c:showVal val="1"/>
          <c:showCatName val="0"/>
          <c:showSerName val="0"/>
          <c:showPercent val="0"/>
          <c:showBubbleSize val="0"/>
        </c:dLbls>
        <c:gapWidth val="150"/>
        <c:overlap val="100"/>
        <c:axId val="855687816"/>
        <c:axId val="855685520"/>
      </c:barChart>
      <c:catAx>
        <c:axId val="85568781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fr-FR"/>
          </a:p>
        </c:txPr>
        <c:crossAx val="855685520"/>
        <c:crosses val="autoZero"/>
        <c:auto val="1"/>
        <c:lblAlgn val="ctr"/>
        <c:lblOffset val="100"/>
        <c:noMultiLvlLbl val="0"/>
      </c:catAx>
      <c:valAx>
        <c:axId val="855685520"/>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crossAx val="855687816"/>
        <c:crosses val="autoZero"/>
        <c:crossBetween val="between"/>
      </c:valAx>
      <c:spPr>
        <a:pattFill prst="ltDnDiag">
          <a:fgClr>
            <a:schemeClr val="dk1">
              <a:lumMod val="15000"/>
              <a:lumOff val="85000"/>
            </a:schemeClr>
          </a:fgClr>
          <a:bgClr>
            <a:schemeClr val="lt1"/>
          </a:bgClr>
        </a:patt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fr-FR"/>
        </a:p>
      </c:txPr>
    </c:title>
    <c:autoTitleDeleted val="0"/>
    <c:plotArea>
      <c:layout/>
      <c:ofPieChart>
        <c:ofPieType val="pie"/>
        <c:varyColors val="1"/>
        <c:ser>
          <c:idx val="0"/>
          <c:order val="0"/>
          <c:tx>
            <c:strRef>
              <c:f>SYNTHESE!$D$4</c:f>
              <c:strCache>
                <c:ptCount val="1"/>
                <c:pt idx="0">
                  <c:v>Total OUI</c:v>
                </c:pt>
              </c:strCache>
            </c:strRef>
          </c:tx>
          <c:dPt>
            <c:idx val="0"/>
            <c:bubble3D val="0"/>
            <c:spPr>
              <a:solidFill>
                <a:schemeClr val="accent1"/>
              </a:solidFill>
              <a:ln>
                <a:noFill/>
              </a:ln>
              <a:effectLst/>
            </c:spPr>
            <c:extLst>
              <c:ext xmlns:c16="http://schemas.microsoft.com/office/drawing/2014/chart" uri="{C3380CC4-5D6E-409C-BE32-E72D297353CC}">
                <c16:uniqueId val="{00000001-C236-4425-826C-BA955E32AAAC}"/>
              </c:ext>
            </c:extLst>
          </c:dPt>
          <c:dPt>
            <c:idx val="1"/>
            <c:bubble3D val="0"/>
            <c:spPr>
              <a:solidFill>
                <a:schemeClr val="accent2"/>
              </a:solidFill>
              <a:ln>
                <a:noFill/>
              </a:ln>
              <a:effectLst/>
            </c:spPr>
            <c:extLst>
              <c:ext xmlns:c16="http://schemas.microsoft.com/office/drawing/2014/chart" uri="{C3380CC4-5D6E-409C-BE32-E72D297353CC}">
                <c16:uniqueId val="{00000003-C236-4425-826C-BA955E32AAAC}"/>
              </c:ext>
            </c:extLst>
          </c:dPt>
          <c:dPt>
            <c:idx val="2"/>
            <c:bubble3D val="0"/>
            <c:spPr>
              <a:solidFill>
                <a:schemeClr val="accent3"/>
              </a:solidFill>
              <a:ln>
                <a:noFill/>
              </a:ln>
              <a:effectLst/>
            </c:spPr>
            <c:extLst>
              <c:ext xmlns:c16="http://schemas.microsoft.com/office/drawing/2014/chart" uri="{C3380CC4-5D6E-409C-BE32-E72D297353CC}">
                <c16:uniqueId val="{00000005-C236-4425-826C-BA955E32AAAC}"/>
              </c:ext>
            </c:extLst>
          </c:dPt>
          <c:dPt>
            <c:idx val="3"/>
            <c:bubble3D val="0"/>
            <c:spPr>
              <a:solidFill>
                <a:schemeClr val="accent4"/>
              </a:solidFill>
              <a:ln>
                <a:noFill/>
              </a:ln>
              <a:effectLst/>
            </c:spPr>
            <c:extLst>
              <c:ext xmlns:c16="http://schemas.microsoft.com/office/drawing/2014/chart" uri="{C3380CC4-5D6E-409C-BE32-E72D297353CC}">
                <c16:uniqueId val="{00000007-C236-4425-826C-BA955E32AAAC}"/>
              </c:ext>
            </c:extLst>
          </c:dPt>
          <c:dPt>
            <c:idx val="4"/>
            <c:bubble3D val="0"/>
            <c:spPr>
              <a:solidFill>
                <a:schemeClr val="accent5"/>
              </a:solidFill>
              <a:ln>
                <a:noFill/>
              </a:ln>
              <a:effectLst/>
            </c:spPr>
            <c:extLst>
              <c:ext xmlns:c16="http://schemas.microsoft.com/office/drawing/2014/chart" uri="{C3380CC4-5D6E-409C-BE32-E72D297353CC}">
                <c16:uniqueId val="{00000009-C236-4425-826C-BA955E32AAAC}"/>
              </c:ext>
            </c:extLst>
          </c:dPt>
          <c:dPt>
            <c:idx val="5"/>
            <c:bubble3D val="0"/>
            <c:spPr>
              <a:solidFill>
                <a:schemeClr val="accent6"/>
              </a:solidFill>
              <a:ln>
                <a:noFill/>
              </a:ln>
              <a:effectLst/>
            </c:spPr>
            <c:extLst>
              <c:ext xmlns:c16="http://schemas.microsoft.com/office/drawing/2014/chart" uri="{C3380CC4-5D6E-409C-BE32-E72D297353CC}">
                <c16:uniqueId val="{0000000B-C236-4425-826C-BA955E32AAA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C236-4425-826C-BA955E32AA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15:layout/>
              </c:ext>
            </c:extLst>
          </c:dLbls>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SYNTHESE!$D$5:$D$10</c:f>
              <c:numCache>
                <c:formatCode>General</c:formatCode>
                <c:ptCount val="6"/>
                <c:pt idx="0">
                  <c:v>400</c:v>
                </c:pt>
                <c:pt idx="1">
                  <c:v>266</c:v>
                </c:pt>
                <c:pt idx="2">
                  <c:v>178</c:v>
                </c:pt>
                <c:pt idx="3">
                  <c:v>34</c:v>
                </c:pt>
                <c:pt idx="4">
                  <c:v>188</c:v>
                </c:pt>
                <c:pt idx="5">
                  <c:v>317</c:v>
                </c:pt>
              </c:numCache>
            </c:numRef>
          </c:val>
          <c:extLst>
            <c:ext xmlns:c16="http://schemas.microsoft.com/office/drawing/2014/chart" uri="{C3380CC4-5D6E-409C-BE32-E72D297353CC}">
              <c16:uniqueId val="{0000000E-C236-4425-826C-BA955E32AAAC}"/>
            </c:ext>
          </c:extLst>
        </c:ser>
        <c:ser>
          <c:idx val="1"/>
          <c:order val="1"/>
          <c:tx>
            <c:strRef>
              <c:f>SYNTHESE!$E$4</c:f>
              <c:strCache>
                <c:ptCount val="1"/>
                <c:pt idx="0">
                  <c:v>Total NON</c:v>
                </c:pt>
              </c:strCache>
            </c:strRef>
          </c:tx>
          <c:dPt>
            <c:idx val="0"/>
            <c:bubble3D val="0"/>
            <c:spPr>
              <a:solidFill>
                <a:schemeClr val="accent1"/>
              </a:solidFill>
              <a:ln>
                <a:noFill/>
              </a:ln>
              <a:effectLst/>
            </c:spPr>
            <c:extLst>
              <c:ext xmlns:c16="http://schemas.microsoft.com/office/drawing/2014/chart" uri="{C3380CC4-5D6E-409C-BE32-E72D297353CC}">
                <c16:uniqueId val="{00000010-C236-4425-826C-BA955E32AAAC}"/>
              </c:ext>
            </c:extLst>
          </c:dPt>
          <c:dPt>
            <c:idx val="1"/>
            <c:bubble3D val="0"/>
            <c:spPr>
              <a:solidFill>
                <a:schemeClr val="accent2"/>
              </a:solidFill>
              <a:ln>
                <a:noFill/>
              </a:ln>
              <a:effectLst/>
            </c:spPr>
            <c:extLst>
              <c:ext xmlns:c16="http://schemas.microsoft.com/office/drawing/2014/chart" uri="{C3380CC4-5D6E-409C-BE32-E72D297353CC}">
                <c16:uniqueId val="{00000012-C236-4425-826C-BA955E32AAAC}"/>
              </c:ext>
            </c:extLst>
          </c:dPt>
          <c:dPt>
            <c:idx val="2"/>
            <c:bubble3D val="0"/>
            <c:spPr>
              <a:solidFill>
                <a:schemeClr val="accent3"/>
              </a:solidFill>
              <a:ln>
                <a:noFill/>
              </a:ln>
              <a:effectLst/>
            </c:spPr>
            <c:extLst>
              <c:ext xmlns:c16="http://schemas.microsoft.com/office/drawing/2014/chart" uri="{C3380CC4-5D6E-409C-BE32-E72D297353CC}">
                <c16:uniqueId val="{00000014-C236-4425-826C-BA955E32AAAC}"/>
              </c:ext>
            </c:extLst>
          </c:dPt>
          <c:dPt>
            <c:idx val="3"/>
            <c:bubble3D val="0"/>
            <c:spPr>
              <a:solidFill>
                <a:schemeClr val="accent4"/>
              </a:solidFill>
              <a:ln>
                <a:noFill/>
              </a:ln>
              <a:effectLst/>
            </c:spPr>
            <c:extLst>
              <c:ext xmlns:c16="http://schemas.microsoft.com/office/drawing/2014/chart" uri="{C3380CC4-5D6E-409C-BE32-E72D297353CC}">
                <c16:uniqueId val="{00000016-C236-4425-826C-BA955E32AAAC}"/>
              </c:ext>
            </c:extLst>
          </c:dPt>
          <c:dPt>
            <c:idx val="4"/>
            <c:bubble3D val="0"/>
            <c:spPr>
              <a:solidFill>
                <a:schemeClr val="accent5"/>
              </a:solidFill>
              <a:ln>
                <a:noFill/>
              </a:ln>
              <a:effectLst/>
            </c:spPr>
            <c:extLst>
              <c:ext xmlns:c16="http://schemas.microsoft.com/office/drawing/2014/chart" uri="{C3380CC4-5D6E-409C-BE32-E72D297353CC}">
                <c16:uniqueId val="{00000018-C236-4425-826C-BA955E32AAAC}"/>
              </c:ext>
            </c:extLst>
          </c:dPt>
          <c:dPt>
            <c:idx val="5"/>
            <c:bubble3D val="0"/>
            <c:spPr>
              <a:solidFill>
                <a:schemeClr val="accent6"/>
              </a:solidFill>
              <a:ln>
                <a:noFill/>
              </a:ln>
              <a:effectLst/>
            </c:spPr>
            <c:extLst>
              <c:ext xmlns:c16="http://schemas.microsoft.com/office/drawing/2014/chart" uri="{C3380CC4-5D6E-409C-BE32-E72D297353CC}">
                <c16:uniqueId val="{0000001A-C236-4425-826C-BA955E32AAA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1C-C236-4425-826C-BA955E32AA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SYNTHESE!$E$5:$E$10</c:f>
              <c:numCache>
                <c:formatCode>General</c:formatCode>
                <c:ptCount val="6"/>
                <c:pt idx="0">
                  <c:v>105</c:v>
                </c:pt>
                <c:pt idx="1">
                  <c:v>175</c:v>
                </c:pt>
                <c:pt idx="2">
                  <c:v>140</c:v>
                </c:pt>
                <c:pt idx="3">
                  <c:v>33</c:v>
                </c:pt>
                <c:pt idx="4">
                  <c:v>122</c:v>
                </c:pt>
                <c:pt idx="5">
                  <c:v>122</c:v>
                </c:pt>
              </c:numCache>
            </c:numRef>
          </c:val>
          <c:extLst>
            <c:ext xmlns:c16="http://schemas.microsoft.com/office/drawing/2014/chart" uri="{C3380CC4-5D6E-409C-BE32-E72D297353CC}">
              <c16:uniqueId val="{0000001D-C236-4425-826C-BA955E32AAAC}"/>
            </c:ext>
          </c:extLst>
        </c:ser>
        <c:ser>
          <c:idx val="2"/>
          <c:order val="2"/>
          <c:tx>
            <c:strRef>
              <c:f>SYNTHESE!$F$4</c:f>
              <c:strCache>
                <c:ptCount val="1"/>
                <c:pt idx="0">
                  <c:v>Total PAS</c:v>
                </c:pt>
              </c:strCache>
            </c:strRef>
          </c:tx>
          <c:dPt>
            <c:idx val="0"/>
            <c:bubble3D val="0"/>
            <c:spPr>
              <a:solidFill>
                <a:schemeClr val="accent1"/>
              </a:solidFill>
              <a:ln>
                <a:noFill/>
              </a:ln>
              <a:effectLst/>
            </c:spPr>
            <c:extLst>
              <c:ext xmlns:c16="http://schemas.microsoft.com/office/drawing/2014/chart" uri="{C3380CC4-5D6E-409C-BE32-E72D297353CC}">
                <c16:uniqueId val="{0000001F-C236-4425-826C-BA955E32AAAC}"/>
              </c:ext>
            </c:extLst>
          </c:dPt>
          <c:dPt>
            <c:idx val="1"/>
            <c:bubble3D val="0"/>
            <c:spPr>
              <a:solidFill>
                <a:schemeClr val="accent2"/>
              </a:solidFill>
              <a:ln>
                <a:noFill/>
              </a:ln>
              <a:effectLst/>
            </c:spPr>
            <c:extLst>
              <c:ext xmlns:c16="http://schemas.microsoft.com/office/drawing/2014/chart" uri="{C3380CC4-5D6E-409C-BE32-E72D297353CC}">
                <c16:uniqueId val="{00000021-C236-4425-826C-BA955E32AAAC}"/>
              </c:ext>
            </c:extLst>
          </c:dPt>
          <c:dPt>
            <c:idx val="2"/>
            <c:bubble3D val="0"/>
            <c:spPr>
              <a:solidFill>
                <a:schemeClr val="accent3"/>
              </a:solidFill>
              <a:ln>
                <a:noFill/>
              </a:ln>
              <a:effectLst/>
            </c:spPr>
            <c:extLst>
              <c:ext xmlns:c16="http://schemas.microsoft.com/office/drawing/2014/chart" uri="{C3380CC4-5D6E-409C-BE32-E72D297353CC}">
                <c16:uniqueId val="{00000023-C236-4425-826C-BA955E32AAAC}"/>
              </c:ext>
            </c:extLst>
          </c:dPt>
          <c:dPt>
            <c:idx val="3"/>
            <c:bubble3D val="0"/>
            <c:spPr>
              <a:solidFill>
                <a:schemeClr val="accent4"/>
              </a:solidFill>
              <a:ln>
                <a:noFill/>
              </a:ln>
              <a:effectLst/>
            </c:spPr>
            <c:extLst>
              <c:ext xmlns:c16="http://schemas.microsoft.com/office/drawing/2014/chart" uri="{C3380CC4-5D6E-409C-BE32-E72D297353CC}">
                <c16:uniqueId val="{00000025-C236-4425-826C-BA955E32AAAC}"/>
              </c:ext>
            </c:extLst>
          </c:dPt>
          <c:dPt>
            <c:idx val="4"/>
            <c:bubble3D val="0"/>
            <c:spPr>
              <a:solidFill>
                <a:schemeClr val="accent5"/>
              </a:solidFill>
              <a:ln>
                <a:noFill/>
              </a:ln>
              <a:effectLst/>
            </c:spPr>
            <c:extLst>
              <c:ext xmlns:c16="http://schemas.microsoft.com/office/drawing/2014/chart" uri="{C3380CC4-5D6E-409C-BE32-E72D297353CC}">
                <c16:uniqueId val="{00000027-C236-4425-826C-BA955E32AAAC}"/>
              </c:ext>
            </c:extLst>
          </c:dPt>
          <c:dPt>
            <c:idx val="5"/>
            <c:bubble3D val="0"/>
            <c:spPr>
              <a:solidFill>
                <a:schemeClr val="accent6"/>
              </a:solidFill>
              <a:ln>
                <a:noFill/>
              </a:ln>
              <a:effectLst/>
            </c:spPr>
            <c:extLst>
              <c:ext xmlns:c16="http://schemas.microsoft.com/office/drawing/2014/chart" uri="{C3380CC4-5D6E-409C-BE32-E72D297353CC}">
                <c16:uniqueId val="{00000029-C236-4425-826C-BA955E32AAA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2B-C236-4425-826C-BA955E32AA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SYNTHESE!$F$5:$F$10</c:f>
              <c:numCache>
                <c:formatCode>General</c:formatCode>
                <c:ptCount val="6"/>
                <c:pt idx="0">
                  <c:v>0</c:v>
                </c:pt>
                <c:pt idx="1">
                  <c:v>64</c:v>
                </c:pt>
                <c:pt idx="2">
                  <c:v>52</c:v>
                </c:pt>
                <c:pt idx="3">
                  <c:v>33</c:v>
                </c:pt>
                <c:pt idx="4">
                  <c:v>20</c:v>
                </c:pt>
                <c:pt idx="5">
                  <c:v>20</c:v>
                </c:pt>
              </c:numCache>
            </c:numRef>
          </c:val>
          <c:extLst>
            <c:ext xmlns:c16="http://schemas.microsoft.com/office/drawing/2014/chart" uri="{C3380CC4-5D6E-409C-BE32-E72D297353CC}">
              <c16:uniqueId val="{0000002C-C236-4425-826C-BA955E32AAAC}"/>
            </c:ext>
          </c:extLst>
        </c:ser>
        <c:ser>
          <c:idx val="3"/>
          <c:order val="3"/>
          <c:tx>
            <c:strRef>
              <c:f>SYNTHESE!$G$4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2E-C236-4425-826C-BA955E32AAAC}"/>
              </c:ext>
            </c:extLst>
          </c:dPt>
          <c:dPt>
            <c:idx val="1"/>
            <c:bubble3D val="0"/>
            <c:spPr>
              <a:solidFill>
                <a:schemeClr val="accent2"/>
              </a:solidFill>
              <a:ln>
                <a:noFill/>
              </a:ln>
              <a:effectLst/>
            </c:spPr>
            <c:extLst>
              <c:ext xmlns:c16="http://schemas.microsoft.com/office/drawing/2014/chart" uri="{C3380CC4-5D6E-409C-BE32-E72D297353CC}">
                <c16:uniqueId val="{00000030-C236-4425-826C-BA955E32AAAC}"/>
              </c:ext>
            </c:extLst>
          </c:dPt>
          <c:dPt>
            <c:idx val="2"/>
            <c:bubble3D val="0"/>
            <c:spPr>
              <a:solidFill>
                <a:schemeClr val="accent3"/>
              </a:solidFill>
              <a:ln>
                <a:noFill/>
              </a:ln>
              <a:effectLst/>
            </c:spPr>
            <c:extLst>
              <c:ext xmlns:c16="http://schemas.microsoft.com/office/drawing/2014/chart" uri="{C3380CC4-5D6E-409C-BE32-E72D297353CC}">
                <c16:uniqueId val="{00000032-C236-4425-826C-BA955E32AAAC}"/>
              </c:ext>
            </c:extLst>
          </c:dPt>
          <c:dPt>
            <c:idx val="3"/>
            <c:bubble3D val="0"/>
            <c:spPr>
              <a:solidFill>
                <a:schemeClr val="accent4"/>
              </a:solidFill>
              <a:ln>
                <a:noFill/>
              </a:ln>
              <a:effectLst/>
            </c:spPr>
            <c:extLst>
              <c:ext xmlns:c16="http://schemas.microsoft.com/office/drawing/2014/chart" uri="{C3380CC4-5D6E-409C-BE32-E72D297353CC}">
                <c16:uniqueId val="{00000034-C236-4425-826C-BA955E32AAAC}"/>
              </c:ext>
            </c:extLst>
          </c:dPt>
          <c:dPt>
            <c:idx val="4"/>
            <c:bubble3D val="0"/>
            <c:spPr>
              <a:solidFill>
                <a:schemeClr val="accent5"/>
              </a:solidFill>
              <a:ln>
                <a:noFill/>
              </a:ln>
              <a:effectLst/>
            </c:spPr>
            <c:extLst>
              <c:ext xmlns:c16="http://schemas.microsoft.com/office/drawing/2014/chart" uri="{C3380CC4-5D6E-409C-BE32-E72D297353CC}">
                <c16:uniqueId val="{00000036-C236-4425-826C-BA955E32AAAC}"/>
              </c:ext>
            </c:extLst>
          </c:dPt>
          <c:dPt>
            <c:idx val="5"/>
            <c:bubble3D val="0"/>
            <c:spPr>
              <a:solidFill>
                <a:schemeClr val="accent6"/>
              </a:solidFill>
              <a:ln>
                <a:noFill/>
              </a:ln>
              <a:effectLst/>
            </c:spPr>
            <c:extLst>
              <c:ext xmlns:c16="http://schemas.microsoft.com/office/drawing/2014/chart" uri="{C3380CC4-5D6E-409C-BE32-E72D297353CC}">
                <c16:uniqueId val="{00000038-C236-4425-826C-BA955E32AAA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3A-C236-4425-826C-BA955E32AAA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fr-FR"/>
              </a:p>
            </c:txPr>
            <c:dLblPos val="ct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SYNTHESE!$C$5:$C$10</c:f>
              <c:strCache>
                <c:ptCount val="6"/>
                <c:pt idx="0">
                  <c:v>AUDIT DES APPLICATIONS EN SERVICE</c:v>
                </c:pt>
                <c:pt idx="1">
                  <c:v>FONCTION INFORMATIQUE</c:v>
                </c:pt>
                <c:pt idx="2">
                  <c:v>AUDIT DE CONTRÔLE DES PROJETS INFORMATIQUES</c:v>
                </c:pt>
                <c:pt idx="3">
                  <c:v>AUDIT DES SUPPORTS UTILISATEURS</c:v>
                </c:pt>
                <c:pt idx="4">
                  <c:v>AUDIT DE LA SECURITE INFORMATIQUE</c:v>
                </c:pt>
                <c:pt idx="5">
                  <c:v>COSO</c:v>
                </c:pt>
              </c:strCache>
            </c:strRef>
          </c:cat>
          <c:val>
            <c:numRef>
              <c:f>SYNTHESE!$G$5:$G$10</c:f>
              <c:numCache>
                <c:formatCode>General</c:formatCode>
                <c:ptCount val="6"/>
                <c:pt idx="0">
                  <c:v>505</c:v>
                </c:pt>
                <c:pt idx="1">
                  <c:v>505</c:v>
                </c:pt>
                <c:pt idx="2">
                  <c:v>370</c:v>
                </c:pt>
                <c:pt idx="3">
                  <c:v>100</c:v>
                </c:pt>
                <c:pt idx="4">
                  <c:v>330</c:v>
                </c:pt>
                <c:pt idx="5">
                  <c:v>459</c:v>
                </c:pt>
              </c:numCache>
            </c:numRef>
          </c:val>
          <c:extLst>
            <c:ext xmlns:c16="http://schemas.microsoft.com/office/drawing/2014/chart" uri="{C3380CC4-5D6E-409C-BE32-E72D297353CC}">
              <c16:uniqueId val="{0000003B-C236-4425-826C-BA955E32AAAC}"/>
            </c:ext>
          </c:extLst>
        </c:ser>
        <c:dLbls>
          <c:showLegendKey val="0"/>
          <c:showVal val="0"/>
          <c:showCatName val="0"/>
          <c:showSerName val="0"/>
          <c:showPercent val="0"/>
          <c:showBubbleSize val="0"/>
          <c:showLeaderLines val="1"/>
        </c:dLbls>
        <c:gapWidth val="150"/>
        <c:secondPieSize val="75"/>
        <c:serLines>
          <c:spPr>
            <a:ln w="9525" cap="flat" cmpd="sng" algn="ctr">
              <a:solidFill>
                <a:schemeClr val="dk1">
                  <a:lumMod val="35000"/>
                  <a:lumOff val="65000"/>
                </a:schemeClr>
              </a:solidFill>
              <a:round/>
            </a:ln>
            <a:effectLst/>
          </c:spPr>
        </c:serLines>
      </c:ofPieChart>
      <c:spPr>
        <a:solidFill>
          <a:schemeClr val="lt1"/>
        </a:solid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fr-FR"/>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28796</xdr:colOff>
      <xdr:row>19</xdr:row>
      <xdr:rowOff>1</xdr:rowOff>
    </xdr:from>
    <xdr:to>
      <xdr:col>23</xdr:col>
      <xdr:colOff>0</xdr:colOff>
      <xdr:row>34</xdr:row>
      <xdr:rowOff>177210</xdr:rowOff>
    </xdr:to>
    <xdr:graphicFrame macro="">
      <xdr:nvGraphicFramePr>
        <xdr:cNvPr id="3" name="Graphique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239233</xdr:colOff>
      <xdr:row>14</xdr:row>
      <xdr:rowOff>68226</xdr:rowOff>
    </xdr:from>
    <xdr:to>
      <xdr:col>3</xdr:col>
      <xdr:colOff>115186</xdr:colOff>
      <xdr:row>28</xdr:row>
      <xdr:rowOff>175438</xdr:rowOff>
    </xdr:to>
    <xdr:graphicFrame macro="">
      <xdr:nvGraphicFramePr>
        <xdr:cNvPr id="5" name="Graphique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671180</xdr:colOff>
      <xdr:row>14</xdr:row>
      <xdr:rowOff>1773</xdr:rowOff>
    </xdr:from>
    <xdr:to>
      <xdr:col>9</xdr:col>
      <xdr:colOff>657890</xdr:colOff>
      <xdr:row>28</xdr:row>
      <xdr:rowOff>108985</xdr:rowOff>
    </xdr:to>
    <xdr:graphicFrame macro="">
      <xdr:nvGraphicFramePr>
        <xdr:cNvPr id="6" name="Graphique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11075</xdr:colOff>
      <xdr:row>13</xdr:row>
      <xdr:rowOff>0</xdr:rowOff>
    </xdr:from>
    <xdr:to>
      <xdr:col>17</xdr:col>
      <xdr:colOff>287964</xdr:colOff>
      <xdr:row>31</xdr:row>
      <xdr:rowOff>162589</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3"/>
  <sheetViews>
    <sheetView tabSelected="1" zoomScale="86" workbookViewId="0">
      <selection activeCell="J10" sqref="J10"/>
    </sheetView>
  </sheetViews>
  <sheetFormatPr baseColWidth="10" defaultRowHeight="15"/>
  <cols>
    <col min="3" max="3" width="47.42578125" customWidth="1"/>
    <col min="14" max="14" width="23.42578125" customWidth="1"/>
  </cols>
  <sheetData>
    <row r="2" spans="2:17">
      <c r="B2" s="64" t="s">
        <v>11511</v>
      </c>
      <c r="C2" s="64"/>
      <c r="D2" s="64"/>
      <c r="E2" s="64"/>
      <c r="F2" s="64"/>
      <c r="G2" s="64"/>
      <c r="H2" s="64"/>
      <c r="J2" s="64" t="s">
        <v>11512</v>
      </c>
      <c r="K2" s="64"/>
      <c r="L2" s="64"/>
      <c r="M2" s="64"/>
      <c r="N2" s="64"/>
      <c r="O2" s="64"/>
      <c r="P2" s="64"/>
    </row>
    <row r="3" spans="2:17" ht="15.75" thickBot="1"/>
    <row r="4" spans="2:17">
      <c r="B4" s="65" t="s">
        <v>11513</v>
      </c>
      <c r="C4" s="66" t="s">
        <v>2762</v>
      </c>
      <c r="D4" s="66" t="s">
        <v>11514</v>
      </c>
      <c r="E4" s="66" t="s">
        <v>11515</v>
      </c>
      <c r="F4" s="66" t="s">
        <v>11516</v>
      </c>
      <c r="G4" s="66" t="s">
        <v>11517</v>
      </c>
      <c r="H4" s="67" t="s">
        <v>11518</v>
      </c>
      <c r="J4" s="167"/>
      <c r="K4" s="168"/>
      <c r="L4" s="171" t="s">
        <v>11519</v>
      </c>
      <c r="M4" s="171"/>
      <c r="N4" s="168" t="s">
        <v>11520</v>
      </c>
      <c r="O4" s="168" t="s">
        <v>11521</v>
      </c>
      <c r="P4" s="169" t="s">
        <v>12376</v>
      </c>
    </row>
    <row r="5" spans="2:17">
      <c r="B5" s="68">
        <v>1</v>
      </c>
      <c r="C5" s="23" t="s">
        <v>11524</v>
      </c>
      <c r="D5" s="23">
        <f>COUNTIF(APPLICATION_EN_SERVICE!E3:E507,"OUI  ")</f>
        <v>400</v>
      </c>
      <c r="E5" s="23">
        <f>COUNTIF(APPLICATION_EN_SERVICE!E3:E507,"NON  ")</f>
        <v>105</v>
      </c>
      <c r="F5" s="23">
        <f>COUNTIF(APPLICATION_EN_SERVICE!E3:E507,"PAS  ")</f>
        <v>0</v>
      </c>
      <c r="G5" s="23">
        <f>SUM(D5:F5)</f>
        <v>505</v>
      </c>
      <c r="H5" s="69">
        <f>D5/G5</f>
        <v>0.79207920792079212</v>
      </c>
      <c r="J5" s="68"/>
      <c r="K5" s="20" t="s">
        <v>11522</v>
      </c>
      <c r="L5" s="20" t="s">
        <v>12373</v>
      </c>
      <c r="M5" s="20"/>
      <c r="N5" s="20" t="s">
        <v>12374</v>
      </c>
      <c r="O5" s="20" t="s">
        <v>12375</v>
      </c>
      <c r="P5" s="172" t="s">
        <v>12377</v>
      </c>
    </row>
    <row r="6" spans="2:17" ht="15.75" thickBot="1">
      <c r="B6" s="68">
        <v>2</v>
      </c>
      <c r="C6" s="23" t="s">
        <v>11525</v>
      </c>
      <c r="D6" s="23">
        <f>COUNTIF('(4.2)_REF_FONCTION_INFORMATIQUE'!E6:E510,"OUI")</f>
        <v>266</v>
      </c>
      <c r="E6" s="23">
        <f>COUNTIF('(4.2)_REF_FONCTION_INFORMATIQUE'!E6:E510,"NON")</f>
        <v>175</v>
      </c>
      <c r="F6" s="23">
        <f>COUNTIF('(4.2)_REF_FONCTION_INFORMATIQUE'!E6:E510,"PAS")</f>
        <v>64</v>
      </c>
      <c r="G6" s="23">
        <f t="shared" ref="G6:G10" si="0">SUM(D6:F6)</f>
        <v>505</v>
      </c>
      <c r="H6" s="69">
        <f t="shared" ref="H6:H10" si="1">D6/G6</f>
        <v>0.52673267326732676</v>
      </c>
      <c r="J6" s="170"/>
      <c r="K6" s="174"/>
      <c r="L6" s="174"/>
      <c r="M6" s="174"/>
      <c r="N6" s="174"/>
      <c r="O6" s="174"/>
      <c r="P6" s="175"/>
    </row>
    <row r="7" spans="2:17">
      <c r="B7" s="68">
        <v>3</v>
      </c>
      <c r="C7" s="23" t="s">
        <v>11526</v>
      </c>
      <c r="D7" s="23">
        <f>COUNTIF('(4.3)CONTROLE_PROJET_INFORMATIQ'!G3:G372,"OUI")</f>
        <v>178</v>
      </c>
      <c r="E7" s="23">
        <f>COUNTIF('(4.3)CONTROLE_PROJET_INFORMATIQ'!G3:G372,"NON")</f>
        <v>140</v>
      </c>
      <c r="F7" s="23">
        <f>COUNTIF('(4.3)CONTROLE_PROJET_INFORMATIQ'!G3:G372,"PAS")</f>
        <v>52</v>
      </c>
      <c r="G7" s="23">
        <f t="shared" si="0"/>
        <v>370</v>
      </c>
      <c r="H7" s="69">
        <f t="shared" si="1"/>
        <v>0.48108108108108111</v>
      </c>
      <c r="J7" s="1"/>
      <c r="K7" s="1"/>
      <c r="L7" s="1"/>
      <c r="M7" s="1"/>
      <c r="N7" s="1"/>
      <c r="O7" s="1"/>
      <c r="P7" s="1"/>
      <c r="Q7" s="1"/>
    </row>
    <row r="8" spans="2:17">
      <c r="B8" s="68">
        <v>4</v>
      </c>
      <c r="C8" s="23" t="s">
        <v>11527</v>
      </c>
      <c r="D8" s="23">
        <f>COUNTIF('(4.4)_AUDIT_SUPPORT_UTILISATEUR'!F4:F103,"OUI")</f>
        <v>34</v>
      </c>
      <c r="E8" s="23">
        <f>COUNTIF('(4.4)_AUDIT_SUPPORT_UTILISATEUR'!F4:F103,"NON")</f>
        <v>33</v>
      </c>
      <c r="F8" s="23">
        <f>COUNTIF('(4.4)_AUDIT_SUPPORT_UTILISATEUR'!F4:F103,"PAS")</f>
        <v>33</v>
      </c>
      <c r="G8" s="23">
        <f t="shared" si="0"/>
        <v>100</v>
      </c>
      <c r="H8" s="69">
        <f t="shared" si="1"/>
        <v>0.34</v>
      </c>
      <c r="J8" s="1"/>
      <c r="K8" s="1"/>
      <c r="L8" s="173"/>
      <c r="M8" s="1"/>
      <c r="N8" s="1"/>
      <c r="O8" s="1"/>
      <c r="P8" s="1"/>
      <c r="Q8" s="1"/>
    </row>
    <row r="9" spans="2:17">
      <c r="B9" s="68">
        <v>5</v>
      </c>
      <c r="C9" s="23" t="s">
        <v>11528</v>
      </c>
      <c r="D9" s="23">
        <f>COUNTIF('(4.5)_SECURITE_INFORMATIQUE'!E2:E331,"OUI")</f>
        <v>188</v>
      </c>
      <c r="E9" s="23">
        <f>COUNTIF('(4.5)_SECURITE_INFORMATIQUE'!E2:E331,"NON")</f>
        <v>122</v>
      </c>
      <c r="F9" s="23">
        <f>COUNTIF('(4.5)_SECURITE_INFORMATIQUE'!E2:E331,"PAS")</f>
        <v>20</v>
      </c>
      <c r="G9" s="23">
        <f t="shared" si="0"/>
        <v>330</v>
      </c>
      <c r="H9" s="69">
        <f t="shared" si="1"/>
        <v>0.5696969696969697</v>
      </c>
      <c r="J9" s="1"/>
      <c r="K9" s="1"/>
      <c r="L9" s="173"/>
      <c r="M9" s="1"/>
      <c r="N9" s="1"/>
      <c r="O9" s="1"/>
      <c r="P9" s="1"/>
      <c r="Q9" s="1"/>
    </row>
    <row r="10" spans="2:17">
      <c r="B10" s="68">
        <v>8</v>
      </c>
      <c r="C10" s="23" t="s">
        <v>12369</v>
      </c>
      <c r="D10" s="23">
        <f>COUNTIF(COSO!F3:F402,"OUI")</f>
        <v>317</v>
      </c>
      <c r="E10" s="23">
        <f>COUNTIF('(4.5)_SECURITE_INFORMATIQUE'!E2:E331,"NON")</f>
        <v>122</v>
      </c>
      <c r="F10" s="23">
        <f>COUNTIF('(4.5)_SECURITE_INFORMATIQUE'!E2:E331,"PAS")</f>
        <v>20</v>
      </c>
      <c r="G10" s="23">
        <f t="shared" si="0"/>
        <v>459</v>
      </c>
      <c r="H10" s="69">
        <f t="shared" si="1"/>
        <v>0.69063180827886705</v>
      </c>
      <c r="J10" s="1"/>
      <c r="K10" s="1"/>
      <c r="L10" s="173"/>
      <c r="M10" s="1"/>
      <c r="N10" s="1"/>
      <c r="O10" s="1"/>
      <c r="P10" s="1"/>
      <c r="Q10" s="1"/>
    </row>
    <row r="11" spans="2:17" ht="16.5" thickBot="1">
      <c r="B11" s="73" t="s">
        <v>11517</v>
      </c>
      <c r="C11" s="74"/>
      <c r="D11" s="71">
        <f>SUM(D5:D10)</f>
        <v>1383</v>
      </c>
      <c r="E11" s="71">
        <f t="shared" ref="E11:G11" si="2">SUM(E5:E10)</f>
        <v>697</v>
      </c>
      <c r="F11" s="71">
        <f t="shared" si="2"/>
        <v>189</v>
      </c>
      <c r="G11" s="71">
        <f t="shared" si="2"/>
        <v>2269</v>
      </c>
      <c r="H11" s="72">
        <f>D11/G11</f>
        <v>0.6095196121639489</v>
      </c>
      <c r="J11" s="1"/>
      <c r="K11" s="1"/>
      <c r="L11" s="1"/>
      <c r="M11" s="1"/>
      <c r="N11" s="1"/>
      <c r="O11" s="1"/>
      <c r="P11" s="1"/>
      <c r="Q11" s="1"/>
    </row>
    <row r="13" spans="2:17">
      <c r="B13" s="64" t="s">
        <v>11523</v>
      </c>
      <c r="C13" s="64"/>
      <c r="D13" s="64"/>
      <c r="E13" s="64"/>
      <c r="F13" s="64"/>
      <c r="G13" s="64"/>
      <c r="H13" s="64"/>
      <c r="I13" s="64"/>
      <c r="J13" s="64"/>
      <c r="K13" s="64"/>
      <c r="L13" s="64"/>
      <c r="M13" s="64"/>
      <c r="N13" s="64"/>
      <c r="O13" s="64"/>
      <c r="P13" s="64"/>
    </row>
  </sheetData>
  <mergeCells count="10">
    <mergeCell ref="B2:H2"/>
    <mergeCell ref="J2:P2"/>
    <mergeCell ref="B11:C11"/>
    <mergeCell ref="B13:P13"/>
    <mergeCell ref="K5:K6"/>
    <mergeCell ref="L4:M4"/>
    <mergeCell ref="L5:M6"/>
    <mergeCell ref="N5:N6"/>
    <mergeCell ref="O5:O6"/>
    <mergeCell ref="P5:P6"/>
  </mergeCells>
  <conditionalFormatting sqref="H5:H11">
    <cfRule type="iconSet" priority="16">
      <iconSet>
        <cfvo type="percent" val="0"/>
        <cfvo type="percent" val="33"/>
        <cfvo type="percent" val="67"/>
      </iconSet>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16"/>
  <sheetViews>
    <sheetView topLeftCell="A1817" workbookViewId="0">
      <selection activeCell="A1817" sqref="A1817:A2216"/>
    </sheetView>
  </sheetViews>
  <sheetFormatPr baseColWidth="10" defaultRowHeight="15"/>
  <cols>
    <col min="1" max="1" width="29.5703125" style="103" customWidth="1"/>
    <col min="2" max="2" width="34.28515625" style="129" customWidth="1"/>
    <col min="3" max="3" width="35.85546875" style="129" customWidth="1"/>
    <col min="4" max="4" width="67.85546875" style="103" customWidth="1"/>
    <col min="5" max="5" width="107.28515625" style="103" customWidth="1"/>
    <col min="6" max="6" width="11.42578125" style="103"/>
    <col min="7" max="7" width="56.85546875" style="103" customWidth="1"/>
    <col min="8" max="8" width="65.140625" style="103" customWidth="1"/>
    <col min="9" max="9" width="10.85546875" style="103" customWidth="1"/>
    <col min="10" max="10" width="64.7109375" style="103" customWidth="1"/>
    <col min="11" max="11" width="150" style="103" customWidth="1"/>
    <col min="12" max="16384" width="11.42578125" style="103"/>
  </cols>
  <sheetData>
    <row r="1" spans="1:11" s="157" customFormat="1" ht="15.75" thickBot="1">
      <c r="A1" s="134" t="s">
        <v>0</v>
      </c>
      <c r="B1" s="133" t="s">
        <v>347</v>
      </c>
      <c r="C1" s="133" t="s">
        <v>348</v>
      </c>
      <c r="D1" s="135" t="s">
        <v>349</v>
      </c>
      <c r="E1" s="135" t="s">
        <v>350</v>
      </c>
      <c r="F1" s="135" t="s">
        <v>2638</v>
      </c>
      <c r="G1" s="135" t="s">
        <v>1369</v>
      </c>
      <c r="H1" s="135" t="s">
        <v>2196</v>
      </c>
      <c r="I1" s="135" t="s">
        <v>2763</v>
      </c>
      <c r="J1" s="135" t="s">
        <v>352</v>
      </c>
      <c r="K1" s="136" t="s">
        <v>7181</v>
      </c>
    </row>
    <row r="2" spans="1:11">
      <c r="A2" s="137" t="s">
        <v>11524</v>
      </c>
      <c r="B2" s="117" t="s">
        <v>353</v>
      </c>
      <c r="C2" s="117" t="s">
        <v>354</v>
      </c>
      <c r="D2" s="104" t="s">
        <v>355</v>
      </c>
      <c r="E2" s="102" t="s">
        <v>7182</v>
      </c>
      <c r="F2" s="52" t="s">
        <v>7183</v>
      </c>
      <c r="G2" s="3" t="s">
        <v>7184</v>
      </c>
      <c r="H2" s="3" t="s">
        <v>7185</v>
      </c>
      <c r="I2" s="118" t="s">
        <v>3449</v>
      </c>
      <c r="J2" s="3" t="s">
        <v>7186</v>
      </c>
      <c r="K2" s="4" t="s">
        <v>7187</v>
      </c>
    </row>
    <row r="3" spans="1:11">
      <c r="A3" s="137"/>
      <c r="B3" s="119"/>
      <c r="C3" s="119"/>
      <c r="D3" s="104" t="s">
        <v>357</v>
      </c>
      <c r="E3" s="102" t="s">
        <v>7188</v>
      </c>
      <c r="F3" s="52" t="s">
        <v>7189</v>
      </c>
      <c r="G3" s="3" t="s">
        <v>7190</v>
      </c>
      <c r="H3" s="3" t="s">
        <v>7191</v>
      </c>
      <c r="I3" s="120" t="s">
        <v>3450</v>
      </c>
      <c r="J3" s="3" t="s">
        <v>7192</v>
      </c>
      <c r="K3" s="4" t="s">
        <v>7193</v>
      </c>
    </row>
    <row r="4" spans="1:11">
      <c r="A4" s="137"/>
      <c r="B4" s="119"/>
      <c r="C4" s="119"/>
      <c r="D4" s="104" t="s">
        <v>359</v>
      </c>
      <c r="E4" s="102" t="s">
        <v>7194</v>
      </c>
      <c r="F4" s="52" t="s">
        <v>7183</v>
      </c>
      <c r="G4" s="3" t="s">
        <v>7195</v>
      </c>
      <c r="H4" s="3" t="s">
        <v>7196</v>
      </c>
      <c r="I4" s="120" t="s">
        <v>3449</v>
      </c>
      <c r="J4" s="3" t="s">
        <v>7197</v>
      </c>
      <c r="K4" s="4" t="s">
        <v>7198</v>
      </c>
    </row>
    <row r="5" spans="1:11">
      <c r="A5" s="137"/>
      <c r="B5" s="119"/>
      <c r="C5" s="119"/>
      <c r="D5" s="104" t="s">
        <v>361</v>
      </c>
      <c r="E5" s="102" t="s">
        <v>7199</v>
      </c>
      <c r="F5" s="52" t="s">
        <v>7183</v>
      </c>
      <c r="G5" s="3" t="s">
        <v>7200</v>
      </c>
      <c r="H5" s="3" t="s">
        <v>7201</v>
      </c>
      <c r="I5" s="120" t="s">
        <v>3449</v>
      </c>
      <c r="J5" s="3" t="s">
        <v>7202</v>
      </c>
      <c r="K5" s="4" t="s">
        <v>7203</v>
      </c>
    </row>
    <row r="6" spans="1:11">
      <c r="A6" s="137"/>
      <c r="B6" s="119"/>
      <c r="C6" s="119"/>
      <c r="D6" s="104" t="s">
        <v>363</v>
      </c>
      <c r="E6" s="102" t="s">
        <v>7204</v>
      </c>
      <c r="F6" s="52" t="s">
        <v>7189</v>
      </c>
      <c r="G6" s="3" t="s">
        <v>7205</v>
      </c>
      <c r="H6" s="3" t="s">
        <v>7206</v>
      </c>
      <c r="I6" s="120" t="s">
        <v>3449</v>
      </c>
      <c r="J6" s="3" t="s">
        <v>7207</v>
      </c>
      <c r="K6" s="4" t="s">
        <v>7208</v>
      </c>
    </row>
    <row r="7" spans="1:11">
      <c r="A7" s="137"/>
      <c r="B7" s="119"/>
      <c r="C7" s="119" t="s">
        <v>365</v>
      </c>
      <c r="D7" s="104" t="s">
        <v>366</v>
      </c>
      <c r="E7" s="102" t="s">
        <v>7209</v>
      </c>
      <c r="F7" s="52" t="s">
        <v>7183</v>
      </c>
      <c r="G7" s="3" t="s">
        <v>7210</v>
      </c>
      <c r="H7" s="3" t="s">
        <v>7211</v>
      </c>
      <c r="I7" s="120" t="s">
        <v>3449</v>
      </c>
      <c r="J7" s="3" t="s">
        <v>7212</v>
      </c>
      <c r="K7" s="4" t="s">
        <v>7213</v>
      </c>
    </row>
    <row r="8" spans="1:11">
      <c r="A8" s="137"/>
      <c r="B8" s="119"/>
      <c r="C8" s="119"/>
      <c r="D8" s="104" t="s">
        <v>368</v>
      </c>
      <c r="E8" s="102" t="s">
        <v>7214</v>
      </c>
      <c r="F8" s="52" t="s">
        <v>7189</v>
      </c>
      <c r="G8" s="3" t="s">
        <v>7215</v>
      </c>
      <c r="H8" s="3" t="s">
        <v>7216</v>
      </c>
      <c r="I8" s="52" t="s">
        <v>3450</v>
      </c>
      <c r="J8" s="3" t="s">
        <v>7217</v>
      </c>
      <c r="K8" s="4" t="s">
        <v>7218</v>
      </c>
    </row>
    <row r="9" spans="1:11">
      <c r="A9" s="137"/>
      <c r="B9" s="119"/>
      <c r="C9" s="119"/>
      <c r="D9" s="104" t="s">
        <v>370</v>
      </c>
      <c r="E9" s="102" t="s">
        <v>7219</v>
      </c>
      <c r="F9" s="52" t="s">
        <v>7183</v>
      </c>
      <c r="G9" s="3" t="s">
        <v>7220</v>
      </c>
      <c r="H9" s="3" t="s">
        <v>7221</v>
      </c>
      <c r="I9" s="52" t="s">
        <v>3450</v>
      </c>
      <c r="J9" s="3" t="s">
        <v>7222</v>
      </c>
      <c r="K9" s="4" t="s">
        <v>7223</v>
      </c>
    </row>
    <row r="10" spans="1:11">
      <c r="A10" s="137"/>
      <c r="B10" s="119"/>
      <c r="C10" s="119"/>
      <c r="D10" s="104" t="s">
        <v>372</v>
      </c>
      <c r="E10" s="102" t="s">
        <v>7224</v>
      </c>
      <c r="F10" s="52" t="s">
        <v>7183</v>
      </c>
      <c r="G10" s="3" t="s">
        <v>7225</v>
      </c>
      <c r="H10" s="3" t="s">
        <v>7226</v>
      </c>
      <c r="I10" s="52" t="s">
        <v>3449</v>
      </c>
      <c r="J10" s="3" t="s">
        <v>7227</v>
      </c>
      <c r="K10" s="4" t="s">
        <v>7228</v>
      </c>
    </row>
    <row r="11" spans="1:11">
      <c r="A11" s="137"/>
      <c r="B11" s="119"/>
      <c r="C11" s="119"/>
      <c r="D11" s="104" t="s">
        <v>374</v>
      </c>
      <c r="E11" s="102" t="s">
        <v>7229</v>
      </c>
      <c r="F11" s="52" t="s">
        <v>7189</v>
      </c>
      <c r="G11" s="3" t="s">
        <v>7230</v>
      </c>
      <c r="H11" s="3" t="s">
        <v>7231</v>
      </c>
      <c r="I11" s="52" t="s">
        <v>3449</v>
      </c>
      <c r="J11" s="3" t="s">
        <v>7232</v>
      </c>
      <c r="K11" s="4" t="s">
        <v>7233</v>
      </c>
    </row>
    <row r="12" spans="1:11">
      <c r="A12" s="137"/>
      <c r="B12" s="119"/>
      <c r="C12" s="119" t="s">
        <v>376</v>
      </c>
      <c r="D12" s="104" t="s">
        <v>377</v>
      </c>
      <c r="E12" s="102" t="s">
        <v>378</v>
      </c>
      <c r="F12" s="52" t="s">
        <v>7183</v>
      </c>
      <c r="G12" s="3" t="s">
        <v>7234</v>
      </c>
      <c r="H12" s="3" t="s">
        <v>7235</v>
      </c>
      <c r="I12" s="52" t="s">
        <v>3449</v>
      </c>
      <c r="J12" s="3" t="s">
        <v>7236</v>
      </c>
      <c r="K12" s="4" t="s">
        <v>7237</v>
      </c>
    </row>
    <row r="13" spans="1:11">
      <c r="A13" s="137"/>
      <c r="B13" s="119"/>
      <c r="C13" s="119"/>
      <c r="D13" s="104" t="s">
        <v>379</v>
      </c>
      <c r="E13" s="102" t="s">
        <v>7238</v>
      </c>
      <c r="F13" s="52" t="s">
        <v>7183</v>
      </c>
      <c r="G13" s="3" t="s">
        <v>7239</v>
      </c>
      <c r="H13" s="3" t="s">
        <v>7240</v>
      </c>
      <c r="I13" s="52" t="s">
        <v>3449</v>
      </c>
      <c r="J13" s="3" t="s">
        <v>7241</v>
      </c>
      <c r="K13" s="4" t="s">
        <v>7242</v>
      </c>
    </row>
    <row r="14" spans="1:11">
      <c r="A14" s="137"/>
      <c r="B14" s="119"/>
      <c r="C14" s="119"/>
      <c r="D14" s="104" t="s">
        <v>381</v>
      </c>
      <c r="E14" s="102" t="s">
        <v>7243</v>
      </c>
      <c r="F14" s="52" t="s">
        <v>7189</v>
      </c>
      <c r="G14" s="3" t="s">
        <v>7244</v>
      </c>
      <c r="H14" s="3" t="s">
        <v>7245</v>
      </c>
      <c r="I14" s="52" t="s">
        <v>3449</v>
      </c>
      <c r="J14" s="3" t="s">
        <v>7246</v>
      </c>
      <c r="K14" s="4" t="s">
        <v>7247</v>
      </c>
    </row>
    <row r="15" spans="1:11">
      <c r="A15" s="137"/>
      <c r="B15" s="119"/>
      <c r="C15" s="119"/>
      <c r="D15" s="104" t="s">
        <v>383</v>
      </c>
      <c r="E15" s="102" t="s">
        <v>7248</v>
      </c>
      <c r="F15" s="52" t="s">
        <v>7183</v>
      </c>
      <c r="G15" s="3" t="s">
        <v>7249</v>
      </c>
      <c r="H15" s="3" t="s">
        <v>7250</v>
      </c>
      <c r="I15" s="52" t="s">
        <v>3449</v>
      </c>
      <c r="J15" s="3" t="s">
        <v>7251</v>
      </c>
      <c r="K15" s="4" t="s">
        <v>7252</v>
      </c>
    </row>
    <row r="16" spans="1:11">
      <c r="A16" s="137"/>
      <c r="B16" s="119"/>
      <c r="C16" s="119"/>
      <c r="D16" s="104" t="s">
        <v>384</v>
      </c>
      <c r="E16" s="102" t="s">
        <v>7253</v>
      </c>
      <c r="F16" s="52" t="s">
        <v>7183</v>
      </c>
      <c r="G16" s="3" t="s">
        <v>7254</v>
      </c>
      <c r="H16" s="3" t="s">
        <v>7255</v>
      </c>
      <c r="I16" s="52" t="s">
        <v>3449</v>
      </c>
      <c r="J16" s="3" t="s">
        <v>7256</v>
      </c>
      <c r="K16" s="4" t="s">
        <v>7257</v>
      </c>
    </row>
    <row r="17" spans="1:11">
      <c r="A17" s="137"/>
      <c r="B17" s="119"/>
      <c r="C17" s="119" t="s">
        <v>386</v>
      </c>
      <c r="D17" s="104" t="s">
        <v>387</v>
      </c>
      <c r="E17" s="102" t="s">
        <v>7258</v>
      </c>
      <c r="F17" s="52" t="s">
        <v>7183</v>
      </c>
      <c r="G17" s="3" t="s">
        <v>7259</v>
      </c>
      <c r="H17" s="3" t="s">
        <v>7260</v>
      </c>
      <c r="I17" s="52" t="s">
        <v>3449</v>
      </c>
      <c r="J17" s="3" t="s">
        <v>7261</v>
      </c>
      <c r="K17" s="4" t="s">
        <v>7262</v>
      </c>
    </row>
    <row r="18" spans="1:11">
      <c r="A18" s="137"/>
      <c r="B18" s="119"/>
      <c r="C18" s="119"/>
      <c r="D18" s="104" t="s">
        <v>389</v>
      </c>
      <c r="E18" s="102" t="s">
        <v>7263</v>
      </c>
      <c r="F18" s="52" t="s">
        <v>7189</v>
      </c>
      <c r="G18" s="3" t="s">
        <v>7264</v>
      </c>
      <c r="H18" s="3" t="s">
        <v>7265</v>
      </c>
      <c r="I18" s="52" t="s">
        <v>3449</v>
      </c>
      <c r="J18" s="3" t="s">
        <v>7266</v>
      </c>
      <c r="K18" s="4" t="s">
        <v>7267</v>
      </c>
    </row>
    <row r="19" spans="1:11">
      <c r="A19" s="137"/>
      <c r="B19" s="119"/>
      <c r="C19" s="119"/>
      <c r="D19" s="104" t="s">
        <v>391</v>
      </c>
      <c r="E19" s="102" t="s">
        <v>7268</v>
      </c>
      <c r="F19" s="52" t="s">
        <v>7183</v>
      </c>
      <c r="G19" s="3" t="s">
        <v>7269</v>
      </c>
      <c r="H19" s="3" t="s">
        <v>7270</v>
      </c>
      <c r="I19" s="52" t="s">
        <v>3449</v>
      </c>
      <c r="J19" s="3" t="s">
        <v>7271</v>
      </c>
      <c r="K19" s="4" t="s">
        <v>7272</v>
      </c>
    </row>
    <row r="20" spans="1:11">
      <c r="A20" s="137"/>
      <c r="B20" s="119"/>
      <c r="C20" s="119"/>
      <c r="D20" s="104" t="s">
        <v>393</v>
      </c>
      <c r="E20" s="102" t="s">
        <v>7273</v>
      </c>
      <c r="F20" s="52" t="s">
        <v>7183</v>
      </c>
      <c r="G20" s="3" t="s">
        <v>7274</v>
      </c>
      <c r="H20" s="3" t="s">
        <v>7275</v>
      </c>
      <c r="I20" s="52" t="s">
        <v>3449</v>
      </c>
      <c r="J20" s="3" t="s">
        <v>7276</v>
      </c>
      <c r="K20" s="4" t="s">
        <v>7277</v>
      </c>
    </row>
    <row r="21" spans="1:11">
      <c r="A21" s="137"/>
      <c r="B21" s="119"/>
      <c r="C21" s="119"/>
      <c r="D21" s="104" t="s">
        <v>395</v>
      </c>
      <c r="E21" s="102" t="s">
        <v>396</v>
      </c>
      <c r="F21" s="52" t="s">
        <v>7189</v>
      </c>
      <c r="G21" s="3" t="s">
        <v>7278</v>
      </c>
      <c r="H21" s="3" t="s">
        <v>7279</v>
      </c>
      <c r="I21" s="52" t="s">
        <v>3449</v>
      </c>
      <c r="J21" s="3" t="s">
        <v>7280</v>
      </c>
      <c r="K21" s="4" t="s">
        <v>7281</v>
      </c>
    </row>
    <row r="22" spans="1:11">
      <c r="A22" s="137"/>
      <c r="B22" s="119"/>
      <c r="C22" s="119" t="s">
        <v>397</v>
      </c>
      <c r="D22" s="104" t="s">
        <v>398</v>
      </c>
      <c r="E22" s="102" t="s">
        <v>7282</v>
      </c>
      <c r="F22" s="52" t="s">
        <v>7183</v>
      </c>
      <c r="G22" s="3" t="s">
        <v>7283</v>
      </c>
      <c r="H22" s="3" t="s">
        <v>7284</v>
      </c>
      <c r="I22" s="52" t="s">
        <v>3449</v>
      </c>
      <c r="J22" s="3" t="s">
        <v>7285</v>
      </c>
      <c r="K22" s="4" t="s">
        <v>7286</v>
      </c>
    </row>
    <row r="23" spans="1:11">
      <c r="A23" s="137"/>
      <c r="B23" s="119"/>
      <c r="C23" s="119"/>
      <c r="D23" s="104" t="s">
        <v>400</v>
      </c>
      <c r="E23" s="102" t="s">
        <v>7287</v>
      </c>
      <c r="F23" s="52" t="s">
        <v>7183</v>
      </c>
      <c r="G23" s="3" t="s">
        <v>7288</v>
      </c>
      <c r="H23" s="3" t="s">
        <v>7289</v>
      </c>
      <c r="I23" s="52" t="s">
        <v>3449</v>
      </c>
      <c r="J23" s="3" t="s">
        <v>7290</v>
      </c>
      <c r="K23" s="4" t="s">
        <v>7291</v>
      </c>
    </row>
    <row r="24" spans="1:11">
      <c r="A24" s="137"/>
      <c r="B24" s="119"/>
      <c r="C24" s="119"/>
      <c r="D24" s="104" t="s">
        <v>402</v>
      </c>
      <c r="E24" s="102" t="s">
        <v>7292</v>
      </c>
      <c r="F24" s="52" t="s">
        <v>7183</v>
      </c>
      <c r="G24" s="3" t="s">
        <v>7293</v>
      </c>
      <c r="H24" s="3" t="s">
        <v>7294</v>
      </c>
      <c r="I24" s="52" t="s">
        <v>3449</v>
      </c>
      <c r="J24" s="3" t="s">
        <v>7295</v>
      </c>
      <c r="K24" s="4" t="s">
        <v>7296</v>
      </c>
    </row>
    <row r="25" spans="1:11">
      <c r="A25" s="137"/>
      <c r="B25" s="119"/>
      <c r="C25" s="119"/>
      <c r="D25" s="104" t="s">
        <v>404</v>
      </c>
      <c r="E25" s="102" t="s">
        <v>7297</v>
      </c>
      <c r="F25" s="52" t="s">
        <v>7189</v>
      </c>
      <c r="G25" s="3" t="s">
        <v>7298</v>
      </c>
      <c r="H25" s="3" t="s">
        <v>7299</v>
      </c>
      <c r="I25" s="52" t="s">
        <v>3450</v>
      </c>
      <c r="J25" s="3" t="s">
        <v>7300</v>
      </c>
      <c r="K25" s="4" t="s">
        <v>7301</v>
      </c>
    </row>
    <row r="26" spans="1:11">
      <c r="A26" s="137"/>
      <c r="B26" s="119"/>
      <c r="C26" s="119"/>
      <c r="D26" s="104" t="s">
        <v>406</v>
      </c>
      <c r="E26" s="102" t="s">
        <v>7302</v>
      </c>
      <c r="F26" s="52" t="s">
        <v>7183</v>
      </c>
      <c r="G26" s="3" t="s">
        <v>7303</v>
      </c>
      <c r="H26" s="3" t="s">
        <v>7304</v>
      </c>
      <c r="I26" s="52" t="s">
        <v>3450</v>
      </c>
      <c r="J26" s="3" t="s">
        <v>7305</v>
      </c>
      <c r="K26" s="4" t="s">
        <v>7306</v>
      </c>
    </row>
    <row r="27" spans="1:11">
      <c r="A27" s="137"/>
      <c r="B27" s="119"/>
      <c r="C27" s="119" t="s">
        <v>408</v>
      </c>
      <c r="D27" s="104" t="s">
        <v>409</v>
      </c>
      <c r="E27" s="102" t="s">
        <v>7307</v>
      </c>
      <c r="F27" s="52" t="s">
        <v>7189</v>
      </c>
      <c r="G27" s="3" t="s">
        <v>7308</v>
      </c>
      <c r="H27" s="3" t="s">
        <v>7309</v>
      </c>
      <c r="I27" s="52" t="s">
        <v>3449</v>
      </c>
      <c r="J27" s="3" t="s">
        <v>7310</v>
      </c>
      <c r="K27" s="4" t="s">
        <v>7311</v>
      </c>
    </row>
    <row r="28" spans="1:11">
      <c r="A28" s="137"/>
      <c r="B28" s="119"/>
      <c r="C28" s="119"/>
      <c r="D28" s="104" t="s">
        <v>410</v>
      </c>
      <c r="E28" s="102" t="s">
        <v>7312</v>
      </c>
      <c r="F28" s="52" t="s">
        <v>7183</v>
      </c>
      <c r="G28" s="3" t="s">
        <v>7313</v>
      </c>
      <c r="H28" s="3" t="s">
        <v>7314</v>
      </c>
      <c r="I28" s="52" t="s">
        <v>3449</v>
      </c>
      <c r="J28" s="3" t="s">
        <v>7315</v>
      </c>
      <c r="K28" s="4" t="s">
        <v>7316</v>
      </c>
    </row>
    <row r="29" spans="1:11">
      <c r="A29" s="137"/>
      <c r="B29" s="119"/>
      <c r="C29" s="119"/>
      <c r="D29" s="104" t="s">
        <v>412</v>
      </c>
      <c r="E29" s="102" t="s">
        <v>7317</v>
      </c>
      <c r="F29" s="52" t="s">
        <v>7183</v>
      </c>
      <c r="G29" s="3" t="s">
        <v>7318</v>
      </c>
      <c r="H29" s="3" t="s">
        <v>7319</v>
      </c>
      <c r="I29" s="52" t="s">
        <v>7320</v>
      </c>
      <c r="J29" s="3" t="s">
        <v>7321</v>
      </c>
      <c r="K29" s="4" t="s">
        <v>7322</v>
      </c>
    </row>
    <row r="30" spans="1:11">
      <c r="A30" s="137"/>
      <c r="B30" s="119"/>
      <c r="C30" s="119"/>
      <c r="D30" s="104" t="s">
        <v>414</v>
      </c>
      <c r="E30" s="102" t="s">
        <v>7323</v>
      </c>
      <c r="F30" s="52" t="s">
        <v>7189</v>
      </c>
      <c r="G30" s="3" t="s">
        <v>7324</v>
      </c>
      <c r="H30" s="3" t="s">
        <v>7325</v>
      </c>
      <c r="I30" s="52" t="s">
        <v>3449</v>
      </c>
      <c r="J30" s="3" t="s">
        <v>7326</v>
      </c>
      <c r="K30" s="4" t="s">
        <v>7327</v>
      </c>
    </row>
    <row r="31" spans="1:11">
      <c r="A31" s="137"/>
      <c r="B31" s="119"/>
      <c r="C31" s="119"/>
      <c r="D31" s="104" t="s">
        <v>416</v>
      </c>
      <c r="E31" s="102" t="s">
        <v>7328</v>
      </c>
      <c r="F31" s="52" t="s">
        <v>7183</v>
      </c>
      <c r="G31" s="3" t="s">
        <v>7329</v>
      </c>
      <c r="H31" s="3" t="s">
        <v>7330</v>
      </c>
      <c r="I31" s="52" t="s">
        <v>3449</v>
      </c>
      <c r="J31" s="3" t="s">
        <v>7331</v>
      </c>
      <c r="K31" s="4" t="s">
        <v>7332</v>
      </c>
    </row>
    <row r="32" spans="1:11">
      <c r="A32" s="137"/>
      <c r="B32" s="119"/>
      <c r="C32" s="119" t="s">
        <v>417</v>
      </c>
      <c r="D32" s="104" t="s">
        <v>418</v>
      </c>
      <c r="E32" s="102" t="s">
        <v>7333</v>
      </c>
      <c r="F32" s="52" t="s">
        <v>7183</v>
      </c>
      <c r="G32" s="3" t="s">
        <v>7334</v>
      </c>
      <c r="H32" s="3" t="s">
        <v>7335</v>
      </c>
      <c r="I32" s="52" t="s">
        <v>3449</v>
      </c>
      <c r="J32" s="3" t="s">
        <v>7336</v>
      </c>
      <c r="K32" s="4" t="s">
        <v>7337</v>
      </c>
    </row>
    <row r="33" spans="1:11">
      <c r="A33" s="137"/>
      <c r="B33" s="119"/>
      <c r="C33" s="119"/>
      <c r="D33" s="104" t="s">
        <v>419</v>
      </c>
      <c r="E33" s="102" t="s">
        <v>7338</v>
      </c>
      <c r="F33" s="52" t="s">
        <v>7183</v>
      </c>
      <c r="G33" s="3" t="s">
        <v>7339</v>
      </c>
      <c r="H33" s="3" t="s">
        <v>7340</v>
      </c>
      <c r="I33" s="52" t="s">
        <v>3449</v>
      </c>
      <c r="J33" s="3" t="s">
        <v>7341</v>
      </c>
      <c r="K33" s="4" t="s">
        <v>7342</v>
      </c>
    </row>
    <row r="34" spans="1:11">
      <c r="A34" s="137"/>
      <c r="B34" s="119"/>
      <c r="C34" s="119"/>
      <c r="D34" s="104" t="s">
        <v>420</v>
      </c>
      <c r="E34" s="102" t="s">
        <v>7343</v>
      </c>
      <c r="F34" s="52" t="s">
        <v>7189</v>
      </c>
      <c r="G34" s="3" t="s">
        <v>7344</v>
      </c>
      <c r="H34" s="3" t="s">
        <v>7345</v>
      </c>
      <c r="I34" s="52" t="s">
        <v>3449</v>
      </c>
      <c r="J34" s="3" t="s">
        <v>7346</v>
      </c>
      <c r="K34" s="4" t="s">
        <v>7347</v>
      </c>
    </row>
    <row r="35" spans="1:11">
      <c r="A35" s="137"/>
      <c r="B35" s="119"/>
      <c r="C35" s="119"/>
      <c r="D35" s="104" t="s">
        <v>421</v>
      </c>
      <c r="E35" s="102" t="s">
        <v>7348</v>
      </c>
      <c r="F35" s="52" t="s">
        <v>7183</v>
      </c>
      <c r="G35" s="3" t="s">
        <v>7349</v>
      </c>
      <c r="H35" s="3" t="s">
        <v>7350</v>
      </c>
      <c r="I35" s="52" t="s">
        <v>3449</v>
      </c>
      <c r="J35" s="3" t="s">
        <v>7351</v>
      </c>
      <c r="K35" s="4" t="s">
        <v>7352</v>
      </c>
    </row>
    <row r="36" spans="1:11">
      <c r="A36" s="137"/>
      <c r="B36" s="119"/>
      <c r="C36" s="119"/>
      <c r="D36" s="104" t="s">
        <v>422</v>
      </c>
      <c r="E36" s="102" t="s">
        <v>7353</v>
      </c>
      <c r="F36" s="52" t="s">
        <v>7183</v>
      </c>
      <c r="G36" s="3" t="s">
        <v>7354</v>
      </c>
      <c r="H36" s="3" t="s">
        <v>7355</v>
      </c>
      <c r="I36" s="52" t="s">
        <v>3449</v>
      </c>
      <c r="J36" s="3" t="s">
        <v>7356</v>
      </c>
      <c r="K36" s="4" t="s">
        <v>7357</v>
      </c>
    </row>
    <row r="37" spans="1:11">
      <c r="A37" s="137"/>
      <c r="B37" s="119"/>
      <c r="C37" s="119" t="s">
        <v>424</v>
      </c>
      <c r="D37" s="104" t="s">
        <v>425</v>
      </c>
      <c r="E37" s="102" t="s">
        <v>7358</v>
      </c>
      <c r="F37" s="52" t="s">
        <v>7183</v>
      </c>
      <c r="G37" s="3" t="s">
        <v>7359</v>
      </c>
      <c r="H37" s="3" t="s">
        <v>7360</v>
      </c>
      <c r="I37" s="52" t="s">
        <v>3450</v>
      </c>
      <c r="J37" s="3" t="s">
        <v>7361</v>
      </c>
      <c r="K37" s="4" t="s">
        <v>7362</v>
      </c>
    </row>
    <row r="38" spans="1:11">
      <c r="A38" s="137"/>
      <c r="B38" s="119"/>
      <c r="C38" s="119"/>
      <c r="D38" s="104" t="s">
        <v>427</v>
      </c>
      <c r="E38" s="102" t="s">
        <v>7363</v>
      </c>
      <c r="F38" s="52" t="s">
        <v>7183</v>
      </c>
      <c r="G38" s="3" t="s">
        <v>7364</v>
      </c>
      <c r="H38" s="3" t="s">
        <v>7365</v>
      </c>
      <c r="I38" s="52" t="s">
        <v>3450</v>
      </c>
      <c r="J38" s="3" t="s">
        <v>7366</v>
      </c>
      <c r="K38" s="4" t="s">
        <v>7367</v>
      </c>
    </row>
    <row r="39" spans="1:11">
      <c r="A39" s="137"/>
      <c r="B39" s="119"/>
      <c r="C39" s="119"/>
      <c r="D39" s="104" t="s">
        <v>429</v>
      </c>
      <c r="E39" s="102" t="s">
        <v>7368</v>
      </c>
      <c r="F39" s="52" t="s">
        <v>7189</v>
      </c>
      <c r="G39" s="3" t="s">
        <v>7369</v>
      </c>
      <c r="H39" s="3" t="s">
        <v>7370</v>
      </c>
      <c r="I39" s="52" t="s">
        <v>3450</v>
      </c>
      <c r="J39" s="3" t="s">
        <v>7371</v>
      </c>
      <c r="K39" s="4" t="s">
        <v>7372</v>
      </c>
    </row>
    <row r="40" spans="1:11">
      <c r="A40" s="137"/>
      <c r="B40" s="119"/>
      <c r="C40" s="119"/>
      <c r="D40" s="104" t="s">
        <v>431</v>
      </c>
      <c r="E40" s="102" t="s">
        <v>7373</v>
      </c>
      <c r="F40" s="52" t="s">
        <v>7183</v>
      </c>
      <c r="G40" s="3" t="s">
        <v>7374</v>
      </c>
      <c r="H40" s="3" t="s">
        <v>7375</v>
      </c>
      <c r="I40" s="52" t="s">
        <v>7320</v>
      </c>
      <c r="J40" s="3" t="s">
        <v>7376</v>
      </c>
      <c r="K40" s="4" t="s">
        <v>7377</v>
      </c>
    </row>
    <row r="41" spans="1:11">
      <c r="A41" s="137"/>
      <c r="B41" s="119"/>
      <c r="C41" s="119"/>
      <c r="D41" s="104" t="s">
        <v>433</v>
      </c>
      <c r="E41" s="102" t="s">
        <v>7378</v>
      </c>
      <c r="F41" s="52" t="s">
        <v>7183</v>
      </c>
      <c r="G41" s="3" t="s">
        <v>7379</v>
      </c>
      <c r="H41" s="3" t="s">
        <v>7380</v>
      </c>
      <c r="I41" s="52" t="s">
        <v>3450</v>
      </c>
      <c r="J41" s="3" t="s">
        <v>7381</v>
      </c>
      <c r="K41" s="4" t="s">
        <v>7382</v>
      </c>
    </row>
    <row r="42" spans="1:11">
      <c r="A42" s="137"/>
      <c r="B42" s="119"/>
      <c r="C42" s="119" t="s">
        <v>435</v>
      </c>
      <c r="D42" s="104" t="s">
        <v>436</v>
      </c>
      <c r="E42" s="102" t="s">
        <v>7383</v>
      </c>
      <c r="F42" s="52" t="s">
        <v>7183</v>
      </c>
      <c r="G42" s="3" t="s">
        <v>7384</v>
      </c>
      <c r="H42" s="3" t="s">
        <v>7385</v>
      </c>
      <c r="I42" s="52" t="s">
        <v>3449</v>
      </c>
      <c r="J42" s="3" t="s">
        <v>7386</v>
      </c>
      <c r="K42" s="4" t="s">
        <v>7387</v>
      </c>
    </row>
    <row r="43" spans="1:11">
      <c r="A43" s="137"/>
      <c r="B43" s="119"/>
      <c r="C43" s="119"/>
      <c r="D43" s="104" t="s">
        <v>437</v>
      </c>
      <c r="E43" s="102" t="s">
        <v>7388</v>
      </c>
      <c r="F43" s="52" t="s">
        <v>7189</v>
      </c>
      <c r="G43" s="3" t="s">
        <v>7389</v>
      </c>
      <c r="H43" s="3" t="s">
        <v>7390</v>
      </c>
      <c r="I43" s="52" t="s">
        <v>3449</v>
      </c>
      <c r="J43" s="3" t="s">
        <v>7391</v>
      </c>
      <c r="K43" s="4" t="s">
        <v>7392</v>
      </c>
    </row>
    <row r="44" spans="1:11">
      <c r="A44" s="137"/>
      <c r="B44" s="119"/>
      <c r="C44" s="119"/>
      <c r="D44" s="104" t="s">
        <v>438</v>
      </c>
      <c r="E44" s="102" t="s">
        <v>7393</v>
      </c>
      <c r="F44" s="52" t="s">
        <v>7183</v>
      </c>
      <c r="G44" s="3" t="s">
        <v>7394</v>
      </c>
      <c r="H44" s="3" t="s">
        <v>7395</v>
      </c>
      <c r="I44" s="52" t="s">
        <v>3449</v>
      </c>
      <c r="J44" s="3" t="s">
        <v>7396</v>
      </c>
      <c r="K44" s="4" t="s">
        <v>7397</v>
      </c>
    </row>
    <row r="45" spans="1:11">
      <c r="A45" s="137"/>
      <c r="B45" s="119"/>
      <c r="C45" s="119"/>
      <c r="D45" s="104" t="s">
        <v>440</v>
      </c>
      <c r="E45" s="102" t="s">
        <v>7398</v>
      </c>
      <c r="F45" s="52" t="s">
        <v>7183</v>
      </c>
      <c r="G45" s="3" t="s">
        <v>7399</v>
      </c>
      <c r="H45" s="3" t="s">
        <v>7400</v>
      </c>
      <c r="I45" s="52" t="s">
        <v>3449</v>
      </c>
      <c r="J45" s="3" t="s">
        <v>7401</v>
      </c>
      <c r="K45" s="4" t="s">
        <v>7402</v>
      </c>
    </row>
    <row r="46" spans="1:11">
      <c r="A46" s="137"/>
      <c r="B46" s="119"/>
      <c r="C46" s="119"/>
      <c r="D46" s="104" t="s">
        <v>442</v>
      </c>
      <c r="E46" s="102" t="s">
        <v>7403</v>
      </c>
      <c r="F46" s="52" t="s">
        <v>7183</v>
      </c>
      <c r="G46" s="3" t="s">
        <v>7404</v>
      </c>
      <c r="H46" s="3" t="s">
        <v>7405</v>
      </c>
      <c r="I46" s="52" t="s">
        <v>3449</v>
      </c>
      <c r="J46" s="3" t="s">
        <v>7406</v>
      </c>
      <c r="K46" s="4" t="s">
        <v>7407</v>
      </c>
    </row>
    <row r="47" spans="1:11">
      <c r="A47" s="137"/>
      <c r="B47" s="119"/>
      <c r="C47" s="119" t="s">
        <v>444</v>
      </c>
      <c r="D47" s="104" t="s">
        <v>445</v>
      </c>
      <c r="E47" s="102" t="s">
        <v>7408</v>
      </c>
      <c r="F47" s="52" t="s">
        <v>7183</v>
      </c>
      <c r="G47" s="3" t="s">
        <v>7409</v>
      </c>
      <c r="H47" s="3" t="s">
        <v>7410</v>
      </c>
      <c r="I47" s="52" t="s">
        <v>3449</v>
      </c>
      <c r="J47" s="3" t="s">
        <v>7411</v>
      </c>
      <c r="K47" s="4" t="s">
        <v>7412</v>
      </c>
    </row>
    <row r="48" spans="1:11">
      <c r="A48" s="137"/>
      <c r="B48" s="119"/>
      <c r="C48" s="119"/>
      <c r="D48" s="104" t="s">
        <v>446</v>
      </c>
      <c r="E48" s="102" t="s">
        <v>7413</v>
      </c>
      <c r="F48" s="52" t="s">
        <v>7189</v>
      </c>
      <c r="G48" s="3" t="s">
        <v>7414</v>
      </c>
      <c r="H48" s="3" t="s">
        <v>7415</v>
      </c>
      <c r="I48" s="52" t="s">
        <v>3449</v>
      </c>
      <c r="J48" s="3" t="s">
        <v>7416</v>
      </c>
      <c r="K48" s="4" t="s">
        <v>7417</v>
      </c>
    </row>
    <row r="49" spans="1:11">
      <c r="A49" s="137"/>
      <c r="B49" s="119"/>
      <c r="C49" s="119"/>
      <c r="D49" s="104" t="s">
        <v>420</v>
      </c>
      <c r="E49" s="102" t="s">
        <v>7418</v>
      </c>
      <c r="F49" s="52" t="s">
        <v>7183</v>
      </c>
      <c r="G49" s="3" t="s">
        <v>7419</v>
      </c>
      <c r="H49" s="3" t="s">
        <v>7420</v>
      </c>
      <c r="I49" s="52" t="s">
        <v>3449</v>
      </c>
      <c r="J49" s="3" t="s">
        <v>7421</v>
      </c>
      <c r="K49" s="4" t="s">
        <v>7422</v>
      </c>
    </row>
    <row r="50" spans="1:11">
      <c r="A50" s="137"/>
      <c r="B50" s="119"/>
      <c r="C50" s="119"/>
      <c r="D50" s="104" t="s">
        <v>448</v>
      </c>
      <c r="E50" s="102" t="s">
        <v>7423</v>
      </c>
      <c r="F50" s="52" t="s">
        <v>7183</v>
      </c>
      <c r="G50" s="3" t="s">
        <v>7424</v>
      </c>
      <c r="H50" s="3" t="s">
        <v>7425</v>
      </c>
      <c r="I50" s="52" t="s">
        <v>3449</v>
      </c>
      <c r="J50" s="3" t="s">
        <v>7426</v>
      </c>
      <c r="K50" s="4" t="s">
        <v>7427</v>
      </c>
    </row>
    <row r="51" spans="1:11">
      <c r="A51" s="137"/>
      <c r="B51" s="119"/>
      <c r="C51" s="119"/>
      <c r="D51" s="104" t="s">
        <v>450</v>
      </c>
      <c r="E51" s="102" t="s">
        <v>7428</v>
      </c>
      <c r="F51" s="52" t="s">
        <v>7183</v>
      </c>
      <c r="G51" s="3" t="s">
        <v>7429</v>
      </c>
      <c r="H51" s="3" t="s">
        <v>7430</v>
      </c>
      <c r="I51" s="52" t="s">
        <v>3449</v>
      </c>
      <c r="J51" s="3" t="s">
        <v>7431</v>
      </c>
      <c r="K51" s="4" t="s">
        <v>7432</v>
      </c>
    </row>
    <row r="52" spans="1:11">
      <c r="A52" s="137"/>
      <c r="B52" s="119" t="s">
        <v>451</v>
      </c>
      <c r="C52" s="119" t="s">
        <v>452</v>
      </c>
      <c r="D52" s="104" t="s">
        <v>453</v>
      </c>
      <c r="E52" s="102" t="s">
        <v>7433</v>
      </c>
      <c r="F52" s="52" t="s">
        <v>7189</v>
      </c>
      <c r="G52" s="3" t="s">
        <v>7434</v>
      </c>
      <c r="H52" s="3" t="s">
        <v>7435</v>
      </c>
      <c r="I52" s="52" t="s">
        <v>3449</v>
      </c>
      <c r="J52" s="3" t="s">
        <v>7436</v>
      </c>
      <c r="K52" s="4" t="s">
        <v>7437</v>
      </c>
    </row>
    <row r="53" spans="1:11">
      <c r="A53" s="137"/>
      <c r="B53" s="119"/>
      <c r="C53" s="119"/>
      <c r="D53" s="104" t="s">
        <v>455</v>
      </c>
      <c r="E53" s="102" t="s">
        <v>7438</v>
      </c>
      <c r="F53" s="52" t="s">
        <v>7183</v>
      </c>
      <c r="G53" s="3" t="s">
        <v>7439</v>
      </c>
      <c r="H53" s="3" t="s">
        <v>7440</v>
      </c>
      <c r="I53" s="52" t="s">
        <v>3449</v>
      </c>
      <c r="J53" s="3" t="s">
        <v>7441</v>
      </c>
      <c r="K53" s="4" t="s">
        <v>7442</v>
      </c>
    </row>
    <row r="54" spans="1:11">
      <c r="A54" s="137"/>
      <c r="B54" s="119"/>
      <c r="C54" s="119"/>
      <c r="D54" s="104" t="s">
        <v>456</v>
      </c>
      <c r="E54" s="102" t="s">
        <v>7443</v>
      </c>
      <c r="F54" s="52" t="s">
        <v>7183</v>
      </c>
      <c r="G54" s="3" t="s">
        <v>7444</v>
      </c>
      <c r="H54" s="3" t="s">
        <v>7445</v>
      </c>
      <c r="I54" s="52" t="s">
        <v>3449</v>
      </c>
      <c r="J54" s="3" t="s">
        <v>7446</v>
      </c>
      <c r="K54" s="4" t="s">
        <v>7447</v>
      </c>
    </row>
    <row r="55" spans="1:11">
      <c r="A55" s="137"/>
      <c r="B55" s="119"/>
      <c r="C55" s="119"/>
      <c r="D55" s="104" t="s">
        <v>457</v>
      </c>
      <c r="E55" s="102" t="s">
        <v>7448</v>
      </c>
      <c r="F55" s="52" t="s">
        <v>7183</v>
      </c>
      <c r="G55" s="3" t="s">
        <v>7449</v>
      </c>
      <c r="H55" s="3" t="s">
        <v>7450</v>
      </c>
      <c r="I55" s="52" t="s">
        <v>3449</v>
      </c>
      <c r="J55" s="3" t="s">
        <v>7451</v>
      </c>
      <c r="K55" s="4" t="s">
        <v>7452</v>
      </c>
    </row>
    <row r="56" spans="1:11">
      <c r="A56" s="137"/>
      <c r="B56" s="119"/>
      <c r="C56" s="119"/>
      <c r="D56" s="104" t="s">
        <v>459</v>
      </c>
      <c r="E56" s="102" t="s">
        <v>7453</v>
      </c>
      <c r="F56" s="52" t="s">
        <v>7183</v>
      </c>
      <c r="G56" s="3" t="s">
        <v>7454</v>
      </c>
      <c r="H56" s="3" t="s">
        <v>7455</v>
      </c>
      <c r="I56" s="52" t="s">
        <v>3449</v>
      </c>
      <c r="J56" s="3" t="s">
        <v>7456</v>
      </c>
      <c r="K56" s="4" t="s">
        <v>7457</v>
      </c>
    </row>
    <row r="57" spans="1:11">
      <c r="A57" s="137"/>
      <c r="B57" s="119"/>
      <c r="C57" s="119" t="s">
        <v>461</v>
      </c>
      <c r="D57" s="104" t="s">
        <v>462</v>
      </c>
      <c r="E57" s="102" t="s">
        <v>7458</v>
      </c>
      <c r="F57" s="52" t="s">
        <v>7189</v>
      </c>
      <c r="G57" s="3" t="s">
        <v>7459</v>
      </c>
      <c r="H57" s="3" t="s">
        <v>7460</v>
      </c>
      <c r="I57" s="52" t="s">
        <v>3449</v>
      </c>
      <c r="J57" s="3" t="s">
        <v>7461</v>
      </c>
      <c r="K57" s="4" t="s">
        <v>7462</v>
      </c>
    </row>
    <row r="58" spans="1:11">
      <c r="A58" s="137"/>
      <c r="B58" s="119"/>
      <c r="C58" s="119"/>
      <c r="D58" s="104" t="s">
        <v>463</v>
      </c>
      <c r="E58" s="102" t="s">
        <v>7463</v>
      </c>
      <c r="F58" s="52" t="s">
        <v>7183</v>
      </c>
      <c r="G58" s="3" t="s">
        <v>7464</v>
      </c>
      <c r="H58" s="3" t="s">
        <v>7465</v>
      </c>
      <c r="I58" s="52" t="s">
        <v>3450</v>
      </c>
      <c r="J58" s="3" t="s">
        <v>7466</v>
      </c>
      <c r="K58" s="4" t="s">
        <v>7467</v>
      </c>
    </row>
    <row r="59" spans="1:11">
      <c r="A59" s="137"/>
      <c r="B59" s="119"/>
      <c r="C59" s="119"/>
      <c r="D59" s="104" t="s">
        <v>464</v>
      </c>
      <c r="E59" s="102" t="s">
        <v>465</v>
      </c>
      <c r="F59" s="52" t="s">
        <v>7183</v>
      </c>
      <c r="G59" s="3" t="s">
        <v>7468</v>
      </c>
      <c r="H59" s="3" t="s">
        <v>7469</v>
      </c>
      <c r="I59" s="52" t="s">
        <v>3449</v>
      </c>
      <c r="J59" s="3" t="s">
        <v>7470</v>
      </c>
      <c r="K59" s="4" t="s">
        <v>7471</v>
      </c>
    </row>
    <row r="60" spans="1:11">
      <c r="A60" s="137"/>
      <c r="B60" s="119"/>
      <c r="C60" s="119"/>
      <c r="D60" s="104" t="s">
        <v>466</v>
      </c>
      <c r="E60" s="102" t="s">
        <v>467</v>
      </c>
      <c r="F60" s="52" t="s">
        <v>7183</v>
      </c>
      <c r="G60" s="3" t="s">
        <v>7472</v>
      </c>
      <c r="H60" s="3" t="s">
        <v>7473</v>
      </c>
      <c r="I60" s="52" t="s">
        <v>3449</v>
      </c>
      <c r="J60" s="3" t="s">
        <v>7474</v>
      </c>
      <c r="K60" s="4" t="s">
        <v>7475</v>
      </c>
    </row>
    <row r="61" spans="1:11">
      <c r="A61" s="137"/>
      <c r="B61" s="119"/>
      <c r="C61" s="119"/>
      <c r="D61" s="104" t="s">
        <v>468</v>
      </c>
      <c r="E61" s="102" t="s">
        <v>7476</v>
      </c>
      <c r="F61" s="52" t="s">
        <v>7183</v>
      </c>
      <c r="G61" s="3" t="s">
        <v>7477</v>
      </c>
      <c r="H61" s="3" t="s">
        <v>7478</v>
      </c>
      <c r="I61" s="52" t="s">
        <v>3449</v>
      </c>
      <c r="J61" s="3" t="s">
        <v>7479</v>
      </c>
      <c r="K61" s="4" t="s">
        <v>7480</v>
      </c>
    </row>
    <row r="62" spans="1:11">
      <c r="A62" s="137"/>
      <c r="B62" s="119"/>
      <c r="C62" s="119" t="s">
        <v>470</v>
      </c>
      <c r="D62" s="104" t="s">
        <v>471</v>
      </c>
      <c r="E62" s="102" t="s">
        <v>7481</v>
      </c>
      <c r="F62" s="52" t="s">
        <v>7189</v>
      </c>
      <c r="G62" s="3" t="s">
        <v>7482</v>
      </c>
      <c r="H62" s="3" t="s">
        <v>7483</v>
      </c>
      <c r="I62" s="52" t="s">
        <v>3450</v>
      </c>
      <c r="J62" s="3" t="s">
        <v>7484</v>
      </c>
      <c r="K62" s="4" t="s">
        <v>7485</v>
      </c>
    </row>
    <row r="63" spans="1:11">
      <c r="A63" s="137"/>
      <c r="B63" s="119"/>
      <c r="C63" s="119"/>
      <c r="D63" s="104" t="s">
        <v>473</v>
      </c>
      <c r="E63" s="102" t="s">
        <v>7486</v>
      </c>
      <c r="F63" s="52" t="s">
        <v>7183</v>
      </c>
      <c r="G63" s="3" t="s">
        <v>7487</v>
      </c>
      <c r="H63" s="3" t="s">
        <v>7488</v>
      </c>
      <c r="I63" s="52" t="s">
        <v>3450</v>
      </c>
      <c r="J63" s="3" t="s">
        <v>7489</v>
      </c>
      <c r="K63" s="4" t="s">
        <v>7490</v>
      </c>
    </row>
    <row r="64" spans="1:11">
      <c r="A64" s="137"/>
      <c r="B64" s="119"/>
      <c r="C64" s="119"/>
      <c r="D64" s="104" t="s">
        <v>474</v>
      </c>
      <c r="E64" s="102" t="s">
        <v>7491</v>
      </c>
      <c r="F64" s="52" t="s">
        <v>7183</v>
      </c>
      <c r="G64" s="3" t="s">
        <v>7492</v>
      </c>
      <c r="H64" s="3" t="s">
        <v>7493</v>
      </c>
      <c r="I64" s="52" t="s">
        <v>3449</v>
      </c>
      <c r="J64" s="3" t="s">
        <v>7494</v>
      </c>
      <c r="K64" s="4" t="s">
        <v>7495</v>
      </c>
    </row>
    <row r="65" spans="1:11">
      <c r="A65" s="137"/>
      <c r="B65" s="119"/>
      <c r="C65" s="119"/>
      <c r="D65" s="104" t="s">
        <v>476</v>
      </c>
      <c r="E65" s="102" t="s">
        <v>477</v>
      </c>
      <c r="F65" s="52" t="s">
        <v>7183</v>
      </c>
      <c r="G65" s="3" t="s">
        <v>7496</v>
      </c>
      <c r="H65" s="3" t="s">
        <v>7497</v>
      </c>
      <c r="I65" s="52" t="s">
        <v>3449</v>
      </c>
      <c r="J65" s="3" t="s">
        <v>7498</v>
      </c>
      <c r="K65" s="4" t="s">
        <v>7499</v>
      </c>
    </row>
    <row r="66" spans="1:11">
      <c r="A66" s="137"/>
      <c r="B66" s="119"/>
      <c r="C66" s="119"/>
      <c r="D66" s="104" t="s">
        <v>478</v>
      </c>
      <c r="E66" s="102" t="s">
        <v>479</v>
      </c>
      <c r="F66" s="52" t="s">
        <v>7183</v>
      </c>
      <c r="G66" s="3" t="s">
        <v>7500</v>
      </c>
      <c r="H66" s="3" t="s">
        <v>7501</v>
      </c>
      <c r="I66" s="52" t="s">
        <v>3449</v>
      </c>
      <c r="J66" s="3" t="s">
        <v>7502</v>
      </c>
      <c r="K66" s="4" t="s">
        <v>7503</v>
      </c>
    </row>
    <row r="67" spans="1:11">
      <c r="A67" s="137"/>
      <c r="B67" s="119"/>
      <c r="C67" s="119" t="s">
        <v>480</v>
      </c>
      <c r="D67" s="104" t="s">
        <v>481</v>
      </c>
      <c r="E67" s="102" t="s">
        <v>482</v>
      </c>
      <c r="F67" s="52" t="s">
        <v>7189</v>
      </c>
      <c r="G67" s="3" t="s">
        <v>7504</v>
      </c>
      <c r="H67" s="3" t="s">
        <v>7505</v>
      </c>
      <c r="I67" s="52" t="s">
        <v>3449</v>
      </c>
      <c r="J67" s="3" t="s">
        <v>7506</v>
      </c>
      <c r="K67" s="4" t="s">
        <v>7507</v>
      </c>
    </row>
    <row r="68" spans="1:11">
      <c r="A68" s="137"/>
      <c r="B68" s="119"/>
      <c r="C68" s="119"/>
      <c r="D68" s="104" t="s">
        <v>483</v>
      </c>
      <c r="E68" s="102" t="s">
        <v>7508</v>
      </c>
      <c r="F68" s="52" t="s">
        <v>7183</v>
      </c>
      <c r="G68" s="3" t="s">
        <v>7509</v>
      </c>
      <c r="H68" s="3" t="s">
        <v>7510</v>
      </c>
      <c r="I68" s="52" t="s">
        <v>3449</v>
      </c>
      <c r="J68" s="3" t="s">
        <v>7511</v>
      </c>
      <c r="K68" s="4" t="s">
        <v>7512</v>
      </c>
    </row>
    <row r="69" spans="1:11">
      <c r="A69" s="137"/>
      <c r="B69" s="119"/>
      <c r="C69" s="119"/>
      <c r="D69" s="104" t="s">
        <v>484</v>
      </c>
      <c r="E69" s="102" t="s">
        <v>7513</v>
      </c>
      <c r="F69" s="52" t="s">
        <v>7183</v>
      </c>
      <c r="G69" s="3" t="s">
        <v>7514</v>
      </c>
      <c r="H69" s="3" t="s">
        <v>7515</v>
      </c>
      <c r="I69" s="52" t="s">
        <v>3449</v>
      </c>
      <c r="J69" s="3" t="s">
        <v>7516</v>
      </c>
      <c r="K69" s="4" t="s">
        <v>7517</v>
      </c>
    </row>
    <row r="70" spans="1:11">
      <c r="A70" s="137"/>
      <c r="B70" s="119"/>
      <c r="C70" s="119"/>
      <c r="D70" s="104" t="s">
        <v>485</v>
      </c>
      <c r="E70" s="102" t="s">
        <v>7518</v>
      </c>
      <c r="F70" s="52" t="s">
        <v>7183</v>
      </c>
      <c r="G70" s="3" t="s">
        <v>7519</v>
      </c>
      <c r="H70" s="3" t="s">
        <v>7520</v>
      </c>
      <c r="I70" s="52" t="s">
        <v>3449</v>
      </c>
      <c r="J70" s="3" t="s">
        <v>7521</v>
      </c>
      <c r="K70" s="4" t="s">
        <v>7522</v>
      </c>
    </row>
    <row r="71" spans="1:11">
      <c r="A71" s="137"/>
      <c r="B71" s="119"/>
      <c r="C71" s="119"/>
      <c r="D71" s="104" t="s">
        <v>486</v>
      </c>
      <c r="E71" s="102" t="s">
        <v>7523</v>
      </c>
      <c r="F71" s="52" t="s">
        <v>7183</v>
      </c>
      <c r="G71" s="3" t="s">
        <v>7524</v>
      </c>
      <c r="H71" s="3" t="s">
        <v>7525</v>
      </c>
      <c r="I71" s="52" t="s">
        <v>3449</v>
      </c>
      <c r="J71" s="3" t="s">
        <v>7526</v>
      </c>
      <c r="K71" s="4" t="s">
        <v>7527</v>
      </c>
    </row>
    <row r="72" spans="1:11">
      <c r="A72" s="137"/>
      <c r="B72" s="119"/>
      <c r="C72" s="119" t="s">
        <v>487</v>
      </c>
      <c r="D72" s="104" t="s">
        <v>488</v>
      </c>
      <c r="E72" s="102" t="s">
        <v>7528</v>
      </c>
      <c r="F72" s="52" t="s">
        <v>7189</v>
      </c>
      <c r="G72" s="3" t="s">
        <v>7529</v>
      </c>
      <c r="H72" s="3" t="s">
        <v>7530</v>
      </c>
      <c r="I72" s="52" t="s">
        <v>3449</v>
      </c>
      <c r="J72" s="3" t="s">
        <v>7531</v>
      </c>
      <c r="K72" s="4" t="s">
        <v>7532</v>
      </c>
    </row>
    <row r="73" spans="1:11">
      <c r="A73" s="137"/>
      <c r="B73" s="119"/>
      <c r="C73" s="119"/>
      <c r="D73" s="104" t="s">
        <v>489</v>
      </c>
      <c r="E73" s="102" t="s">
        <v>7533</v>
      </c>
      <c r="F73" s="52" t="s">
        <v>7183</v>
      </c>
      <c r="G73" s="3" t="s">
        <v>7534</v>
      </c>
      <c r="H73" s="3" t="s">
        <v>7535</v>
      </c>
      <c r="I73" s="52" t="s">
        <v>3449</v>
      </c>
      <c r="J73" s="3" t="s">
        <v>7536</v>
      </c>
      <c r="K73" s="4" t="s">
        <v>7537</v>
      </c>
    </row>
    <row r="74" spans="1:11">
      <c r="A74" s="137"/>
      <c r="B74" s="119"/>
      <c r="C74" s="119"/>
      <c r="D74" s="104" t="s">
        <v>491</v>
      </c>
      <c r="E74" s="102" t="s">
        <v>7538</v>
      </c>
      <c r="F74" s="52" t="s">
        <v>7183</v>
      </c>
      <c r="G74" s="3" t="s">
        <v>7539</v>
      </c>
      <c r="H74" s="3" t="s">
        <v>7540</v>
      </c>
      <c r="I74" s="52" t="s">
        <v>3449</v>
      </c>
      <c r="J74" s="3" t="s">
        <v>7541</v>
      </c>
      <c r="K74" s="4" t="s">
        <v>7542</v>
      </c>
    </row>
    <row r="75" spans="1:11">
      <c r="A75" s="137"/>
      <c r="B75" s="119"/>
      <c r="C75" s="119"/>
      <c r="D75" s="104" t="s">
        <v>493</v>
      </c>
      <c r="E75" s="102" t="s">
        <v>7543</v>
      </c>
      <c r="F75" s="52" t="s">
        <v>7183</v>
      </c>
      <c r="G75" s="3" t="s">
        <v>7544</v>
      </c>
      <c r="H75" s="3" t="s">
        <v>7545</v>
      </c>
      <c r="I75" s="52" t="s">
        <v>3449</v>
      </c>
      <c r="J75" s="3" t="s">
        <v>7546</v>
      </c>
      <c r="K75" s="4" t="s">
        <v>7547</v>
      </c>
    </row>
    <row r="76" spans="1:11">
      <c r="A76" s="137"/>
      <c r="B76" s="119"/>
      <c r="C76" s="119"/>
      <c r="D76" s="104" t="s">
        <v>495</v>
      </c>
      <c r="E76" s="102" t="s">
        <v>7548</v>
      </c>
      <c r="F76" s="52" t="s">
        <v>7183</v>
      </c>
      <c r="G76" s="3" t="s">
        <v>7549</v>
      </c>
      <c r="H76" s="3" t="s">
        <v>7550</v>
      </c>
      <c r="I76" s="52" t="s">
        <v>3449</v>
      </c>
      <c r="J76" s="3" t="s">
        <v>7551</v>
      </c>
      <c r="K76" s="4" t="s">
        <v>7552</v>
      </c>
    </row>
    <row r="77" spans="1:11">
      <c r="A77" s="137"/>
      <c r="B77" s="119"/>
      <c r="C77" s="119" t="s">
        <v>497</v>
      </c>
      <c r="D77" s="104" t="s">
        <v>498</v>
      </c>
      <c r="E77" s="102" t="s">
        <v>7553</v>
      </c>
      <c r="F77" s="52" t="s">
        <v>7189</v>
      </c>
      <c r="G77" s="3" t="s">
        <v>7554</v>
      </c>
      <c r="H77" s="3" t="s">
        <v>7555</v>
      </c>
      <c r="I77" s="52" t="s">
        <v>3449</v>
      </c>
      <c r="J77" s="3" t="s">
        <v>7556</v>
      </c>
      <c r="K77" s="4" t="s">
        <v>7557</v>
      </c>
    </row>
    <row r="78" spans="1:11">
      <c r="A78" s="137"/>
      <c r="B78" s="119"/>
      <c r="C78" s="119"/>
      <c r="D78" s="104" t="s">
        <v>499</v>
      </c>
      <c r="E78" s="102" t="s">
        <v>7558</v>
      </c>
      <c r="F78" s="52" t="s">
        <v>7183</v>
      </c>
      <c r="G78" s="3" t="s">
        <v>7559</v>
      </c>
      <c r="H78" s="3" t="s">
        <v>7560</v>
      </c>
      <c r="I78" s="52" t="s">
        <v>3449</v>
      </c>
      <c r="J78" s="3" t="s">
        <v>7561</v>
      </c>
      <c r="K78" s="4" t="s">
        <v>7562</v>
      </c>
    </row>
    <row r="79" spans="1:11">
      <c r="A79" s="137"/>
      <c r="B79" s="119"/>
      <c r="C79" s="119"/>
      <c r="D79" s="104" t="s">
        <v>500</v>
      </c>
      <c r="E79" s="102" t="s">
        <v>7563</v>
      </c>
      <c r="F79" s="52" t="s">
        <v>7183</v>
      </c>
      <c r="G79" s="3" t="s">
        <v>7564</v>
      </c>
      <c r="H79" s="3" t="s">
        <v>7565</v>
      </c>
      <c r="I79" s="52" t="s">
        <v>3449</v>
      </c>
      <c r="J79" s="3" t="s">
        <v>7566</v>
      </c>
      <c r="K79" s="4" t="s">
        <v>7567</v>
      </c>
    </row>
    <row r="80" spans="1:11">
      <c r="A80" s="137"/>
      <c r="B80" s="119"/>
      <c r="C80" s="119"/>
      <c r="D80" s="104" t="s">
        <v>457</v>
      </c>
      <c r="E80" s="102" t="s">
        <v>7448</v>
      </c>
      <c r="F80" s="52" t="s">
        <v>7183</v>
      </c>
      <c r="G80" s="3" t="s">
        <v>7568</v>
      </c>
      <c r="H80" s="3" t="s">
        <v>7569</v>
      </c>
      <c r="I80" s="52" t="s">
        <v>3449</v>
      </c>
      <c r="J80" s="3" t="s">
        <v>7570</v>
      </c>
      <c r="K80" s="4" t="s">
        <v>7571</v>
      </c>
    </row>
    <row r="81" spans="1:11">
      <c r="A81" s="137"/>
      <c r="B81" s="119"/>
      <c r="C81" s="119"/>
      <c r="D81" s="104" t="s">
        <v>501</v>
      </c>
      <c r="E81" s="102" t="s">
        <v>7572</v>
      </c>
      <c r="F81" s="52" t="s">
        <v>7183</v>
      </c>
      <c r="G81" s="3" t="s">
        <v>7573</v>
      </c>
      <c r="H81" s="3" t="s">
        <v>7574</v>
      </c>
      <c r="I81" s="52" t="s">
        <v>3449</v>
      </c>
      <c r="J81" s="3" t="s">
        <v>7575</v>
      </c>
      <c r="K81" s="4" t="s">
        <v>7576</v>
      </c>
    </row>
    <row r="82" spans="1:11">
      <c r="A82" s="137"/>
      <c r="B82" s="119"/>
      <c r="C82" s="119" t="s">
        <v>502</v>
      </c>
      <c r="D82" s="104" t="s">
        <v>503</v>
      </c>
      <c r="E82" s="102" t="s">
        <v>7577</v>
      </c>
      <c r="F82" s="52" t="s">
        <v>7189</v>
      </c>
      <c r="G82" s="3" t="s">
        <v>7578</v>
      </c>
      <c r="H82" s="3" t="s">
        <v>7579</v>
      </c>
      <c r="I82" s="52" t="s">
        <v>3449</v>
      </c>
      <c r="J82" s="3" t="s">
        <v>7580</v>
      </c>
      <c r="K82" s="4" t="s">
        <v>7581</v>
      </c>
    </row>
    <row r="83" spans="1:11">
      <c r="A83" s="137"/>
      <c r="B83" s="119"/>
      <c r="C83" s="119"/>
      <c r="D83" s="104" t="s">
        <v>504</v>
      </c>
      <c r="E83" s="102" t="s">
        <v>7582</v>
      </c>
      <c r="F83" s="52" t="s">
        <v>7183</v>
      </c>
      <c r="G83" s="3" t="s">
        <v>7583</v>
      </c>
      <c r="H83" s="3" t="s">
        <v>7584</v>
      </c>
      <c r="I83" s="52" t="s">
        <v>3449</v>
      </c>
      <c r="J83" s="3" t="s">
        <v>7585</v>
      </c>
      <c r="K83" s="4" t="s">
        <v>7586</v>
      </c>
    </row>
    <row r="84" spans="1:11">
      <c r="A84" s="137"/>
      <c r="B84" s="119"/>
      <c r="C84" s="119"/>
      <c r="D84" s="104" t="s">
        <v>505</v>
      </c>
      <c r="E84" s="102" t="s">
        <v>7587</v>
      </c>
      <c r="F84" s="52" t="s">
        <v>7183</v>
      </c>
      <c r="G84" s="3" t="s">
        <v>7588</v>
      </c>
      <c r="H84" s="3" t="s">
        <v>7589</v>
      </c>
      <c r="I84" s="52" t="s">
        <v>3450</v>
      </c>
      <c r="J84" s="3" t="s">
        <v>7590</v>
      </c>
      <c r="K84" s="4" t="s">
        <v>7591</v>
      </c>
    </row>
    <row r="85" spans="1:11">
      <c r="A85" s="137"/>
      <c r="B85" s="119"/>
      <c r="C85" s="119"/>
      <c r="D85" s="104" t="s">
        <v>506</v>
      </c>
      <c r="E85" s="102" t="s">
        <v>7592</v>
      </c>
      <c r="F85" s="52" t="s">
        <v>7183</v>
      </c>
      <c r="G85" s="3" t="s">
        <v>7593</v>
      </c>
      <c r="H85" s="3" t="s">
        <v>7594</v>
      </c>
      <c r="I85" s="52" t="s">
        <v>3450</v>
      </c>
      <c r="J85" s="3" t="s">
        <v>7595</v>
      </c>
      <c r="K85" s="4" t="s">
        <v>7596</v>
      </c>
    </row>
    <row r="86" spans="1:11">
      <c r="A86" s="137"/>
      <c r="B86" s="119"/>
      <c r="C86" s="119"/>
      <c r="D86" s="104" t="s">
        <v>507</v>
      </c>
      <c r="E86" s="102" t="s">
        <v>7597</v>
      </c>
      <c r="F86" s="52" t="s">
        <v>7183</v>
      </c>
      <c r="G86" s="3" t="s">
        <v>7598</v>
      </c>
      <c r="H86" s="3" t="s">
        <v>7599</v>
      </c>
      <c r="I86" s="52" t="s">
        <v>3450</v>
      </c>
      <c r="J86" s="3" t="s">
        <v>7600</v>
      </c>
      <c r="K86" s="4" t="s">
        <v>7601</v>
      </c>
    </row>
    <row r="87" spans="1:11">
      <c r="A87" s="137"/>
      <c r="B87" s="119"/>
      <c r="C87" s="119" t="s">
        <v>508</v>
      </c>
      <c r="D87" s="104" t="s">
        <v>509</v>
      </c>
      <c r="E87" s="102" t="s">
        <v>7602</v>
      </c>
      <c r="F87" s="52" t="s">
        <v>7189</v>
      </c>
      <c r="G87" s="3" t="s">
        <v>7603</v>
      </c>
      <c r="H87" s="3" t="s">
        <v>7604</v>
      </c>
      <c r="I87" s="52" t="s">
        <v>3450</v>
      </c>
      <c r="J87" s="3" t="s">
        <v>7605</v>
      </c>
      <c r="K87" s="4" t="s">
        <v>7606</v>
      </c>
    </row>
    <row r="88" spans="1:11">
      <c r="A88" s="137"/>
      <c r="B88" s="119"/>
      <c r="C88" s="119"/>
      <c r="D88" s="104" t="s">
        <v>510</v>
      </c>
      <c r="E88" s="102" t="s">
        <v>7607</v>
      </c>
      <c r="F88" s="52" t="s">
        <v>7183</v>
      </c>
      <c r="G88" s="3" t="s">
        <v>7608</v>
      </c>
      <c r="H88" s="3" t="s">
        <v>7609</v>
      </c>
      <c r="I88" s="52" t="s">
        <v>3450</v>
      </c>
      <c r="J88" s="3" t="s">
        <v>7610</v>
      </c>
      <c r="K88" s="4" t="s">
        <v>7611</v>
      </c>
    </row>
    <row r="89" spans="1:11">
      <c r="A89" s="137"/>
      <c r="B89" s="119"/>
      <c r="C89" s="119"/>
      <c r="D89" s="104" t="s">
        <v>511</v>
      </c>
      <c r="E89" s="102" t="s">
        <v>7612</v>
      </c>
      <c r="F89" s="52" t="s">
        <v>7183</v>
      </c>
      <c r="G89" s="3" t="s">
        <v>7613</v>
      </c>
      <c r="H89" s="3" t="s">
        <v>7614</v>
      </c>
      <c r="I89" s="52" t="s">
        <v>3450</v>
      </c>
      <c r="J89" s="3" t="s">
        <v>7615</v>
      </c>
      <c r="K89" s="4" t="s">
        <v>7616</v>
      </c>
    </row>
    <row r="90" spans="1:11">
      <c r="A90" s="137"/>
      <c r="B90" s="119"/>
      <c r="C90" s="119"/>
      <c r="D90" s="104" t="s">
        <v>512</v>
      </c>
      <c r="E90" s="102" t="s">
        <v>7617</v>
      </c>
      <c r="F90" s="52" t="s">
        <v>7183</v>
      </c>
      <c r="G90" s="3" t="s">
        <v>7618</v>
      </c>
      <c r="H90" s="3" t="s">
        <v>7619</v>
      </c>
      <c r="I90" s="52" t="s">
        <v>3450</v>
      </c>
      <c r="J90" s="3" t="s">
        <v>7620</v>
      </c>
      <c r="K90" s="4" t="s">
        <v>7621</v>
      </c>
    </row>
    <row r="91" spans="1:11">
      <c r="A91" s="137"/>
      <c r="B91" s="119"/>
      <c r="C91" s="119"/>
      <c r="D91" s="104" t="s">
        <v>513</v>
      </c>
      <c r="E91" s="102" t="s">
        <v>7622</v>
      </c>
      <c r="F91" s="52" t="s">
        <v>7183</v>
      </c>
      <c r="G91" s="3" t="s">
        <v>7623</v>
      </c>
      <c r="H91" s="3" t="s">
        <v>7624</v>
      </c>
      <c r="I91" s="52" t="s">
        <v>3450</v>
      </c>
      <c r="J91" s="3" t="s">
        <v>7625</v>
      </c>
      <c r="K91" s="4" t="s">
        <v>7626</v>
      </c>
    </row>
    <row r="92" spans="1:11">
      <c r="A92" s="137"/>
      <c r="B92" s="119"/>
      <c r="C92" s="119" t="s">
        <v>514</v>
      </c>
      <c r="D92" s="104" t="s">
        <v>515</v>
      </c>
      <c r="E92" s="102" t="s">
        <v>7627</v>
      </c>
      <c r="F92" s="52" t="s">
        <v>7189</v>
      </c>
      <c r="G92" s="3" t="s">
        <v>7628</v>
      </c>
      <c r="H92" s="3" t="s">
        <v>7629</v>
      </c>
      <c r="I92" s="52" t="s">
        <v>3450</v>
      </c>
      <c r="J92" s="3" t="s">
        <v>7630</v>
      </c>
      <c r="K92" s="4" t="s">
        <v>7631</v>
      </c>
    </row>
    <row r="93" spans="1:11">
      <c r="A93" s="137"/>
      <c r="B93" s="119"/>
      <c r="C93" s="119"/>
      <c r="D93" s="104" t="s">
        <v>516</v>
      </c>
      <c r="E93" s="102" t="s">
        <v>7632</v>
      </c>
      <c r="F93" s="52" t="s">
        <v>7183</v>
      </c>
      <c r="G93" s="3" t="s">
        <v>7633</v>
      </c>
      <c r="H93" s="3" t="s">
        <v>7634</v>
      </c>
      <c r="I93" s="52" t="s">
        <v>3450</v>
      </c>
      <c r="J93" s="3" t="s">
        <v>7635</v>
      </c>
      <c r="K93" s="4" t="s">
        <v>7636</v>
      </c>
    </row>
    <row r="94" spans="1:11">
      <c r="A94" s="137"/>
      <c r="B94" s="119"/>
      <c r="C94" s="119"/>
      <c r="D94" s="104" t="s">
        <v>517</v>
      </c>
      <c r="E94" s="102" t="s">
        <v>7637</v>
      </c>
      <c r="F94" s="52" t="s">
        <v>7183</v>
      </c>
      <c r="G94" s="3" t="s">
        <v>7638</v>
      </c>
      <c r="H94" s="3" t="s">
        <v>7639</v>
      </c>
      <c r="I94" s="52" t="s">
        <v>3450</v>
      </c>
      <c r="J94" s="3" t="s">
        <v>7640</v>
      </c>
      <c r="K94" s="4" t="s">
        <v>7641</v>
      </c>
    </row>
    <row r="95" spans="1:11">
      <c r="A95" s="137"/>
      <c r="B95" s="119"/>
      <c r="C95" s="119"/>
      <c r="D95" s="104" t="s">
        <v>518</v>
      </c>
      <c r="E95" s="102" t="s">
        <v>7642</v>
      </c>
      <c r="F95" s="52" t="s">
        <v>7183</v>
      </c>
      <c r="G95" s="3" t="s">
        <v>7643</v>
      </c>
      <c r="H95" s="3" t="s">
        <v>7644</v>
      </c>
      <c r="I95" s="52" t="s">
        <v>3450</v>
      </c>
      <c r="J95" s="3" t="s">
        <v>7645</v>
      </c>
      <c r="K95" s="4" t="s">
        <v>7646</v>
      </c>
    </row>
    <row r="96" spans="1:11">
      <c r="A96" s="137"/>
      <c r="B96" s="119"/>
      <c r="C96" s="119"/>
      <c r="D96" s="104" t="s">
        <v>519</v>
      </c>
      <c r="E96" s="102" t="s">
        <v>7647</v>
      </c>
      <c r="F96" s="52" t="s">
        <v>7183</v>
      </c>
      <c r="G96" s="3" t="s">
        <v>7648</v>
      </c>
      <c r="H96" s="3" t="s">
        <v>7649</v>
      </c>
      <c r="I96" s="52" t="s">
        <v>7320</v>
      </c>
      <c r="J96" s="3" t="s">
        <v>7650</v>
      </c>
      <c r="K96" s="4" t="s">
        <v>7651</v>
      </c>
    </row>
    <row r="97" spans="1:11">
      <c r="A97" s="137"/>
      <c r="B97" s="119"/>
      <c r="C97" s="119" t="s">
        <v>520</v>
      </c>
      <c r="D97" s="104" t="s">
        <v>521</v>
      </c>
      <c r="E97" s="102" t="s">
        <v>7652</v>
      </c>
      <c r="F97" s="52" t="s">
        <v>7189</v>
      </c>
      <c r="G97" s="3" t="s">
        <v>7653</v>
      </c>
      <c r="H97" s="3" t="s">
        <v>7654</v>
      </c>
      <c r="I97" s="52" t="s">
        <v>3449</v>
      </c>
      <c r="J97" s="3" t="s">
        <v>7655</v>
      </c>
      <c r="K97" s="4" t="s">
        <v>7656</v>
      </c>
    </row>
    <row r="98" spans="1:11">
      <c r="A98" s="137"/>
      <c r="B98" s="119"/>
      <c r="C98" s="119"/>
      <c r="D98" s="104" t="s">
        <v>523</v>
      </c>
      <c r="E98" s="102" t="s">
        <v>7657</v>
      </c>
      <c r="F98" s="52" t="s">
        <v>7183</v>
      </c>
      <c r="G98" s="3" t="s">
        <v>7658</v>
      </c>
      <c r="H98" s="3" t="s">
        <v>7659</v>
      </c>
      <c r="I98" s="52" t="s">
        <v>3449</v>
      </c>
      <c r="J98" s="3" t="s">
        <v>7660</v>
      </c>
      <c r="K98" s="4" t="s">
        <v>7661</v>
      </c>
    </row>
    <row r="99" spans="1:11">
      <c r="A99" s="137"/>
      <c r="B99" s="119"/>
      <c r="C99" s="119"/>
      <c r="D99" s="104" t="s">
        <v>525</v>
      </c>
      <c r="E99" s="102" t="s">
        <v>7662</v>
      </c>
      <c r="F99" s="52" t="s">
        <v>7183</v>
      </c>
      <c r="G99" s="3" t="s">
        <v>7663</v>
      </c>
      <c r="H99" s="3" t="s">
        <v>7664</v>
      </c>
      <c r="I99" s="52" t="s">
        <v>3449</v>
      </c>
      <c r="J99" s="3" t="s">
        <v>7665</v>
      </c>
      <c r="K99" s="4" t="s">
        <v>7666</v>
      </c>
    </row>
    <row r="100" spans="1:11">
      <c r="A100" s="137"/>
      <c r="B100" s="119"/>
      <c r="C100" s="119"/>
      <c r="D100" s="104" t="s">
        <v>527</v>
      </c>
      <c r="E100" s="102" t="s">
        <v>7667</v>
      </c>
      <c r="F100" s="52" t="s">
        <v>7183</v>
      </c>
      <c r="G100" s="3" t="s">
        <v>7668</v>
      </c>
      <c r="H100" s="3" t="s">
        <v>7669</v>
      </c>
      <c r="I100" s="52" t="s">
        <v>3449</v>
      </c>
      <c r="J100" s="3" t="s">
        <v>7670</v>
      </c>
      <c r="K100" s="4" t="s">
        <v>7671</v>
      </c>
    </row>
    <row r="101" spans="1:11">
      <c r="A101" s="137"/>
      <c r="B101" s="119"/>
      <c r="C101" s="119"/>
      <c r="D101" s="104" t="s">
        <v>529</v>
      </c>
      <c r="E101" s="102" t="s">
        <v>7672</v>
      </c>
      <c r="F101" s="52" t="s">
        <v>7183</v>
      </c>
      <c r="G101" s="3" t="s">
        <v>7673</v>
      </c>
      <c r="H101" s="3" t="s">
        <v>7674</v>
      </c>
      <c r="I101" s="52" t="s">
        <v>3449</v>
      </c>
      <c r="J101" s="3" t="s">
        <v>7675</v>
      </c>
      <c r="K101" s="4" t="s">
        <v>7676</v>
      </c>
    </row>
    <row r="102" spans="1:11">
      <c r="A102" s="137"/>
      <c r="B102" s="119"/>
      <c r="C102" s="119" t="s">
        <v>531</v>
      </c>
      <c r="D102" s="104" t="s">
        <v>532</v>
      </c>
      <c r="E102" s="102" t="s">
        <v>7677</v>
      </c>
      <c r="F102" s="52" t="s">
        <v>7189</v>
      </c>
      <c r="G102" s="3" t="s">
        <v>7678</v>
      </c>
      <c r="H102" s="3" t="s">
        <v>7679</v>
      </c>
      <c r="I102" s="52" t="s">
        <v>3449</v>
      </c>
      <c r="J102" s="3" t="s">
        <v>7680</v>
      </c>
      <c r="K102" s="4" t="s">
        <v>7681</v>
      </c>
    </row>
    <row r="103" spans="1:11">
      <c r="A103" s="137"/>
      <c r="B103" s="119"/>
      <c r="C103" s="119"/>
      <c r="D103" s="104" t="s">
        <v>534</v>
      </c>
      <c r="E103" s="102" t="s">
        <v>7682</v>
      </c>
      <c r="F103" s="52" t="s">
        <v>7183</v>
      </c>
      <c r="G103" s="3" t="s">
        <v>7683</v>
      </c>
      <c r="H103" s="3" t="s">
        <v>7684</v>
      </c>
      <c r="I103" s="52" t="s">
        <v>3449</v>
      </c>
      <c r="J103" s="3" t="s">
        <v>7685</v>
      </c>
      <c r="K103" s="4" t="s">
        <v>7686</v>
      </c>
    </row>
    <row r="104" spans="1:11">
      <c r="A104" s="137"/>
      <c r="B104" s="119"/>
      <c r="C104" s="119"/>
      <c r="D104" s="104" t="s">
        <v>536</v>
      </c>
      <c r="E104" s="102" t="s">
        <v>7687</v>
      </c>
      <c r="F104" s="52" t="s">
        <v>7183</v>
      </c>
      <c r="G104" s="3" t="s">
        <v>7688</v>
      </c>
      <c r="H104" s="3" t="s">
        <v>7689</v>
      </c>
      <c r="I104" s="52" t="s">
        <v>3449</v>
      </c>
      <c r="J104" s="3" t="s">
        <v>7690</v>
      </c>
      <c r="K104" s="4" t="s">
        <v>7691</v>
      </c>
    </row>
    <row r="105" spans="1:11">
      <c r="A105" s="137"/>
      <c r="B105" s="119"/>
      <c r="C105" s="119"/>
      <c r="D105" s="104" t="s">
        <v>538</v>
      </c>
      <c r="E105" s="102" t="s">
        <v>7692</v>
      </c>
      <c r="F105" s="52" t="s">
        <v>7183</v>
      </c>
      <c r="G105" s="3" t="s">
        <v>7693</v>
      </c>
      <c r="H105" s="3" t="s">
        <v>7694</v>
      </c>
      <c r="I105" s="52" t="s">
        <v>3449</v>
      </c>
      <c r="J105" s="3" t="s">
        <v>7695</v>
      </c>
      <c r="K105" s="4" t="s">
        <v>7696</v>
      </c>
    </row>
    <row r="106" spans="1:11">
      <c r="A106" s="137"/>
      <c r="B106" s="119"/>
      <c r="C106" s="119"/>
      <c r="D106" s="104" t="s">
        <v>540</v>
      </c>
      <c r="E106" s="102" t="s">
        <v>7697</v>
      </c>
      <c r="F106" s="52" t="s">
        <v>7183</v>
      </c>
      <c r="G106" s="3" t="s">
        <v>7698</v>
      </c>
      <c r="H106" s="3" t="s">
        <v>7699</v>
      </c>
      <c r="I106" s="52" t="s">
        <v>3450</v>
      </c>
      <c r="J106" s="3" t="s">
        <v>7700</v>
      </c>
      <c r="K106" s="4" t="s">
        <v>7701</v>
      </c>
    </row>
    <row r="107" spans="1:11">
      <c r="A107" s="137"/>
      <c r="B107" s="119"/>
      <c r="C107" s="119" t="s">
        <v>542</v>
      </c>
      <c r="D107" s="104" t="s">
        <v>543</v>
      </c>
      <c r="E107" s="102" t="s">
        <v>7702</v>
      </c>
      <c r="F107" s="52" t="s">
        <v>7189</v>
      </c>
      <c r="G107" s="3" t="s">
        <v>7703</v>
      </c>
      <c r="H107" s="3" t="s">
        <v>7704</v>
      </c>
      <c r="I107" s="52" t="s">
        <v>3449</v>
      </c>
      <c r="J107" s="3" t="s">
        <v>7705</v>
      </c>
      <c r="K107" s="4" t="s">
        <v>7706</v>
      </c>
    </row>
    <row r="108" spans="1:11">
      <c r="A108" s="137"/>
      <c r="B108" s="119"/>
      <c r="C108" s="119"/>
      <c r="D108" s="104" t="s">
        <v>504</v>
      </c>
      <c r="E108" s="102" t="s">
        <v>7707</v>
      </c>
      <c r="F108" s="52" t="s">
        <v>7183</v>
      </c>
      <c r="G108" s="3" t="s">
        <v>7708</v>
      </c>
      <c r="H108" s="3" t="s">
        <v>7709</v>
      </c>
      <c r="I108" s="52" t="s">
        <v>3449</v>
      </c>
      <c r="J108" s="3" t="s">
        <v>7710</v>
      </c>
      <c r="K108" s="4" t="s">
        <v>7711</v>
      </c>
    </row>
    <row r="109" spans="1:11">
      <c r="A109" s="137"/>
      <c r="B109" s="119"/>
      <c r="C109" s="119"/>
      <c r="D109" s="104" t="s">
        <v>546</v>
      </c>
      <c r="E109" s="102" t="s">
        <v>7712</v>
      </c>
      <c r="F109" s="52" t="s">
        <v>7183</v>
      </c>
      <c r="G109" s="3" t="s">
        <v>7713</v>
      </c>
      <c r="H109" s="3" t="s">
        <v>7714</v>
      </c>
      <c r="I109" s="52" t="s">
        <v>3449</v>
      </c>
      <c r="J109" s="3" t="s">
        <v>7715</v>
      </c>
      <c r="K109" s="4" t="s">
        <v>7716</v>
      </c>
    </row>
    <row r="110" spans="1:11">
      <c r="A110" s="137"/>
      <c r="B110" s="119"/>
      <c r="C110" s="119"/>
      <c r="D110" s="104" t="s">
        <v>548</v>
      </c>
      <c r="E110" s="102" t="s">
        <v>7717</v>
      </c>
      <c r="F110" s="52" t="s">
        <v>7183</v>
      </c>
      <c r="G110" s="3" t="s">
        <v>7718</v>
      </c>
      <c r="H110" s="3" t="s">
        <v>7719</v>
      </c>
      <c r="I110" s="52" t="s">
        <v>3449</v>
      </c>
      <c r="J110" s="3" t="s">
        <v>7720</v>
      </c>
      <c r="K110" s="4" t="s">
        <v>7721</v>
      </c>
    </row>
    <row r="111" spans="1:11">
      <c r="A111" s="137"/>
      <c r="B111" s="119"/>
      <c r="C111" s="119"/>
      <c r="D111" s="104" t="s">
        <v>507</v>
      </c>
      <c r="E111" s="102" t="s">
        <v>7722</v>
      </c>
      <c r="F111" s="52" t="s">
        <v>7183</v>
      </c>
      <c r="G111" s="3" t="s">
        <v>7723</v>
      </c>
      <c r="H111" s="3" t="s">
        <v>7724</v>
      </c>
      <c r="I111" s="52" t="s">
        <v>3449</v>
      </c>
      <c r="J111" s="3" t="s">
        <v>7725</v>
      </c>
      <c r="K111" s="4" t="s">
        <v>7726</v>
      </c>
    </row>
    <row r="112" spans="1:11">
      <c r="A112" s="137"/>
      <c r="B112" s="119"/>
      <c r="C112" s="119" t="s">
        <v>551</v>
      </c>
      <c r="D112" s="104" t="s">
        <v>552</v>
      </c>
      <c r="E112" s="102" t="s">
        <v>7727</v>
      </c>
      <c r="F112" s="52" t="s">
        <v>7189</v>
      </c>
      <c r="G112" s="3" t="s">
        <v>7728</v>
      </c>
      <c r="H112" s="3" t="s">
        <v>7729</v>
      </c>
      <c r="I112" s="52" t="s">
        <v>3449</v>
      </c>
      <c r="J112" s="3" t="s">
        <v>7730</v>
      </c>
      <c r="K112" s="4" t="s">
        <v>7731</v>
      </c>
    </row>
    <row r="113" spans="1:11">
      <c r="A113" s="137"/>
      <c r="B113" s="119"/>
      <c r="C113" s="119"/>
      <c r="D113" s="104" t="s">
        <v>554</v>
      </c>
      <c r="E113" s="102" t="s">
        <v>7732</v>
      </c>
      <c r="F113" s="52" t="s">
        <v>7183</v>
      </c>
      <c r="G113" s="3" t="s">
        <v>7733</v>
      </c>
      <c r="H113" s="3" t="s">
        <v>7734</v>
      </c>
      <c r="I113" s="52" t="s">
        <v>3450</v>
      </c>
      <c r="J113" s="3" t="s">
        <v>7735</v>
      </c>
      <c r="K113" s="4" t="s">
        <v>7736</v>
      </c>
    </row>
    <row r="114" spans="1:11">
      <c r="A114" s="137"/>
      <c r="B114" s="119"/>
      <c r="C114" s="119"/>
      <c r="D114" s="104" t="s">
        <v>556</v>
      </c>
      <c r="E114" s="102" t="s">
        <v>7737</v>
      </c>
      <c r="F114" s="52" t="s">
        <v>7183</v>
      </c>
      <c r="G114" s="3" t="s">
        <v>7738</v>
      </c>
      <c r="H114" s="3" t="s">
        <v>7739</v>
      </c>
      <c r="I114" s="52" t="s">
        <v>3450</v>
      </c>
      <c r="J114" s="3" t="s">
        <v>7740</v>
      </c>
      <c r="K114" s="4" t="s">
        <v>7741</v>
      </c>
    </row>
    <row r="115" spans="1:11">
      <c r="A115" s="137"/>
      <c r="B115" s="119"/>
      <c r="C115" s="119"/>
      <c r="D115" s="104" t="s">
        <v>558</v>
      </c>
      <c r="E115" s="102" t="s">
        <v>7742</v>
      </c>
      <c r="F115" s="52" t="s">
        <v>7183</v>
      </c>
      <c r="G115" s="3" t="s">
        <v>7743</v>
      </c>
      <c r="H115" s="3" t="s">
        <v>7744</v>
      </c>
      <c r="I115" s="52" t="s">
        <v>3450</v>
      </c>
      <c r="J115" s="3" t="s">
        <v>7745</v>
      </c>
      <c r="K115" s="4" t="s">
        <v>7746</v>
      </c>
    </row>
    <row r="116" spans="1:11">
      <c r="A116" s="137"/>
      <c r="B116" s="119"/>
      <c r="C116" s="119"/>
      <c r="D116" s="104" t="s">
        <v>529</v>
      </c>
      <c r="E116" s="102" t="s">
        <v>7672</v>
      </c>
      <c r="F116" s="52" t="s">
        <v>7183</v>
      </c>
      <c r="G116" s="3" t="s">
        <v>7747</v>
      </c>
      <c r="H116" s="3" t="s">
        <v>7748</v>
      </c>
      <c r="I116" s="52" t="s">
        <v>7320</v>
      </c>
      <c r="J116" s="3" t="s">
        <v>7749</v>
      </c>
      <c r="K116" s="4" t="s">
        <v>7750</v>
      </c>
    </row>
    <row r="117" spans="1:11">
      <c r="A117" s="137"/>
      <c r="B117" s="119"/>
      <c r="C117" s="119" t="s">
        <v>561</v>
      </c>
      <c r="D117" s="104" t="s">
        <v>562</v>
      </c>
      <c r="E117" s="102" t="s">
        <v>7751</v>
      </c>
      <c r="F117" s="52" t="s">
        <v>7189</v>
      </c>
      <c r="G117" s="3" t="s">
        <v>7752</v>
      </c>
      <c r="H117" s="3" t="s">
        <v>7753</v>
      </c>
      <c r="I117" s="52" t="s">
        <v>3450</v>
      </c>
      <c r="J117" s="3" t="s">
        <v>7754</v>
      </c>
      <c r="K117" s="4" t="s">
        <v>7755</v>
      </c>
    </row>
    <row r="118" spans="1:11">
      <c r="A118" s="137"/>
      <c r="B118" s="119"/>
      <c r="C118" s="119"/>
      <c r="D118" s="104" t="s">
        <v>564</v>
      </c>
      <c r="E118" s="102" t="s">
        <v>7756</v>
      </c>
      <c r="F118" s="52" t="s">
        <v>7183</v>
      </c>
      <c r="G118" s="3" t="s">
        <v>7757</v>
      </c>
      <c r="H118" s="3" t="s">
        <v>7758</v>
      </c>
      <c r="I118" s="52" t="s">
        <v>3449</v>
      </c>
      <c r="J118" s="3" t="s">
        <v>7759</v>
      </c>
      <c r="K118" s="4" t="s">
        <v>7760</v>
      </c>
    </row>
    <row r="119" spans="1:11">
      <c r="A119" s="137"/>
      <c r="B119" s="119"/>
      <c r="C119" s="119"/>
      <c r="D119" s="104" t="s">
        <v>566</v>
      </c>
      <c r="E119" s="102" t="s">
        <v>7761</v>
      </c>
      <c r="F119" s="52" t="s">
        <v>7183</v>
      </c>
      <c r="G119" s="3" t="s">
        <v>7762</v>
      </c>
      <c r="H119" s="3" t="s">
        <v>7763</v>
      </c>
      <c r="I119" s="52" t="s">
        <v>3449</v>
      </c>
      <c r="J119" s="3" t="s">
        <v>7764</v>
      </c>
      <c r="K119" s="4" t="s">
        <v>7765</v>
      </c>
    </row>
    <row r="120" spans="1:11">
      <c r="A120" s="137"/>
      <c r="B120" s="119"/>
      <c r="C120" s="119"/>
      <c r="D120" s="104" t="s">
        <v>568</v>
      </c>
      <c r="E120" s="102" t="s">
        <v>7766</v>
      </c>
      <c r="F120" s="52" t="s">
        <v>7183</v>
      </c>
      <c r="G120" s="3" t="s">
        <v>7767</v>
      </c>
      <c r="H120" s="3" t="s">
        <v>7768</v>
      </c>
      <c r="I120" s="52" t="s">
        <v>3449</v>
      </c>
      <c r="J120" s="3" t="s">
        <v>7769</v>
      </c>
      <c r="K120" s="4" t="s">
        <v>7770</v>
      </c>
    </row>
    <row r="121" spans="1:11">
      <c r="A121" s="137"/>
      <c r="B121" s="119"/>
      <c r="C121" s="119"/>
      <c r="D121" s="104" t="s">
        <v>570</v>
      </c>
      <c r="E121" s="102" t="s">
        <v>7771</v>
      </c>
      <c r="F121" s="52" t="s">
        <v>7183</v>
      </c>
      <c r="G121" s="3" t="s">
        <v>7772</v>
      </c>
      <c r="H121" s="3" t="s">
        <v>7773</v>
      </c>
      <c r="I121" s="52" t="s">
        <v>3449</v>
      </c>
      <c r="J121" s="3" t="s">
        <v>7774</v>
      </c>
      <c r="K121" s="4" t="s">
        <v>7775</v>
      </c>
    </row>
    <row r="122" spans="1:11">
      <c r="A122" s="137"/>
      <c r="B122" s="119"/>
      <c r="C122" s="119" t="s">
        <v>572</v>
      </c>
      <c r="D122" s="104" t="s">
        <v>573</v>
      </c>
      <c r="E122" s="102" t="s">
        <v>7776</v>
      </c>
      <c r="F122" s="52" t="s">
        <v>7189</v>
      </c>
      <c r="G122" s="3" t="s">
        <v>7777</v>
      </c>
      <c r="H122" s="3" t="s">
        <v>7778</v>
      </c>
      <c r="I122" s="52" t="s">
        <v>3449</v>
      </c>
      <c r="J122" s="3" t="s">
        <v>7779</v>
      </c>
      <c r="K122" s="4" t="s">
        <v>7780</v>
      </c>
    </row>
    <row r="123" spans="1:11">
      <c r="A123" s="137"/>
      <c r="B123" s="119"/>
      <c r="C123" s="119"/>
      <c r="D123" s="104" t="s">
        <v>575</v>
      </c>
      <c r="E123" s="102" t="s">
        <v>7781</v>
      </c>
      <c r="F123" s="52" t="s">
        <v>7183</v>
      </c>
      <c r="G123" s="3" t="s">
        <v>7782</v>
      </c>
      <c r="H123" s="3" t="s">
        <v>7783</v>
      </c>
      <c r="I123" s="52" t="s">
        <v>3449</v>
      </c>
      <c r="J123" s="3" t="s">
        <v>7784</v>
      </c>
      <c r="K123" s="4" t="s">
        <v>7785</v>
      </c>
    </row>
    <row r="124" spans="1:11">
      <c r="A124" s="137"/>
      <c r="B124" s="119"/>
      <c r="C124" s="119"/>
      <c r="D124" s="104" t="s">
        <v>577</v>
      </c>
      <c r="E124" s="102" t="s">
        <v>7786</v>
      </c>
      <c r="F124" s="52" t="s">
        <v>7183</v>
      </c>
      <c r="G124" s="3" t="s">
        <v>7787</v>
      </c>
      <c r="H124" s="3" t="s">
        <v>7788</v>
      </c>
      <c r="I124" s="52" t="s">
        <v>3449</v>
      </c>
      <c r="J124" s="3" t="s">
        <v>7789</v>
      </c>
      <c r="K124" s="4" t="s">
        <v>7790</v>
      </c>
    </row>
    <row r="125" spans="1:11">
      <c r="A125" s="137"/>
      <c r="B125" s="119"/>
      <c r="C125" s="119"/>
      <c r="D125" s="104" t="s">
        <v>579</v>
      </c>
      <c r="E125" s="102" t="s">
        <v>7791</v>
      </c>
      <c r="F125" s="52" t="s">
        <v>7183</v>
      </c>
      <c r="G125" s="3" t="s">
        <v>7792</v>
      </c>
      <c r="H125" s="3" t="s">
        <v>7793</v>
      </c>
      <c r="I125" s="52" t="s">
        <v>3449</v>
      </c>
      <c r="J125" s="3" t="s">
        <v>7794</v>
      </c>
      <c r="K125" s="138" t="s">
        <v>7795</v>
      </c>
    </row>
    <row r="126" spans="1:11">
      <c r="A126" s="137"/>
      <c r="B126" s="119"/>
      <c r="C126" s="119"/>
      <c r="D126" s="104" t="s">
        <v>581</v>
      </c>
      <c r="E126" s="102" t="s">
        <v>7796</v>
      </c>
      <c r="F126" s="52" t="s">
        <v>7183</v>
      </c>
      <c r="G126" s="3" t="s">
        <v>7797</v>
      </c>
      <c r="H126" s="3" t="s">
        <v>7798</v>
      </c>
      <c r="I126" s="52" t="s">
        <v>3449</v>
      </c>
      <c r="J126" s="3" t="s">
        <v>7799</v>
      </c>
      <c r="K126" s="138" t="s">
        <v>7800</v>
      </c>
    </row>
    <row r="127" spans="1:11">
      <c r="A127" s="137"/>
      <c r="B127" s="119"/>
      <c r="C127" s="119" t="s">
        <v>583</v>
      </c>
      <c r="D127" s="104" t="s">
        <v>584</v>
      </c>
      <c r="E127" s="102" t="s">
        <v>7801</v>
      </c>
      <c r="F127" s="52" t="s">
        <v>7189</v>
      </c>
      <c r="G127" s="3" t="s">
        <v>7802</v>
      </c>
      <c r="H127" s="3" t="s">
        <v>7803</v>
      </c>
      <c r="I127" s="52" t="s">
        <v>3449</v>
      </c>
      <c r="J127" s="3" t="s">
        <v>7804</v>
      </c>
      <c r="K127" s="138" t="s">
        <v>7805</v>
      </c>
    </row>
    <row r="128" spans="1:11">
      <c r="A128" s="137"/>
      <c r="B128" s="119"/>
      <c r="C128" s="119"/>
      <c r="D128" s="104" t="s">
        <v>586</v>
      </c>
      <c r="E128" s="102" t="s">
        <v>7806</v>
      </c>
      <c r="F128" s="52" t="s">
        <v>7183</v>
      </c>
      <c r="G128" s="3" t="s">
        <v>7807</v>
      </c>
      <c r="H128" s="3" t="s">
        <v>7808</v>
      </c>
      <c r="I128" s="52" t="s">
        <v>3449</v>
      </c>
      <c r="J128" s="3" t="s">
        <v>7809</v>
      </c>
      <c r="K128" s="138" t="s">
        <v>7810</v>
      </c>
    </row>
    <row r="129" spans="1:11">
      <c r="A129" s="137"/>
      <c r="B129" s="119"/>
      <c r="C129" s="119"/>
      <c r="D129" s="104" t="s">
        <v>588</v>
      </c>
      <c r="E129" s="102" t="s">
        <v>7811</v>
      </c>
      <c r="F129" s="52" t="s">
        <v>7183</v>
      </c>
      <c r="G129" s="3" t="s">
        <v>7812</v>
      </c>
      <c r="H129" s="3" t="s">
        <v>7813</v>
      </c>
      <c r="I129" s="52" t="s">
        <v>3449</v>
      </c>
      <c r="J129" s="3" t="s">
        <v>7814</v>
      </c>
      <c r="K129" s="138" t="s">
        <v>7815</v>
      </c>
    </row>
    <row r="130" spans="1:11">
      <c r="A130" s="137"/>
      <c r="B130" s="119"/>
      <c r="C130" s="119"/>
      <c r="D130" s="104" t="s">
        <v>590</v>
      </c>
      <c r="E130" s="102" t="s">
        <v>7816</v>
      </c>
      <c r="F130" s="52" t="s">
        <v>7183</v>
      </c>
      <c r="G130" s="3" t="s">
        <v>7817</v>
      </c>
      <c r="H130" s="3" t="s">
        <v>7818</v>
      </c>
      <c r="I130" s="52" t="s">
        <v>3449</v>
      </c>
      <c r="J130" s="3" t="s">
        <v>7819</v>
      </c>
      <c r="K130" s="138" t="s">
        <v>7820</v>
      </c>
    </row>
    <row r="131" spans="1:11">
      <c r="A131" s="137"/>
      <c r="B131" s="119"/>
      <c r="C131" s="119"/>
      <c r="D131" s="104" t="s">
        <v>592</v>
      </c>
      <c r="E131" s="102" t="s">
        <v>7821</v>
      </c>
      <c r="F131" s="52" t="s">
        <v>7183</v>
      </c>
      <c r="G131" s="3" t="s">
        <v>7822</v>
      </c>
      <c r="H131" s="3" t="s">
        <v>7823</v>
      </c>
      <c r="I131" s="52" t="s">
        <v>3449</v>
      </c>
      <c r="J131" s="3" t="s">
        <v>7824</v>
      </c>
      <c r="K131" s="138" t="s">
        <v>7825</v>
      </c>
    </row>
    <row r="132" spans="1:11">
      <c r="A132" s="137"/>
      <c r="B132" s="119"/>
      <c r="C132" s="119" t="s">
        <v>594</v>
      </c>
      <c r="D132" s="104" t="s">
        <v>595</v>
      </c>
      <c r="E132" s="102" t="s">
        <v>7826</v>
      </c>
      <c r="F132" s="52" t="s">
        <v>7189</v>
      </c>
      <c r="G132" s="3" t="s">
        <v>7827</v>
      </c>
      <c r="H132" s="3" t="s">
        <v>7828</v>
      </c>
      <c r="I132" s="52" t="s">
        <v>3449</v>
      </c>
      <c r="J132" s="3" t="s">
        <v>7829</v>
      </c>
      <c r="K132" s="138" t="s">
        <v>7830</v>
      </c>
    </row>
    <row r="133" spans="1:11">
      <c r="A133" s="137"/>
      <c r="B133" s="119"/>
      <c r="C133" s="119"/>
      <c r="D133" s="104" t="s">
        <v>597</v>
      </c>
      <c r="E133" s="102" t="s">
        <v>7831</v>
      </c>
      <c r="F133" s="52" t="s">
        <v>7183</v>
      </c>
      <c r="G133" s="3" t="s">
        <v>7832</v>
      </c>
      <c r="H133" s="3" t="s">
        <v>7833</v>
      </c>
      <c r="I133" s="52" t="s">
        <v>3449</v>
      </c>
      <c r="J133" s="3" t="s">
        <v>7834</v>
      </c>
      <c r="K133" s="138" t="s">
        <v>7835</v>
      </c>
    </row>
    <row r="134" spans="1:11">
      <c r="A134" s="137"/>
      <c r="B134" s="119"/>
      <c r="C134" s="119"/>
      <c r="D134" s="104" t="s">
        <v>599</v>
      </c>
      <c r="E134" s="102" t="s">
        <v>7836</v>
      </c>
      <c r="F134" s="52" t="s">
        <v>7183</v>
      </c>
      <c r="G134" s="3" t="s">
        <v>7837</v>
      </c>
      <c r="H134" s="3" t="s">
        <v>7838</v>
      </c>
      <c r="I134" s="52" t="s">
        <v>3449</v>
      </c>
      <c r="J134" s="3" t="s">
        <v>7839</v>
      </c>
      <c r="K134" s="138" t="s">
        <v>7840</v>
      </c>
    </row>
    <row r="135" spans="1:11">
      <c r="A135" s="137"/>
      <c r="B135" s="119"/>
      <c r="C135" s="119"/>
      <c r="D135" s="104" t="s">
        <v>601</v>
      </c>
      <c r="E135" s="102" t="s">
        <v>7841</v>
      </c>
      <c r="F135" s="52" t="s">
        <v>7183</v>
      </c>
      <c r="G135" s="3" t="s">
        <v>7842</v>
      </c>
      <c r="H135" s="3" t="s">
        <v>7843</v>
      </c>
      <c r="I135" s="52" t="s">
        <v>3449</v>
      </c>
      <c r="J135" s="3" t="s">
        <v>7844</v>
      </c>
      <c r="K135" s="138" t="s">
        <v>7845</v>
      </c>
    </row>
    <row r="136" spans="1:11">
      <c r="A136" s="137"/>
      <c r="B136" s="119"/>
      <c r="C136" s="119"/>
      <c r="D136" s="104" t="s">
        <v>603</v>
      </c>
      <c r="E136" s="102" t="s">
        <v>7846</v>
      </c>
      <c r="F136" s="52" t="s">
        <v>7183</v>
      </c>
      <c r="G136" s="3" t="s">
        <v>7847</v>
      </c>
      <c r="H136" s="3" t="s">
        <v>7848</v>
      </c>
      <c r="I136" s="52" t="s">
        <v>3449</v>
      </c>
      <c r="J136" s="3" t="s">
        <v>7849</v>
      </c>
      <c r="K136" s="138" t="s">
        <v>7850</v>
      </c>
    </row>
    <row r="137" spans="1:11">
      <c r="A137" s="137"/>
      <c r="B137" s="119"/>
      <c r="C137" s="119" t="s">
        <v>605</v>
      </c>
      <c r="D137" s="104" t="s">
        <v>606</v>
      </c>
      <c r="E137" s="102" t="s">
        <v>7851</v>
      </c>
      <c r="F137" s="52" t="s">
        <v>7189</v>
      </c>
      <c r="G137" s="3" t="s">
        <v>7852</v>
      </c>
      <c r="H137" s="3" t="s">
        <v>7853</v>
      </c>
      <c r="I137" s="52" t="s">
        <v>3449</v>
      </c>
      <c r="J137" s="3" t="s">
        <v>7854</v>
      </c>
      <c r="K137" s="138" t="s">
        <v>7855</v>
      </c>
    </row>
    <row r="138" spans="1:11">
      <c r="A138" s="137"/>
      <c r="B138" s="119"/>
      <c r="C138" s="119"/>
      <c r="D138" s="104" t="s">
        <v>504</v>
      </c>
      <c r="E138" s="102" t="s">
        <v>7856</v>
      </c>
      <c r="F138" s="52" t="s">
        <v>7183</v>
      </c>
      <c r="G138" s="3" t="s">
        <v>7857</v>
      </c>
      <c r="H138" s="3" t="s">
        <v>7858</v>
      </c>
      <c r="I138" s="52" t="s">
        <v>3449</v>
      </c>
      <c r="J138" s="3" t="s">
        <v>7859</v>
      </c>
      <c r="K138" s="138" t="s">
        <v>7860</v>
      </c>
    </row>
    <row r="139" spans="1:11">
      <c r="A139" s="137"/>
      <c r="B139" s="119"/>
      <c r="C139" s="119"/>
      <c r="D139" s="104" t="s">
        <v>609</v>
      </c>
      <c r="E139" s="102" t="s">
        <v>7861</v>
      </c>
      <c r="F139" s="52" t="s">
        <v>7183</v>
      </c>
      <c r="G139" s="3" t="s">
        <v>7862</v>
      </c>
      <c r="H139" s="3" t="s">
        <v>7863</v>
      </c>
      <c r="I139" s="52" t="s">
        <v>3449</v>
      </c>
      <c r="J139" s="3" t="s">
        <v>7864</v>
      </c>
      <c r="K139" s="138" t="s">
        <v>7865</v>
      </c>
    </row>
    <row r="140" spans="1:11">
      <c r="A140" s="137"/>
      <c r="B140" s="119"/>
      <c r="C140" s="119"/>
      <c r="D140" s="104" t="s">
        <v>611</v>
      </c>
      <c r="E140" s="102" t="s">
        <v>7866</v>
      </c>
      <c r="F140" s="52" t="s">
        <v>7183</v>
      </c>
      <c r="G140" s="3" t="s">
        <v>7867</v>
      </c>
      <c r="H140" s="3" t="s">
        <v>7868</v>
      </c>
      <c r="I140" s="52" t="s">
        <v>3449</v>
      </c>
      <c r="J140" s="3" t="s">
        <v>7869</v>
      </c>
      <c r="K140" s="138" t="s">
        <v>7870</v>
      </c>
    </row>
    <row r="141" spans="1:11">
      <c r="A141" s="137"/>
      <c r="B141" s="119"/>
      <c r="C141" s="119"/>
      <c r="D141" s="104" t="s">
        <v>507</v>
      </c>
      <c r="E141" s="102" t="s">
        <v>7871</v>
      </c>
      <c r="F141" s="52" t="s">
        <v>7183</v>
      </c>
      <c r="G141" s="3" t="s">
        <v>7872</v>
      </c>
      <c r="H141" s="3" t="s">
        <v>7873</v>
      </c>
      <c r="I141" s="52" t="s">
        <v>3449</v>
      </c>
      <c r="J141" s="3" t="s">
        <v>7874</v>
      </c>
      <c r="K141" s="138" t="s">
        <v>7875</v>
      </c>
    </row>
    <row r="142" spans="1:11">
      <c r="A142" s="137"/>
      <c r="B142" s="119"/>
      <c r="C142" s="119" t="s">
        <v>614</v>
      </c>
      <c r="D142" s="104" t="s">
        <v>615</v>
      </c>
      <c r="E142" s="102" t="s">
        <v>7876</v>
      </c>
      <c r="F142" s="52" t="s">
        <v>7189</v>
      </c>
      <c r="G142" s="3" t="s">
        <v>7877</v>
      </c>
      <c r="H142" s="3" t="s">
        <v>7878</v>
      </c>
      <c r="I142" s="52" t="s">
        <v>3449</v>
      </c>
      <c r="J142" s="3" t="s">
        <v>7879</v>
      </c>
      <c r="K142" s="138" t="s">
        <v>7880</v>
      </c>
    </row>
    <row r="143" spans="1:11">
      <c r="A143" s="137"/>
      <c r="B143" s="119"/>
      <c r="C143" s="119"/>
      <c r="D143" s="104" t="s">
        <v>504</v>
      </c>
      <c r="E143" s="102" t="s">
        <v>7881</v>
      </c>
      <c r="F143" s="52" t="s">
        <v>7183</v>
      </c>
      <c r="G143" s="3" t="s">
        <v>7882</v>
      </c>
      <c r="H143" s="3" t="s">
        <v>7883</v>
      </c>
      <c r="I143" s="52" t="s">
        <v>3449</v>
      </c>
      <c r="J143" s="3" t="s">
        <v>7884</v>
      </c>
      <c r="K143" s="138" t="s">
        <v>7885</v>
      </c>
    </row>
    <row r="144" spans="1:11">
      <c r="A144" s="137"/>
      <c r="B144" s="119"/>
      <c r="C144" s="119"/>
      <c r="D144" s="104" t="s">
        <v>609</v>
      </c>
      <c r="E144" s="102" t="s">
        <v>7886</v>
      </c>
      <c r="F144" s="52" t="s">
        <v>7183</v>
      </c>
      <c r="G144" s="3" t="s">
        <v>7887</v>
      </c>
      <c r="H144" s="3" t="s">
        <v>7888</v>
      </c>
      <c r="I144" s="52" t="s">
        <v>3449</v>
      </c>
      <c r="J144" s="3" t="s">
        <v>7889</v>
      </c>
      <c r="K144" s="138" t="s">
        <v>7890</v>
      </c>
    </row>
    <row r="145" spans="1:11">
      <c r="A145" s="137"/>
      <c r="B145" s="119"/>
      <c r="C145" s="119"/>
      <c r="D145" s="104" t="s">
        <v>611</v>
      </c>
      <c r="E145" s="102" t="s">
        <v>7891</v>
      </c>
      <c r="F145" s="52" t="s">
        <v>7183</v>
      </c>
      <c r="G145" s="3" t="s">
        <v>7892</v>
      </c>
      <c r="H145" s="3" t="s">
        <v>7893</v>
      </c>
      <c r="I145" s="52" t="s">
        <v>3449</v>
      </c>
      <c r="J145" s="3" t="s">
        <v>7894</v>
      </c>
      <c r="K145" s="138" t="s">
        <v>7895</v>
      </c>
    </row>
    <row r="146" spans="1:11">
      <c r="A146" s="137"/>
      <c r="B146" s="119"/>
      <c r="C146" s="119"/>
      <c r="D146" s="104" t="s">
        <v>507</v>
      </c>
      <c r="E146" s="102" t="s">
        <v>7896</v>
      </c>
      <c r="F146" s="52" t="s">
        <v>7183</v>
      </c>
      <c r="G146" s="3" t="s">
        <v>7897</v>
      </c>
      <c r="H146" s="3" t="s">
        <v>7898</v>
      </c>
      <c r="I146" s="52" t="s">
        <v>3449</v>
      </c>
      <c r="J146" s="3" t="s">
        <v>7899</v>
      </c>
      <c r="K146" s="138" t="s">
        <v>7900</v>
      </c>
    </row>
    <row r="147" spans="1:11">
      <c r="A147" s="137"/>
      <c r="B147" s="119"/>
      <c r="C147" s="119" t="s">
        <v>621</v>
      </c>
      <c r="D147" s="104" t="s">
        <v>622</v>
      </c>
      <c r="E147" s="102" t="s">
        <v>7901</v>
      </c>
      <c r="F147" s="52" t="s">
        <v>7189</v>
      </c>
      <c r="G147" s="3" t="s">
        <v>7902</v>
      </c>
      <c r="H147" s="3" t="s">
        <v>7903</v>
      </c>
      <c r="I147" s="52" t="s">
        <v>3449</v>
      </c>
      <c r="J147" s="3" t="s">
        <v>7904</v>
      </c>
      <c r="K147" s="138" t="s">
        <v>7905</v>
      </c>
    </row>
    <row r="148" spans="1:11">
      <c r="A148" s="137"/>
      <c r="B148" s="119"/>
      <c r="C148" s="119"/>
      <c r="D148" s="104" t="s">
        <v>624</v>
      </c>
      <c r="E148" s="102" t="s">
        <v>7906</v>
      </c>
      <c r="F148" s="52" t="s">
        <v>7183</v>
      </c>
      <c r="G148" s="3" t="s">
        <v>7907</v>
      </c>
      <c r="H148" s="3" t="s">
        <v>7908</v>
      </c>
      <c r="I148" s="52" t="s">
        <v>3449</v>
      </c>
      <c r="J148" s="3" t="s">
        <v>7909</v>
      </c>
      <c r="K148" s="138" t="s">
        <v>7910</v>
      </c>
    </row>
    <row r="149" spans="1:11">
      <c r="A149" s="137"/>
      <c r="B149" s="119"/>
      <c r="C149" s="119"/>
      <c r="D149" s="104" t="s">
        <v>626</v>
      </c>
      <c r="E149" s="102" t="s">
        <v>7911</v>
      </c>
      <c r="F149" s="52" t="s">
        <v>7183</v>
      </c>
      <c r="G149" s="3" t="s">
        <v>7912</v>
      </c>
      <c r="H149" s="3" t="s">
        <v>7913</v>
      </c>
      <c r="I149" s="52" t="s">
        <v>3449</v>
      </c>
      <c r="J149" s="3" t="s">
        <v>7914</v>
      </c>
      <c r="K149" s="138" t="s">
        <v>7915</v>
      </c>
    </row>
    <row r="150" spans="1:11">
      <c r="A150" s="137"/>
      <c r="B150" s="119"/>
      <c r="C150" s="119"/>
      <c r="D150" s="104" t="s">
        <v>628</v>
      </c>
      <c r="E150" s="102" t="s">
        <v>7916</v>
      </c>
      <c r="F150" s="52" t="s">
        <v>7183</v>
      </c>
      <c r="G150" s="3" t="s">
        <v>7917</v>
      </c>
      <c r="H150" s="3" t="s">
        <v>7918</v>
      </c>
      <c r="I150" s="52" t="s">
        <v>3449</v>
      </c>
      <c r="J150" s="3" t="s">
        <v>7919</v>
      </c>
      <c r="K150" s="138" t="s">
        <v>7920</v>
      </c>
    </row>
    <row r="151" spans="1:11">
      <c r="A151" s="137"/>
      <c r="B151" s="119"/>
      <c r="C151" s="119"/>
      <c r="D151" s="104" t="s">
        <v>630</v>
      </c>
      <c r="E151" s="102" t="s">
        <v>7921</v>
      </c>
      <c r="F151" s="52" t="s">
        <v>7183</v>
      </c>
      <c r="G151" s="3" t="s">
        <v>7922</v>
      </c>
      <c r="H151" s="3" t="s">
        <v>7923</v>
      </c>
      <c r="I151" s="52" t="s">
        <v>3449</v>
      </c>
      <c r="J151" s="3" t="s">
        <v>7924</v>
      </c>
      <c r="K151" s="138" t="s">
        <v>7925</v>
      </c>
    </row>
    <row r="152" spans="1:11">
      <c r="A152" s="137"/>
      <c r="B152" s="119"/>
      <c r="C152" s="119" t="s">
        <v>632</v>
      </c>
      <c r="D152" s="104" t="s">
        <v>633</v>
      </c>
      <c r="E152" s="102" t="s">
        <v>7926</v>
      </c>
      <c r="F152" s="52" t="s">
        <v>7189</v>
      </c>
      <c r="G152" s="3" t="s">
        <v>7927</v>
      </c>
      <c r="H152" s="3" t="s">
        <v>7928</v>
      </c>
      <c r="I152" s="52" t="s">
        <v>3449</v>
      </c>
      <c r="J152" s="3" t="s">
        <v>7929</v>
      </c>
      <c r="K152" s="138" t="s">
        <v>7930</v>
      </c>
    </row>
    <row r="153" spans="1:11">
      <c r="A153" s="137"/>
      <c r="B153" s="119"/>
      <c r="C153" s="119"/>
      <c r="D153" s="104" t="s">
        <v>635</v>
      </c>
      <c r="E153" s="102" t="s">
        <v>7931</v>
      </c>
      <c r="F153" s="52" t="s">
        <v>7183</v>
      </c>
      <c r="G153" s="3" t="s">
        <v>7932</v>
      </c>
      <c r="H153" s="3" t="s">
        <v>7933</v>
      </c>
      <c r="I153" s="52" t="s">
        <v>3449</v>
      </c>
      <c r="J153" s="3" t="s">
        <v>7934</v>
      </c>
      <c r="K153" s="138" t="s">
        <v>7935</v>
      </c>
    </row>
    <row r="154" spans="1:11">
      <c r="A154" s="137"/>
      <c r="B154" s="119"/>
      <c r="C154" s="119"/>
      <c r="D154" s="104" t="s">
        <v>637</v>
      </c>
      <c r="E154" s="102" t="s">
        <v>7936</v>
      </c>
      <c r="F154" s="52" t="s">
        <v>7183</v>
      </c>
      <c r="G154" s="3" t="s">
        <v>7937</v>
      </c>
      <c r="H154" s="3" t="s">
        <v>7938</v>
      </c>
      <c r="I154" s="52" t="s">
        <v>3449</v>
      </c>
      <c r="J154" s="3" t="s">
        <v>7939</v>
      </c>
      <c r="K154" s="138" t="s">
        <v>7940</v>
      </c>
    </row>
    <row r="155" spans="1:11">
      <c r="A155" s="137"/>
      <c r="B155" s="119"/>
      <c r="C155" s="119"/>
      <c r="D155" s="104" t="s">
        <v>639</v>
      </c>
      <c r="E155" s="102" t="s">
        <v>7941</v>
      </c>
      <c r="F155" s="52" t="s">
        <v>7183</v>
      </c>
      <c r="G155" s="3" t="s">
        <v>7942</v>
      </c>
      <c r="H155" s="3" t="s">
        <v>7943</v>
      </c>
      <c r="I155" s="52" t="s">
        <v>3450</v>
      </c>
      <c r="J155" s="3" t="s">
        <v>7944</v>
      </c>
      <c r="K155" s="138" t="s">
        <v>7945</v>
      </c>
    </row>
    <row r="156" spans="1:11">
      <c r="A156" s="137"/>
      <c r="B156" s="119"/>
      <c r="C156" s="119"/>
      <c r="D156" s="104" t="s">
        <v>529</v>
      </c>
      <c r="E156" s="102" t="s">
        <v>7672</v>
      </c>
      <c r="F156" s="52" t="s">
        <v>7183</v>
      </c>
      <c r="G156" s="3" t="s">
        <v>7946</v>
      </c>
      <c r="H156" s="3" t="s">
        <v>7947</v>
      </c>
      <c r="I156" s="52" t="s">
        <v>3449</v>
      </c>
      <c r="J156" s="3" t="s">
        <v>7948</v>
      </c>
      <c r="K156" s="138" t="s">
        <v>7949</v>
      </c>
    </row>
    <row r="157" spans="1:11">
      <c r="A157" s="137"/>
      <c r="B157" s="119"/>
      <c r="C157" s="119" t="s">
        <v>642</v>
      </c>
      <c r="D157" s="104" t="s">
        <v>643</v>
      </c>
      <c r="E157" s="102" t="s">
        <v>7950</v>
      </c>
      <c r="F157" s="52" t="s">
        <v>7189</v>
      </c>
      <c r="G157" s="3" t="s">
        <v>7951</v>
      </c>
      <c r="H157" s="3" t="s">
        <v>7952</v>
      </c>
      <c r="I157" s="52" t="s">
        <v>3449</v>
      </c>
      <c r="J157" s="3" t="s">
        <v>7953</v>
      </c>
      <c r="K157" s="138" t="s">
        <v>7954</v>
      </c>
    </row>
    <row r="158" spans="1:11">
      <c r="A158" s="137"/>
      <c r="B158" s="119"/>
      <c r="C158" s="119"/>
      <c r="D158" s="104" t="s">
        <v>645</v>
      </c>
      <c r="E158" s="102" t="s">
        <v>7955</v>
      </c>
      <c r="F158" s="52" t="s">
        <v>7183</v>
      </c>
      <c r="G158" s="3" t="s">
        <v>7956</v>
      </c>
      <c r="H158" s="3" t="s">
        <v>7957</v>
      </c>
      <c r="I158" s="52" t="s">
        <v>3449</v>
      </c>
      <c r="J158" s="3" t="s">
        <v>7958</v>
      </c>
      <c r="K158" s="138" t="s">
        <v>7959</v>
      </c>
    </row>
    <row r="159" spans="1:11">
      <c r="A159" s="137"/>
      <c r="B159" s="119"/>
      <c r="C159" s="119"/>
      <c r="D159" s="104" t="s">
        <v>647</v>
      </c>
      <c r="E159" s="102" t="s">
        <v>7960</v>
      </c>
      <c r="F159" s="52" t="s">
        <v>7183</v>
      </c>
      <c r="G159" s="3" t="s">
        <v>7961</v>
      </c>
      <c r="H159" s="3" t="s">
        <v>7962</v>
      </c>
      <c r="I159" s="52" t="s">
        <v>3449</v>
      </c>
      <c r="J159" s="3" t="s">
        <v>7963</v>
      </c>
      <c r="K159" s="138" t="s">
        <v>7964</v>
      </c>
    </row>
    <row r="160" spans="1:11">
      <c r="A160" s="137"/>
      <c r="B160" s="119"/>
      <c r="C160" s="119"/>
      <c r="D160" s="104" t="s">
        <v>649</v>
      </c>
      <c r="E160" s="102" t="s">
        <v>7965</v>
      </c>
      <c r="F160" s="52" t="s">
        <v>7183</v>
      </c>
      <c r="G160" s="3" t="s">
        <v>7966</v>
      </c>
      <c r="H160" s="3" t="s">
        <v>7967</v>
      </c>
      <c r="I160" s="52" t="s">
        <v>3449</v>
      </c>
      <c r="J160" s="3" t="s">
        <v>7968</v>
      </c>
      <c r="K160" s="138" t="s">
        <v>7969</v>
      </c>
    </row>
    <row r="161" spans="1:11">
      <c r="A161" s="137"/>
      <c r="B161" s="119"/>
      <c r="C161" s="119"/>
      <c r="D161" s="104" t="s">
        <v>529</v>
      </c>
      <c r="E161" s="102" t="s">
        <v>7672</v>
      </c>
      <c r="F161" s="52" t="s">
        <v>7183</v>
      </c>
      <c r="G161" s="3" t="s">
        <v>7970</v>
      </c>
      <c r="H161" s="3" t="s">
        <v>7971</v>
      </c>
      <c r="I161" s="52" t="s">
        <v>3449</v>
      </c>
      <c r="J161" s="3" t="s">
        <v>7972</v>
      </c>
      <c r="K161" s="138" t="s">
        <v>7973</v>
      </c>
    </row>
    <row r="162" spans="1:11">
      <c r="A162" s="137"/>
      <c r="B162" s="119"/>
      <c r="C162" s="119" t="s">
        <v>652</v>
      </c>
      <c r="D162" s="104" t="s">
        <v>653</v>
      </c>
      <c r="E162" s="102" t="s">
        <v>7974</v>
      </c>
      <c r="F162" s="52" t="s">
        <v>7189</v>
      </c>
      <c r="G162" s="3" t="s">
        <v>7975</v>
      </c>
      <c r="H162" s="3" t="s">
        <v>7976</v>
      </c>
      <c r="I162" s="52" t="s">
        <v>3449</v>
      </c>
      <c r="J162" s="3" t="s">
        <v>7977</v>
      </c>
      <c r="K162" s="138" t="s">
        <v>7978</v>
      </c>
    </row>
    <row r="163" spans="1:11">
      <c r="A163" s="137"/>
      <c r="B163" s="119"/>
      <c r="C163" s="119"/>
      <c r="D163" s="104" t="s">
        <v>655</v>
      </c>
      <c r="E163" s="102" t="s">
        <v>7979</v>
      </c>
      <c r="F163" s="52" t="s">
        <v>7183</v>
      </c>
      <c r="G163" s="3" t="s">
        <v>7980</v>
      </c>
      <c r="H163" s="3" t="s">
        <v>7981</v>
      </c>
      <c r="I163" s="52" t="s">
        <v>3449</v>
      </c>
      <c r="J163" s="3" t="s">
        <v>7982</v>
      </c>
      <c r="K163" s="138" t="s">
        <v>7983</v>
      </c>
    </row>
    <row r="164" spans="1:11">
      <c r="A164" s="137"/>
      <c r="B164" s="119"/>
      <c r="C164" s="119"/>
      <c r="D164" s="104" t="s">
        <v>657</v>
      </c>
      <c r="E164" s="102" t="s">
        <v>7984</v>
      </c>
      <c r="F164" s="52" t="s">
        <v>7183</v>
      </c>
      <c r="G164" s="3" t="s">
        <v>7985</v>
      </c>
      <c r="H164" s="3" t="s">
        <v>7986</v>
      </c>
      <c r="I164" s="52" t="s">
        <v>3449</v>
      </c>
      <c r="J164" s="3" t="s">
        <v>7987</v>
      </c>
      <c r="K164" s="138" t="s">
        <v>7988</v>
      </c>
    </row>
    <row r="165" spans="1:11">
      <c r="A165" s="137"/>
      <c r="B165" s="119"/>
      <c r="C165" s="119"/>
      <c r="D165" s="104" t="s">
        <v>659</v>
      </c>
      <c r="E165" s="102" t="s">
        <v>7989</v>
      </c>
      <c r="F165" s="52" t="s">
        <v>7183</v>
      </c>
      <c r="G165" s="3" t="s">
        <v>7990</v>
      </c>
      <c r="H165" s="3" t="s">
        <v>7991</v>
      </c>
      <c r="I165" s="52" t="s">
        <v>3449</v>
      </c>
      <c r="J165" s="3" t="s">
        <v>7992</v>
      </c>
      <c r="K165" s="138" t="s">
        <v>7993</v>
      </c>
    </row>
    <row r="166" spans="1:11">
      <c r="A166" s="137"/>
      <c r="B166" s="119"/>
      <c r="C166" s="119"/>
      <c r="D166" s="104" t="s">
        <v>529</v>
      </c>
      <c r="E166" s="102" t="s">
        <v>7672</v>
      </c>
      <c r="F166" s="52" t="s">
        <v>7183</v>
      </c>
      <c r="G166" s="3" t="s">
        <v>7994</v>
      </c>
      <c r="H166" s="3" t="s">
        <v>7995</v>
      </c>
      <c r="I166" s="52" t="s">
        <v>3449</v>
      </c>
      <c r="J166" s="3" t="s">
        <v>7996</v>
      </c>
      <c r="K166" s="138" t="s">
        <v>7997</v>
      </c>
    </row>
    <row r="167" spans="1:11">
      <c r="A167" s="137"/>
      <c r="B167" s="119"/>
      <c r="C167" s="119" t="s">
        <v>662</v>
      </c>
      <c r="D167" s="104" t="s">
        <v>663</v>
      </c>
      <c r="E167" s="102" t="s">
        <v>7998</v>
      </c>
      <c r="F167" s="52" t="s">
        <v>7189</v>
      </c>
      <c r="G167" s="3" t="s">
        <v>7999</v>
      </c>
      <c r="H167" s="3" t="s">
        <v>8000</v>
      </c>
      <c r="I167" s="52" t="s">
        <v>3449</v>
      </c>
      <c r="J167" s="3" t="s">
        <v>8001</v>
      </c>
      <c r="K167" s="138" t="s">
        <v>8002</v>
      </c>
    </row>
    <row r="168" spans="1:11">
      <c r="A168" s="137"/>
      <c r="B168" s="119"/>
      <c r="C168" s="119"/>
      <c r="D168" s="104" t="s">
        <v>635</v>
      </c>
      <c r="E168" s="102" t="s">
        <v>8003</v>
      </c>
      <c r="F168" s="52" t="s">
        <v>7183</v>
      </c>
      <c r="G168" s="3" t="s">
        <v>8004</v>
      </c>
      <c r="H168" s="3" t="s">
        <v>8005</v>
      </c>
      <c r="I168" s="52" t="s">
        <v>3449</v>
      </c>
      <c r="J168" s="3" t="s">
        <v>8006</v>
      </c>
      <c r="K168" s="138" t="s">
        <v>8007</v>
      </c>
    </row>
    <row r="169" spans="1:11">
      <c r="A169" s="137"/>
      <c r="B169" s="119"/>
      <c r="C169" s="119"/>
      <c r="D169" s="104" t="s">
        <v>637</v>
      </c>
      <c r="E169" s="102" t="s">
        <v>7936</v>
      </c>
      <c r="F169" s="52" t="s">
        <v>7183</v>
      </c>
      <c r="G169" s="3" t="s">
        <v>8008</v>
      </c>
      <c r="H169" s="3" t="s">
        <v>8009</v>
      </c>
      <c r="I169" s="52" t="s">
        <v>3449</v>
      </c>
      <c r="J169" s="3" t="s">
        <v>8010</v>
      </c>
      <c r="K169" s="138" t="s">
        <v>8011</v>
      </c>
    </row>
    <row r="170" spans="1:11">
      <c r="A170" s="137"/>
      <c r="B170" s="119"/>
      <c r="C170" s="119"/>
      <c r="D170" s="104" t="s">
        <v>639</v>
      </c>
      <c r="E170" s="102" t="s">
        <v>7941</v>
      </c>
      <c r="F170" s="52" t="s">
        <v>7183</v>
      </c>
      <c r="G170" s="3" t="s">
        <v>8012</v>
      </c>
      <c r="H170" s="3" t="s">
        <v>8013</v>
      </c>
      <c r="I170" s="52" t="s">
        <v>3449</v>
      </c>
      <c r="J170" s="3" t="s">
        <v>8014</v>
      </c>
      <c r="K170" s="138" t="s">
        <v>8015</v>
      </c>
    </row>
    <row r="171" spans="1:11">
      <c r="A171" s="137"/>
      <c r="B171" s="119"/>
      <c r="C171" s="119"/>
      <c r="D171" s="104" t="s">
        <v>529</v>
      </c>
      <c r="E171" s="102" t="s">
        <v>7672</v>
      </c>
      <c r="F171" s="52" t="s">
        <v>7183</v>
      </c>
      <c r="G171" s="3" t="s">
        <v>8016</v>
      </c>
      <c r="H171" s="3" t="s">
        <v>8017</v>
      </c>
      <c r="I171" s="52" t="s">
        <v>3449</v>
      </c>
      <c r="J171" s="3" t="s">
        <v>8018</v>
      </c>
      <c r="K171" s="138" t="s">
        <v>8019</v>
      </c>
    </row>
    <row r="172" spans="1:11">
      <c r="A172" s="137"/>
      <c r="B172" s="119"/>
      <c r="C172" s="119" t="s">
        <v>669</v>
      </c>
      <c r="D172" s="104" t="s">
        <v>670</v>
      </c>
      <c r="E172" s="102" t="s">
        <v>8020</v>
      </c>
      <c r="F172" s="52" t="s">
        <v>7189</v>
      </c>
      <c r="G172" s="3" t="s">
        <v>8021</v>
      </c>
      <c r="H172" s="3" t="s">
        <v>8022</v>
      </c>
      <c r="I172" s="52" t="s">
        <v>3449</v>
      </c>
      <c r="J172" s="3" t="s">
        <v>8023</v>
      </c>
      <c r="K172" s="138" t="s">
        <v>8024</v>
      </c>
    </row>
    <row r="173" spans="1:11">
      <c r="A173" s="137"/>
      <c r="B173" s="119"/>
      <c r="C173" s="119"/>
      <c r="D173" s="104" t="s">
        <v>672</v>
      </c>
      <c r="E173" s="102" t="s">
        <v>8025</v>
      </c>
      <c r="F173" s="52" t="s">
        <v>7183</v>
      </c>
      <c r="G173" s="3" t="s">
        <v>8026</v>
      </c>
      <c r="H173" s="3" t="s">
        <v>8027</v>
      </c>
      <c r="I173" s="52" t="s">
        <v>3449</v>
      </c>
      <c r="J173" s="3" t="s">
        <v>8028</v>
      </c>
      <c r="K173" s="138" t="s">
        <v>8029</v>
      </c>
    </row>
    <row r="174" spans="1:11">
      <c r="A174" s="137"/>
      <c r="B174" s="119"/>
      <c r="C174" s="119"/>
      <c r="D174" s="104" t="s">
        <v>674</v>
      </c>
      <c r="E174" s="102" t="s">
        <v>8030</v>
      </c>
      <c r="F174" s="52" t="s">
        <v>7183</v>
      </c>
      <c r="G174" s="3" t="s">
        <v>8031</v>
      </c>
      <c r="H174" s="3" t="s">
        <v>8032</v>
      </c>
      <c r="I174" s="52" t="s">
        <v>3449</v>
      </c>
      <c r="J174" s="3" t="s">
        <v>8033</v>
      </c>
      <c r="K174" s="138" t="s">
        <v>8034</v>
      </c>
    </row>
    <row r="175" spans="1:11">
      <c r="A175" s="137"/>
      <c r="B175" s="119"/>
      <c r="C175" s="119"/>
      <c r="D175" s="104" t="s">
        <v>649</v>
      </c>
      <c r="E175" s="102" t="s">
        <v>7965</v>
      </c>
      <c r="F175" s="52" t="s">
        <v>7183</v>
      </c>
      <c r="G175" s="3" t="s">
        <v>8035</v>
      </c>
      <c r="H175" s="3" t="s">
        <v>8036</v>
      </c>
      <c r="I175" s="52" t="s">
        <v>3449</v>
      </c>
      <c r="J175" s="3" t="s">
        <v>8037</v>
      </c>
      <c r="K175" s="138" t="s">
        <v>8038</v>
      </c>
    </row>
    <row r="176" spans="1:11">
      <c r="A176" s="137"/>
      <c r="B176" s="119"/>
      <c r="C176" s="119"/>
      <c r="D176" s="104" t="s">
        <v>529</v>
      </c>
      <c r="E176" s="102" t="s">
        <v>7672</v>
      </c>
      <c r="F176" s="52" t="s">
        <v>7183</v>
      </c>
      <c r="G176" s="3" t="s">
        <v>8039</v>
      </c>
      <c r="H176" s="3" t="s">
        <v>8040</v>
      </c>
      <c r="I176" s="52" t="s">
        <v>3449</v>
      </c>
      <c r="J176" s="3" t="s">
        <v>8041</v>
      </c>
      <c r="K176" s="138" t="s">
        <v>8042</v>
      </c>
    </row>
    <row r="177" spans="1:11">
      <c r="A177" s="137"/>
      <c r="B177" s="119"/>
      <c r="C177" s="119" t="s">
        <v>678</v>
      </c>
      <c r="D177" s="104" t="s">
        <v>679</v>
      </c>
      <c r="E177" s="102" t="s">
        <v>8043</v>
      </c>
      <c r="F177" s="52" t="s">
        <v>7189</v>
      </c>
      <c r="G177" s="3" t="s">
        <v>8044</v>
      </c>
      <c r="H177" s="3" t="s">
        <v>8045</v>
      </c>
      <c r="I177" s="52" t="s">
        <v>3449</v>
      </c>
      <c r="J177" s="3" t="s">
        <v>8046</v>
      </c>
      <c r="K177" s="138" t="s">
        <v>8047</v>
      </c>
    </row>
    <row r="178" spans="1:11">
      <c r="A178" s="137"/>
      <c r="B178" s="119"/>
      <c r="C178" s="119"/>
      <c r="D178" s="104" t="s">
        <v>681</v>
      </c>
      <c r="E178" s="102" t="s">
        <v>8048</v>
      </c>
      <c r="F178" s="52" t="s">
        <v>7183</v>
      </c>
      <c r="G178" s="3" t="s">
        <v>8049</v>
      </c>
      <c r="H178" s="3" t="s">
        <v>8050</v>
      </c>
      <c r="I178" s="52" t="s">
        <v>3449</v>
      </c>
      <c r="J178" s="3" t="s">
        <v>8051</v>
      </c>
      <c r="K178" s="138" t="s">
        <v>8052</v>
      </c>
    </row>
    <row r="179" spans="1:11">
      <c r="A179" s="137"/>
      <c r="B179" s="119"/>
      <c r="C179" s="119"/>
      <c r="D179" s="104" t="s">
        <v>683</v>
      </c>
      <c r="E179" s="102" t="s">
        <v>8053</v>
      </c>
      <c r="F179" s="52" t="s">
        <v>7183</v>
      </c>
      <c r="G179" s="3" t="s">
        <v>8054</v>
      </c>
      <c r="H179" s="3" t="s">
        <v>8055</v>
      </c>
      <c r="I179" s="52" t="s">
        <v>3449</v>
      </c>
      <c r="J179" s="3" t="s">
        <v>8056</v>
      </c>
      <c r="K179" s="138" t="s">
        <v>8057</v>
      </c>
    </row>
    <row r="180" spans="1:11">
      <c r="A180" s="137"/>
      <c r="B180" s="119"/>
      <c r="C180" s="119"/>
      <c r="D180" s="104" t="s">
        <v>685</v>
      </c>
      <c r="E180" s="102" t="s">
        <v>8058</v>
      </c>
      <c r="F180" s="52" t="s">
        <v>7183</v>
      </c>
      <c r="G180" s="3" t="s">
        <v>8059</v>
      </c>
      <c r="H180" s="3" t="s">
        <v>8060</v>
      </c>
      <c r="I180" s="52" t="s">
        <v>3449</v>
      </c>
      <c r="J180" s="3" t="s">
        <v>8061</v>
      </c>
      <c r="K180" s="138" t="s">
        <v>8062</v>
      </c>
    </row>
    <row r="181" spans="1:11">
      <c r="A181" s="137"/>
      <c r="B181" s="119"/>
      <c r="C181" s="119"/>
      <c r="D181" s="104" t="s">
        <v>529</v>
      </c>
      <c r="E181" s="102" t="s">
        <v>7672</v>
      </c>
      <c r="F181" s="52" t="s">
        <v>7183</v>
      </c>
      <c r="G181" s="3" t="s">
        <v>8063</v>
      </c>
      <c r="H181" s="3" t="s">
        <v>8064</v>
      </c>
      <c r="I181" s="52" t="s">
        <v>3449</v>
      </c>
      <c r="J181" s="3" t="s">
        <v>8065</v>
      </c>
      <c r="K181" s="138" t="s">
        <v>8066</v>
      </c>
    </row>
    <row r="182" spans="1:11">
      <c r="A182" s="137"/>
      <c r="B182" s="119"/>
      <c r="C182" s="119" t="s">
        <v>688</v>
      </c>
      <c r="D182" s="104" t="s">
        <v>689</v>
      </c>
      <c r="E182" s="102" t="s">
        <v>8067</v>
      </c>
      <c r="F182" s="52" t="s">
        <v>7189</v>
      </c>
      <c r="G182" s="3" t="s">
        <v>8068</v>
      </c>
      <c r="H182" s="3" t="s">
        <v>8069</v>
      </c>
      <c r="I182" s="52" t="s">
        <v>3449</v>
      </c>
      <c r="J182" s="3" t="s">
        <v>8070</v>
      </c>
      <c r="K182" s="138" t="s">
        <v>8071</v>
      </c>
    </row>
    <row r="183" spans="1:11">
      <c r="A183" s="137"/>
      <c r="B183" s="119"/>
      <c r="C183" s="119"/>
      <c r="D183" s="104" t="s">
        <v>691</v>
      </c>
      <c r="E183" s="102" t="s">
        <v>8072</v>
      </c>
      <c r="F183" s="52" t="s">
        <v>7183</v>
      </c>
      <c r="G183" s="3" t="s">
        <v>8073</v>
      </c>
      <c r="H183" s="3" t="s">
        <v>8074</v>
      </c>
      <c r="I183" s="52" t="s">
        <v>3449</v>
      </c>
      <c r="J183" s="3" t="s">
        <v>8075</v>
      </c>
      <c r="K183" s="138" t="s">
        <v>8076</v>
      </c>
    </row>
    <row r="184" spans="1:11">
      <c r="A184" s="137"/>
      <c r="B184" s="119"/>
      <c r="C184" s="119"/>
      <c r="D184" s="104" t="s">
        <v>693</v>
      </c>
      <c r="E184" s="102" t="s">
        <v>8077</v>
      </c>
      <c r="F184" s="52" t="s">
        <v>7183</v>
      </c>
      <c r="G184" s="3" t="s">
        <v>8078</v>
      </c>
      <c r="H184" s="3" t="s">
        <v>8079</v>
      </c>
      <c r="I184" s="52" t="s">
        <v>3449</v>
      </c>
      <c r="J184" s="3" t="s">
        <v>8080</v>
      </c>
      <c r="K184" s="138" t="s">
        <v>8081</v>
      </c>
    </row>
    <row r="185" spans="1:11">
      <c r="A185" s="137"/>
      <c r="B185" s="119"/>
      <c r="C185" s="119"/>
      <c r="D185" s="104" t="s">
        <v>695</v>
      </c>
      <c r="E185" s="102" t="s">
        <v>8082</v>
      </c>
      <c r="F185" s="52" t="s">
        <v>7183</v>
      </c>
      <c r="G185" s="3" t="s">
        <v>8083</v>
      </c>
      <c r="H185" s="3" t="s">
        <v>8084</v>
      </c>
      <c r="I185" s="52" t="s">
        <v>3449</v>
      </c>
      <c r="J185" s="3" t="s">
        <v>8085</v>
      </c>
      <c r="K185" s="138" t="s">
        <v>8086</v>
      </c>
    </row>
    <row r="186" spans="1:11">
      <c r="A186" s="137"/>
      <c r="B186" s="119"/>
      <c r="C186" s="119"/>
      <c r="D186" s="104" t="s">
        <v>529</v>
      </c>
      <c r="E186" s="102" t="s">
        <v>7672</v>
      </c>
      <c r="F186" s="52" t="s">
        <v>7183</v>
      </c>
      <c r="G186" s="3" t="s">
        <v>8087</v>
      </c>
      <c r="H186" s="3" t="s">
        <v>8088</v>
      </c>
      <c r="I186" s="52" t="s">
        <v>3449</v>
      </c>
      <c r="J186" s="3" t="s">
        <v>8089</v>
      </c>
      <c r="K186" s="138" t="s">
        <v>8090</v>
      </c>
    </row>
    <row r="187" spans="1:11">
      <c r="A187" s="137"/>
      <c r="B187" s="119"/>
      <c r="C187" s="119" t="s">
        <v>698</v>
      </c>
      <c r="D187" s="104" t="s">
        <v>699</v>
      </c>
      <c r="E187" s="102" t="s">
        <v>8091</v>
      </c>
      <c r="F187" s="52" t="s">
        <v>7189</v>
      </c>
      <c r="G187" s="3" t="s">
        <v>8092</v>
      </c>
      <c r="H187" s="3" t="s">
        <v>8093</v>
      </c>
      <c r="I187" s="52" t="s">
        <v>3449</v>
      </c>
      <c r="J187" s="3" t="s">
        <v>8094</v>
      </c>
      <c r="K187" s="138" t="s">
        <v>8095</v>
      </c>
    </row>
    <row r="188" spans="1:11">
      <c r="A188" s="137"/>
      <c r="B188" s="119"/>
      <c r="C188" s="119"/>
      <c r="D188" s="104" t="s">
        <v>701</v>
      </c>
      <c r="E188" s="102" t="s">
        <v>8096</v>
      </c>
      <c r="F188" s="52" t="s">
        <v>7183</v>
      </c>
      <c r="G188" s="3" t="s">
        <v>8097</v>
      </c>
      <c r="H188" s="3" t="s">
        <v>8098</v>
      </c>
      <c r="I188" s="52" t="s">
        <v>3449</v>
      </c>
      <c r="J188" s="3" t="s">
        <v>8099</v>
      </c>
      <c r="K188" s="138" t="s">
        <v>8100</v>
      </c>
    </row>
    <row r="189" spans="1:11">
      <c r="A189" s="137"/>
      <c r="B189" s="119"/>
      <c r="C189" s="119"/>
      <c r="D189" s="104" t="s">
        <v>703</v>
      </c>
      <c r="E189" s="102" t="s">
        <v>8101</v>
      </c>
      <c r="F189" s="52" t="s">
        <v>7183</v>
      </c>
      <c r="G189" s="3" t="s">
        <v>8102</v>
      </c>
      <c r="H189" s="3" t="s">
        <v>8103</v>
      </c>
      <c r="I189" s="52" t="s">
        <v>3449</v>
      </c>
      <c r="J189" s="3" t="s">
        <v>8104</v>
      </c>
      <c r="K189" s="138" t="s">
        <v>8105</v>
      </c>
    </row>
    <row r="190" spans="1:11">
      <c r="A190" s="137"/>
      <c r="B190" s="119"/>
      <c r="C190" s="119"/>
      <c r="D190" s="104" t="s">
        <v>705</v>
      </c>
      <c r="E190" s="102" t="s">
        <v>8106</v>
      </c>
      <c r="F190" s="52" t="s">
        <v>7183</v>
      </c>
      <c r="G190" s="3" t="s">
        <v>8107</v>
      </c>
      <c r="H190" s="3" t="s">
        <v>8108</v>
      </c>
      <c r="I190" s="52" t="s">
        <v>3449</v>
      </c>
      <c r="J190" s="3" t="s">
        <v>8109</v>
      </c>
      <c r="K190" s="138" t="s">
        <v>8110</v>
      </c>
    </row>
    <row r="191" spans="1:11">
      <c r="A191" s="137"/>
      <c r="B191" s="119"/>
      <c r="C191" s="119"/>
      <c r="D191" s="104" t="s">
        <v>529</v>
      </c>
      <c r="E191" s="102" t="s">
        <v>7672</v>
      </c>
      <c r="F191" s="52" t="s">
        <v>7183</v>
      </c>
      <c r="G191" s="3" t="s">
        <v>8111</v>
      </c>
      <c r="H191" s="3" t="s">
        <v>8112</v>
      </c>
      <c r="I191" s="52" t="s">
        <v>3449</v>
      </c>
      <c r="J191" s="3" t="s">
        <v>8113</v>
      </c>
      <c r="K191" s="138" t="s">
        <v>8114</v>
      </c>
    </row>
    <row r="192" spans="1:11">
      <c r="A192" s="137"/>
      <c r="B192" s="119" t="s">
        <v>708</v>
      </c>
      <c r="C192" s="119" t="s">
        <v>709</v>
      </c>
      <c r="D192" s="104" t="s">
        <v>710</v>
      </c>
      <c r="E192" s="102" t="s">
        <v>8115</v>
      </c>
      <c r="F192" s="52" t="s">
        <v>7189</v>
      </c>
      <c r="G192" s="3" t="s">
        <v>8116</v>
      </c>
      <c r="H192" s="3" t="s">
        <v>8117</v>
      </c>
      <c r="I192" s="52" t="s">
        <v>3449</v>
      </c>
      <c r="J192" s="3" t="s">
        <v>8118</v>
      </c>
      <c r="K192" s="138" t="s">
        <v>8119</v>
      </c>
    </row>
    <row r="193" spans="1:11">
      <c r="A193" s="137"/>
      <c r="B193" s="119"/>
      <c r="C193" s="119"/>
      <c r="D193" s="104" t="s">
        <v>712</v>
      </c>
      <c r="E193" s="102" t="s">
        <v>8120</v>
      </c>
      <c r="F193" s="52" t="s">
        <v>7183</v>
      </c>
      <c r="G193" s="3" t="s">
        <v>8121</v>
      </c>
      <c r="H193" s="3" t="s">
        <v>8122</v>
      </c>
      <c r="I193" s="52" t="s">
        <v>3449</v>
      </c>
      <c r="J193" s="3" t="s">
        <v>8123</v>
      </c>
      <c r="K193" s="138" t="s">
        <v>8124</v>
      </c>
    </row>
    <row r="194" spans="1:11">
      <c r="A194" s="137"/>
      <c r="B194" s="119"/>
      <c r="C194" s="119"/>
      <c r="D194" s="104" t="s">
        <v>714</v>
      </c>
      <c r="E194" s="102" t="s">
        <v>8125</v>
      </c>
      <c r="F194" s="52" t="s">
        <v>7183</v>
      </c>
      <c r="G194" s="3" t="s">
        <v>8126</v>
      </c>
      <c r="H194" s="3" t="s">
        <v>8127</v>
      </c>
      <c r="I194" s="52" t="s">
        <v>3449</v>
      </c>
      <c r="J194" s="3" t="s">
        <v>8128</v>
      </c>
      <c r="K194" s="138" t="s">
        <v>8129</v>
      </c>
    </row>
    <row r="195" spans="1:11">
      <c r="A195" s="137"/>
      <c r="B195" s="119"/>
      <c r="C195" s="119"/>
      <c r="D195" s="104" t="s">
        <v>716</v>
      </c>
      <c r="E195" s="102" t="s">
        <v>717</v>
      </c>
      <c r="F195" s="52" t="s">
        <v>7183</v>
      </c>
      <c r="G195" s="3" t="s">
        <v>8130</v>
      </c>
      <c r="H195" s="3" t="s">
        <v>8131</v>
      </c>
      <c r="I195" s="52" t="s">
        <v>3449</v>
      </c>
      <c r="J195" s="3" t="s">
        <v>8132</v>
      </c>
      <c r="K195" s="138" t="s">
        <v>8133</v>
      </c>
    </row>
    <row r="196" spans="1:11">
      <c r="A196" s="137"/>
      <c r="B196" s="119"/>
      <c r="C196" s="119"/>
      <c r="D196" s="104" t="s">
        <v>718</v>
      </c>
      <c r="E196" s="102" t="s">
        <v>8134</v>
      </c>
      <c r="F196" s="52" t="s">
        <v>7183</v>
      </c>
      <c r="G196" s="3" t="s">
        <v>8135</v>
      </c>
      <c r="H196" s="3" t="s">
        <v>8136</v>
      </c>
      <c r="I196" s="52" t="s">
        <v>3449</v>
      </c>
      <c r="J196" s="3" t="s">
        <v>8137</v>
      </c>
      <c r="K196" s="138" t="s">
        <v>8138</v>
      </c>
    </row>
    <row r="197" spans="1:11">
      <c r="A197" s="137"/>
      <c r="B197" s="119"/>
      <c r="C197" s="119" t="s">
        <v>720</v>
      </c>
      <c r="D197" s="104" t="s">
        <v>721</v>
      </c>
      <c r="E197" s="102" t="s">
        <v>8139</v>
      </c>
      <c r="F197" s="52" t="s">
        <v>7189</v>
      </c>
      <c r="G197" s="3" t="s">
        <v>8140</v>
      </c>
      <c r="H197" s="3" t="s">
        <v>8141</v>
      </c>
      <c r="I197" s="52" t="s">
        <v>3449</v>
      </c>
      <c r="J197" s="3" t="s">
        <v>8142</v>
      </c>
      <c r="K197" s="138" t="s">
        <v>8143</v>
      </c>
    </row>
    <row r="198" spans="1:11">
      <c r="A198" s="137"/>
      <c r="B198" s="119"/>
      <c r="C198" s="119"/>
      <c r="D198" s="104" t="s">
        <v>723</v>
      </c>
      <c r="E198" s="102" t="s">
        <v>8144</v>
      </c>
      <c r="F198" s="52" t="s">
        <v>7183</v>
      </c>
      <c r="G198" s="3" t="s">
        <v>8145</v>
      </c>
      <c r="H198" s="3" t="s">
        <v>8146</v>
      </c>
      <c r="I198" s="52" t="s">
        <v>3449</v>
      </c>
      <c r="J198" s="3" t="s">
        <v>8147</v>
      </c>
      <c r="K198" s="138" t="s">
        <v>8148</v>
      </c>
    </row>
    <row r="199" spans="1:11">
      <c r="A199" s="137"/>
      <c r="B199" s="119"/>
      <c r="C199" s="119"/>
      <c r="D199" s="104" t="s">
        <v>725</v>
      </c>
      <c r="E199" s="102" t="s">
        <v>8149</v>
      </c>
      <c r="F199" s="52" t="s">
        <v>7183</v>
      </c>
      <c r="G199" s="3" t="s">
        <v>8150</v>
      </c>
      <c r="H199" s="3" t="s">
        <v>8151</v>
      </c>
      <c r="I199" s="52" t="s">
        <v>3449</v>
      </c>
      <c r="J199" s="3" t="s">
        <v>8152</v>
      </c>
      <c r="K199" s="138" t="s">
        <v>8153</v>
      </c>
    </row>
    <row r="200" spans="1:11">
      <c r="A200" s="137"/>
      <c r="B200" s="119"/>
      <c r="C200" s="119"/>
      <c r="D200" s="104" t="s">
        <v>727</v>
      </c>
      <c r="E200" s="102" t="s">
        <v>8154</v>
      </c>
      <c r="F200" s="52" t="s">
        <v>7183</v>
      </c>
      <c r="G200" s="3" t="s">
        <v>8155</v>
      </c>
      <c r="H200" s="3" t="s">
        <v>8156</v>
      </c>
      <c r="I200" s="52" t="s">
        <v>3449</v>
      </c>
      <c r="J200" s="3" t="s">
        <v>8157</v>
      </c>
      <c r="K200" s="138" t="s">
        <v>8158</v>
      </c>
    </row>
    <row r="201" spans="1:11">
      <c r="A201" s="137"/>
      <c r="B201" s="119"/>
      <c r="C201" s="119"/>
      <c r="D201" s="104" t="s">
        <v>729</v>
      </c>
      <c r="E201" s="102" t="s">
        <v>8159</v>
      </c>
      <c r="F201" s="52" t="s">
        <v>7183</v>
      </c>
      <c r="G201" s="3" t="s">
        <v>8160</v>
      </c>
      <c r="H201" s="3" t="s">
        <v>8161</v>
      </c>
      <c r="I201" s="52" t="s">
        <v>3449</v>
      </c>
      <c r="J201" s="3" t="s">
        <v>8162</v>
      </c>
      <c r="K201" s="138" t="s">
        <v>8163</v>
      </c>
    </row>
    <row r="202" spans="1:11">
      <c r="A202" s="137"/>
      <c r="B202" s="119"/>
      <c r="C202" s="119" t="s">
        <v>731</v>
      </c>
      <c r="D202" s="104" t="s">
        <v>732</v>
      </c>
      <c r="E202" s="102" t="s">
        <v>8164</v>
      </c>
      <c r="F202" s="52" t="s">
        <v>7189</v>
      </c>
      <c r="G202" s="3" t="s">
        <v>8165</v>
      </c>
      <c r="H202" s="3" t="s">
        <v>8166</v>
      </c>
      <c r="I202" s="52" t="s">
        <v>3449</v>
      </c>
      <c r="J202" s="3" t="s">
        <v>8167</v>
      </c>
      <c r="K202" s="138" t="s">
        <v>8168</v>
      </c>
    </row>
    <row r="203" spans="1:11">
      <c r="A203" s="137"/>
      <c r="B203" s="119"/>
      <c r="C203" s="119"/>
      <c r="D203" s="104" t="s">
        <v>734</v>
      </c>
      <c r="E203" s="102" t="s">
        <v>8169</v>
      </c>
      <c r="F203" s="52" t="s">
        <v>7183</v>
      </c>
      <c r="G203" s="3" t="s">
        <v>8170</v>
      </c>
      <c r="H203" s="3" t="s">
        <v>8171</v>
      </c>
      <c r="I203" s="52" t="s">
        <v>3449</v>
      </c>
      <c r="J203" s="3" t="s">
        <v>8172</v>
      </c>
      <c r="K203" s="138" t="s">
        <v>8173</v>
      </c>
    </row>
    <row r="204" spans="1:11">
      <c r="A204" s="137"/>
      <c r="B204" s="119"/>
      <c r="C204" s="119"/>
      <c r="D204" s="104" t="s">
        <v>736</v>
      </c>
      <c r="E204" s="102" t="s">
        <v>8174</v>
      </c>
      <c r="F204" s="52" t="s">
        <v>7183</v>
      </c>
      <c r="G204" s="3" t="s">
        <v>8175</v>
      </c>
      <c r="H204" s="3" t="s">
        <v>8176</v>
      </c>
      <c r="I204" s="52" t="s">
        <v>3449</v>
      </c>
      <c r="J204" s="3" t="s">
        <v>8177</v>
      </c>
      <c r="K204" s="138" t="s">
        <v>8178</v>
      </c>
    </row>
    <row r="205" spans="1:11">
      <c r="A205" s="137"/>
      <c r="B205" s="119"/>
      <c r="C205" s="119"/>
      <c r="D205" s="104" t="s">
        <v>738</v>
      </c>
      <c r="E205" s="102" t="s">
        <v>8179</v>
      </c>
      <c r="F205" s="52" t="s">
        <v>7183</v>
      </c>
      <c r="G205" s="3" t="s">
        <v>8180</v>
      </c>
      <c r="H205" s="3" t="s">
        <v>8181</v>
      </c>
      <c r="I205" s="52" t="s">
        <v>3449</v>
      </c>
      <c r="J205" s="3" t="s">
        <v>8182</v>
      </c>
      <c r="K205" s="138" t="s">
        <v>8183</v>
      </c>
    </row>
    <row r="206" spans="1:11">
      <c r="A206" s="137"/>
      <c r="B206" s="119"/>
      <c r="C206" s="119"/>
      <c r="D206" s="104" t="s">
        <v>740</v>
      </c>
      <c r="E206" s="102" t="s">
        <v>8184</v>
      </c>
      <c r="F206" s="52" t="s">
        <v>7183</v>
      </c>
      <c r="G206" s="3" t="s">
        <v>8185</v>
      </c>
      <c r="H206" s="3" t="s">
        <v>8186</v>
      </c>
      <c r="I206" s="52" t="s">
        <v>3449</v>
      </c>
      <c r="J206" s="3" t="s">
        <v>8187</v>
      </c>
      <c r="K206" s="138" t="s">
        <v>8188</v>
      </c>
    </row>
    <row r="207" spans="1:11">
      <c r="A207" s="137"/>
      <c r="B207" s="119"/>
      <c r="C207" s="119" t="s">
        <v>742</v>
      </c>
      <c r="D207" s="104" t="s">
        <v>743</v>
      </c>
      <c r="E207" s="102" t="s">
        <v>8189</v>
      </c>
      <c r="F207" s="52" t="s">
        <v>7189</v>
      </c>
      <c r="G207" s="3" t="s">
        <v>8190</v>
      </c>
      <c r="H207" s="3" t="s">
        <v>8191</v>
      </c>
      <c r="I207" s="52" t="s">
        <v>3449</v>
      </c>
      <c r="J207" s="3" t="s">
        <v>8192</v>
      </c>
      <c r="K207" s="138" t="s">
        <v>8193</v>
      </c>
    </row>
    <row r="208" spans="1:11">
      <c r="A208" s="137"/>
      <c r="B208" s="119"/>
      <c r="C208" s="119"/>
      <c r="D208" s="104" t="s">
        <v>745</v>
      </c>
      <c r="E208" s="102" t="s">
        <v>8194</v>
      </c>
      <c r="F208" s="52" t="s">
        <v>7183</v>
      </c>
      <c r="G208" s="3" t="s">
        <v>8195</v>
      </c>
      <c r="H208" s="3" t="s">
        <v>8196</v>
      </c>
      <c r="I208" s="52" t="s">
        <v>3449</v>
      </c>
      <c r="J208" s="3" t="s">
        <v>8197</v>
      </c>
      <c r="K208" s="138" t="s">
        <v>8198</v>
      </c>
    </row>
    <row r="209" spans="1:11">
      <c r="A209" s="137"/>
      <c r="B209" s="119"/>
      <c r="C209" s="119"/>
      <c r="D209" s="104" t="s">
        <v>747</v>
      </c>
      <c r="E209" s="102" t="s">
        <v>8199</v>
      </c>
      <c r="F209" s="52" t="s">
        <v>7183</v>
      </c>
      <c r="G209" s="3" t="s">
        <v>8200</v>
      </c>
      <c r="H209" s="3" t="s">
        <v>8201</v>
      </c>
      <c r="I209" s="52" t="s">
        <v>3449</v>
      </c>
      <c r="J209" s="3" t="s">
        <v>8202</v>
      </c>
      <c r="K209" s="138" t="s">
        <v>8203</v>
      </c>
    </row>
    <row r="210" spans="1:11">
      <c r="A210" s="137"/>
      <c r="B210" s="119"/>
      <c r="C210" s="119"/>
      <c r="D210" s="104" t="s">
        <v>749</v>
      </c>
      <c r="E210" s="102" t="s">
        <v>8204</v>
      </c>
      <c r="F210" s="52" t="s">
        <v>7183</v>
      </c>
      <c r="G210" s="3" t="s">
        <v>8205</v>
      </c>
      <c r="H210" s="3" t="s">
        <v>8206</v>
      </c>
      <c r="I210" s="52" t="s">
        <v>3449</v>
      </c>
      <c r="J210" s="3" t="s">
        <v>8207</v>
      </c>
      <c r="K210" s="138" t="s">
        <v>8208</v>
      </c>
    </row>
    <row r="211" spans="1:11">
      <c r="A211" s="137"/>
      <c r="B211" s="119"/>
      <c r="C211" s="119"/>
      <c r="D211" s="104" t="s">
        <v>751</v>
      </c>
      <c r="E211" s="102" t="s">
        <v>8209</v>
      </c>
      <c r="F211" s="52" t="s">
        <v>7183</v>
      </c>
      <c r="G211" s="3" t="s">
        <v>8210</v>
      </c>
      <c r="H211" s="3" t="s">
        <v>8211</v>
      </c>
      <c r="I211" s="52" t="s">
        <v>3449</v>
      </c>
      <c r="J211" s="3" t="s">
        <v>8212</v>
      </c>
      <c r="K211" s="138" t="s">
        <v>8213</v>
      </c>
    </row>
    <row r="212" spans="1:11">
      <c r="A212" s="137"/>
      <c r="B212" s="119"/>
      <c r="C212" s="119" t="s">
        <v>753</v>
      </c>
      <c r="D212" s="104" t="s">
        <v>754</v>
      </c>
      <c r="E212" s="102" t="s">
        <v>8214</v>
      </c>
      <c r="F212" s="52" t="s">
        <v>7189</v>
      </c>
      <c r="G212" s="3" t="s">
        <v>8215</v>
      </c>
      <c r="H212" s="3" t="s">
        <v>8216</v>
      </c>
      <c r="I212" s="52" t="s">
        <v>3449</v>
      </c>
      <c r="J212" s="3" t="s">
        <v>8217</v>
      </c>
      <c r="K212" s="138" t="s">
        <v>8218</v>
      </c>
    </row>
    <row r="213" spans="1:11">
      <c r="A213" s="137"/>
      <c r="B213" s="119"/>
      <c r="C213" s="119"/>
      <c r="D213" s="104" t="s">
        <v>756</v>
      </c>
      <c r="E213" s="102" t="s">
        <v>8219</v>
      </c>
      <c r="F213" s="52" t="s">
        <v>7183</v>
      </c>
      <c r="G213" s="3" t="s">
        <v>8220</v>
      </c>
      <c r="H213" s="3" t="s">
        <v>8221</v>
      </c>
      <c r="I213" s="52" t="s">
        <v>3449</v>
      </c>
      <c r="J213" s="3" t="s">
        <v>8222</v>
      </c>
      <c r="K213" s="138" t="s">
        <v>8223</v>
      </c>
    </row>
    <row r="214" spans="1:11">
      <c r="A214" s="137"/>
      <c r="B214" s="119"/>
      <c r="C214" s="119"/>
      <c r="D214" s="104" t="s">
        <v>758</v>
      </c>
      <c r="E214" s="102" t="s">
        <v>8224</v>
      </c>
      <c r="F214" s="52" t="s">
        <v>7183</v>
      </c>
      <c r="G214" s="3" t="s">
        <v>8225</v>
      </c>
      <c r="H214" s="3" t="s">
        <v>8226</v>
      </c>
      <c r="I214" s="52" t="s">
        <v>3449</v>
      </c>
      <c r="J214" s="3" t="s">
        <v>8227</v>
      </c>
      <c r="K214" s="138" t="s">
        <v>8228</v>
      </c>
    </row>
    <row r="215" spans="1:11">
      <c r="A215" s="137"/>
      <c r="B215" s="119"/>
      <c r="C215" s="119"/>
      <c r="D215" s="104" t="s">
        <v>760</v>
      </c>
      <c r="E215" s="102" t="s">
        <v>8229</v>
      </c>
      <c r="F215" s="52" t="s">
        <v>7183</v>
      </c>
      <c r="G215" s="3" t="s">
        <v>8230</v>
      </c>
      <c r="H215" s="3" t="s">
        <v>8231</v>
      </c>
      <c r="I215" s="52" t="s">
        <v>3449</v>
      </c>
      <c r="J215" s="3" t="s">
        <v>7431</v>
      </c>
      <c r="K215" s="138" t="s">
        <v>8232</v>
      </c>
    </row>
    <row r="216" spans="1:11">
      <c r="A216" s="137"/>
      <c r="B216" s="119"/>
      <c r="C216" s="119"/>
      <c r="D216" s="104" t="s">
        <v>762</v>
      </c>
      <c r="E216" s="102" t="s">
        <v>8233</v>
      </c>
      <c r="F216" s="52" t="s">
        <v>7183</v>
      </c>
      <c r="G216" s="3" t="s">
        <v>8234</v>
      </c>
      <c r="H216" s="3" t="s">
        <v>8235</v>
      </c>
      <c r="I216" s="52" t="s">
        <v>3449</v>
      </c>
      <c r="J216" s="3" t="s">
        <v>8236</v>
      </c>
      <c r="K216" s="138" t="s">
        <v>8237</v>
      </c>
    </row>
    <row r="217" spans="1:11">
      <c r="A217" s="137"/>
      <c r="B217" s="119"/>
      <c r="C217" s="119" t="s">
        <v>764</v>
      </c>
      <c r="D217" s="104" t="s">
        <v>765</v>
      </c>
      <c r="E217" s="102" t="s">
        <v>8238</v>
      </c>
      <c r="F217" s="52" t="s">
        <v>7189</v>
      </c>
      <c r="G217" s="3" t="s">
        <v>8239</v>
      </c>
      <c r="H217" s="3" t="s">
        <v>8240</v>
      </c>
      <c r="I217" s="52" t="s">
        <v>3449</v>
      </c>
      <c r="J217" s="3" t="s">
        <v>8241</v>
      </c>
      <c r="K217" s="138" t="s">
        <v>8242</v>
      </c>
    </row>
    <row r="218" spans="1:11">
      <c r="A218" s="137"/>
      <c r="B218" s="119"/>
      <c r="C218" s="119"/>
      <c r="D218" s="104" t="s">
        <v>767</v>
      </c>
      <c r="E218" s="102" t="s">
        <v>8243</v>
      </c>
      <c r="F218" s="52" t="s">
        <v>7183</v>
      </c>
      <c r="G218" s="3" t="s">
        <v>8244</v>
      </c>
      <c r="H218" s="3" t="s">
        <v>8245</v>
      </c>
      <c r="I218" s="52" t="s">
        <v>3449</v>
      </c>
      <c r="J218" s="3" t="s">
        <v>8246</v>
      </c>
      <c r="K218" s="138" t="s">
        <v>8247</v>
      </c>
    </row>
    <row r="219" spans="1:11">
      <c r="A219" s="137"/>
      <c r="B219" s="119"/>
      <c r="C219" s="119"/>
      <c r="D219" s="104" t="s">
        <v>769</v>
      </c>
      <c r="E219" s="102" t="s">
        <v>8248</v>
      </c>
      <c r="F219" s="52" t="s">
        <v>7183</v>
      </c>
      <c r="G219" s="3" t="s">
        <v>8249</v>
      </c>
      <c r="H219" s="3" t="s">
        <v>8250</v>
      </c>
      <c r="I219" s="52" t="s">
        <v>3449</v>
      </c>
      <c r="J219" s="3" t="s">
        <v>8251</v>
      </c>
      <c r="K219" s="138" t="s">
        <v>8252</v>
      </c>
    </row>
    <row r="220" spans="1:11">
      <c r="A220" s="137"/>
      <c r="B220" s="119"/>
      <c r="C220" s="119"/>
      <c r="D220" s="104" t="s">
        <v>771</v>
      </c>
      <c r="E220" s="102" t="s">
        <v>8253</v>
      </c>
      <c r="F220" s="52" t="s">
        <v>7183</v>
      </c>
      <c r="G220" s="3" t="s">
        <v>8254</v>
      </c>
      <c r="H220" s="3" t="s">
        <v>8255</v>
      </c>
      <c r="I220" s="52" t="s">
        <v>3449</v>
      </c>
      <c r="J220" s="3" t="s">
        <v>8256</v>
      </c>
      <c r="K220" s="138" t="s">
        <v>8257</v>
      </c>
    </row>
    <row r="221" spans="1:11">
      <c r="A221" s="137"/>
      <c r="B221" s="119"/>
      <c r="C221" s="119"/>
      <c r="D221" s="104" t="s">
        <v>773</v>
      </c>
      <c r="E221" s="102" t="s">
        <v>8258</v>
      </c>
      <c r="F221" s="52" t="s">
        <v>7183</v>
      </c>
      <c r="G221" s="3" t="s">
        <v>8259</v>
      </c>
      <c r="H221" s="3" t="s">
        <v>8260</v>
      </c>
      <c r="I221" s="52" t="s">
        <v>3449</v>
      </c>
      <c r="J221" s="3" t="s">
        <v>8261</v>
      </c>
      <c r="K221" s="138" t="s">
        <v>8262</v>
      </c>
    </row>
    <row r="222" spans="1:11">
      <c r="A222" s="137"/>
      <c r="B222" s="119"/>
      <c r="C222" s="119" t="s">
        <v>775</v>
      </c>
      <c r="D222" s="104" t="s">
        <v>776</v>
      </c>
      <c r="E222" s="102" t="s">
        <v>8263</v>
      </c>
      <c r="F222" s="52" t="s">
        <v>7189</v>
      </c>
      <c r="G222" s="3" t="s">
        <v>8264</v>
      </c>
      <c r="H222" s="3" t="s">
        <v>8265</v>
      </c>
      <c r="I222" s="52" t="s">
        <v>3449</v>
      </c>
      <c r="J222" s="3" t="s">
        <v>8266</v>
      </c>
      <c r="K222" s="138" t="s">
        <v>8267</v>
      </c>
    </row>
    <row r="223" spans="1:11">
      <c r="A223" s="137"/>
      <c r="B223" s="119"/>
      <c r="C223" s="119"/>
      <c r="D223" s="104" t="s">
        <v>778</v>
      </c>
      <c r="E223" s="102" t="s">
        <v>8268</v>
      </c>
      <c r="F223" s="52" t="s">
        <v>7183</v>
      </c>
      <c r="G223" s="3" t="s">
        <v>8269</v>
      </c>
      <c r="H223" s="3" t="s">
        <v>8270</v>
      </c>
      <c r="I223" s="52" t="s">
        <v>3449</v>
      </c>
      <c r="J223" s="3" t="s">
        <v>8271</v>
      </c>
      <c r="K223" s="138" t="s">
        <v>8272</v>
      </c>
    </row>
    <row r="224" spans="1:11">
      <c r="A224" s="137"/>
      <c r="B224" s="119"/>
      <c r="C224" s="119"/>
      <c r="D224" s="104" t="s">
        <v>780</v>
      </c>
      <c r="E224" s="102" t="s">
        <v>8273</v>
      </c>
      <c r="F224" s="52" t="s">
        <v>7183</v>
      </c>
      <c r="G224" s="3" t="s">
        <v>8274</v>
      </c>
      <c r="H224" s="3" t="s">
        <v>8275</v>
      </c>
      <c r="I224" s="52" t="s">
        <v>3449</v>
      </c>
      <c r="J224" s="3" t="s">
        <v>8276</v>
      </c>
      <c r="K224" s="138" t="s">
        <v>8277</v>
      </c>
    </row>
    <row r="225" spans="1:11">
      <c r="A225" s="137"/>
      <c r="B225" s="119"/>
      <c r="C225" s="119"/>
      <c r="D225" s="104" t="s">
        <v>782</v>
      </c>
      <c r="E225" s="102" t="s">
        <v>8278</v>
      </c>
      <c r="F225" s="52" t="s">
        <v>7183</v>
      </c>
      <c r="G225" s="3" t="s">
        <v>8279</v>
      </c>
      <c r="H225" s="3" t="s">
        <v>8280</v>
      </c>
      <c r="I225" s="52" t="s">
        <v>3449</v>
      </c>
      <c r="J225" s="3" t="s">
        <v>8281</v>
      </c>
      <c r="K225" s="138" t="s">
        <v>8282</v>
      </c>
    </row>
    <row r="226" spans="1:11">
      <c r="A226" s="137"/>
      <c r="B226" s="119"/>
      <c r="C226" s="119"/>
      <c r="D226" s="104" t="s">
        <v>784</v>
      </c>
      <c r="E226" s="102" t="s">
        <v>8283</v>
      </c>
      <c r="F226" s="52" t="s">
        <v>7183</v>
      </c>
      <c r="G226" s="3" t="s">
        <v>8284</v>
      </c>
      <c r="H226" s="3" t="s">
        <v>8285</v>
      </c>
      <c r="I226" s="52" t="s">
        <v>3449</v>
      </c>
      <c r="J226" s="3" t="s">
        <v>8286</v>
      </c>
      <c r="K226" s="138" t="s">
        <v>8287</v>
      </c>
    </row>
    <row r="227" spans="1:11">
      <c r="A227" s="137"/>
      <c r="B227" s="119"/>
      <c r="C227" s="119" t="s">
        <v>786</v>
      </c>
      <c r="D227" s="104" t="s">
        <v>787</v>
      </c>
      <c r="E227" s="102" t="s">
        <v>8288</v>
      </c>
      <c r="F227" s="52" t="s">
        <v>7189</v>
      </c>
      <c r="G227" s="3" t="s">
        <v>8289</v>
      </c>
      <c r="H227" s="3" t="s">
        <v>8290</v>
      </c>
      <c r="I227" s="52" t="s">
        <v>3449</v>
      </c>
      <c r="J227" s="3" t="s">
        <v>8291</v>
      </c>
      <c r="K227" s="138" t="s">
        <v>8292</v>
      </c>
    </row>
    <row r="228" spans="1:11">
      <c r="A228" s="137"/>
      <c r="B228" s="119"/>
      <c r="C228" s="119"/>
      <c r="D228" s="104" t="s">
        <v>789</v>
      </c>
      <c r="E228" s="102" t="s">
        <v>8293</v>
      </c>
      <c r="F228" s="52" t="s">
        <v>7183</v>
      </c>
      <c r="G228" s="3" t="s">
        <v>8294</v>
      </c>
      <c r="H228" s="3" t="s">
        <v>8295</v>
      </c>
      <c r="I228" s="52" t="s">
        <v>3449</v>
      </c>
      <c r="J228" s="3" t="s">
        <v>8296</v>
      </c>
      <c r="K228" s="138" t="s">
        <v>8297</v>
      </c>
    </row>
    <row r="229" spans="1:11">
      <c r="A229" s="137"/>
      <c r="B229" s="119"/>
      <c r="C229" s="119"/>
      <c r="D229" s="104" t="s">
        <v>791</v>
      </c>
      <c r="E229" s="102" t="s">
        <v>8298</v>
      </c>
      <c r="F229" s="52" t="s">
        <v>7183</v>
      </c>
      <c r="G229" s="3" t="s">
        <v>8299</v>
      </c>
      <c r="H229" s="3" t="s">
        <v>8300</v>
      </c>
      <c r="I229" s="52" t="s">
        <v>3449</v>
      </c>
      <c r="J229" s="3" t="s">
        <v>8301</v>
      </c>
      <c r="K229" s="138" t="s">
        <v>8302</v>
      </c>
    </row>
    <row r="230" spans="1:11">
      <c r="A230" s="137"/>
      <c r="B230" s="119"/>
      <c r="C230" s="119"/>
      <c r="D230" s="104" t="s">
        <v>793</v>
      </c>
      <c r="E230" s="102" t="s">
        <v>8303</v>
      </c>
      <c r="F230" s="52" t="s">
        <v>7183</v>
      </c>
      <c r="G230" s="3" t="s">
        <v>8304</v>
      </c>
      <c r="H230" s="3" t="s">
        <v>8305</v>
      </c>
      <c r="I230" s="52" t="s">
        <v>3449</v>
      </c>
      <c r="J230" s="3" t="s">
        <v>8306</v>
      </c>
      <c r="K230" s="138" t="s">
        <v>8307</v>
      </c>
    </row>
    <row r="231" spans="1:11">
      <c r="A231" s="137"/>
      <c r="B231" s="119"/>
      <c r="C231" s="119"/>
      <c r="D231" s="104" t="s">
        <v>795</v>
      </c>
      <c r="E231" s="102" t="s">
        <v>8308</v>
      </c>
      <c r="F231" s="52" t="s">
        <v>7183</v>
      </c>
      <c r="G231" s="3" t="s">
        <v>8309</v>
      </c>
      <c r="H231" s="3" t="s">
        <v>8310</v>
      </c>
      <c r="I231" s="52" t="s">
        <v>3449</v>
      </c>
      <c r="J231" s="3" t="s">
        <v>8311</v>
      </c>
      <c r="K231" s="138" t="s">
        <v>8312</v>
      </c>
    </row>
    <row r="232" spans="1:11">
      <c r="A232" s="137"/>
      <c r="B232" s="119"/>
      <c r="C232" s="119" t="s">
        <v>797</v>
      </c>
      <c r="D232" s="104" t="s">
        <v>798</v>
      </c>
      <c r="E232" s="102" t="s">
        <v>8313</v>
      </c>
      <c r="F232" s="52" t="s">
        <v>7189</v>
      </c>
      <c r="G232" s="3" t="s">
        <v>8314</v>
      </c>
      <c r="H232" s="3" t="s">
        <v>8315</v>
      </c>
      <c r="I232" s="52" t="s">
        <v>3449</v>
      </c>
      <c r="J232" s="3" t="s">
        <v>8316</v>
      </c>
      <c r="K232" s="138" t="s">
        <v>8317</v>
      </c>
    </row>
    <row r="233" spans="1:11">
      <c r="A233" s="137"/>
      <c r="B233" s="119"/>
      <c r="C233" s="119"/>
      <c r="D233" s="104" t="s">
        <v>597</v>
      </c>
      <c r="E233" s="102" t="s">
        <v>8318</v>
      </c>
      <c r="F233" s="52" t="s">
        <v>7183</v>
      </c>
      <c r="G233" s="3" t="s">
        <v>8319</v>
      </c>
      <c r="H233" s="3" t="s">
        <v>8320</v>
      </c>
      <c r="I233" s="52" t="s">
        <v>3449</v>
      </c>
      <c r="J233" s="3" t="s">
        <v>8321</v>
      </c>
      <c r="K233" s="138" t="s">
        <v>8322</v>
      </c>
    </row>
    <row r="234" spans="1:11">
      <c r="A234" s="137"/>
      <c r="B234" s="119"/>
      <c r="C234" s="119"/>
      <c r="D234" s="104" t="s">
        <v>801</v>
      </c>
      <c r="E234" s="102" t="s">
        <v>8323</v>
      </c>
      <c r="F234" s="52" t="s">
        <v>7183</v>
      </c>
      <c r="G234" s="3" t="s">
        <v>8324</v>
      </c>
      <c r="H234" s="3" t="s">
        <v>8325</v>
      </c>
      <c r="I234" s="52" t="s">
        <v>3449</v>
      </c>
      <c r="J234" s="3" t="s">
        <v>8326</v>
      </c>
      <c r="K234" s="138" t="s">
        <v>8327</v>
      </c>
    </row>
    <row r="235" spans="1:11">
      <c r="A235" s="137"/>
      <c r="B235" s="119"/>
      <c r="C235" s="119"/>
      <c r="D235" s="104" t="s">
        <v>803</v>
      </c>
      <c r="E235" s="102" t="s">
        <v>8328</v>
      </c>
      <c r="F235" s="52" t="s">
        <v>7183</v>
      </c>
      <c r="G235" s="3" t="s">
        <v>8329</v>
      </c>
      <c r="H235" s="3" t="s">
        <v>8330</v>
      </c>
      <c r="I235" s="52" t="s">
        <v>3450</v>
      </c>
      <c r="J235" s="3" t="s">
        <v>8331</v>
      </c>
      <c r="K235" s="138" t="s">
        <v>8332</v>
      </c>
    </row>
    <row r="236" spans="1:11">
      <c r="A236" s="137"/>
      <c r="B236" s="119"/>
      <c r="C236" s="119"/>
      <c r="D236" s="104" t="s">
        <v>805</v>
      </c>
      <c r="E236" s="102" t="s">
        <v>8333</v>
      </c>
      <c r="F236" s="52" t="s">
        <v>7183</v>
      </c>
      <c r="G236" s="3" t="s">
        <v>8334</v>
      </c>
      <c r="H236" s="3" t="s">
        <v>8335</v>
      </c>
      <c r="I236" s="52" t="s">
        <v>3450</v>
      </c>
      <c r="J236" s="3" t="s">
        <v>8336</v>
      </c>
      <c r="K236" s="138" t="s">
        <v>8337</v>
      </c>
    </row>
    <row r="237" spans="1:11">
      <c r="A237" s="137"/>
      <c r="B237" s="119"/>
      <c r="C237" s="119" t="s">
        <v>807</v>
      </c>
      <c r="D237" s="104" t="s">
        <v>808</v>
      </c>
      <c r="E237" s="102" t="s">
        <v>8338</v>
      </c>
      <c r="F237" s="52" t="s">
        <v>7189</v>
      </c>
      <c r="G237" s="3" t="s">
        <v>8339</v>
      </c>
      <c r="H237" s="3" t="s">
        <v>8340</v>
      </c>
      <c r="I237" s="52" t="s">
        <v>3450</v>
      </c>
      <c r="J237" s="3" t="s">
        <v>8341</v>
      </c>
      <c r="K237" s="138" t="s">
        <v>8342</v>
      </c>
    </row>
    <row r="238" spans="1:11">
      <c r="A238" s="137"/>
      <c r="B238" s="119"/>
      <c r="C238" s="119"/>
      <c r="D238" s="104" t="s">
        <v>810</v>
      </c>
      <c r="E238" s="102" t="s">
        <v>8343</v>
      </c>
      <c r="F238" s="52" t="s">
        <v>7183</v>
      </c>
      <c r="G238" s="3" t="s">
        <v>8344</v>
      </c>
      <c r="H238" s="3" t="s">
        <v>8345</v>
      </c>
      <c r="I238" s="52" t="s">
        <v>7320</v>
      </c>
      <c r="J238" s="3" t="s">
        <v>8346</v>
      </c>
      <c r="K238" s="138" t="s">
        <v>8347</v>
      </c>
    </row>
    <row r="239" spans="1:11">
      <c r="A239" s="137"/>
      <c r="B239" s="119"/>
      <c r="C239" s="119"/>
      <c r="D239" s="104" t="s">
        <v>812</v>
      </c>
      <c r="E239" s="102" t="s">
        <v>8348</v>
      </c>
      <c r="F239" s="52" t="s">
        <v>7183</v>
      </c>
      <c r="G239" s="3" t="s">
        <v>8349</v>
      </c>
      <c r="H239" s="3" t="s">
        <v>8350</v>
      </c>
      <c r="I239" s="52" t="s">
        <v>3450</v>
      </c>
      <c r="J239" s="3" t="s">
        <v>8351</v>
      </c>
      <c r="K239" s="138" t="s">
        <v>8352</v>
      </c>
    </row>
    <row r="240" spans="1:11">
      <c r="A240" s="137"/>
      <c r="B240" s="119"/>
      <c r="C240" s="119"/>
      <c r="D240" s="104" t="s">
        <v>628</v>
      </c>
      <c r="E240" s="102" t="s">
        <v>7916</v>
      </c>
      <c r="F240" s="52" t="s">
        <v>7183</v>
      </c>
      <c r="G240" s="3" t="s">
        <v>8353</v>
      </c>
      <c r="H240" s="3" t="s">
        <v>8354</v>
      </c>
      <c r="I240" s="52" t="s">
        <v>7320</v>
      </c>
      <c r="J240" s="3" t="s">
        <v>8355</v>
      </c>
      <c r="K240" s="138" t="s">
        <v>8356</v>
      </c>
    </row>
    <row r="241" spans="1:11">
      <c r="A241" s="137"/>
      <c r="B241" s="119"/>
      <c r="C241" s="119"/>
      <c r="D241" s="104" t="s">
        <v>630</v>
      </c>
      <c r="E241" s="102" t="s">
        <v>8357</v>
      </c>
      <c r="F241" s="52" t="s">
        <v>7183</v>
      </c>
      <c r="G241" s="3" t="s">
        <v>8358</v>
      </c>
      <c r="H241" s="3" t="s">
        <v>8359</v>
      </c>
      <c r="I241" s="52" t="s">
        <v>3449</v>
      </c>
      <c r="J241" s="3" t="s">
        <v>8360</v>
      </c>
      <c r="K241" s="138" t="s">
        <v>8361</v>
      </c>
    </row>
    <row r="242" spans="1:11">
      <c r="A242" s="137"/>
      <c r="B242" s="119"/>
      <c r="C242" s="119" t="s">
        <v>816</v>
      </c>
      <c r="D242" s="104" t="s">
        <v>817</v>
      </c>
      <c r="E242" s="102" t="s">
        <v>8362</v>
      </c>
      <c r="F242" s="52" t="s">
        <v>7189</v>
      </c>
      <c r="G242" s="3" t="s">
        <v>8363</v>
      </c>
      <c r="H242" s="3" t="s">
        <v>8364</v>
      </c>
      <c r="I242" s="52" t="s">
        <v>3449</v>
      </c>
      <c r="J242" s="3" t="s">
        <v>8365</v>
      </c>
      <c r="K242" s="138" t="s">
        <v>8366</v>
      </c>
    </row>
    <row r="243" spans="1:11">
      <c r="A243" s="137"/>
      <c r="B243" s="119"/>
      <c r="C243" s="119"/>
      <c r="D243" s="104" t="s">
        <v>819</v>
      </c>
      <c r="E243" s="102" t="s">
        <v>8367</v>
      </c>
      <c r="F243" s="52" t="s">
        <v>7183</v>
      </c>
      <c r="G243" s="3" t="s">
        <v>8368</v>
      </c>
      <c r="H243" s="3" t="s">
        <v>8369</v>
      </c>
      <c r="I243" s="52" t="s">
        <v>3449</v>
      </c>
      <c r="J243" s="3" t="s">
        <v>8370</v>
      </c>
      <c r="K243" s="138" t="s">
        <v>8371</v>
      </c>
    </row>
    <row r="244" spans="1:11">
      <c r="A244" s="137"/>
      <c r="B244" s="119"/>
      <c r="C244" s="119"/>
      <c r="D244" s="104" t="s">
        <v>821</v>
      </c>
      <c r="E244" s="102" t="s">
        <v>8372</v>
      </c>
      <c r="F244" s="52" t="s">
        <v>7183</v>
      </c>
      <c r="G244" s="3" t="s">
        <v>8373</v>
      </c>
      <c r="H244" s="3" t="s">
        <v>8374</v>
      </c>
      <c r="I244" s="52" t="s">
        <v>3449</v>
      </c>
      <c r="J244" s="3" t="s">
        <v>8375</v>
      </c>
      <c r="K244" s="138" t="s">
        <v>8376</v>
      </c>
    </row>
    <row r="245" spans="1:11">
      <c r="A245" s="137"/>
      <c r="B245" s="119"/>
      <c r="C245" s="119"/>
      <c r="D245" s="104" t="s">
        <v>823</v>
      </c>
      <c r="E245" s="102" t="s">
        <v>8377</v>
      </c>
      <c r="F245" s="52" t="s">
        <v>7183</v>
      </c>
      <c r="G245" s="3" t="s">
        <v>8378</v>
      </c>
      <c r="H245" s="3" t="s">
        <v>8379</v>
      </c>
      <c r="I245" s="52" t="s">
        <v>3449</v>
      </c>
      <c r="J245" s="3" t="s">
        <v>8380</v>
      </c>
      <c r="K245" s="138" t="s">
        <v>8381</v>
      </c>
    </row>
    <row r="246" spans="1:11">
      <c r="A246" s="137"/>
      <c r="B246" s="119"/>
      <c r="C246" s="119"/>
      <c r="D246" s="104" t="s">
        <v>529</v>
      </c>
      <c r="E246" s="102" t="s">
        <v>8382</v>
      </c>
      <c r="F246" s="52" t="s">
        <v>7183</v>
      </c>
      <c r="G246" s="3" t="s">
        <v>8383</v>
      </c>
      <c r="H246" s="3" t="s">
        <v>8384</v>
      </c>
      <c r="I246" s="52" t="s">
        <v>3449</v>
      </c>
      <c r="J246" s="3" t="s">
        <v>8385</v>
      </c>
      <c r="K246" s="138" t="s">
        <v>8386</v>
      </c>
    </row>
    <row r="247" spans="1:11">
      <c r="A247" s="137"/>
      <c r="B247" s="119"/>
      <c r="C247" s="119" t="s">
        <v>826</v>
      </c>
      <c r="D247" s="104" t="s">
        <v>827</v>
      </c>
      <c r="E247" s="102" t="s">
        <v>8387</v>
      </c>
      <c r="F247" s="52" t="s">
        <v>7189</v>
      </c>
      <c r="G247" s="3" t="s">
        <v>8388</v>
      </c>
      <c r="H247" s="3" t="s">
        <v>8389</v>
      </c>
      <c r="I247" s="52" t="s">
        <v>3449</v>
      </c>
      <c r="J247" s="3" t="s">
        <v>8390</v>
      </c>
      <c r="K247" s="138" t="s">
        <v>8391</v>
      </c>
    </row>
    <row r="248" spans="1:11">
      <c r="A248" s="137"/>
      <c r="B248" s="119"/>
      <c r="C248" s="119"/>
      <c r="D248" s="104" t="s">
        <v>575</v>
      </c>
      <c r="E248" s="102" t="s">
        <v>8392</v>
      </c>
      <c r="F248" s="52" t="s">
        <v>7183</v>
      </c>
      <c r="G248" s="3" t="s">
        <v>8393</v>
      </c>
      <c r="H248" s="3" t="s">
        <v>8394</v>
      </c>
      <c r="I248" s="52" t="s">
        <v>3449</v>
      </c>
      <c r="J248" s="3" t="s">
        <v>8395</v>
      </c>
      <c r="K248" s="138" t="s">
        <v>8396</v>
      </c>
    </row>
    <row r="249" spans="1:11">
      <c r="A249" s="137"/>
      <c r="B249" s="119"/>
      <c r="C249" s="119"/>
      <c r="D249" s="104" t="s">
        <v>830</v>
      </c>
      <c r="E249" s="3" t="s">
        <v>8397</v>
      </c>
      <c r="F249" s="52" t="s">
        <v>7183</v>
      </c>
      <c r="G249" s="3" t="s">
        <v>8398</v>
      </c>
      <c r="H249" s="3" t="s">
        <v>8399</v>
      </c>
      <c r="I249" s="52" t="s">
        <v>3449</v>
      </c>
      <c r="J249" s="3" t="s">
        <v>8400</v>
      </c>
      <c r="K249" s="138" t="s">
        <v>8401</v>
      </c>
    </row>
    <row r="250" spans="1:11">
      <c r="A250" s="137"/>
      <c r="B250" s="119"/>
      <c r="C250" s="119"/>
      <c r="D250" s="104" t="s">
        <v>832</v>
      </c>
      <c r="E250" s="102" t="s">
        <v>8402</v>
      </c>
      <c r="F250" s="52" t="s">
        <v>7183</v>
      </c>
      <c r="G250" s="3" t="s">
        <v>8403</v>
      </c>
      <c r="H250" s="3" t="s">
        <v>8404</v>
      </c>
      <c r="I250" s="52" t="s">
        <v>3449</v>
      </c>
      <c r="J250" s="3" t="s">
        <v>8405</v>
      </c>
      <c r="K250" s="138" t="s">
        <v>8406</v>
      </c>
    </row>
    <row r="251" spans="1:11">
      <c r="A251" s="137"/>
      <c r="B251" s="119"/>
      <c r="C251" s="119"/>
      <c r="D251" s="104" t="s">
        <v>581</v>
      </c>
      <c r="E251" s="102" t="s">
        <v>8407</v>
      </c>
      <c r="F251" s="52" t="s">
        <v>7183</v>
      </c>
      <c r="G251" s="3" t="s">
        <v>8408</v>
      </c>
      <c r="H251" s="3" t="s">
        <v>8409</v>
      </c>
      <c r="I251" s="52" t="s">
        <v>3449</v>
      </c>
      <c r="J251" s="3" t="s">
        <v>8410</v>
      </c>
      <c r="K251" s="138" t="s">
        <v>8411</v>
      </c>
    </row>
    <row r="252" spans="1:11">
      <c r="A252" s="137"/>
      <c r="B252" s="119"/>
      <c r="C252" s="119" t="s">
        <v>835</v>
      </c>
      <c r="D252" s="104" t="s">
        <v>836</v>
      </c>
      <c r="E252" s="102" t="s">
        <v>8412</v>
      </c>
      <c r="F252" s="52" t="s">
        <v>7189</v>
      </c>
      <c r="G252" s="3" t="s">
        <v>8413</v>
      </c>
      <c r="H252" s="3" t="s">
        <v>8414</v>
      </c>
      <c r="I252" s="52" t="s">
        <v>3449</v>
      </c>
      <c r="J252" s="3" t="s">
        <v>8415</v>
      </c>
      <c r="K252" s="138" t="s">
        <v>8416</v>
      </c>
    </row>
    <row r="253" spans="1:11">
      <c r="A253" s="137"/>
      <c r="B253" s="119"/>
      <c r="C253" s="119"/>
      <c r="D253" s="104" t="s">
        <v>837</v>
      </c>
      <c r="E253" s="102" t="s">
        <v>8417</v>
      </c>
      <c r="F253" s="52" t="s">
        <v>7183</v>
      </c>
      <c r="G253" s="3" t="s">
        <v>8418</v>
      </c>
      <c r="H253" s="3" t="s">
        <v>8419</v>
      </c>
      <c r="I253" s="52" t="s">
        <v>3449</v>
      </c>
      <c r="J253" s="3" t="s">
        <v>8420</v>
      </c>
      <c r="K253" s="138" t="s">
        <v>8421</v>
      </c>
    </row>
    <row r="254" spans="1:11">
      <c r="A254" s="137"/>
      <c r="B254" s="119"/>
      <c r="C254" s="119"/>
      <c r="D254" s="104" t="s">
        <v>838</v>
      </c>
      <c r="E254" s="102" t="s">
        <v>8422</v>
      </c>
      <c r="F254" s="52" t="s">
        <v>7183</v>
      </c>
      <c r="G254" s="3" t="s">
        <v>8423</v>
      </c>
      <c r="H254" s="3" t="s">
        <v>8424</v>
      </c>
      <c r="I254" s="52" t="s">
        <v>3449</v>
      </c>
      <c r="J254" s="3" t="s">
        <v>8425</v>
      </c>
      <c r="K254" s="138" t="s">
        <v>8426</v>
      </c>
    </row>
    <row r="255" spans="1:11">
      <c r="A255" s="137"/>
      <c r="B255" s="119"/>
      <c r="C255" s="119"/>
      <c r="D255" s="104" t="s">
        <v>839</v>
      </c>
      <c r="E255" s="102" t="s">
        <v>8427</v>
      </c>
      <c r="F255" s="52" t="s">
        <v>7183</v>
      </c>
      <c r="G255" s="3" t="s">
        <v>8428</v>
      </c>
      <c r="H255" s="3" t="s">
        <v>8429</v>
      </c>
      <c r="I255" s="52" t="s">
        <v>3449</v>
      </c>
      <c r="J255" s="3" t="s">
        <v>8430</v>
      </c>
      <c r="K255" s="138" t="s">
        <v>8431</v>
      </c>
    </row>
    <row r="256" spans="1:11">
      <c r="A256" s="137"/>
      <c r="B256" s="119"/>
      <c r="C256" s="119"/>
      <c r="D256" s="104" t="s">
        <v>840</v>
      </c>
      <c r="E256" s="102" t="s">
        <v>8432</v>
      </c>
      <c r="F256" s="52" t="s">
        <v>7183</v>
      </c>
      <c r="G256" s="3" t="s">
        <v>8433</v>
      </c>
      <c r="H256" s="3" t="s">
        <v>8434</v>
      </c>
      <c r="I256" s="52" t="s">
        <v>3449</v>
      </c>
      <c r="J256" s="3" t="s">
        <v>8435</v>
      </c>
      <c r="K256" s="138" t="s">
        <v>8436</v>
      </c>
    </row>
    <row r="257" spans="1:11">
      <c r="A257" s="137"/>
      <c r="B257" s="119"/>
      <c r="C257" s="119" t="s">
        <v>841</v>
      </c>
      <c r="D257" s="104" t="s">
        <v>842</v>
      </c>
      <c r="E257" s="102" t="s">
        <v>8437</v>
      </c>
      <c r="F257" s="52" t="s">
        <v>7189</v>
      </c>
      <c r="G257" s="3" t="s">
        <v>8438</v>
      </c>
      <c r="H257" s="3" t="s">
        <v>8439</v>
      </c>
      <c r="I257" s="52" t="s">
        <v>3449</v>
      </c>
      <c r="J257" s="3" t="s">
        <v>8440</v>
      </c>
      <c r="K257" s="138" t="s">
        <v>8441</v>
      </c>
    </row>
    <row r="258" spans="1:11">
      <c r="A258" s="137"/>
      <c r="B258" s="119"/>
      <c r="C258" s="119"/>
      <c r="D258" s="104" t="s">
        <v>789</v>
      </c>
      <c r="E258" s="102" t="s">
        <v>8442</v>
      </c>
      <c r="F258" s="52" t="s">
        <v>7183</v>
      </c>
      <c r="G258" s="3" t="s">
        <v>8443</v>
      </c>
      <c r="H258" s="3" t="s">
        <v>8444</v>
      </c>
      <c r="I258" s="52" t="s">
        <v>3449</v>
      </c>
      <c r="J258" s="3" t="s">
        <v>8445</v>
      </c>
      <c r="K258" s="138" t="s">
        <v>8446</v>
      </c>
    </row>
    <row r="259" spans="1:11">
      <c r="A259" s="137"/>
      <c r="B259" s="119"/>
      <c r="C259" s="119"/>
      <c r="D259" s="104" t="s">
        <v>791</v>
      </c>
      <c r="E259" s="102" t="s">
        <v>8447</v>
      </c>
      <c r="F259" s="52" t="s">
        <v>7183</v>
      </c>
      <c r="G259" s="3" t="s">
        <v>8448</v>
      </c>
      <c r="H259" s="3" t="s">
        <v>8449</v>
      </c>
      <c r="I259" s="52" t="s">
        <v>3449</v>
      </c>
      <c r="J259" s="3" t="s">
        <v>8450</v>
      </c>
      <c r="K259" s="138" t="s">
        <v>8451</v>
      </c>
    </row>
    <row r="260" spans="1:11">
      <c r="A260" s="137"/>
      <c r="B260" s="119"/>
      <c r="C260" s="119"/>
      <c r="D260" s="104" t="s">
        <v>846</v>
      </c>
      <c r="E260" s="102" t="s">
        <v>8452</v>
      </c>
      <c r="F260" s="52" t="s">
        <v>7183</v>
      </c>
      <c r="G260" s="3" t="s">
        <v>8453</v>
      </c>
      <c r="H260" s="3" t="s">
        <v>8454</v>
      </c>
      <c r="I260" s="52" t="s">
        <v>3449</v>
      </c>
      <c r="J260" s="3" t="s">
        <v>8455</v>
      </c>
      <c r="K260" s="138" t="s">
        <v>8456</v>
      </c>
    </row>
    <row r="261" spans="1:11">
      <c r="A261" s="137"/>
      <c r="B261" s="119"/>
      <c r="C261" s="119"/>
      <c r="D261" s="104" t="s">
        <v>795</v>
      </c>
      <c r="E261" s="102" t="s">
        <v>8457</v>
      </c>
      <c r="F261" s="52" t="s">
        <v>7183</v>
      </c>
      <c r="G261" s="3" t="s">
        <v>8458</v>
      </c>
      <c r="H261" s="3" t="s">
        <v>8459</v>
      </c>
      <c r="I261" s="52" t="s">
        <v>3449</v>
      </c>
      <c r="J261" s="3" t="s">
        <v>8460</v>
      </c>
      <c r="K261" s="138" t="s">
        <v>8461</v>
      </c>
    </row>
    <row r="262" spans="1:11">
      <c r="A262" s="137"/>
      <c r="B262" s="119"/>
      <c r="C262" s="119" t="s">
        <v>849</v>
      </c>
      <c r="D262" s="104" t="s">
        <v>850</v>
      </c>
      <c r="E262" s="102" t="s">
        <v>8462</v>
      </c>
      <c r="F262" s="52" t="s">
        <v>7189</v>
      </c>
      <c r="G262" s="3" t="s">
        <v>8463</v>
      </c>
      <c r="H262" s="3" t="s">
        <v>8464</v>
      </c>
      <c r="I262" s="52" t="s">
        <v>3449</v>
      </c>
      <c r="J262" s="3" t="s">
        <v>8465</v>
      </c>
      <c r="K262" s="138" t="s">
        <v>8466</v>
      </c>
    </row>
    <row r="263" spans="1:11">
      <c r="A263" s="137"/>
      <c r="B263" s="119"/>
      <c r="C263" s="119"/>
      <c r="D263" s="104" t="s">
        <v>852</v>
      </c>
      <c r="E263" s="102" t="s">
        <v>8467</v>
      </c>
      <c r="F263" s="52" t="s">
        <v>7183</v>
      </c>
      <c r="G263" s="3" t="s">
        <v>8468</v>
      </c>
      <c r="H263" s="3" t="s">
        <v>8469</v>
      </c>
      <c r="I263" s="52" t="s">
        <v>3449</v>
      </c>
      <c r="J263" s="3" t="s">
        <v>8470</v>
      </c>
      <c r="K263" s="138" t="s">
        <v>8471</v>
      </c>
    </row>
    <row r="264" spans="1:11">
      <c r="A264" s="137"/>
      <c r="B264" s="119"/>
      <c r="C264" s="119"/>
      <c r="D264" s="104" t="s">
        <v>854</v>
      </c>
      <c r="E264" s="102" t="s">
        <v>8472</v>
      </c>
      <c r="F264" s="52" t="s">
        <v>7183</v>
      </c>
      <c r="G264" s="3" t="s">
        <v>7283</v>
      </c>
      <c r="H264" s="3" t="s">
        <v>8473</v>
      </c>
      <c r="I264" s="52" t="s">
        <v>3449</v>
      </c>
      <c r="J264" s="3" t="s">
        <v>8474</v>
      </c>
      <c r="K264" s="138" t="s">
        <v>8475</v>
      </c>
    </row>
    <row r="265" spans="1:11">
      <c r="A265" s="137"/>
      <c r="B265" s="119"/>
      <c r="C265" s="119"/>
      <c r="D265" s="104" t="s">
        <v>856</v>
      </c>
      <c r="E265" s="102" t="s">
        <v>8476</v>
      </c>
      <c r="F265" s="52" t="s">
        <v>7183</v>
      </c>
      <c r="G265" s="3" t="s">
        <v>8477</v>
      </c>
      <c r="H265" s="3" t="s">
        <v>8478</v>
      </c>
      <c r="I265" s="52" t="s">
        <v>3449</v>
      </c>
      <c r="J265" s="3" t="s">
        <v>8479</v>
      </c>
      <c r="K265" s="138" t="s">
        <v>8480</v>
      </c>
    </row>
    <row r="266" spans="1:11">
      <c r="A266" s="137"/>
      <c r="B266" s="119"/>
      <c r="C266" s="119"/>
      <c r="D266" s="104" t="s">
        <v>858</v>
      </c>
      <c r="E266" s="102" t="s">
        <v>8199</v>
      </c>
      <c r="F266" s="52" t="s">
        <v>7183</v>
      </c>
      <c r="G266" s="3" t="s">
        <v>8481</v>
      </c>
      <c r="H266" s="3" t="s">
        <v>8482</v>
      </c>
      <c r="I266" s="52" t="s">
        <v>3449</v>
      </c>
      <c r="J266" s="3" t="s">
        <v>8483</v>
      </c>
      <c r="K266" s="138" t="s">
        <v>8484</v>
      </c>
    </row>
    <row r="267" spans="1:11">
      <c r="A267" s="137"/>
      <c r="B267" s="119"/>
      <c r="C267" s="119" t="s">
        <v>860</v>
      </c>
      <c r="D267" s="104" t="s">
        <v>861</v>
      </c>
      <c r="E267" s="102" t="s">
        <v>8485</v>
      </c>
      <c r="F267" s="52" t="s">
        <v>7189</v>
      </c>
      <c r="G267" s="3" t="s">
        <v>8486</v>
      </c>
      <c r="H267" s="3" t="s">
        <v>8487</v>
      </c>
      <c r="I267" s="52" t="s">
        <v>3449</v>
      </c>
      <c r="J267" s="3" t="s">
        <v>8488</v>
      </c>
      <c r="K267" s="138" t="s">
        <v>8489</v>
      </c>
    </row>
    <row r="268" spans="1:11">
      <c r="A268" s="137"/>
      <c r="B268" s="119"/>
      <c r="C268" s="119"/>
      <c r="D268" s="104" t="s">
        <v>863</v>
      </c>
      <c r="E268" s="102" t="s">
        <v>8490</v>
      </c>
      <c r="F268" s="52" t="s">
        <v>7183</v>
      </c>
      <c r="G268" s="3" t="s">
        <v>8491</v>
      </c>
      <c r="H268" s="3" t="s">
        <v>8492</v>
      </c>
      <c r="I268" s="52" t="s">
        <v>3449</v>
      </c>
      <c r="J268" s="3" t="s">
        <v>8493</v>
      </c>
      <c r="K268" s="138" t="s">
        <v>8494</v>
      </c>
    </row>
    <row r="269" spans="1:11">
      <c r="A269" s="137"/>
      <c r="B269" s="119"/>
      <c r="C269" s="119"/>
      <c r="D269" s="104" t="s">
        <v>865</v>
      </c>
      <c r="E269" s="102" t="s">
        <v>8495</v>
      </c>
      <c r="F269" s="52" t="s">
        <v>7183</v>
      </c>
      <c r="G269" s="3" t="s">
        <v>8496</v>
      </c>
      <c r="H269" s="3" t="s">
        <v>8497</v>
      </c>
      <c r="I269" s="52" t="s">
        <v>3449</v>
      </c>
      <c r="J269" s="3" t="s">
        <v>8498</v>
      </c>
      <c r="K269" s="138" t="s">
        <v>8499</v>
      </c>
    </row>
    <row r="270" spans="1:11">
      <c r="A270" s="137"/>
      <c r="B270" s="119"/>
      <c r="C270" s="119"/>
      <c r="D270" s="104" t="s">
        <v>867</v>
      </c>
      <c r="E270" s="102" t="s">
        <v>8500</v>
      </c>
      <c r="F270" s="52" t="s">
        <v>7183</v>
      </c>
      <c r="G270" s="3" t="s">
        <v>8501</v>
      </c>
      <c r="H270" s="3" t="s">
        <v>8502</v>
      </c>
      <c r="I270" s="52" t="s">
        <v>3449</v>
      </c>
      <c r="J270" s="3" t="s">
        <v>8503</v>
      </c>
      <c r="K270" s="138" t="s">
        <v>8504</v>
      </c>
    </row>
    <row r="271" spans="1:11">
      <c r="A271" s="137"/>
      <c r="B271" s="119"/>
      <c r="C271" s="119"/>
      <c r="D271" s="104" t="s">
        <v>869</v>
      </c>
      <c r="E271" s="102" t="s">
        <v>8505</v>
      </c>
      <c r="F271" s="52" t="s">
        <v>7183</v>
      </c>
      <c r="G271" s="3" t="s">
        <v>7293</v>
      </c>
      <c r="H271" s="3" t="s">
        <v>8506</v>
      </c>
      <c r="I271" s="52" t="s">
        <v>3449</v>
      </c>
      <c r="J271" s="3" t="s">
        <v>8507</v>
      </c>
      <c r="K271" s="138" t="s">
        <v>8508</v>
      </c>
    </row>
    <row r="272" spans="1:11">
      <c r="A272" s="137"/>
      <c r="B272" s="119"/>
      <c r="C272" s="119" t="s">
        <v>871</v>
      </c>
      <c r="D272" s="104" t="s">
        <v>872</v>
      </c>
      <c r="E272" s="102" t="s">
        <v>8509</v>
      </c>
      <c r="F272" s="52" t="s">
        <v>7189</v>
      </c>
      <c r="G272" s="3" t="s">
        <v>8510</v>
      </c>
      <c r="H272" s="3" t="s">
        <v>8511</v>
      </c>
      <c r="I272" s="52" t="s">
        <v>3449</v>
      </c>
      <c r="J272" s="3" t="s">
        <v>8512</v>
      </c>
      <c r="K272" s="138" t="s">
        <v>8513</v>
      </c>
    </row>
    <row r="273" spans="1:11">
      <c r="A273" s="137"/>
      <c r="B273" s="119"/>
      <c r="C273" s="119"/>
      <c r="D273" s="104" t="s">
        <v>863</v>
      </c>
      <c r="E273" s="102" t="s">
        <v>8514</v>
      </c>
      <c r="F273" s="52" t="s">
        <v>7183</v>
      </c>
      <c r="G273" s="3" t="s">
        <v>8515</v>
      </c>
      <c r="H273" s="3" t="s">
        <v>8516</v>
      </c>
      <c r="I273" s="52" t="s">
        <v>3449</v>
      </c>
      <c r="J273" s="3" t="s">
        <v>8517</v>
      </c>
      <c r="K273" s="138" t="s">
        <v>8518</v>
      </c>
    </row>
    <row r="274" spans="1:11">
      <c r="A274" s="137"/>
      <c r="B274" s="119"/>
      <c r="C274" s="119"/>
      <c r="D274" s="104" t="s">
        <v>875</v>
      </c>
      <c r="E274" s="102" t="s">
        <v>8519</v>
      </c>
      <c r="F274" s="52" t="s">
        <v>7183</v>
      </c>
      <c r="G274" s="3" t="s">
        <v>8520</v>
      </c>
      <c r="H274" s="3" t="s">
        <v>8521</v>
      </c>
      <c r="I274" s="52" t="s">
        <v>3449</v>
      </c>
      <c r="J274" s="3" t="s">
        <v>8522</v>
      </c>
      <c r="K274" s="138" t="s">
        <v>8523</v>
      </c>
    </row>
    <row r="275" spans="1:11">
      <c r="A275" s="137"/>
      <c r="B275" s="119"/>
      <c r="C275" s="119"/>
      <c r="D275" s="104" t="s">
        <v>877</v>
      </c>
      <c r="E275" s="102" t="s">
        <v>8524</v>
      </c>
      <c r="F275" s="52" t="s">
        <v>7183</v>
      </c>
      <c r="G275" s="3" t="s">
        <v>8525</v>
      </c>
      <c r="H275" s="3" t="s">
        <v>8526</v>
      </c>
      <c r="I275" s="52" t="s">
        <v>3449</v>
      </c>
      <c r="J275" s="3" t="s">
        <v>8527</v>
      </c>
      <c r="K275" s="138" t="s">
        <v>8528</v>
      </c>
    </row>
    <row r="276" spans="1:11">
      <c r="A276" s="137"/>
      <c r="B276" s="119"/>
      <c r="C276" s="119"/>
      <c r="D276" s="104" t="s">
        <v>879</v>
      </c>
      <c r="E276" s="102" t="s">
        <v>8529</v>
      </c>
      <c r="F276" s="52" t="s">
        <v>7183</v>
      </c>
      <c r="G276" s="3" t="s">
        <v>8530</v>
      </c>
      <c r="H276" s="3" t="s">
        <v>8531</v>
      </c>
      <c r="I276" s="52" t="s">
        <v>3449</v>
      </c>
      <c r="J276" s="3" t="s">
        <v>8532</v>
      </c>
      <c r="K276" s="138" t="s">
        <v>8533</v>
      </c>
    </row>
    <row r="277" spans="1:11">
      <c r="A277" s="137"/>
      <c r="B277" s="119"/>
      <c r="C277" s="119" t="s">
        <v>881</v>
      </c>
      <c r="D277" s="104" t="s">
        <v>882</v>
      </c>
      <c r="E277" s="102" t="s">
        <v>8534</v>
      </c>
      <c r="F277" s="52" t="s">
        <v>7189</v>
      </c>
      <c r="G277" s="3" t="s">
        <v>8535</v>
      </c>
      <c r="H277" s="3" t="s">
        <v>8536</v>
      </c>
      <c r="I277" s="52" t="s">
        <v>3449</v>
      </c>
      <c r="J277" s="3" t="s">
        <v>8537</v>
      </c>
      <c r="K277" s="138" t="s">
        <v>8538</v>
      </c>
    </row>
    <row r="278" spans="1:11">
      <c r="A278" s="137"/>
      <c r="B278" s="119"/>
      <c r="C278" s="119"/>
      <c r="D278" s="104" t="s">
        <v>884</v>
      </c>
      <c r="E278" s="102" t="s">
        <v>8539</v>
      </c>
      <c r="F278" s="52" t="s">
        <v>7183</v>
      </c>
      <c r="G278" s="3" t="s">
        <v>8540</v>
      </c>
      <c r="H278" s="3" t="s">
        <v>8541</v>
      </c>
      <c r="I278" s="52" t="s">
        <v>3449</v>
      </c>
      <c r="J278" s="3" t="s">
        <v>8542</v>
      </c>
      <c r="K278" s="138" t="s">
        <v>8543</v>
      </c>
    </row>
    <row r="279" spans="1:11">
      <c r="A279" s="137"/>
      <c r="B279" s="119"/>
      <c r="C279" s="119"/>
      <c r="D279" s="104" t="s">
        <v>886</v>
      </c>
      <c r="E279" s="102" t="s">
        <v>8544</v>
      </c>
      <c r="F279" s="52" t="s">
        <v>7183</v>
      </c>
      <c r="G279" s="3" t="s">
        <v>7464</v>
      </c>
      <c r="H279" s="3" t="s">
        <v>8545</v>
      </c>
      <c r="I279" s="52" t="s">
        <v>3449</v>
      </c>
      <c r="J279" s="3" t="s">
        <v>8546</v>
      </c>
      <c r="K279" s="138" t="s">
        <v>8547</v>
      </c>
    </row>
    <row r="280" spans="1:11">
      <c r="A280" s="137"/>
      <c r="B280" s="119"/>
      <c r="C280" s="119"/>
      <c r="D280" s="104" t="s">
        <v>888</v>
      </c>
      <c r="E280" s="102" t="s">
        <v>8548</v>
      </c>
      <c r="F280" s="52" t="s">
        <v>7183</v>
      </c>
      <c r="G280" s="3" t="s">
        <v>8549</v>
      </c>
      <c r="H280" s="3" t="s">
        <v>8550</v>
      </c>
      <c r="I280" s="52" t="s">
        <v>3449</v>
      </c>
      <c r="J280" s="3" t="s">
        <v>8551</v>
      </c>
      <c r="K280" s="138" t="s">
        <v>8552</v>
      </c>
    </row>
    <row r="281" spans="1:11">
      <c r="A281" s="137"/>
      <c r="B281" s="119"/>
      <c r="C281" s="119"/>
      <c r="D281" s="104" t="s">
        <v>890</v>
      </c>
      <c r="E281" s="102" t="s">
        <v>8553</v>
      </c>
      <c r="F281" s="52" t="s">
        <v>7183</v>
      </c>
      <c r="G281" s="3" t="s">
        <v>8554</v>
      </c>
      <c r="H281" s="3" t="s">
        <v>8555</v>
      </c>
      <c r="I281" s="52" t="s">
        <v>3449</v>
      </c>
      <c r="J281" s="3" t="s">
        <v>8556</v>
      </c>
      <c r="K281" s="138" t="s">
        <v>8557</v>
      </c>
    </row>
    <row r="282" spans="1:11">
      <c r="A282" s="137"/>
      <c r="B282" s="119"/>
      <c r="C282" s="119" t="s">
        <v>892</v>
      </c>
      <c r="D282" s="104" t="s">
        <v>882</v>
      </c>
      <c r="E282" s="102" t="s">
        <v>8558</v>
      </c>
      <c r="F282" s="52" t="s">
        <v>7189</v>
      </c>
      <c r="G282" s="3" t="s">
        <v>8559</v>
      </c>
      <c r="H282" s="3" t="s">
        <v>8560</v>
      </c>
      <c r="I282" s="52" t="s">
        <v>3449</v>
      </c>
      <c r="J282" s="3" t="s">
        <v>8561</v>
      </c>
      <c r="K282" s="138" t="s">
        <v>8562</v>
      </c>
    </row>
    <row r="283" spans="1:11">
      <c r="A283" s="137"/>
      <c r="B283" s="119"/>
      <c r="C283" s="119"/>
      <c r="D283" s="104" t="s">
        <v>894</v>
      </c>
      <c r="E283" s="102" t="s">
        <v>8563</v>
      </c>
      <c r="F283" s="52" t="s">
        <v>7183</v>
      </c>
      <c r="G283" s="3" t="s">
        <v>7588</v>
      </c>
      <c r="H283" s="3" t="s">
        <v>8564</v>
      </c>
      <c r="I283" s="52" t="s">
        <v>3449</v>
      </c>
      <c r="J283" s="3" t="s">
        <v>8565</v>
      </c>
      <c r="K283" s="138" t="s">
        <v>8566</v>
      </c>
    </row>
    <row r="284" spans="1:11">
      <c r="A284" s="137"/>
      <c r="B284" s="119"/>
      <c r="C284" s="119"/>
      <c r="D284" s="104" t="s">
        <v>886</v>
      </c>
      <c r="E284" s="102" t="s">
        <v>8567</v>
      </c>
      <c r="F284" s="52" t="s">
        <v>7183</v>
      </c>
      <c r="G284" s="3" t="s">
        <v>8568</v>
      </c>
      <c r="H284" s="3" t="s">
        <v>8569</v>
      </c>
      <c r="I284" s="52" t="s">
        <v>3449</v>
      </c>
      <c r="J284" s="3" t="s">
        <v>8570</v>
      </c>
      <c r="K284" s="138" t="s">
        <v>8571</v>
      </c>
    </row>
    <row r="285" spans="1:11">
      <c r="A285" s="137"/>
      <c r="B285" s="119"/>
      <c r="C285" s="119"/>
      <c r="D285" s="104" t="s">
        <v>888</v>
      </c>
      <c r="E285" s="102" t="s">
        <v>8572</v>
      </c>
      <c r="F285" s="52" t="s">
        <v>7183</v>
      </c>
      <c r="G285" s="3" t="s">
        <v>8573</v>
      </c>
      <c r="H285" s="3" t="s">
        <v>8574</v>
      </c>
      <c r="I285" s="52" t="s">
        <v>3449</v>
      </c>
      <c r="J285" s="3" t="s">
        <v>8575</v>
      </c>
      <c r="K285" s="138" t="s">
        <v>8576</v>
      </c>
    </row>
    <row r="286" spans="1:11">
      <c r="A286" s="137"/>
      <c r="B286" s="119"/>
      <c r="C286" s="119"/>
      <c r="D286" s="104" t="s">
        <v>898</v>
      </c>
      <c r="E286" s="102" t="s">
        <v>8577</v>
      </c>
      <c r="F286" s="52" t="s">
        <v>7183</v>
      </c>
      <c r="G286" s="3" t="s">
        <v>8578</v>
      </c>
      <c r="H286" s="3" t="s">
        <v>8579</v>
      </c>
      <c r="I286" s="52" t="s">
        <v>3449</v>
      </c>
      <c r="J286" s="3" t="s">
        <v>8580</v>
      </c>
      <c r="K286" s="138" t="s">
        <v>8581</v>
      </c>
    </row>
    <row r="287" spans="1:11">
      <c r="A287" s="137"/>
      <c r="B287" s="119"/>
      <c r="C287" s="119" t="s">
        <v>900</v>
      </c>
      <c r="D287" s="104" t="s">
        <v>901</v>
      </c>
      <c r="E287" s="102" t="s">
        <v>8582</v>
      </c>
      <c r="F287" s="52" t="s">
        <v>7189</v>
      </c>
      <c r="G287" s="3" t="s">
        <v>8583</v>
      </c>
      <c r="H287" s="3" t="s">
        <v>8584</v>
      </c>
      <c r="I287" s="52" t="s">
        <v>3449</v>
      </c>
      <c r="J287" s="3" t="s">
        <v>8585</v>
      </c>
      <c r="K287" s="138" t="s">
        <v>8586</v>
      </c>
    </row>
    <row r="288" spans="1:11">
      <c r="A288" s="137"/>
      <c r="B288" s="119"/>
      <c r="C288" s="119"/>
      <c r="D288" s="104" t="s">
        <v>903</v>
      </c>
      <c r="E288" s="102" t="s">
        <v>8587</v>
      </c>
      <c r="F288" s="52" t="s">
        <v>7183</v>
      </c>
      <c r="G288" s="3" t="s">
        <v>8588</v>
      </c>
      <c r="H288" s="3" t="s">
        <v>8589</v>
      </c>
      <c r="I288" s="52" t="s">
        <v>3449</v>
      </c>
      <c r="J288" s="3" t="s">
        <v>8590</v>
      </c>
      <c r="K288" s="138" t="s">
        <v>8591</v>
      </c>
    </row>
    <row r="289" spans="1:11">
      <c r="A289" s="137"/>
      <c r="B289" s="119"/>
      <c r="C289" s="119"/>
      <c r="D289" s="104" t="s">
        <v>905</v>
      </c>
      <c r="E289" s="102" t="s">
        <v>8592</v>
      </c>
      <c r="F289" s="52" t="s">
        <v>7183</v>
      </c>
      <c r="G289" s="3" t="s">
        <v>8593</v>
      </c>
      <c r="H289" s="3" t="s">
        <v>8594</v>
      </c>
      <c r="I289" s="52" t="s">
        <v>3449</v>
      </c>
      <c r="J289" s="3" t="s">
        <v>8595</v>
      </c>
      <c r="K289" s="138" t="s">
        <v>8596</v>
      </c>
    </row>
    <row r="290" spans="1:11">
      <c r="A290" s="137"/>
      <c r="B290" s="119"/>
      <c r="C290" s="119"/>
      <c r="D290" s="104" t="s">
        <v>907</v>
      </c>
      <c r="E290" s="102" t="s">
        <v>8597</v>
      </c>
      <c r="F290" s="52" t="s">
        <v>7183</v>
      </c>
      <c r="G290" s="3" t="s">
        <v>7439</v>
      </c>
      <c r="H290" s="3" t="s">
        <v>8598</v>
      </c>
      <c r="I290" s="52" t="s">
        <v>3449</v>
      </c>
      <c r="J290" s="3" t="s">
        <v>8599</v>
      </c>
      <c r="K290" s="138" t="s">
        <v>8600</v>
      </c>
    </row>
    <row r="291" spans="1:11">
      <c r="A291" s="137"/>
      <c r="B291" s="119"/>
      <c r="C291" s="119"/>
      <c r="D291" s="104" t="s">
        <v>879</v>
      </c>
      <c r="E291" s="102" t="s">
        <v>8601</v>
      </c>
      <c r="F291" s="52" t="s">
        <v>7183</v>
      </c>
      <c r="G291" s="3" t="s">
        <v>8602</v>
      </c>
      <c r="H291" s="3" t="s">
        <v>8603</v>
      </c>
      <c r="I291" s="52" t="s">
        <v>3449</v>
      </c>
      <c r="J291" s="3" t="s">
        <v>8604</v>
      </c>
      <c r="K291" s="138" t="s">
        <v>8605</v>
      </c>
    </row>
    <row r="292" spans="1:11">
      <c r="A292" s="137"/>
      <c r="B292" s="119"/>
      <c r="C292" s="119" t="s">
        <v>910</v>
      </c>
      <c r="D292" s="104" t="s">
        <v>911</v>
      </c>
      <c r="E292" s="102" t="s">
        <v>8606</v>
      </c>
      <c r="F292" s="52" t="s">
        <v>7189</v>
      </c>
      <c r="G292" s="3" t="s">
        <v>8607</v>
      </c>
      <c r="H292" s="3" t="s">
        <v>8608</v>
      </c>
      <c r="I292" s="52" t="s">
        <v>3450</v>
      </c>
      <c r="J292" s="3" t="s">
        <v>8609</v>
      </c>
      <c r="K292" s="138" t="s">
        <v>8610</v>
      </c>
    </row>
    <row r="293" spans="1:11">
      <c r="A293" s="137"/>
      <c r="B293" s="119"/>
      <c r="C293" s="119"/>
      <c r="D293" s="104" t="s">
        <v>913</v>
      </c>
      <c r="E293" s="102" t="s">
        <v>8611</v>
      </c>
      <c r="F293" s="52" t="s">
        <v>7183</v>
      </c>
      <c r="G293" s="3" t="s">
        <v>7364</v>
      </c>
      <c r="H293" s="3" t="s">
        <v>8612</v>
      </c>
      <c r="I293" s="52" t="s">
        <v>3449</v>
      </c>
      <c r="J293" s="3" t="s">
        <v>8613</v>
      </c>
      <c r="K293" s="138" t="s">
        <v>8614</v>
      </c>
    </row>
    <row r="294" spans="1:11">
      <c r="A294" s="137"/>
      <c r="B294" s="119"/>
      <c r="C294" s="119"/>
      <c r="D294" s="104" t="s">
        <v>915</v>
      </c>
      <c r="E294" s="102" t="s">
        <v>8615</v>
      </c>
      <c r="F294" s="52" t="s">
        <v>7183</v>
      </c>
      <c r="G294" s="3" t="s">
        <v>8616</v>
      </c>
      <c r="H294" s="3" t="s">
        <v>8617</v>
      </c>
      <c r="I294" s="52" t="s">
        <v>3449</v>
      </c>
      <c r="J294" s="3" t="s">
        <v>8618</v>
      </c>
      <c r="K294" s="138" t="s">
        <v>8619</v>
      </c>
    </row>
    <row r="295" spans="1:11">
      <c r="A295" s="137"/>
      <c r="B295" s="119"/>
      <c r="C295" s="119"/>
      <c r="D295" s="104" t="s">
        <v>907</v>
      </c>
      <c r="E295" s="102" t="s">
        <v>8620</v>
      </c>
      <c r="F295" s="52" t="s">
        <v>7183</v>
      </c>
      <c r="G295" s="3" t="s">
        <v>8621</v>
      </c>
      <c r="H295" s="3" t="s">
        <v>8622</v>
      </c>
      <c r="I295" s="52" t="s">
        <v>3449</v>
      </c>
      <c r="J295" s="3" t="s">
        <v>8623</v>
      </c>
      <c r="K295" s="138" t="s">
        <v>8624</v>
      </c>
    </row>
    <row r="296" spans="1:11">
      <c r="A296" s="137"/>
      <c r="B296" s="119"/>
      <c r="C296" s="119"/>
      <c r="D296" s="104" t="s">
        <v>918</v>
      </c>
      <c r="E296" s="102" t="s">
        <v>8625</v>
      </c>
      <c r="F296" s="52" t="s">
        <v>7183</v>
      </c>
      <c r="G296" s="3" t="s">
        <v>8626</v>
      </c>
      <c r="H296" s="3" t="s">
        <v>8627</v>
      </c>
      <c r="I296" s="52" t="s">
        <v>3449</v>
      </c>
      <c r="J296" s="3" t="s">
        <v>8628</v>
      </c>
      <c r="K296" s="138" t="s">
        <v>8629</v>
      </c>
    </row>
    <row r="297" spans="1:11">
      <c r="A297" s="137"/>
      <c r="B297" s="119"/>
      <c r="C297" s="119" t="s">
        <v>920</v>
      </c>
      <c r="D297" s="104" t="s">
        <v>921</v>
      </c>
      <c r="E297" s="102" t="s">
        <v>8630</v>
      </c>
      <c r="F297" s="52" t="s">
        <v>7189</v>
      </c>
      <c r="G297" s="3" t="s">
        <v>8631</v>
      </c>
      <c r="H297" s="3" t="s">
        <v>8632</v>
      </c>
      <c r="I297" s="52" t="s">
        <v>3449</v>
      </c>
      <c r="J297" s="3" t="s">
        <v>8633</v>
      </c>
      <c r="K297" s="138" t="s">
        <v>8634</v>
      </c>
    </row>
    <row r="298" spans="1:11">
      <c r="A298" s="137"/>
      <c r="B298" s="119"/>
      <c r="C298" s="119"/>
      <c r="D298" s="104" t="s">
        <v>923</v>
      </c>
      <c r="E298" s="102" t="s">
        <v>8635</v>
      </c>
      <c r="F298" s="52" t="s">
        <v>7183</v>
      </c>
      <c r="G298" s="3" t="s">
        <v>7399</v>
      </c>
      <c r="H298" s="3" t="s">
        <v>8636</v>
      </c>
      <c r="I298" s="52" t="s">
        <v>3449</v>
      </c>
      <c r="J298" s="3" t="s">
        <v>8637</v>
      </c>
      <c r="K298" s="138" t="s">
        <v>8638</v>
      </c>
    </row>
    <row r="299" spans="1:11">
      <c r="A299" s="137"/>
      <c r="B299" s="119"/>
      <c r="C299" s="119"/>
      <c r="D299" s="104" t="s">
        <v>925</v>
      </c>
      <c r="E299" s="102" t="s">
        <v>8639</v>
      </c>
      <c r="F299" s="52" t="s">
        <v>7183</v>
      </c>
      <c r="G299" s="3" t="s">
        <v>8640</v>
      </c>
      <c r="H299" s="3" t="s">
        <v>8641</v>
      </c>
      <c r="I299" s="52" t="s">
        <v>3449</v>
      </c>
      <c r="J299" s="3" t="s">
        <v>8642</v>
      </c>
      <c r="K299" s="138" t="s">
        <v>8643</v>
      </c>
    </row>
    <row r="300" spans="1:11">
      <c r="A300" s="137"/>
      <c r="B300" s="119"/>
      <c r="C300" s="119"/>
      <c r="D300" s="104" t="s">
        <v>927</v>
      </c>
      <c r="E300" s="102" t="s">
        <v>8644</v>
      </c>
      <c r="F300" s="52" t="s">
        <v>7183</v>
      </c>
      <c r="G300" s="3" t="s">
        <v>7477</v>
      </c>
      <c r="H300" s="3" t="s">
        <v>8645</v>
      </c>
      <c r="I300" s="52" t="s">
        <v>3449</v>
      </c>
      <c r="J300" s="3" t="s">
        <v>8646</v>
      </c>
      <c r="K300" s="138" t="s">
        <v>8647</v>
      </c>
    </row>
    <row r="301" spans="1:11">
      <c r="A301" s="137"/>
      <c r="B301" s="119"/>
      <c r="C301" s="119"/>
      <c r="D301" s="104" t="s">
        <v>929</v>
      </c>
      <c r="E301" s="102" t="s">
        <v>8648</v>
      </c>
      <c r="F301" s="52" t="s">
        <v>7183</v>
      </c>
      <c r="G301" s="3" t="s">
        <v>8649</v>
      </c>
      <c r="H301" s="3" t="s">
        <v>8650</v>
      </c>
      <c r="I301" s="52" t="s">
        <v>3449</v>
      </c>
      <c r="J301" s="3" t="s">
        <v>8651</v>
      </c>
      <c r="K301" s="138" t="s">
        <v>8652</v>
      </c>
    </row>
    <row r="302" spans="1:11">
      <c r="A302" s="137"/>
      <c r="B302" s="119"/>
      <c r="C302" s="119" t="s">
        <v>931</v>
      </c>
      <c r="D302" s="104" t="s">
        <v>932</v>
      </c>
      <c r="E302" s="102" t="s">
        <v>8653</v>
      </c>
      <c r="F302" s="52" t="s">
        <v>7189</v>
      </c>
      <c r="G302" s="3" t="s">
        <v>8654</v>
      </c>
      <c r="H302" s="3" t="s">
        <v>8655</v>
      </c>
      <c r="I302" s="52" t="s">
        <v>3449</v>
      </c>
      <c r="J302" s="3" t="s">
        <v>8656</v>
      </c>
      <c r="K302" s="138" t="s">
        <v>8657</v>
      </c>
    </row>
    <row r="303" spans="1:11">
      <c r="A303" s="137"/>
      <c r="B303" s="119"/>
      <c r="C303" s="119"/>
      <c r="D303" s="104" t="s">
        <v>933</v>
      </c>
      <c r="E303" s="102" t="s">
        <v>8658</v>
      </c>
      <c r="F303" s="52" t="s">
        <v>7183</v>
      </c>
      <c r="G303" s="3" t="s">
        <v>8659</v>
      </c>
      <c r="H303" s="3" t="s">
        <v>8660</v>
      </c>
      <c r="I303" s="52" t="s">
        <v>3449</v>
      </c>
      <c r="J303" s="3" t="s">
        <v>8661</v>
      </c>
      <c r="K303" s="138" t="s">
        <v>8662</v>
      </c>
    </row>
    <row r="304" spans="1:11">
      <c r="A304" s="137"/>
      <c r="B304" s="119"/>
      <c r="C304" s="119"/>
      <c r="D304" s="104" t="s">
        <v>935</v>
      </c>
      <c r="E304" s="102" t="s">
        <v>8663</v>
      </c>
      <c r="F304" s="52" t="s">
        <v>7183</v>
      </c>
      <c r="G304" s="3" t="s">
        <v>8664</v>
      </c>
      <c r="H304" s="3" t="s">
        <v>8665</v>
      </c>
      <c r="I304" s="52" t="s">
        <v>3449</v>
      </c>
      <c r="J304" s="3" t="s">
        <v>8666</v>
      </c>
      <c r="K304" s="138" t="s">
        <v>8667</v>
      </c>
    </row>
    <row r="305" spans="1:11">
      <c r="A305" s="137"/>
      <c r="B305" s="119"/>
      <c r="C305" s="119"/>
      <c r="D305" s="104" t="s">
        <v>937</v>
      </c>
      <c r="E305" s="102" t="s">
        <v>8668</v>
      </c>
      <c r="F305" s="52" t="s">
        <v>7183</v>
      </c>
      <c r="G305" s="3" t="s">
        <v>8669</v>
      </c>
      <c r="H305" s="3" t="s">
        <v>8670</v>
      </c>
      <c r="I305" s="52" t="s">
        <v>3449</v>
      </c>
      <c r="J305" s="3" t="s">
        <v>8671</v>
      </c>
      <c r="K305" s="138" t="s">
        <v>8672</v>
      </c>
    </row>
    <row r="306" spans="1:11">
      <c r="A306" s="137"/>
      <c r="B306" s="119"/>
      <c r="C306" s="119"/>
      <c r="D306" s="104" t="s">
        <v>939</v>
      </c>
      <c r="E306" s="102" t="s">
        <v>8673</v>
      </c>
      <c r="F306" s="52" t="s">
        <v>7183</v>
      </c>
      <c r="G306" s="3" t="s">
        <v>8674</v>
      </c>
      <c r="H306" s="3" t="s">
        <v>8675</v>
      </c>
      <c r="I306" s="52" t="s">
        <v>3449</v>
      </c>
      <c r="J306" s="3" t="s">
        <v>8676</v>
      </c>
      <c r="K306" s="138" t="s">
        <v>8677</v>
      </c>
    </row>
    <row r="307" spans="1:11">
      <c r="A307" s="137"/>
      <c r="B307" s="119"/>
      <c r="C307" s="119" t="s">
        <v>940</v>
      </c>
      <c r="D307" s="104" t="s">
        <v>941</v>
      </c>
      <c r="E307" s="102" t="s">
        <v>8678</v>
      </c>
      <c r="F307" s="52" t="s">
        <v>7189</v>
      </c>
      <c r="G307" s="3" t="s">
        <v>8679</v>
      </c>
      <c r="H307" s="3" t="s">
        <v>8680</v>
      </c>
      <c r="I307" s="52" t="s">
        <v>3449</v>
      </c>
      <c r="J307" s="3" t="s">
        <v>8681</v>
      </c>
      <c r="K307" s="138" t="s">
        <v>8682</v>
      </c>
    </row>
    <row r="308" spans="1:11">
      <c r="A308" s="137"/>
      <c r="B308" s="119"/>
      <c r="C308" s="119"/>
      <c r="D308" s="104" t="s">
        <v>933</v>
      </c>
      <c r="E308" s="102" t="s">
        <v>8357</v>
      </c>
      <c r="F308" s="52" t="s">
        <v>7183</v>
      </c>
      <c r="G308" s="3" t="s">
        <v>8683</v>
      </c>
      <c r="H308" s="3" t="s">
        <v>8684</v>
      </c>
      <c r="I308" s="52" t="s">
        <v>3449</v>
      </c>
      <c r="J308" s="3" t="s">
        <v>8685</v>
      </c>
      <c r="K308" s="138" t="s">
        <v>8686</v>
      </c>
    </row>
    <row r="309" spans="1:11">
      <c r="A309" s="137"/>
      <c r="B309" s="119"/>
      <c r="C309" s="119"/>
      <c r="D309" s="104" t="s">
        <v>935</v>
      </c>
      <c r="E309" s="102" t="s">
        <v>8687</v>
      </c>
      <c r="F309" s="52" t="s">
        <v>7183</v>
      </c>
      <c r="G309" s="3" t="s">
        <v>8688</v>
      </c>
      <c r="H309" s="3" t="s">
        <v>8689</v>
      </c>
      <c r="I309" s="52" t="s">
        <v>3449</v>
      </c>
      <c r="J309" s="3" t="s">
        <v>8690</v>
      </c>
      <c r="K309" s="138" t="s">
        <v>8691</v>
      </c>
    </row>
    <row r="310" spans="1:11">
      <c r="A310" s="137"/>
      <c r="B310" s="119"/>
      <c r="C310" s="119"/>
      <c r="D310" s="104" t="s">
        <v>937</v>
      </c>
      <c r="E310" s="102" t="s">
        <v>8692</v>
      </c>
      <c r="F310" s="52" t="s">
        <v>7183</v>
      </c>
      <c r="G310" s="3" t="s">
        <v>8693</v>
      </c>
      <c r="H310" s="3" t="s">
        <v>8694</v>
      </c>
      <c r="I310" s="52" t="s">
        <v>7320</v>
      </c>
      <c r="J310" s="3" t="s">
        <v>8695</v>
      </c>
      <c r="K310" s="138" t="s">
        <v>8696</v>
      </c>
    </row>
    <row r="311" spans="1:11">
      <c r="A311" s="137"/>
      <c r="B311" s="119"/>
      <c r="C311" s="119"/>
      <c r="D311" s="104" t="s">
        <v>939</v>
      </c>
      <c r="E311" s="102" t="s">
        <v>8697</v>
      </c>
      <c r="F311" s="52" t="s">
        <v>7183</v>
      </c>
      <c r="G311" s="3" t="s">
        <v>8698</v>
      </c>
      <c r="H311" s="3" t="s">
        <v>8699</v>
      </c>
      <c r="I311" s="52" t="s">
        <v>3449</v>
      </c>
      <c r="J311" s="3" t="s">
        <v>8700</v>
      </c>
      <c r="K311" s="138" t="s">
        <v>8701</v>
      </c>
    </row>
    <row r="312" spans="1:11">
      <c r="A312" s="137"/>
      <c r="B312" s="119"/>
      <c r="C312" s="119" t="s">
        <v>947</v>
      </c>
      <c r="D312" s="104" t="s">
        <v>948</v>
      </c>
      <c r="E312" s="102" t="s">
        <v>8702</v>
      </c>
      <c r="F312" s="52" t="s">
        <v>7189</v>
      </c>
      <c r="G312" s="3" t="s">
        <v>8703</v>
      </c>
      <c r="H312" s="3" t="s">
        <v>8704</v>
      </c>
      <c r="I312" s="52" t="s">
        <v>3449</v>
      </c>
      <c r="J312" s="3" t="s">
        <v>8705</v>
      </c>
      <c r="K312" s="138" t="s">
        <v>8706</v>
      </c>
    </row>
    <row r="313" spans="1:11">
      <c r="A313" s="137"/>
      <c r="B313" s="119"/>
      <c r="C313" s="119"/>
      <c r="D313" s="104" t="s">
        <v>950</v>
      </c>
      <c r="E313" s="102" t="s">
        <v>8707</v>
      </c>
      <c r="F313" s="52" t="s">
        <v>7183</v>
      </c>
      <c r="G313" s="3" t="s">
        <v>7190</v>
      </c>
      <c r="H313" s="3" t="s">
        <v>8708</v>
      </c>
      <c r="I313" s="52" t="s">
        <v>3449</v>
      </c>
      <c r="J313" s="3" t="s">
        <v>8709</v>
      </c>
      <c r="K313" s="138" t="s">
        <v>8710</v>
      </c>
    </row>
    <row r="314" spans="1:11">
      <c r="A314" s="137"/>
      <c r="B314" s="119"/>
      <c r="C314" s="119"/>
      <c r="D314" s="104" t="s">
        <v>952</v>
      </c>
      <c r="E314" s="102" t="s">
        <v>8711</v>
      </c>
      <c r="F314" s="52" t="s">
        <v>7183</v>
      </c>
      <c r="G314" s="3" t="s">
        <v>8712</v>
      </c>
      <c r="H314" s="3" t="s">
        <v>8713</v>
      </c>
      <c r="I314" s="52" t="s">
        <v>3449</v>
      </c>
      <c r="J314" s="3" t="s">
        <v>8714</v>
      </c>
      <c r="K314" s="138" t="s">
        <v>8715</v>
      </c>
    </row>
    <row r="315" spans="1:11">
      <c r="A315" s="137"/>
      <c r="B315" s="119"/>
      <c r="C315" s="119"/>
      <c r="D315" s="104" t="s">
        <v>628</v>
      </c>
      <c r="E315" s="102" t="s">
        <v>8716</v>
      </c>
      <c r="F315" s="52" t="s">
        <v>7183</v>
      </c>
      <c r="G315" s="3" t="s">
        <v>8717</v>
      </c>
      <c r="H315" s="3" t="s">
        <v>8718</v>
      </c>
      <c r="I315" s="52" t="s">
        <v>3449</v>
      </c>
      <c r="J315" s="3" t="s">
        <v>8719</v>
      </c>
      <c r="K315" s="138" t="s">
        <v>8720</v>
      </c>
    </row>
    <row r="316" spans="1:11">
      <c r="A316" s="137"/>
      <c r="B316" s="119"/>
      <c r="C316" s="119"/>
      <c r="D316" s="104" t="s">
        <v>630</v>
      </c>
      <c r="E316" s="102" t="s">
        <v>8721</v>
      </c>
      <c r="F316" s="52" t="s">
        <v>7183</v>
      </c>
      <c r="G316" s="3" t="s">
        <v>7215</v>
      </c>
      <c r="H316" s="3" t="s">
        <v>8722</v>
      </c>
      <c r="I316" s="52" t="s">
        <v>3449</v>
      </c>
      <c r="J316" s="3" t="s">
        <v>8723</v>
      </c>
      <c r="K316" s="138" t="s">
        <v>8724</v>
      </c>
    </row>
    <row r="317" spans="1:11">
      <c r="A317" s="137"/>
      <c r="B317" s="119" t="s">
        <v>956</v>
      </c>
      <c r="C317" s="119" t="s">
        <v>957</v>
      </c>
      <c r="D317" s="104" t="s">
        <v>958</v>
      </c>
      <c r="E317" s="102" t="s">
        <v>8725</v>
      </c>
      <c r="F317" s="52" t="s">
        <v>7189</v>
      </c>
      <c r="G317" s="3" t="s">
        <v>8726</v>
      </c>
      <c r="H317" s="3" t="s">
        <v>8727</v>
      </c>
      <c r="I317" s="52" t="s">
        <v>3449</v>
      </c>
      <c r="J317" s="3" t="s">
        <v>8728</v>
      </c>
      <c r="K317" s="138" t="s">
        <v>8729</v>
      </c>
    </row>
    <row r="318" spans="1:11">
      <c r="A318" s="137"/>
      <c r="B318" s="119"/>
      <c r="C318" s="119"/>
      <c r="D318" s="104" t="s">
        <v>960</v>
      </c>
      <c r="E318" s="102" t="s">
        <v>8524</v>
      </c>
      <c r="F318" s="52" t="s">
        <v>7183</v>
      </c>
      <c r="G318" s="3" t="s">
        <v>8730</v>
      </c>
      <c r="H318" s="3" t="s">
        <v>8731</v>
      </c>
      <c r="I318" s="52" t="s">
        <v>3449</v>
      </c>
      <c r="J318" s="3" t="s">
        <v>8732</v>
      </c>
      <c r="K318" s="138" t="s">
        <v>8733</v>
      </c>
    </row>
    <row r="319" spans="1:11">
      <c r="A319" s="137"/>
      <c r="B319" s="119"/>
      <c r="C319" s="119"/>
      <c r="D319" s="104" t="s">
        <v>962</v>
      </c>
      <c r="E319" s="102" t="s">
        <v>8734</v>
      </c>
      <c r="F319" s="52" t="s">
        <v>7183</v>
      </c>
      <c r="G319" s="3" t="s">
        <v>8735</v>
      </c>
      <c r="H319" s="3" t="s">
        <v>8736</v>
      </c>
      <c r="I319" s="52" t="s">
        <v>3449</v>
      </c>
      <c r="J319" s="3" t="s">
        <v>8395</v>
      </c>
      <c r="K319" s="138" t="s">
        <v>8737</v>
      </c>
    </row>
    <row r="320" spans="1:11">
      <c r="A320" s="137"/>
      <c r="B320" s="119"/>
      <c r="C320" s="119"/>
      <c r="D320" s="104" t="s">
        <v>964</v>
      </c>
      <c r="E320" s="102" t="s">
        <v>8738</v>
      </c>
      <c r="F320" s="52" t="s">
        <v>7183</v>
      </c>
      <c r="G320" s="3" t="s">
        <v>8739</v>
      </c>
      <c r="H320" s="3" t="s">
        <v>8740</v>
      </c>
      <c r="I320" s="52" t="s">
        <v>3449</v>
      </c>
      <c r="J320" s="3" t="s">
        <v>8741</v>
      </c>
      <c r="K320" s="138" t="s">
        <v>8742</v>
      </c>
    </row>
    <row r="321" spans="1:11">
      <c r="A321" s="137"/>
      <c r="B321" s="119"/>
      <c r="C321" s="119"/>
      <c r="D321" s="104" t="s">
        <v>966</v>
      </c>
      <c r="E321" s="102" t="s">
        <v>8743</v>
      </c>
      <c r="F321" s="52" t="s">
        <v>7183</v>
      </c>
      <c r="G321" s="3" t="s">
        <v>8744</v>
      </c>
      <c r="H321" s="3" t="s">
        <v>8745</v>
      </c>
      <c r="I321" s="52" t="s">
        <v>3449</v>
      </c>
      <c r="J321" s="3" t="s">
        <v>8746</v>
      </c>
      <c r="K321" s="138" t="s">
        <v>8747</v>
      </c>
    </row>
    <row r="322" spans="1:11">
      <c r="A322" s="137"/>
      <c r="B322" s="119"/>
      <c r="C322" s="119" t="s">
        <v>968</v>
      </c>
      <c r="D322" s="104" t="s">
        <v>969</v>
      </c>
      <c r="E322" s="102" t="s">
        <v>8748</v>
      </c>
      <c r="F322" s="52" t="s">
        <v>7189</v>
      </c>
      <c r="G322" s="3" t="s">
        <v>8749</v>
      </c>
      <c r="H322" s="3" t="s">
        <v>8750</v>
      </c>
      <c r="I322" s="52" t="s">
        <v>3449</v>
      </c>
      <c r="J322" s="3" t="s">
        <v>8751</v>
      </c>
      <c r="K322" s="138" t="s">
        <v>8752</v>
      </c>
    </row>
    <row r="323" spans="1:11">
      <c r="A323" s="137"/>
      <c r="B323" s="119"/>
      <c r="C323" s="119"/>
      <c r="D323" s="104" t="s">
        <v>971</v>
      </c>
      <c r="E323" s="102" t="s">
        <v>8753</v>
      </c>
      <c r="F323" s="52" t="s">
        <v>7183</v>
      </c>
      <c r="G323" s="3" t="s">
        <v>7264</v>
      </c>
      <c r="H323" s="3" t="s">
        <v>8754</v>
      </c>
      <c r="I323" s="52" t="s">
        <v>3449</v>
      </c>
      <c r="J323" s="3" t="s">
        <v>8755</v>
      </c>
      <c r="K323" s="138" t="s">
        <v>8756</v>
      </c>
    </row>
    <row r="324" spans="1:11">
      <c r="A324" s="137"/>
      <c r="B324" s="119"/>
      <c r="C324" s="119"/>
      <c r="D324" s="104" t="s">
        <v>973</v>
      </c>
      <c r="E324" s="102" t="s">
        <v>8757</v>
      </c>
      <c r="F324" s="52" t="s">
        <v>7183</v>
      </c>
      <c r="G324" s="3" t="s">
        <v>8758</v>
      </c>
      <c r="H324" s="3" t="s">
        <v>8759</v>
      </c>
      <c r="I324" s="52" t="s">
        <v>3449</v>
      </c>
      <c r="J324" s="3" t="s">
        <v>8760</v>
      </c>
      <c r="K324" s="138" t="s">
        <v>8761</v>
      </c>
    </row>
    <row r="325" spans="1:11">
      <c r="A325" s="137"/>
      <c r="B325" s="119"/>
      <c r="C325" s="119"/>
      <c r="D325" s="104" t="s">
        <v>975</v>
      </c>
      <c r="E325" s="102" t="s">
        <v>8762</v>
      </c>
      <c r="F325" s="52" t="s">
        <v>7183</v>
      </c>
      <c r="G325" s="3" t="s">
        <v>8763</v>
      </c>
      <c r="H325" s="3" t="s">
        <v>8764</v>
      </c>
      <c r="I325" s="52" t="s">
        <v>3449</v>
      </c>
      <c r="J325" s="3" t="s">
        <v>8765</v>
      </c>
      <c r="K325" s="138" t="s">
        <v>8766</v>
      </c>
    </row>
    <row r="326" spans="1:11">
      <c r="A326" s="137"/>
      <c r="B326" s="119"/>
      <c r="C326" s="119"/>
      <c r="D326" s="104" t="s">
        <v>977</v>
      </c>
      <c r="E326" s="102" t="s">
        <v>8767</v>
      </c>
      <c r="F326" s="52" t="s">
        <v>7183</v>
      </c>
      <c r="G326" s="3" t="s">
        <v>8768</v>
      </c>
      <c r="H326" s="3" t="s">
        <v>8769</v>
      </c>
      <c r="I326" s="52" t="s">
        <v>3449</v>
      </c>
      <c r="J326" s="3" t="s">
        <v>8770</v>
      </c>
      <c r="K326" s="138" t="s">
        <v>8771</v>
      </c>
    </row>
    <row r="327" spans="1:11">
      <c r="A327" s="137"/>
      <c r="B327" s="119"/>
      <c r="C327" s="119" t="s">
        <v>979</v>
      </c>
      <c r="D327" s="104" t="s">
        <v>980</v>
      </c>
      <c r="E327" s="102" t="s">
        <v>8772</v>
      </c>
      <c r="F327" s="52" t="s">
        <v>7189</v>
      </c>
      <c r="G327" s="3" t="s">
        <v>8773</v>
      </c>
      <c r="H327" s="3" t="s">
        <v>8774</v>
      </c>
      <c r="I327" s="52" t="s">
        <v>3449</v>
      </c>
      <c r="J327" s="3" t="s">
        <v>8775</v>
      </c>
      <c r="K327" s="138" t="s">
        <v>8776</v>
      </c>
    </row>
    <row r="328" spans="1:11">
      <c r="A328" s="137"/>
      <c r="B328" s="119"/>
      <c r="C328" s="119"/>
      <c r="D328" s="104" t="s">
        <v>982</v>
      </c>
      <c r="E328" s="102" t="s">
        <v>8777</v>
      </c>
      <c r="F328" s="52" t="s">
        <v>7183</v>
      </c>
      <c r="G328" s="3" t="s">
        <v>8778</v>
      </c>
      <c r="H328" s="3" t="s">
        <v>8779</v>
      </c>
      <c r="I328" s="52" t="s">
        <v>3449</v>
      </c>
      <c r="J328" s="3" t="s">
        <v>8780</v>
      </c>
      <c r="K328" s="138" t="s">
        <v>8781</v>
      </c>
    </row>
    <row r="329" spans="1:11">
      <c r="A329" s="137"/>
      <c r="B329" s="119"/>
      <c r="C329" s="119"/>
      <c r="D329" s="104" t="s">
        <v>984</v>
      </c>
      <c r="E329" s="102" t="s">
        <v>8782</v>
      </c>
      <c r="F329" s="52" t="s">
        <v>7183</v>
      </c>
      <c r="G329" s="3" t="s">
        <v>8783</v>
      </c>
      <c r="H329" s="3" t="s">
        <v>8784</v>
      </c>
      <c r="I329" s="52" t="s">
        <v>3449</v>
      </c>
      <c r="J329" s="3" t="s">
        <v>8785</v>
      </c>
      <c r="K329" s="138" t="s">
        <v>8786</v>
      </c>
    </row>
    <row r="330" spans="1:11">
      <c r="A330" s="137"/>
      <c r="B330" s="119"/>
      <c r="C330" s="119"/>
      <c r="D330" s="104" t="s">
        <v>986</v>
      </c>
      <c r="E330" s="102" t="s">
        <v>8787</v>
      </c>
      <c r="F330" s="52" t="s">
        <v>7183</v>
      </c>
      <c r="G330" s="3" t="s">
        <v>8788</v>
      </c>
      <c r="H330" s="3" t="s">
        <v>8789</v>
      </c>
      <c r="I330" s="52" t="s">
        <v>3449</v>
      </c>
      <c r="J330" s="3" t="s">
        <v>8790</v>
      </c>
      <c r="K330" s="138" t="s">
        <v>8791</v>
      </c>
    </row>
    <row r="331" spans="1:11">
      <c r="A331" s="137"/>
      <c r="B331" s="119"/>
      <c r="C331" s="119"/>
      <c r="D331" s="104" t="s">
        <v>988</v>
      </c>
      <c r="E331" s="102" t="s">
        <v>8792</v>
      </c>
      <c r="F331" s="52" t="s">
        <v>7183</v>
      </c>
      <c r="G331" s="3" t="s">
        <v>8793</v>
      </c>
      <c r="H331" s="3" t="s">
        <v>8794</v>
      </c>
      <c r="I331" s="52" t="s">
        <v>3449</v>
      </c>
      <c r="J331" s="3" t="s">
        <v>8795</v>
      </c>
      <c r="K331" s="138" t="s">
        <v>8796</v>
      </c>
    </row>
    <row r="332" spans="1:11">
      <c r="A332" s="137"/>
      <c r="B332" s="119"/>
      <c r="C332" s="119" t="s">
        <v>990</v>
      </c>
      <c r="D332" s="104" t="s">
        <v>991</v>
      </c>
      <c r="E332" s="102" t="s">
        <v>8797</v>
      </c>
      <c r="F332" s="52" t="s">
        <v>7189</v>
      </c>
      <c r="G332" s="3" t="s">
        <v>7344</v>
      </c>
      <c r="H332" s="3" t="s">
        <v>8798</v>
      </c>
      <c r="I332" s="52" t="s">
        <v>3449</v>
      </c>
      <c r="J332" s="3" t="s">
        <v>8799</v>
      </c>
      <c r="K332" s="138" t="s">
        <v>8800</v>
      </c>
    </row>
    <row r="333" spans="1:11">
      <c r="A333" s="137"/>
      <c r="B333" s="119"/>
      <c r="C333" s="119"/>
      <c r="D333" s="104" t="s">
        <v>993</v>
      </c>
      <c r="E333" s="102" t="s">
        <v>8801</v>
      </c>
      <c r="F333" s="52" t="s">
        <v>7183</v>
      </c>
      <c r="G333" s="3" t="s">
        <v>8802</v>
      </c>
      <c r="H333" s="3" t="s">
        <v>8803</v>
      </c>
      <c r="I333" s="52" t="s">
        <v>3449</v>
      </c>
      <c r="J333" s="3" t="s">
        <v>8804</v>
      </c>
      <c r="K333" s="138" t="s">
        <v>8805</v>
      </c>
    </row>
    <row r="334" spans="1:11">
      <c r="A334" s="137"/>
      <c r="B334" s="119"/>
      <c r="C334" s="119"/>
      <c r="D334" s="104" t="s">
        <v>995</v>
      </c>
      <c r="E334" s="102" t="s">
        <v>8806</v>
      </c>
      <c r="F334" s="52" t="s">
        <v>7183</v>
      </c>
      <c r="G334" s="3" t="s">
        <v>8807</v>
      </c>
      <c r="H334" s="3" t="s">
        <v>8808</v>
      </c>
      <c r="I334" s="52" t="s">
        <v>3449</v>
      </c>
      <c r="J334" s="3" t="s">
        <v>8809</v>
      </c>
      <c r="K334" s="138" t="s">
        <v>8810</v>
      </c>
    </row>
    <row r="335" spans="1:11">
      <c r="A335" s="137"/>
      <c r="B335" s="119"/>
      <c r="C335" s="119"/>
      <c r="D335" s="104" t="s">
        <v>997</v>
      </c>
      <c r="E335" s="102" t="s">
        <v>8811</v>
      </c>
      <c r="F335" s="52" t="s">
        <v>7183</v>
      </c>
      <c r="G335" s="3" t="s">
        <v>8812</v>
      </c>
      <c r="H335" s="3" t="s">
        <v>8813</v>
      </c>
      <c r="I335" s="52" t="s">
        <v>3449</v>
      </c>
      <c r="J335" s="3" t="s">
        <v>8814</v>
      </c>
      <c r="K335" s="138" t="s">
        <v>8815</v>
      </c>
    </row>
    <row r="336" spans="1:11">
      <c r="A336" s="137"/>
      <c r="B336" s="119"/>
      <c r="C336" s="119"/>
      <c r="D336" s="104" t="s">
        <v>999</v>
      </c>
      <c r="E336" s="102" t="s">
        <v>8816</v>
      </c>
      <c r="F336" s="52" t="s">
        <v>7183</v>
      </c>
      <c r="G336" s="3" t="s">
        <v>8817</v>
      </c>
      <c r="H336" s="3" t="s">
        <v>8818</v>
      </c>
      <c r="I336" s="52" t="s">
        <v>3450</v>
      </c>
      <c r="J336" s="3" t="s">
        <v>8819</v>
      </c>
      <c r="K336" s="138" t="s">
        <v>8820</v>
      </c>
    </row>
    <row r="337" spans="1:11">
      <c r="A337" s="137"/>
      <c r="B337" s="119"/>
      <c r="C337" s="119" t="s">
        <v>1001</v>
      </c>
      <c r="D337" s="104" t="s">
        <v>1002</v>
      </c>
      <c r="E337" s="102" t="s">
        <v>8821</v>
      </c>
      <c r="F337" s="52" t="s">
        <v>7189</v>
      </c>
      <c r="G337" s="3" t="s">
        <v>8822</v>
      </c>
      <c r="H337" s="3" t="s">
        <v>8823</v>
      </c>
      <c r="I337" s="52" t="s">
        <v>3449</v>
      </c>
      <c r="J337" s="3" t="s">
        <v>8824</v>
      </c>
      <c r="K337" s="138" t="s">
        <v>8825</v>
      </c>
    </row>
    <row r="338" spans="1:11">
      <c r="A338" s="137"/>
      <c r="B338" s="119"/>
      <c r="C338" s="119"/>
      <c r="D338" s="104" t="s">
        <v>1004</v>
      </c>
      <c r="E338" s="102" t="s">
        <v>8826</v>
      </c>
      <c r="F338" s="52" t="s">
        <v>7183</v>
      </c>
      <c r="G338" s="3" t="s">
        <v>8827</v>
      </c>
      <c r="H338" s="3" t="s">
        <v>8828</v>
      </c>
      <c r="I338" s="52" t="s">
        <v>3450</v>
      </c>
      <c r="J338" s="3" t="s">
        <v>8829</v>
      </c>
      <c r="K338" s="138" t="s">
        <v>8830</v>
      </c>
    </row>
    <row r="339" spans="1:11">
      <c r="A339" s="137"/>
      <c r="B339" s="119"/>
      <c r="C339" s="119"/>
      <c r="D339" s="104" t="s">
        <v>1006</v>
      </c>
      <c r="E339" s="102" t="s">
        <v>8831</v>
      </c>
      <c r="F339" s="52" t="s">
        <v>7183</v>
      </c>
      <c r="G339" s="3" t="s">
        <v>8832</v>
      </c>
      <c r="H339" s="3" t="s">
        <v>8833</v>
      </c>
      <c r="I339" s="52" t="s">
        <v>3449</v>
      </c>
      <c r="J339" s="3" t="s">
        <v>8834</v>
      </c>
      <c r="K339" s="138" t="s">
        <v>8835</v>
      </c>
    </row>
    <row r="340" spans="1:11">
      <c r="A340" s="137"/>
      <c r="B340" s="119"/>
      <c r="C340" s="119"/>
      <c r="D340" s="104" t="s">
        <v>1008</v>
      </c>
      <c r="E340" s="102" t="s">
        <v>8836</v>
      </c>
      <c r="F340" s="52" t="s">
        <v>7183</v>
      </c>
      <c r="G340" s="3" t="s">
        <v>8837</v>
      </c>
      <c r="H340" s="3" t="s">
        <v>8838</v>
      </c>
      <c r="I340" s="52" t="s">
        <v>3450</v>
      </c>
      <c r="J340" s="3" t="s">
        <v>8839</v>
      </c>
      <c r="K340" s="138" t="s">
        <v>8840</v>
      </c>
    </row>
    <row r="341" spans="1:11">
      <c r="A341" s="137"/>
      <c r="B341" s="119"/>
      <c r="C341" s="119"/>
      <c r="D341" s="104" t="s">
        <v>1010</v>
      </c>
      <c r="E341" s="102" t="s">
        <v>8841</v>
      </c>
      <c r="F341" s="52" t="s">
        <v>7183</v>
      </c>
      <c r="G341" s="3" t="s">
        <v>8842</v>
      </c>
      <c r="H341" s="3" t="s">
        <v>8843</v>
      </c>
      <c r="I341" s="52" t="s">
        <v>3449</v>
      </c>
      <c r="J341" s="3" t="s">
        <v>8844</v>
      </c>
      <c r="K341" s="138" t="s">
        <v>8845</v>
      </c>
    </row>
    <row r="342" spans="1:11">
      <c r="A342" s="137"/>
      <c r="B342" s="119"/>
      <c r="C342" s="119" t="s">
        <v>1012</v>
      </c>
      <c r="D342" s="104" t="s">
        <v>1013</v>
      </c>
      <c r="E342" s="102" t="s">
        <v>8846</v>
      </c>
      <c r="F342" s="52" t="s">
        <v>7189</v>
      </c>
      <c r="G342" s="3" t="s">
        <v>8847</v>
      </c>
      <c r="H342" s="3" t="s">
        <v>8848</v>
      </c>
      <c r="I342" s="52" t="s">
        <v>3449</v>
      </c>
      <c r="J342" s="3" t="s">
        <v>8849</v>
      </c>
      <c r="K342" s="138" t="s">
        <v>8850</v>
      </c>
    </row>
    <row r="343" spans="1:11">
      <c r="A343" s="137"/>
      <c r="B343" s="119"/>
      <c r="C343" s="119"/>
      <c r="D343" s="104" t="s">
        <v>1015</v>
      </c>
      <c r="E343" s="102" t="s">
        <v>8851</v>
      </c>
      <c r="F343" s="52" t="s">
        <v>7183</v>
      </c>
      <c r="G343" s="3" t="s">
        <v>8852</v>
      </c>
      <c r="H343" s="3" t="s">
        <v>8853</v>
      </c>
      <c r="I343" s="52" t="s">
        <v>3449</v>
      </c>
      <c r="J343" s="3" t="s">
        <v>8854</v>
      </c>
      <c r="K343" s="138" t="s">
        <v>8855</v>
      </c>
    </row>
    <row r="344" spans="1:11">
      <c r="A344" s="137"/>
      <c r="B344" s="119"/>
      <c r="C344" s="119"/>
      <c r="D344" s="104" t="s">
        <v>1017</v>
      </c>
      <c r="E344" s="102" t="s">
        <v>8856</v>
      </c>
      <c r="F344" s="52" t="s">
        <v>7183</v>
      </c>
      <c r="G344" s="3" t="s">
        <v>8857</v>
      </c>
      <c r="H344" s="3" t="s">
        <v>8858</v>
      </c>
      <c r="I344" s="52" t="s">
        <v>3449</v>
      </c>
      <c r="J344" s="3" t="s">
        <v>8859</v>
      </c>
      <c r="K344" s="138" t="s">
        <v>8860</v>
      </c>
    </row>
    <row r="345" spans="1:11">
      <c r="A345" s="137"/>
      <c r="B345" s="119"/>
      <c r="C345" s="119"/>
      <c r="D345" s="104" t="s">
        <v>1019</v>
      </c>
      <c r="E345" s="102" t="s">
        <v>8861</v>
      </c>
      <c r="F345" s="52" t="s">
        <v>7183</v>
      </c>
      <c r="G345" s="3" t="s">
        <v>8862</v>
      </c>
      <c r="H345" s="3" t="s">
        <v>8863</v>
      </c>
      <c r="I345" s="52" t="s">
        <v>3449</v>
      </c>
      <c r="J345" s="3" t="s">
        <v>8864</v>
      </c>
      <c r="K345" s="138" t="s">
        <v>8865</v>
      </c>
    </row>
    <row r="346" spans="1:11">
      <c r="A346" s="137"/>
      <c r="B346" s="119"/>
      <c r="C346" s="119"/>
      <c r="D346" s="104" t="s">
        <v>977</v>
      </c>
      <c r="E346" s="102" t="s">
        <v>8866</v>
      </c>
      <c r="F346" s="52" t="s">
        <v>7183</v>
      </c>
      <c r="G346" s="3" t="s">
        <v>8867</v>
      </c>
      <c r="H346" s="3" t="s">
        <v>8868</v>
      </c>
      <c r="I346" s="52" t="s">
        <v>3449</v>
      </c>
      <c r="J346" s="3" t="s">
        <v>8869</v>
      </c>
      <c r="K346" s="138" t="s">
        <v>8870</v>
      </c>
    </row>
    <row r="347" spans="1:11">
      <c r="A347" s="137"/>
      <c r="B347" s="119" t="s">
        <v>1022</v>
      </c>
      <c r="C347" s="119" t="s">
        <v>1023</v>
      </c>
      <c r="D347" s="104" t="s">
        <v>1024</v>
      </c>
      <c r="E347" s="102" t="s">
        <v>8871</v>
      </c>
      <c r="F347" s="52" t="s">
        <v>7189</v>
      </c>
      <c r="G347" s="3" t="s">
        <v>8872</v>
      </c>
      <c r="H347" s="3" t="s">
        <v>8873</v>
      </c>
      <c r="I347" s="52" t="s">
        <v>3449</v>
      </c>
      <c r="J347" s="3" t="s">
        <v>8874</v>
      </c>
      <c r="K347" s="138" t="s">
        <v>8875</v>
      </c>
    </row>
    <row r="348" spans="1:11">
      <c r="A348" s="137"/>
      <c r="B348" s="119"/>
      <c r="C348" s="119"/>
      <c r="D348" s="104" t="s">
        <v>1026</v>
      </c>
      <c r="E348" s="102" t="s">
        <v>8876</v>
      </c>
      <c r="F348" s="52" t="s">
        <v>7183</v>
      </c>
      <c r="G348" s="3" t="s">
        <v>8877</v>
      </c>
      <c r="H348" s="3" t="s">
        <v>8878</v>
      </c>
      <c r="I348" s="52" t="s">
        <v>3449</v>
      </c>
      <c r="J348" s="3" t="s">
        <v>8879</v>
      </c>
      <c r="K348" s="138" t="s">
        <v>8880</v>
      </c>
    </row>
    <row r="349" spans="1:11">
      <c r="A349" s="137"/>
      <c r="B349" s="119"/>
      <c r="C349" s="119"/>
      <c r="D349" s="104" t="s">
        <v>1028</v>
      </c>
      <c r="E349" s="102" t="s">
        <v>8881</v>
      </c>
      <c r="F349" s="52" t="s">
        <v>7183</v>
      </c>
      <c r="G349" s="3" t="s">
        <v>8882</v>
      </c>
      <c r="H349" s="3" t="s">
        <v>8883</v>
      </c>
      <c r="I349" s="52" t="s">
        <v>3449</v>
      </c>
      <c r="J349" s="3" t="s">
        <v>8884</v>
      </c>
      <c r="K349" s="138" t="s">
        <v>8885</v>
      </c>
    </row>
    <row r="350" spans="1:11">
      <c r="A350" s="137"/>
      <c r="B350" s="119"/>
      <c r="C350" s="119"/>
      <c r="D350" s="104" t="s">
        <v>1030</v>
      </c>
      <c r="E350" s="102" t="s">
        <v>8886</v>
      </c>
      <c r="F350" s="52" t="s">
        <v>7183</v>
      </c>
      <c r="G350" s="3" t="s">
        <v>7728</v>
      </c>
      <c r="H350" s="3" t="s">
        <v>8887</v>
      </c>
      <c r="I350" s="52" t="s">
        <v>3449</v>
      </c>
      <c r="J350" s="3" t="s">
        <v>8888</v>
      </c>
      <c r="K350" s="138" t="s">
        <v>8889</v>
      </c>
    </row>
    <row r="351" spans="1:11">
      <c r="A351" s="137"/>
      <c r="B351" s="119"/>
      <c r="C351" s="119"/>
      <c r="D351" s="104" t="s">
        <v>1032</v>
      </c>
      <c r="E351" s="102" t="s">
        <v>8890</v>
      </c>
      <c r="F351" s="52" t="s">
        <v>7183</v>
      </c>
      <c r="G351" s="3" t="s">
        <v>7733</v>
      </c>
      <c r="H351" s="3" t="s">
        <v>8891</v>
      </c>
      <c r="I351" s="52" t="s">
        <v>3449</v>
      </c>
      <c r="J351" s="3" t="s">
        <v>8892</v>
      </c>
      <c r="K351" s="138" t="s">
        <v>8893</v>
      </c>
    </row>
    <row r="352" spans="1:11">
      <c r="A352" s="137"/>
      <c r="B352" s="119"/>
      <c r="C352" s="119" t="s">
        <v>1034</v>
      </c>
      <c r="D352" s="104" t="s">
        <v>1035</v>
      </c>
      <c r="E352" s="102" t="s">
        <v>8894</v>
      </c>
      <c r="F352" s="52" t="s">
        <v>7189</v>
      </c>
      <c r="G352" s="3" t="s">
        <v>8895</v>
      </c>
      <c r="H352" s="3" t="s">
        <v>8896</v>
      </c>
      <c r="I352" s="52" t="s">
        <v>3449</v>
      </c>
      <c r="J352" s="3" t="s">
        <v>8897</v>
      </c>
      <c r="K352" s="138" t="s">
        <v>8898</v>
      </c>
    </row>
    <row r="353" spans="1:11">
      <c r="A353" s="137"/>
      <c r="B353" s="119"/>
      <c r="C353" s="119"/>
      <c r="D353" s="104" t="s">
        <v>1037</v>
      </c>
      <c r="E353" s="102" t="s">
        <v>8899</v>
      </c>
      <c r="F353" s="52" t="s">
        <v>7183</v>
      </c>
      <c r="G353" s="3" t="s">
        <v>7588</v>
      </c>
      <c r="H353" s="3" t="s">
        <v>8900</v>
      </c>
      <c r="I353" s="52" t="s">
        <v>3449</v>
      </c>
      <c r="J353" s="3" t="s">
        <v>8901</v>
      </c>
      <c r="K353" s="138" t="s">
        <v>8902</v>
      </c>
    </row>
    <row r="354" spans="1:11">
      <c r="A354" s="137"/>
      <c r="B354" s="119"/>
      <c r="C354" s="119"/>
      <c r="D354" s="104" t="s">
        <v>1039</v>
      </c>
      <c r="E354" s="102" t="s">
        <v>8903</v>
      </c>
      <c r="F354" s="52" t="s">
        <v>7183</v>
      </c>
      <c r="G354" s="3" t="s">
        <v>8904</v>
      </c>
      <c r="H354" s="3" t="s">
        <v>8905</v>
      </c>
      <c r="I354" s="52" t="s">
        <v>3449</v>
      </c>
      <c r="J354" s="3" t="s">
        <v>8507</v>
      </c>
      <c r="K354" s="138" t="s">
        <v>8906</v>
      </c>
    </row>
    <row r="355" spans="1:11">
      <c r="A355" s="137"/>
      <c r="B355" s="119"/>
      <c r="C355" s="119"/>
      <c r="D355" s="104" t="s">
        <v>1041</v>
      </c>
      <c r="E355" s="102" t="s">
        <v>8907</v>
      </c>
      <c r="F355" s="52" t="s">
        <v>7183</v>
      </c>
      <c r="G355" s="3" t="s">
        <v>8908</v>
      </c>
      <c r="H355" s="3" t="s">
        <v>8909</v>
      </c>
      <c r="I355" s="52" t="s">
        <v>3449</v>
      </c>
      <c r="J355" s="3" t="s">
        <v>8910</v>
      </c>
      <c r="K355" s="138" t="s">
        <v>8911</v>
      </c>
    </row>
    <row r="356" spans="1:11">
      <c r="A356" s="137"/>
      <c r="B356" s="119"/>
      <c r="C356" s="119"/>
      <c r="D356" s="104" t="s">
        <v>1043</v>
      </c>
      <c r="E356" s="102" t="s">
        <v>8912</v>
      </c>
      <c r="F356" s="52" t="s">
        <v>7183</v>
      </c>
      <c r="G356" s="3" t="s">
        <v>8913</v>
      </c>
      <c r="H356" s="3" t="s">
        <v>8914</v>
      </c>
      <c r="I356" s="52" t="s">
        <v>3449</v>
      </c>
      <c r="J356" s="3" t="s">
        <v>8915</v>
      </c>
      <c r="K356" s="138" t="s">
        <v>8916</v>
      </c>
    </row>
    <row r="357" spans="1:11">
      <c r="A357" s="137"/>
      <c r="B357" s="119"/>
      <c r="C357" s="119" t="s">
        <v>1045</v>
      </c>
      <c r="D357" s="104" t="s">
        <v>1046</v>
      </c>
      <c r="E357" s="102" t="s">
        <v>8917</v>
      </c>
      <c r="F357" s="52" t="s">
        <v>7189</v>
      </c>
      <c r="G357" s="3" t="s">
        <v>8918</v>
      </c>
      <c r="H357" s="3" t="s">
        <v>8919</v>
      </c>
      <c r="I357" s="52" t="s">
        <v>3449</v>
      </c>
      <c r="J357" s="3" t="s">
        <v>8920</v>
      </c>
      <c r="K357" s="138" t="s">
        <v>8921</v>
      </c>
    </row>
    <row r="358" spans="1:11">
      <c r="A358" s="137"/>
      <c r="B358" s="119"/>
      <c r="C358" s="119"/>
      <c r="D358" s="104" t="s">
        <v>1048</v>
      </c>
      <c r="E358" s="102" t="s">
        <v>8922</v>
      </c>
      <c r="F358" s="52" t="s">
        <v>7183</v>
      </c>
      <c r="G358" s="3" t="s">
        <v>7468</v>
      </c>
      <c r="H358" s="3" t="s">
        <v>8923</v>
      </c>
      <c r="I358" s="52" t="s">
        <v>3449</v>
      </c>
      <c r="J358" s="3" t="s">
        <v>8924</v>
      </c>
      <c r="K358" s="138" t="s">
        <v>8925</v>
      </c>
    </row>
    <row r="359" spans="1:11">
      <c r="A359" s="137"/>
      <c r="B359" s="119"/>
      <c r="C359" s="119"/>
      <c r="D359" s="104" t="s">
        <v>1050</v>
      </c>
      <c r="E359" s="102" t="s">
        <v>8926</v>
      </c>
      <c r="F359" s="52" t="s">
        <v>7183</v>
      </c>
      <c r="G359" s="3" t="s">
        <v>8927</v>
      </c>
      <c r="H359" s="3" t="s">
        <v>8928</v>
      </c>
      <c r="I359" s="52" t="s">
        <v>3449</v>
      </c>
      <c r="J359" s="3" t="s">
        <v>8929</v>
      </c>
      <c r="K359" s="138" t="s">
        <v>8930</v>
      </c>
    </row>
    <row r="360" spans="1:11">
      <c r="A360" s="137"/>
      <c r="B360" s="119"/>
      <c r="C360" s="119"/>
      <c r="D360" s="104" t="s">
        <v>1052</v>
      </c>
      <c r="E360" s="102" t="s">
        <v>8931</v>
      </c>
      <c r="F360" s="52" t="s">
        <v>7183</v>
      </c>
      <c r="G360" s="3" t="s">
        <v>8932</v>
      </c>
      <c r="H360" s="3" t="s">
        <v>8933</v>
      </c>
      <c r="I360" s="52" t="s">
        <v>3449</v>
      </c>
      <c r="J360" s="3" t="s">
        <v>8934</v>
      </c>
      <c r="K360" s="138" t="s">
        <v>8935</v>
      </c>
    </row>
    <row r="361" spans="1:11">
      <c r="A361" s="137"/>
      <c r="B361" s="119"/>
      <c r="C361" s="119"/>
      <c r="D361" s="104" t="s">
        <v>1054</v>
      </c>
      <c r="E361" s="102" t="s">
        <v>8936</v>
      </c>
      <c r="F361" s="52" t="s">
        <v>7183</v>
      </c>
      <c r="G361" s="3" t="s">
        <v>8937</v>
      </c>
      <c r="H361" s="3" t="s">
        <v>8938</v>
      </c>
      <c r="I361" s="52" t="s">
        <v>3449</v>
      </c>
      <c r="J361" s="3" t="s">
        <v>8939</v>
      </c>
      <c r="K361" s="138" t="s">
        <v>8940</v>
      </c>
    </row>
    <row r="362" spans="1:11">
      <c r="A362" s="137"/>
      <c r="B362" s="119"/>
      <c r="C362" s="119" t="s">
        <v>1056</v>
      </c>
      <c r="D362" s="104" t="s">
        <v>1057</v>
      </c>
      <c r="E362" s="102" t="s">
        <v>8941</v>
      </c>
      <c r="F362" s="52" t="s">
        <v>7189</v>
      </c>
      <c r="G362" s="3" t="s">
        <v>8942</v>
      </c>
      <c r="H362" s="3" t="s">
        <v>8943</v>
      </c>
      <c r="I362" s="52" t="s">
        <v>3449</v>
      </c>
      <c r="J362" s="3" t="s">
        <v>8944</v>
      </c>
      <c r="K362" s="138" t="s">
        <v>8945</v>
      </c>
    </row>
    <row r="363" spans="1:11">
      <c r="A363" s="137"/>
      <c r="B363" s="119"/>
      <c r="C363" s="119"/>
      <c r="D363" s="104" t="s">
        <v>1059</v>
      </c>
      <c r="E363" s="102" t="s">
        <v>8946</v>
      </c>
      <c r="F363" s="52" t="s">
        <v>7183</v>
      </c>
      <c r="G363" s="3" t="s">
        <v>8947</v>
      </c>
      <c r="H363" s="3" t="s">
        <v>8948</v>
      </c>
      <c r="I363" s="52" t="s">
        <v>3449</v>
      </c>
      <c r="J363" s="3" t="s">
        <v>8949</v>
      </c>
      <c r="K363" s="138" t="s">
        <v>8950</v>
      </c>
    </row>
    <row r="364" spans="1:11">
      <c r="A364" s="137"/>
      <c r="B364" s="119"/>
      <c r="C364" s="119"/>
      <c r="D364" s="104" t="s">
        <v>1061</v>
      </c>
      <c r="E364" s="102" t="s">
        <v>8951</v>
      </c>
      <c r="F364" s="52" t="s">
        <v>7183</v>
      </c>
      <c r="G364" s="3" t="s">
        <v>8952</v>
      </c>
      <c r="H364" s="3" t="s">
        <v>8953</v>
      </c>
      <c r="I364" s="52" t="s">
        <v>3449</v>
      </c>
      <c r="J364" s="3" t="s">
        <v>8954</v>
      </c>
      <c r="K364" s="138" t="s">
        <v>8955</v>
      </c>
    </row>
    <row r="365" spans="1:11">
      <c r="A365" s="137"/>
      <c r="B365" s="119"/>
      <c r="C365" s="119"/>
      <c r="D365" s="104" t="s">
        <v>1063</v>
      </c>
      <c r="E365" s="102" t="s">
        <v>8956</v>
      </c>
      <c r="F365" s="52" t="s">
        <v>7183</v>
      </c>
      <c r="G365" s="3" t="s">
        <v>8957</v>
      </c>
      <c r="H365" s="3" t="s">
        <v>8958</v>
      </c>
      <c r="I365" s="52" t="s">
        <v>3449</v>
      </c>
      <c r="J365" s="3" t="s">
        <v>8959</v>
      </c>
      <c r="K365" s="138" t="s">
        <v>8960</v>
      </c>
    </row>
    <row r="366" spans="1:11">
      <c r="A366" s="137"/>
      <c r="B366" s="119"/>
      <c r="C366" s="119"/>
      <c r="D366" s="104" t="s">
        <v>1065</v>
      </c>
      <c r="E366" s="102" t="s">
        <v>8961</v>
      </c>
      <c r="F366" s="52" t="s">
        <v>7183</v>
      </c>
      <c r="G366" s="3" t="s">
        <v>8962</v>
      </c>
      <c r="H366" s="3" t="s">
        <v>8963</v>
      </c>
      <c r="I366" s="52" t="s">
        <v>3449</v>
      </c>
      <c r="J366" s="3" t="s">
        <v>8964</v>
      </c>
      <c r="K366" s="138" t="s">
        <v>8965</v>
      </c>
    </row>
    <row r="367" spans="1:11">
      <c r="A367" s="137"/>
      <c r="B367" s="119"/>
      <c r="C367" s="119" t="s">
        <v>1067</v>
      </c>
      <c r="D367" s="104" t="s">
        <v>1068</v>
      </c>
      <c r="E367" s="102" t="s">
        <v>8966</v>
      </c>
      <c r="F367" s="52" t="s">
        <v>7189</v>
      </c>
      <c r="G367" s="3" t="s">
        <v>8967</v>
      </c>
      <c r="H367" s="3" t="s">
        <v>8968</v>
      </c>
      <c r="I367" s="52" t="s">
        <v>3449</v>
      </c>
      <c r="J367" s="3" t="s">
        <v>8969</v>
      </c>
      <c r="K367" s="138" t="s">
        <v>8970</v>
      </c>
    </row>
    <row r="368" spans="1:11">
      <c r="A368" s="137"/>
      <c r="B368" s="119"/>
      <c r="C368" s="119"/>
      <c r="D368" s="104" t="s">
        <v>1070</v>
      </c>
      <c r="E368" s="102" t="s">
        <v>8971</v>
      </c>
      <c r="F368" s="52" t="s">
        <v>7183</v>
      </c>
      <c r="G368" s="3" t="s">
        <v>8972</v>
      </c>
      <c r="H368" s="3" t="s">
        <v>8973</v>
      </c>
      <c r="I368" s="52" t="s">
        <v>3449</v>
      </c>
      <c r="J368" s="3" t="s">
        <v>8974</v>
      </c>
      <c r="K368" s="138" t="s">
        <v>8975</v>
      </c>
    </row>
    <row r="369" spans="1:11">
      <c r="A369" s="137"/>
      <c r="B369" s="119"/>
      <c r="C369" s="119"/>
      <c r="D369" s="104" t="s">
        <v>1072</v>
      </c>
      <c r="E369" s="102" t="s">
        <v>8976</v>
      </c>
      <c r="F369" s="52" t="s">
        <v>7183</v>
      </c>
      <c r="G369" s="3" t="s">
        <v>8977</v>
      </c>
      <c r="H369" s="3" t="s">
        <v>8978</v>
      </c>
      <c r="I369" s="52" t="s">
        <v>3449</v>
      </c>
      <c r="J369" s="3" t="s">
        <v>8979</v>
      </c>
      <c r="K369" s="138" t="s">
        <v>8980</v>
      </c>
    </row>
    <row r="370" spans="1:11">
      <c r="A370" s="137"/>
      <c r="B370" s="119"/>
      <c r="C370" s="119"/>
      <c r="D370" s="104" t="s">
        <v>1074</v>
      </c>
      <c r="E370" s="102" t="s">
        <v>8981</v>
      </c>
      <c r="F370" s="52" t="s">
        <v>7183</v>
      </c>
      <c r="G370" s="3" t="s">
        <v>8982</v>
      </c>
      <c r="H370" s="3" t="s">
        <v>8983</v>
      </c>
      <c r="I370" s="52" t="s">
        <v>3449</v>
      </c>
      <c r="J370" s="3" t="s">
        <v>8984</v>
      </c>
      <c r="K370" s="138" t="s">
        <v>8985</v>
      </c>
    </row>
    <row r="371" spans="1:11">
      <c r="A371" s="137"/>
      <c r="B371" s="119"/>
      <c r="C371" s="119"/>
      <c r="D371" s="104" t="s">
        <v>1076</v>
      </c>
      <c r="E371" s="102" t="s">
        <v>8986</v>
      </c>
      <c r="F371" s="52" t="s">
        <v>7183</v>
      </c>
      <c r="G371" s="3" t="s">
        <v>8987</v>
      </c>
      <c r="H371" s="3" t="s">
        <v>8988</v>
      </c>
      <c r="I371" s="52" t="s">
        <v>7320</v>
      </c>
      <c r="J371" s="3" t="s">
        <v>8989</v>
      </c>
      <c r="K371" s="138" t="s">
        <v>8990</v>
      </c>
    </row>
    <row r="372" spans="1:11">
      <c r="A372" s="137"/>
      <c r="B372" s="119"/>
      <c r="C372" s="119" t="s">
        <v>1078</v>
      </c>
      <c r="D372" s="104" t="s">
        <v>1079</v>
      </c>
      <c r="E372" s="102" t="s">
        <v>8991</v>
      </c>
      <c r="F372" s="52" t="s">
        <v>7189</v>
      </c>
      <c r="G372" s="3" t="s">
        <v>7459</v>
      </c>
      <c r="H372" s="3" t="s">
        <v>8992</v>
      </c>
      <c r="I372" s="52" t="s">
        <v>3449</v>
      </c>
      <c r="J372" s="3" t="s">
        <v>8993</v>
      </c>
      <c r="K372" s="138" t="s">
        <v>8994</v>
      </c>
    </row>
    <row r="373" spans="1:11">
      <c r="A373" s="137"/>
      <c r="B373" s="119"/>
      <c r="C373" s="119"/>
      <c r="D373" s="104" t="s">
        <v>1081</v>
      </c>
      <c r="E373" s="102" t="s">
        <v>8995</v>
      </c>
      <c r="F373" s="52" t="s">
        <v>7183</v>
      </c>
      <c r="G373" s="3" t="s">
        <v>8996</v>
      </c>
      <c r="H373" s="3" t="s">
        <v>8997</v>
      </c>
      <c r="I373" s="52" t="s">
        <v>3449</v>
      </c>
      <c r="J373" s="3" t="s">
        <v>8998</v>
      </c>
      <c r="K373" s="138" t="s">
        <v>8999</v>
      </c>
    </row>
    <row r="374" spans="1:11">
      <c r="A374" s="137"/>
      <c r="B374" s="119"/>
      <c r="C374" s="119"/>
      <c r="D374" s="104" t="s">
        <v>1083</v>
      </c>
      <c r="E374" s="102" t="s">
        <v>9000</v>
      </c>
      <c r="F374" s="52" t="s">
        <v>7183</v>
      </c>
      <c r="G374" s="3" t="s">
        <v>9001</v>
      </c>
      <c r="H374" s="3" t="s">
        <v>9002</v>
      </c>
      <c r="I374" s="52" t="s">
        <v>3449</v>
      </c>
      <c r="J374" s="3" t="s">
        <v>9003</v>
      </c>
      <c r="K374" s="138" t="s">
        <v>9004</v>
      </c>
    </row>
    <row r="375" spans="1:11">
      <c r="A375" s="137"/>
      <c r="B375" s="119"/>
      <c r="C375" s="119"/>
      <c r="D375" s="104" t="s">
        <v>1085</v>
      </c>
      <c r="E375" s="102" t="s">
        <v>9005</v>
      </c>
      <c r="F375" s="52" t="s">
        <v>7183</v>
      </c>
      <c r="G375" s="3" t="s">
        <v>9006</v>
      </c>
      <c r="H375" s="3" t="s">
        <v>9007</v>
      </c>
      <c r="I375" s="52" t="s">
        <v>3449</v>
      </c>
      <c r="J375" s="3" t="s">
        <v>9008</v>
      </c>
      <c r="K375" s="138" t="s">
        <v>9009</v>
      </c>
    </row>
    <row r="376" spans="1:11">
      <c r="A376" s="137"/>
      <c r="B376" s="119"/>
      <c r="C376" s="119"/>
      <c r="D376" s="104" t="s">
        <v>1087</v>
      </c>
      <c r="E376" s="102" t="s">
        <v>9010</v>
      </c>
      <c r="F376" s="52" t="s">
        <v>7183</v>
      </c>
      <c r="G376" s="3" t="s">
        <v>7354</v>
      </c>
      <c r="H376" s="3" t="s">
        <v>9011</v>
      </c>
      <c r="I376" s="52" t="s">
        <v>3449</v>
      </c>
      <c r="J376" s="3" t="s">
        <v>9012</v>
      </c>
      <c r="K376" s="138" t="s">
        <v>9013</v>
      </c>
    </row>
    <row r="377" spans="1:11">
      <c r="A377" s="137"/>
      <c r="B377" s="119"/>
      <c r="C377" s="119" t="s">
        <v>1089</v>
      </c>
      <c r="D377" s="104" t="s">
        <v>1090</v>
      </c>
      <c r="E377" s="102" t="s">
        <v>9014</v>
      </c>
      <c r="F377" s="52" t="s">
        <v>7189</v>
      </c>
      <c r="G377" s="3" t="s">
        <v>9015</v>
      </c>
      <c r="H377" s="3" t="s">
        <v>9016</v>
      </c>
      <c r="I377" s="52" t="s">
        <v>3449</v>
      </c>
      <c r="J377" s="3" t="s">
        <v>9017</v>
      </c>
      <c r="K377" s="138" t="s">
        <v>9018</v>
      </c>
    </row>
    <row r="378" spans="1:11">
      <c r="A378" s="137"/>
      <c r="B378" s="119"/>
      <c r="C378" s="119"/>
      <c r="D378" s="104" t="s">
        <v>1092</v>
      </c>
      <c r="E378" s="102" t="s">
        <v>9019</v>
      </c>
      <c r="F378" s="52" t="s">
        <v>7183</v>
      </c>
      <c r="G378" s="3" t="s">
        <v>9020</v>
      </c>
      <c r="H378" s="3" t="s">
        <v>9021</v>
      </c>
      <c r="I378" s="52" t="s">
        <v>3449</v>
      </c>
      <c r="J378" s="3" t="s">
        <v>9022</v>
      </c>
      <c r="K378" s="138" t="s">
        <v>9023</v>
      </c>
    </row>
    <row r="379" spans="1:11">
      <c r="A379" s="137"/>
      <c r="B379" s="119"/>
      <c r="C379" s="119"/>
      <c r="D379" s="104" t="s">
        <v>1094</v>
      </c>
      <c r="E379" s="102" t="s">
        <v>9024</v>
      </c>
      <c r="F379" s="52" t="s">
        <v>7183</v>
      </c>
      <c r="G379" s="3" t="s">
        <v>9025</v>
      </c>
      <c r="H379" s="3" t="s">
        <v>9026</v>
      </c>
      <c r="I379" s="52" t="s">
        <v>3449</v>
      </c>
      <c r="J379" s="3" t="s">
        <v>9027</v>
      </c>
      <c r="K379" s="138" t="s">
        <v>9028</v>
      </c>
    </row>
    <row r="380" spans="1:11">
      <c r="A380" s="137"/>
      <c r="B380" s="119"/>
      <c r="C380" s="119"/>
      <c r="D380" s="104" t="s">
        <v>1096</v>
      </c>
      <c r="E380" s="102" t="s">
        <v>9029</v>
      </c>
      <c r="F380" s="52" t="s">
        <v>7183</v>
      </c>
      <c r="G380" s="3" t="s">
        <v>9030</v>
      </c>
      <c r="H380" s="3" t="s">
        <v>9031</v>
      </c>
      <c r="I380" s="52" t="s">
        <v>3449</v>
      </c>
      <c r="J380" s="3" t="s">
        <v>9032</v>
      </c>
      <c r="K380" s="138" t="s">
        <v>9033</v>
      </c>
    </row>
    <row r="381" spans="1:11">
      <c r="A381" s="137"/>
      <c r="B381" s="119"/>
      <c r="C381" s="119"/>
      <c r="D381" s="104" t="s">
        <v>1098</v>
      </c>
      <c r="E381" s="102" t="s">
        <v>9034</v>
      </c>
      <c r="F381" s="52" t="s">
        <v>7183</v>
      </c>
      <c r="G381" s="3" t="s">
        <v>9035</v>
      </c>
      <c r="H381" s="3" t="s">
        <v>9036</v>
      </c>
      <c r="I381" s="52" t="s">
        <v>3449</v>
      </c>
      <c r="J381" s="3" t="s">
        <v>9037</v>
      </c>
      <c r="K381" s="138" t="s">
        <v>9038</v>
      </c>
    </row>
    <row r="382" spans="1:11">
      <c r="A382" s="137"/>
      <c r="B382" s="119"/>
      <c r="C382" s="119" t="s">
        <v>1100</v>
      </c>
      <c r="D382" s="104" t="s">
        <v>1101</v>
      </c>
      <c r="E382" s="102" t="s">
        <v>9039</v>
      </c>
      <c r="F382" s="52" t="s">
        <v>7189</v>
      </c>
      <c r="G382" s="3" t="s">
        <v>9040</v>
      </c>
      <c r="H382" s="3" t="s">
        <v>9041</v>
      </c>
      <c r="I382" s="52" t="s">
        <v>3449</v>
      </c>
      <c r="J382" s="3" t="s">
        <v>9042</v>
      </c>
      <c r="K382" s="138" t="s">
        <v>9043</v>
      </c>
    </row>
    <row r="383" spans="1:11">
      <c r="A383" s="137"/>
      <c r="B383" s="119"/>
      <c r="C383" s="119"/>
      <c r="D383" s="104" t="s">
        <v>1103</v>
      </c>
      <c r="E383" s="102" t="s">
        <v>9044</v>
      </c>
      <c r="F383" s="52" t="s">
        <v>7183</v>
      </c>
      <c r="G383" s="3" t="s">
        <v>7598</v>
      </c>
      <c r="H383" s="3" t="s">
        <v>9045</v>
      </c>
      <c r="I383" s="52" t="s">
        <v>3449</v>
      </c>
      <c r="J383" s="3" t="s">
        <v>9046</v>
      </c>
      <c r="K383" s="138" t="s">
        <v>9047</v>
      </c>
    </row>
    <row r="384" spans="1:11">
      <c r="A384" s="137"/>
      <c r="B384" s="119"/>
      <c r="C384" s="119"/>
      <c r="D384" s="104" t="s">
        <v>1105</v>
      </c>
      <c r="E384" s="102" t="s">
        <v>9048</v>
      </c>
      <c r="F384" s="52" t="s">
        <v>7183</v>
      </c>
      <c r="G384" s="3" t="s">
        <v>9049</v>
      </c>
      <c r="H384" s="3" t="s">
        <v>9050</v>
      </c>
      <c r="I384" s="52" t="s">
        <v>3449</v>
      </c>
      <c r="J384" s="3" t="s">
        <v>9051</v>
      </c>
      <c r="K384" s="138" t="s">
        <v>9052</v>
      </c>
    </row>
    <row r="385" spans="1:11">
      <c r="A385" s="137"/>
      <c r="B385" s="119"/>
      <c r="C385" s="119"/>
      <c r="D385" s="104" t="s">
        <v>1107</v>
      </c>
      <c r="E385" s="102" t="s">
        <v>9053</v>
      </c>
      <c r="F385" s="52" t="s">
        <v>7183</v>
      </c>
      <c r="G385" s="3" t="s">
        <v>9054</v>
      </c>
      <c r="H385" s="3" t="s">
        <v>9055</v>
      </c>
      <c r="I385" s="52" t="s">
        <v>3449</v>
      </c>
      <c r="J385" s="3" t="s">
        <v>9056</v>
      </c>
      <c r="K385" s="138" t="s">
        <v>9057</v>
      </c>
    </row>
    <row r="386" spans="1:11">
      <c r="A386" s="137"/>
      <c r="B386" s="119"/>
      <c r="C386" s="119"/>
      <c r="D386" s="104" t="s">
        <v>1109</v>
      </c>
      <c r="E386" s="102" t="s">
        <v>9058</v>
      </c>
      <c r="F386" s="52" t="s">
        <v>7183</v>
      </c>
      <c r="G386" s="3" t="s">
        <v>9059</v>
      </c>
      <c r="H386" s="3" t="s">
        <v>9060</v>
      </c>
      <c r="I386" s="52" t="s">
        <v>3449</v>
      </c>
      <c r="J386" s="3" t="s">
        <v>9061</v>
      </c>
      <c r="K386" s="138" t="s">
        <v>9062</v>
      </c>
    </row>
    <row r="387" spans="1:11">
      <c r="A387" s="137"/>
      <c r="B387" s="119"/>
      <c r="C387" s="119" t="s">
        <v>1111</v>
      </c>
      <c r="D387" s="104" t="s">
        <v>1112</v>
      </c>
      <c r="E387" s="102" t="s">
        <v>9063</v>
      </c>
      <c r="F387" s="52" t="s">
        <v>7189</v>
      </c>
      <c r="G387" s="3" t="s">
        <v>9064</v>
      </c>
      <c r="H387" s="3" t="s">
        <v>9065</v>
      </c>
      <c r="I387" s="52" t="s">
        <v>3449</v>
      </c>
      <c r="J387" s="3" t="s">
        <v>9066</v>
      </c>
      <c r="K387" s="138" t="s">
        <v>9067</v>
      </c>
    </row>
    <row r="388" spans="1:11">
      <c r="A388" s="137"/>
      <c r="B388" s="119"/>
      <c r="C388" s="119"/>
      <c r="D388" s="104" t="s">
        <v>1114</v>
      </c>
      <c r="E388" s="102" t="s">
        <v>9068</v>
      </c>
      <c r="F388" s="52" t="s">
        <v>7183</v>
      </c>
      <c r="G388" s="3" t="s">
        <v>9069</v>
      </c>
      <c r="H388" s="3" t="s">
        <v>9070</v>
      </c>
      <c r="I388" s="52" t="s">
        <v>3449</v>
      </c>
      <c r="J388" s="3" t="s">
        <v>9071</v>
      </c>
      <c r="K388" s="138" t="s">
        <v>9072</v>
      </c>
    </row>
    <row r="389" spans="1:11">
      <c r="A389" s="137"/>
      <c r="B389" s="119"/>
      <c r="C389" s="119"/>
      <c r="D389" s="104" t="s">
        <v>1116</v>
      </c>
      <c r="E389" s="102" t="s">
        <v>9073</v>
      </c>
      <c r="F389" s="52" t="s">
        <v>7183</v>
      </c>
      <c r="G389" s="3" t="s">
        <v>9074</v>
      </c>
      <c r="H389" s="3" t="s">
        <v>9075</v>
      </c>
      <c r="I389" s="52" t="s">
        <v>3449</v>
      </c>
      <c r="J389" s="3" t="s">
        <v>9076</v>
      </c>
      <c r="K389" s="138" t="s">
        <v>9077</v>
      </c>
    </row>
    <row r="390" spans="1:11">
      <c r="A390" s="137"/>
      <c r="B390" s="119"/>
      <c r="C390" s="119"/>
      <c r="D390" s="104" t="s">
        <v>1118</v>
      </c>
      <c r="E390" s="102" t="s">
        <v>9078</v>
      </c>
      <c r="F390" s="52" t="s">
        <v>7183</v>
      </c>
      <c r="G390" s="3" t="s">
        <v>9079</v>
      </c>
      <c r="H390" s="3" t="s">
        <v>9080</v>
      </c>
      <c r="I390" s="52" t="s">
        <v>3449</v>
      </c>
      <c r="J390" s="3" t="s">
        <v>9081</v>
      </c>
      <c r="K390" s="138" t="s">
        <v>9082</v>
      </c>
    </row>
    <row r="391" spans="1:11">
      <c r="A391" s="137"/>
      <c r="B391" s="119"/>
      <c r="C391" s="119"/>
      <c r="D391" s="104" t="s">
        <v>1098</v>
      </c>
      <c r="E391" s="102" t="s">
        <v>9083</v>
      </c>
      <c r="F391" s="52" t="s">
        <v>7183</v>
      </c>
      <c r="G391" s="3" t="s">
        <v>9084</v>
      </c>
      <c r="H391" s="3" t="s">
        <v>9085</v>
      </c>
      <c r="I391" s="52" t="s">
        <v>3449</v>
      </c>
      <c r="J391" s="3" t="s">
        <v>9086</v>
      </c>
      <c r="K391" s="138" t="s">
        <v>9087</v>
      </c>
    </row>
    <row r="392" spans="1:11">
      <c r="A392" s="137"/>
      <c r="B392" s="119"/>
      <c r="C392" s="119" t="s">
        <v>1121</v>
      </c>
      <c r="D392" s="104" t="s">
        <v>1122</v>
      </c>
      <c r="E392" s="102" t="s">
        <v>9088</v>
      </c>
      <c r="F392" s="52" t="s">
        <v>7189</v>
      </c>
      <c r="G392" s="3" t="s">
        <v>9089</v>
      </c>
      <c r="H392" s="3" t="s">
        <v>9090</v>
      </c>
      <c r="I392" s="52" t="s">
        <v>3449</v>
      </c>
      <c r="J392" s="3" t="s">
        <v>9091</v>
      </c>
      <c r="K392" s="138" t="s">
        <v>9092</v>
      </c>
    </row>
    <row r="393" spans="1:11">
      <c r="A393" s="137"/>
      <c r="B393" s="119"/>
      <c r="C393" s="119"/>
      <c r="D393" s="104" t="s">
        <v>1124</v>
      </c>
      <c r="E393" s="102" t="s">
        <v>9093</v>
      </c>
      <c r="F393" s="52" t="s">
        <v>7183</v>
      </c>
      <c r="G393" s="3" t="s">
        <v>9094</v>
      </c>
      <c r="H393" s="3" t="s">
        <v>9095</v>
      </c>
      <c r="I393" s="52" t="s">
        <v>3449</v>
      </c>
      <c r="J393" s="3" t="s">
        <v>9096</v>
      </c>
      <c r="K393" s="138" t="s">
        <v>9097</v>
      </c>
    </row>
    <row r="394" spans="1:11">
      <c r="A394" s="137"/>
      <c r="B394" s="119"/>
      <c r="C394" s="119"/>
      <c r="D394" s="104" t="s">
        <v>1126</v>
      </c>
      <c r="E394" s="102" t="s">
        <v>9098</v>
      </c>
      <c r="F394" s="52" t="s">
        <v>7183</v>
      </c>
      <c r="G394" s="3" t="s">
        <v>9099</v>
      </c>
      <c r="H394" s="3" t="s">
        <v>9100</v>
      </c>
      <c r="I394" s="52" t="s">
        <v>3449</v>
      </c>
      <c r="J394" s="3" t="s">
        <v>9101</v>
      </c>
      <c r="K394" s="138" t="s">
        <v>9102</v>
      </c>
    </row>
    <row r="395" spans="1:11">
      <c r="A395" s="137"/>
      <c r="B395" s="119"/>
      <c r="C395" s="119"/>
      <c r="D395" s="104" t="s">
        <v>1128</v>
      </c>
      <c r="E395" s="102" t="s">
        <v>9103</v>
      </c>
      <c r="F395" s="52" t="s">
        <v>7183</v>
      </c>
      <c r="G395" s="3" t="s">
        <v>9104</v>
      </c>
      <c r="H395" s="3" t="s">
        <v>9105</v>
      </c>
      <c r="I395" s="52" t="s">
        <v>3450</v>
      </c>
      <c r="J395" s="3" t="s">
        <v>9106</v>
      </c>
      <c r="K395" s="138" t="s">
        <v>9107</v>
      </c>
    </row>
    <row r="396" spans="1:11">
      <c r="A396" s="137"/>
      <c r="B396" s="119"/>
      <c r="C396" s="119"/>
      <c r="D396" s="104" t="s">
        <v>1130</v>
      </c>
      <c r="E396" s="102" t="s">
        <v>9108</v>
      </c>
      <c r="F396" s="52" t="s">
        <v>7183</v>
      </c>
      <c r="G396" s="3" t="s">
        <v>9109</v>
      </c>
      <c r="H396" s="3" t="s">
        <v>9110</v>
      </c>
      <c r="I396" s="52" t="s">
        <v>3449</v>
      </c>
      <c r="J396" s="3" t="s">
        <v>9111</v>
      </c>
      <c r="K396" s="138" t="s">
        <v>9112</v>
      </c>
    </row>
    <row r="397" spans="1:11">
      <c r="A397" s="137"/>
      <c r="B397" s="119"/>
      <c r="C397" s="119" t="s">
        <v>1132</v>
      </c>
      <c r="D397" s="104" t="s">
        <v>1133</v>
      </c>
      <c r="E397" s="102" t="s">
        <v>9113</v>
      </c>
      <c r="F397" s="52" t="s">
        <v>7189</v>
      </c>
      <c r="G397" s="3" t="s">
        <v>9114</v>
      </c>
      <c r="H397" s="3" t="s">
        <v>9115</v>
      </c>
      <c r="I397" s="52" t="s">
        <v>3449</v>
      </c>
      <c r="J397" s="3" t="s">
        <v>9116</v>
      </c>
      <c r="K397" s="138" t="s">
        <v>9117</v>
      </c>
    </row>
    <row r="398" spans="1:11">
      <c r="A398" s="137"/>
      <c r="B398" s="119"/>
      <c r="C398" s="119"/>
      <c r="D398" s="104" t="s">
        <v>1135</v>
      </c>
      <c r="E398" s="102" t="s">
        <v>9118</v>
      </c>
      <c r="F398" s="52" t="s">
        <v>7183</v>
      </c>
      <c r="G398" s="3" t="s">
        <v>9119</v>
      </c>
      <c r="H398" s="3" t="s">
        <v>9120</v>
      </c>
      <c r="I398" s="52" t="s">
        <v>3450</v>
      </c>
      <c r="J398" s="3" t="s">
        <v>9121</v>
      </c>
      <c r="K398" s="138" t="s">
        <v>9122</v>
      </c>
    </row>
    <row r="399" spans="1:11">
      <c r="A399" s="137"/>
      <c r="B399" s="119"/>
      <c r="C399" s="119"/>
      <c r="D399" s="104" t="s">
        <v>1137</v>
      </c>
      <c r="E399" s="102" t="s">
        <v>9123</v>
      </c>
      <c r="F399" s="52" t="s">
        <v>7183</v>
      </c>
      <c r="G399" s="3" t="s">
        <v>9124</v>
      </c>
      <c r="H399" s="3" t="s">
        <v>9125</v>
      </c>
      <c r="I399" s="52" t="s">
        <v>3449</v>
      </c>
      <c r="J399" s="3" t="s">
        <v>9126</v>
      </c>
      <c r="K399" s="138" t="s">
        <v>9127</v>
      </c>
    </row>
    <row r="400" spans="1:11">
      <c r="A400" s="137"/>
      <c r="B400" s="119"/>
      <c r="C400" s="119"/>
      <c r="D400" s="104" t="s">
        <v>1139</v>
      </c>
      <c r="E400" s="102" t="s">
        <v>9128</v>
      </c>
      <c r="F400" s="52" t="s">
        <v>7183</v>
      </c>
      <c r="G400" s="3" t="s">
        <v>9129</v>
      </c>
      <c r="H400" s="3" t="s">
        <v>9130</v>
      </c>
      <c r="I400" s="52" t="s">
        <v>3449</v>
      </c>
      <c r="J400" s="3" t="s">
        <v>9131</v>
      </c>
      <c r="K400" s="138" t="s">
        <v>9132</v>
      </c>
    </row>
    <row r="401" spans="1:11">
      <c r="A401" s="137"/>
      <c r="B401" s="119"/>
      <c r="C401" s="119"/>
      <c r="D401" s="104" t="s">
        <v>1141</v>
      </c>
      <c r="E401" s="102" t="s">
        <v>9133</v>
      </c>
      <c r="F401" s="52" t="s">
        <v>7183</v>
      </c>
      <c r="G401" s="3" t="s">
        <v>9134</v>
      </c>
      <c r="H401" s="3" t="s">
        <v>9135</v>
      </c>
      <c r="I401" s="52" t="s">
        <v>3449</v>
      </c>
      <c r="J401" s="3" t="s">
        <v>9136</v>
      </c>
      <c r="K401" s="138" t="s">
        <v>9137</v>
      </c>
    </row>
    <row r="402" spans="1:11">
      <c r="A402" s="137"/>
      <c r="B402" s="119"/>
      <c r="C402" s="119" t="s">
        <v>1143</v>
      </c>
      <c r="D402" s="104" t="s">
        <v>1144</v>
      </c>
      <c r="E402" s="102" t="s">
        <v>9138</v>
      </c>
      <c r="F402" s="52" t="s">
        <v>7189</v>
      </c>
      <c r="G402" s="3" t="s">
        <v>9139</v>
      </c>
      <c r="H402" s="3" t="s">
        <v>9140</v>
      </c>
      <c r="I402" s="52" t="s">
        <v>3449</v>
      </c>
      <c r="J402" s="3" t="s">
        <v>9141</v>
      </c>
      <c r="K402" s="138" t="s">
        <v>9142</v>
      </c>
    </row>
    <row r="403" spans="1:11">
      <c r="A403" s="137"/>
      <c r="B403" s="119"/>
      <c r="C403" s="119"/>
      <c r="D403" s="104" t="s">
        <v>1146</v>
      </c>
      <c r="E403" s="102" t="s">
        <v>9143</v>
      </c>
      <c r="F403" s="52" t="s">
        <v>7183</v>
      </c>
      <c r="G403" s="3" t="s">
        <v>9144</v>
      </c>
      <c r="H403" s="3" t="s">
        <v>9145</v>
      </c>
      <c r="I403" s="52" t="s">
        <v>3449</v>
      </c>
      <c r="J403" s="3" t="s">
        <v>9146</v>
      </c>
      <c r="K403" s="138" t="s">
        <v>9147</v>
      </c>
    </row>
    <row r="404" spans="1:11">
      <c r="A404" s="137"/>
      <c r="B404" s="119"/>
      <c r="C404" s="119"/>
      <c r="D404" s="104" t="s">
        <v>1148</v>
      </c>
      <c r="E404" s="102" t="s">
        <v>9148</v>
      </c>
      <c r="F404" s="52" t="s">
        <v>7183</v>
      </c>
      <c r="G404" s="3" t="s">
        <v>9149</v>
      </c>
      <c r="H404" s="3" t="s">
        <v>9150</v>
      </c>
      <c r="I404" s="52" t="s">
        <v>3449</v>
      </c>
      <c r="J404" s="3" t="s">
        <v>9151</v>
      </c>
      <c r="K404" s="138" t="s">
        <v>9152</v>
      </c>
    </row>
    <row r="405" spans="1:11">
      <c r="A405" s="137"/>
      <c r="B405" s="119"/>
      <c r="C405" s="119"/>
      <c r="D405" s="104" t="s">
        <v>1150</v>
      </c>
      <c r="E405" s="102" t="s">
        <v>9153</v>
      </c>
      <c r="F405" s="52" t="s">
        <v>7183</v>
      </c>
      <c r="G405" s="3" t="s">
        <v>9154</v>
      </c>
      <c r="H405" s="3" t="s">
        <v>9155</v>
      </c>
      <c r="I405" s="52" t="s">
        <v>3450</v>
      </c>
      <c r="J405" s="3" t="s">
        <v>9156</v>
      </c>
      <c r="K405" s="138" t="s">
        <v>9157</v>
      </c>
    </row>
    <row r="406" spans="1:11">
      <c r="A406" s="137"/>
      <c r="B406" s="119"/>
      <c r="C406" s="119"/>
      <c r="D406" s="104" t="s">
        <v>1152</v>
      </c>
      <c r="E406" s="102" t="s">
        <v>9158</v>
      </c>
      <c r="F406" s="52" t="s">
        <v>7183</v>
      </c>
      <c r="G406" s="3" t="s">
        <v>9159</v>
      </c>
      <c r="H406" s="3" t="s">
        <v>9160</v>
      </c>
      <c r="I406" s="52" t="s">
        <v>3449</v>
      </c>
      <c r="J406" s="3" t="s">
        <v>9161</v>
      </c>
      <c r="K406" s="138" t="s">
        <v>9162</v>
      </c>
    </row>
    <row r="407" spans="1:11">
      <c r="A407" s="137"/>
      <c r="B407" s="119"/>
      <c r="C407" s="119" t="s">
        <v>1154</v>
      </c>
      <c r="D407" s="104" t="s">
        <v>1155</v>
      </c>
      <c r="E407" s="102" t="s">
        <v>9163</v>
      </c>
      <c r="F407" s="52" t="s">
        <v>7189</v>
      </c>
      <c r="G407" s="3" t="s">
        <v>9164</v>
      </c>
      <c r="H407" s="3" t="s">
        <v>9165</v>
      </c>
      <c r="I407" s="52" t="s">
        <v>3449</v>
      </c>
      <c r="J407" s="3" t="s">
        <v>9166</v>
      </c>
      <c r="K407" s="138" t="s">
        <v>9167</v>
      </c>
    </row>
    <row r="408" spans="1:11">
      <c r="A408" s="137"/>
      <c r="B408" s="119"/>
      <c r="C408" s="119"/>
      <c r="D408" s="104" t="s">
        <v>1157</v>
      </c>
      <c r="E408" s="102" t="s">
        <v>9168</v>
      </c>
      <c r="F408" s="52" t="s">
        <v>7183</v>
      </c>
      <c r="G408" s="3" t="s">
        <v>9169</v>
      </c>
      <c r="H408" s="3" t="s">
        <v>9170</v>
      </c>
      <c r="I408" s="52" t="s">
        <v>3449</v>
      </c>
      <c r="J408" s="3" t="s">
        <v>9171</v>
      </c>
      <c r="K408" s="138" t="s">
        <v>9172</v>
      </c>
    </row>
    <row r="409" spans="1:11">
      <c r="A409" s="137"/>
      <c r="B409" s="119"/>
      <c r="C409" s="119"/>
      <c r="D409" s="104" t="s">
        <v>1159</v>
      </c>
      <c r="E409" s="102" t="s">
        <v>9173</v>
      </c>
      <c r="F409" s="52" t="s">
        <v>7183</v>
      </c>
      <c r="G409" s="3" t="s">
        <v>9174</v>
      </c>
      <c r="H409" s="3" t="s">
        <v>9175</v>
      </c>
      <c r="I409" s="52" t="s">
        <v>3449</v>
      </c>
      <c r="J409" s="3" t="s">
        <v>9176</v>
      </c>
      <c r="K409" s="138" t="s">
        <v>9177</v>
      </c>
    </row>
    <row r="410" spans="1:11">
      <c r="A410" s="137"/>
      <c r="B410" s="119"/>
      <c r="C410" s="119"/>
      <c r="D410" s="104" t="s">
        <v>1161</v>
      </c>
      <c r="E410" s="102" t="s">
        <v>9178</v>
      </c>
      <c r="F410" s="52" t="s">
        <v>7183</v>
      </c>
      <c r="G410" s="3" t="s">
        <v>9179</v>
      </c>
      <c r="H410" s="3" t="s">
        <v>9180</v>
      </c>
      <c r="I410" s="52" t="s">
        <v>3449</v>
      </c>
      <c r="J410" s="3" t="s">
        <v>9181</v>
      </c>
      <c r="K410" s="138" t="s">
        <v>9182</v>
      </c>
    </row>
    <row r="411" spans="1:11">
      <c r="A411" s="137"/>
      <c r="B411" s="119"/>
      <c r="C411" s="119"/>
      <c r="D411" s="104" t="s">
        <v>1163</v>
      </c>
      <c r="E411" s="102" t="s">
        <v>9183</v>
      </c>
      <c r="F411" s="52" t="s">
        <v>7183</v>
      </c>
      <c r="G411" s="3" t="s">
        <v>9184</v>
      </c>
      <c r="H411" s="3" t="s">
        <v>9185</v>
      </c>
      <c r="I411" s="52" t="s">
        <v>3449</v>
      </c>
      <c r="J411" s="3" t="s">
        <v>9186</v>
      </c>
      <c r="K411" s="138" t="s">
        <v>9187</v>
      </c>
    </row>
    <row r="412" spans="1:11">
      <c r="A412" s="137"/>
      <c r="B412" s="119" t="s">
        <v>1165</v>
      </c>
      <c r="C412" s="119" t="s">
        <v>1166</v>
      </c>
      <c r="D412" s="104" t="s">
        <v>1167</v>
      </c>
      <c r="E412" s="102" t="s">
        <v>9188</v>
      </c>
      <c r="F412" s="52" t="s">
        <v>7189</v>
      </c>
      <c r="G412" s="3" t="s">
        <v>7215</v>
      </c>
      <c r="H412" s="3" t="s">
        <v>9189</v>
      </c>
      <c r="I412" s="52" t="s">
        <v>3449</v>
      </c>
      <c r="J412" s="3" t="s">
        <v>9190</v>
      </c>
      <c r="K412" s="138" t="s">
        <v>9191</v>
      </c>
    </row>
    <row r="413" spans="1:11">
      <c r="A413" s="137"/>
      <c r="B413" s="119"/>
      <c r="C413" s="119"/>
      <c r="D413" s="104" t="s">
        <v>1169</v>
      </c>
      <c r="E413" s="102" t="s">
        <v>9192</v>
      </c>
      <c r="F413" s="52" t="s">
        <v>7183</v>
      </c>
      <c r="G413" s="3" t="s">
        <v>9193</v>
      </c>
      <c r="H413" s="3" t="s">
        <v>9194</v>
      </c>
      <c r="I413" s="52" t="s">
        <v>3449</v>
      </c>
      <c r="J413" s="3" t="s">
        <v>9195</v>
      </c>
      <c r="K413" s="138" t="s">
        <v>9196</v>
      </c>
    </row>
    <row r="414" spans="1:11">
      <c r="A414" s="137"/>
      <c r="B414" s="119"/>
      <c r="C414" s="119"/>
      <c r="D414" s="104" t="s">
        <v>1171</v>
      </c>
      <c r="E414" s="102" t="s">
        <v>9197</v>
      </c>
      <c r="F414" s="52" t="s">
        <v>7183</v>
      </c>
      <c r="G414" s="3" t="s">
        <v>9198</v>
      </c>
      <c r="H414" s="3" t="s">
        <v>9199</v>
      </c>
      <c r="I414" s="52" t="s">
        <v>3449</v>
      </c>
      <c r="J414" s="3" t="s">
        <v>9200</v>
      </c>
      <c r="K414" s="138" t="s">
        <v>9201</v>
      </c>
    </row>
    <row r="415" spans="1:11">
      <c r="A415" s="137"/>
      <c r="B415" s="119"/>
      <c r="C415" s="119"/>
      <c r="D415" s="104" t="s">
        <v>1173</v>
      </c>
      <c r="E415" s="102" t="s">
        <v>9202</v>
      </c>
      <c r="F415" s="52" t="s">
        <v>7183</v>
      </c>
      <c r="G415" s="3" t="s">
        <v>9203</v>
      </c>
      <c r="H415" s="3" t="s">
        <v>9204</v>
      </c>
      <c r="I415" s="52" t="s">
        <v>3449</v>
      </c>
      <c r="J415" s="3" t="s">
        <v>9205</v>
      </c>
      <c r="K415" s="138" t="s">
        <v>9206</v>
      </c>
    </row>
    <row r="416" spans="1:11">
      <c r="A416" s="137"/>
      <c r="B416" s="119"/>
      <c r="C416" s="119"/>
      <c r="D416" s="104" t="s">
        <v>1175</v>
      </c>
      <c r="E416" s="102" t="s">
        <v>9207</v>
      </c>
      <c r="F416" s="52" t="s">
        <v>7183</v>
      </c>
      <c r="G416" s="3" t="s">
        <v>9208</v>
      </c>
      <c r="H416" s="3" t="s">
        <v>9209</v>
      </c>
      <c r="I416" s="52" t="s">
        <v>3449</v>
      </c>
      <c r="J416" s="3" t="s">
        <v>9210</v>
      </c>
      <c r="K416" s="138" t="s">
        <v>9211</v>
      </c>
    </row>
    <row r="417" spans="1:11">
      <c r="A417" s="137"/>
      <c r="B417" s="119"/>
      <c r="C417" s="119" t="s">
        <v>1177</v>
      </c>
      <c r="D417" s="104" t="s">
        <v>1178</v>
      </c>
      <c r="E417" s="102" t="s">
        <v>9212</v>
      </c>
      <c r="F417" s="52" t="s">
        <v>7189</v>
      </c>
      <c r="G417" s="3" t="s">
        <v>9213</v>
      </c>
      <c r="H417" s="3" t="s">
        <v>9214</v>
      </c>
      <c r="I417" s="52" t="s">
        <v>3449</v>
      </c>
      <c r="J417" s="3" t="s">
        <v>9215</v>
      </c>
      <c r="K417" s="138" t="s">
        <v>9216</v>
      </c>
    </row>
    <row r="418" spans="1:11">
      <c r="A418" s="137"/>
      <c r="B418" s="119"/>
      <c r="C418" s="119"/>
      <c r="D418" s="104" t="s">
        <v>1180</v>
      </c>
      <c r="E418" s="102" t="s">
        <v>9217</v>
      </c>
      <c r="F418" s="52" t="s">
        <v>7183</v>
      </c>
      <c r="G418" s="3" t="s">
        <v>9218</v>
      </c>
      <c r="H418" s="3" t="s">
        <v>9219</v>
      </c>
      <c r="I418" s="52" t="s">
        <v>3449</v>
      </c>
      <c r="J418" s="3" t="s">
        <v>9220</v>
      </c>
      <c r="K418" s="138" t="s">
        <v>9221</v>
      </c>
    </row>
    <row r="419" spans="1:11">
      <c r="A419" s="137"/>
      <c r="B419" s="119"/>
      <c r="C419" s="119"/>
      <c r="D419" s="104" t="s">
        <v>1182</v>
      </c>
      <c r="E419" s="102" t="s">
        <v>9222</v>
      </c>
      <c r="F419" s="52" t="s">
        <v>7183</v>
      </c>
      <c r="G419" s="3" t="s">
        <v>9223</v>
      </c>
      <c r="H419" s="3" t="s">
        <v>9224</v>
      </c>
      <c r="I419" s="52" t="s">
        <v>3449</v>
      </c>
      <c r="J419" s="3" t="s">
        <v>9225</v>
      </c>
      <c r="K419" s="138" t="s">
        <v>9226</v>
      </c>
    </row>
    <row r="420" spans="1:11">
      <c r="A420" s="137"/>
      <c r="B420" s="119"/>
      <c r="C420" s="119"/>
      <c r="D420" s="104" t="s">
        <v>1184</v>
      </c>
      <c r="E420" s="102" t="s">
        <v>9227</v>
      </c>
      <c r="F420" s="52" t="s">
        <v>7183</v>
      </c>
      <c r="G420" s="3" t="s">
        <v>9228</v>
      </c>
      <c r="H420" s="3" t="s">
        <v>9229</v>
      </c>
      <c r="I420" s="52" t="s">
        <v>3449</v>
      </c>
      <c r="J420" s="3" t="s">
        <v>9230</v>
      </c>
      <c r="K420" s="138" t="s">
        <v>9231</v>
      </c>
    </row>
    <row r="421" spans="1:11">
      <c r="A421" s="137"/>
      <c r="B421" s="119"/>
      <c r="C421" s="119"/>
      <c r="D421" s="104" t="s">
        <v>1186</v>
      </c>
      <c r="E421" s="102" t="s">
        <v>9232</v>
      </c>
      <c r="F421" s="52" t="s">
        <v>7183</v>
      </c>
      <c r="G421" s="3" t="s">
        <v>9233</v>
      </c>
      <c r="H421" s="3" t="s">
        <v>9234</v>
      </c>
      <c r="I421" s="52" t="s">
        <v>3449</v>
      </c>
      <c r="J421" s="3" t="s">
        <v>9235</v>
      </c>
      <c r="K421" s="138" t="s">
        <v>9236</v>
      </c>
    </row>
    <row r="422" spans="1:11">
      <c r="A422" s="137"/>
      <c r="B422" s="119"/>
      <c r="C422" s="119" t="s">
        <v>1188</v>
      </c>
      <c r="D422" s="104" t="s">
        <v>1189</v>
      </c>
      <c r="E422" s="102" t="s">
        <v>9237</v>
      </c>
      <c r="F422" s="52" t="s">
        <v>7189</v>
      </c>
      <c r="G422" s="3" t="s">
        <v>9238</v>
      </c>
      <c r="H422" s="3" t="s">
        <v>9239</v>
      </c>
      <c r="I422" s="52" t="s">
        <v>3449</v>
      </c>
      <c r="J422" s="3" t="s">
        <v>9240</v>
      </c>
      <c r="K422" s="138" t="s">
        <v>9241</v>
      </c>
    </row>
    <row r="423" spans="1:11">
      <c r="A423" s="137"/>
      <c r="B423" s="119"/>
      <c r="C423" s="119"/>
      <c r="D423" s="104" t="s">
        <v>1191</v>
      </c>
      <c r="E423" s="102" t="s">
        <v>9242</v>
      </c>
      <c r="F423" s="52" t="s">
        <v>7183</v>
      </c>
      <c r="G423" s="3" t="s">
        <v>9243</v>
      </c>
      <c r="H423" s="3" t="s">
        <v>9244</v>
      </c>
      <c r="I423" s="52" t="s">
        <v>3449</v>
      </c>
      <c r="J423" s="3" t="s">
        <v>9245</v>
      </c>
      <c r="K423" s="138" t="s">
        <v>9246</v>
      </c>
    </row>
    <row r="424" spans="1:11">
      <c r="A424" s="137"/>
      <c r="B424" s="119"/>
      <c r="C424" s="119"/>
      <c r="D424" s="104" t="s">
        <v>1193</v>
      </c>
      <c r="E424" s="102" t="s">
        <v>9247</v>
      </c>
      <c r="F424" s="52" t="s">
        <v>7183</v>
      </c>
      <c r="G424" s="3" t="s">
        <v>9248</v>
      </c>
      <c r="H424" s="3" t="s">
        <v>9249</v>
      </c>
      <c r="I424" s="52" t="s">
        <v>3449</v>
      </c>
      <c r="J424" s="3" t="s">
        <v>9250</v>
      </c>
      <c r="K424" s="138" t="s">
        <v>9251</v>
      </c>
    </row>
    <row r="425" spans="1:11">
      <c r="A425" s="137"/>
      <c r="B425" s="119"/>
      <c r="C425" s="119"/>
      <c r="D425" s="104" t="s">
        <v>1195</v>
      </c>
      <c r="E425" s="102" t="s">
        <v>9252</v>
      </c>
      <c r="F425" s="52" t="s">
        <v>7183</v>
      </c>
      <c r="G425" s="3" t="s">
        <v>9253</v>
      </c>
      <c r="H425" s="3" t="s">
        <v>9254</v>
      </c>
      <c r="I425" s="52" t="s">
        <v>3450</v>
      </c>
      <c r="J425" s="3" t="s">
        <v>9255</v>
      </c>
      <c r="K425" s="138" t="s">
        <v>9256</v>
      </c>
    </row>
    <row r="426" spans="1:11">
      <c r="A426" s="137"/>
      <c r="B426" s="119"/>
      <c r="C426" s="119"/>
      <c r="D426" s="104" t="s">
        <v>1197</v>
      </c>
      <c r="E426" s="102" t="s">
        <v>9257</v>
      </c>
      <c r="F426" s="52" t="s">
        <v>7183</v>
      </c>
      <c r="G426" s="3" t="s">
        <v>8842</v>
      </c>
      <c r="H426" s="3" t="s">
        <v>9258</v>
      </c>
      <c r="I426" s="52" t="s">
        <v>3449</v>
      </c>
      <c r="J426" s="3" t="s">
        <v>9259</v>
      </c>
      <c r="K426" s="138" t="s">
        <v>9260</v>
      </c>
    </row>
    <row r="427" spans="1:11">
      <c r="A427" s="137"/>
      <c r="B427" s="119"/>
      <c r="C427" s="119" t="s">
        <v>1199</v>
      </c>
      <c r="D427" s="104" t="s">
        <v>1200</v>
      </c>
      <c r="E427" s="102" t="s">
        <v>9261</v>
      </c>
      <c r="F427" s="52" t="s">
        <v>7189</v>
      </c>
      <c r="G427" s="3" t="s">
        <v>9262</v>
      </c>
      <c r="H427" s="3" t="s">
        <v>9263</v>
      </c>
      <c r="I427" s="52" t="s">
        <v>3449</v>
      </c>
      <c r="J427" s="3" t="s">
        <v>9264</v>
      </c>
      <c r="K427" s="138" t="s">
        <v>9265</v>
      </c>
    </row>
    <row r="428" spans="1:11">
      <c r="A428" s="137"/>
      <c r="B428" s="119"/>
      <c r="C428" s="119"/>
      <c r="D428" s="104" t="s">
        <v>1202</v>
      </c>
      <c r="E428" s="102" t="s">
        <v>9266</v>
      </c>
      <c r="F428" s="52" t="s">
        <v>7183</v>
      </c>
      <c r="G428" s="3" t="s">
        <v>8758</v>
      </c>
      <c r="H428" s="3" t="s">
        <v>9267</v>
      </c>
      <c r="I428" s="52" t="s">
        <v>3450</v>
      </c>
      <c r="J428" s="3" t="s">
        <v>9268</v>
      </c>
      <c r="K428" s="138" t="s">
        <v>9269</v>
      </c>
    </row>
    <row r="429" spans="1:11">
      <c r="A429" s="137"/>
      <c r="B429" s="119"/>
      <c r="C429" s="119"/>
      <c r="D429" s="104" t="s">
        <v>1204</v>
      </c>
      <c r="E429" s="102" t="s">
        <v>9270</v>
      </c>
      <c r="F429" s="52" t="s">
        <v>7183</v>
      </c>
      <c r="G429" s="3" t="s">
        <v>9271</v>
      </c>
      <c r="H429" s="3" t="s">
        <v>9272</v>
      </c>
      <c r="I429" s="52" t="s">
        <v>3449</v>
      </c>
      <c r="J429" s="3" t="s">
        <v>9273</v>
      </c>
      <c r="K429" s="138" t="s">
        <v>9274</v>
      </c>
    </row>
    <row r="430" spans="1:11">
      <c r="A430" s="137"/>
      <c r="B430" s="119"/>
      <c r="C430" s="119"/>
      <c r="D430" s="104" t="s">
        <v>1206</v>
      </c>
      <c r="E430" s="102" t="s">
        <v>9275</v>
      </c>
      <c r="F430" s="52" t="s">
        <v>7183</v>
      </c>
      <c r="G430" s="3" t="s">
        <v>9276</v>
      </c>
      <c r="H430" s="3" t="s">
        <v>9277</v>
      </c>
      <c r="I430" s="52" t="s">
        <v>3449</v>
      </c>
      <c r="J430" s="3" t="s">
        <v>9278</v>
      </c>
      <c r="K430" s="138" t="s">
        <v>9279</v>
      </c>
    </row>
    <row r="431" spans="1:11">
      <c r="A431" s="137"/>
      <c r="B431" s="119"/>
      <c r="C431" s="119"/>
      <c r="D431" s="104" t="s">
        <v>1208</v>
      </c>
      <c r="E431" s="102" t="s">
        <v>9280</v>
      </c>
      <c r="F431" s="52" t="s">
        <v>7183</v>
      </c>
      <c r="G431" s="3" t="s">
        <v>8768</v>
      </c>
      <c r="H431" s="3" t="s">
        <v>9281</v>
      </c>
      <c r="I431" s="52" t="s">
        <v>3449</v>
      </c>
      <c r="J431" s="3" t="s">
        <v>9282</v>
      </c>
      <c r="K431" s="138" t="s">
        <v>9283</v>
      </c>
    </row>
    <row r="432" spans="1:11">
      <c r="A432" s="137"/>
      <c r="B432" s="119"/>
      <c r="C432" s="119" t="s">
        <v>1210</v>
      </c>
      <c r="D432" s="104" t="s">
        <v>1211</v>
      </c>
      <c r="E432" s="102" t="s">
        <v>9284</v>
      </c>
      <c r="F432" s="52" t="s">
        <v>7189</v>
      </c>
      <c r="G432" s="3" t="s">
        <v>9285</v>
      </c>
      <c r="H432" s="3" t="s">
        <v>9286</v>
      </c>
      <c r="I432" s="52" t="s">
        <v>3449</v>
      </c>
      <c r="J432" s="3" t="s">
        <v>9287</v>
      </c>
      <c r="K432" s="138" t="s">
        <v>9288</v>
      </c>
    </row>
    <row r="433" spans="1:11">
      <c r="A433" s="137"/>
      <c r="B433" s="119"/>
      <c r="C433" s="119"/>
      <c r="D433" s="104" t="s">
        <v>1213</v>
      </c>
      <c r="E433" s="102" t="s">
        <v>9289</v>
      </c>
      <c r="F433" s="52" t="s">
        <v>7183</v>
      </c>
      <c r="G433" s="3" t="s">
        <v>9290</v>
      </c>
      <c r="H433" s="3" t="s">
        <v>9291</v>
      </c>
      <c r="I433" s="52" t="s">
        <v>3449</v>
      </c>
      <c r="J433" s="3" t="s">
        <v>9292</v>
      </c>
      <c r="K433" s="138" t="s">
        <v>9293</v>
      </c>
    </row>
    <row r="434" spans="1:11">
      <c r="A434" s="137"/>
      <c r="B434" s="119"/>
      <c r="C434" s="119"/>
      <c r="D434" s="104" t="s">
        <v>1215</v>
      </c>
      <c r="E434" s="102" t="s">
        <v>9294</v>
      </c>
      <c r="F434" s="52" t="s">
        <v>7183</v>
      </c>
      <c r="G434" s="3" t="s">
        <v>7339</v>
      </c>
      <c r="H434" s="3" t="s">
        <v>9295</v>
      </c>
      <c r="I434" s="52" t="s">
        <v>3449</v>
      </c>
      <c r="J434" s="3" t="s">
        <v>9296</v>
      </c>
      <c r="K434" s="138" t="s">
        <v>9297</v>
      </c>
    </row>
    <row r="435" spans="1:11">
      <c r="A435" s="137"/>
      <c r="B435" s="119"/>
      <c r="C435" s="119"/>
      <c r="D435" s="104" t="s">
        <v>1217</v>
      </c>
      <c r="E435" s="102" t="s">
        <v>9298</v>
      </c>
      <c r="F435" s="52" t="s">
        <v>7183</v>
      </c>
      <c r="G435" s="3" t="s">
        <v>9299</v>
      </c>
      <c r="H435" s="3" t="s">
        <v>9300</v>
      </c>
      <c r="I435" s="52" t="s">
        <v>3449</v>
      </c>
      <c r="J435" s="3" t="s">
        <v>9301</v>
      </c>
      <c r="K435" s="138" t="s">
        <v>9302</v>
      </c>
    </row>
    <row r="436" spans="1:11">
      <c r="A436" s="137"/>
      <c r="B436" s="119"/>
      <c r="C436" s="119"/>
      <c r="D436" s="104" t="s">
        <v>1219</v>
      </c>
      <c r="E436" s="102" t="s">
        <v>9303</v>
      </c>
      <c r="F436" s="52" t="s">
        <v>7183</v>
      </c>
      <c r="G436" s="3" t="s">
        <v>9304</v>
      </c>
      <c r="H436" s="3" t="s">
        <v>9305</v>
      </c>
      <c r="I436" s="52" t="s">
        <v>3449</v>
      </c>
      <c r="J436" s="3" t="s">
        <v>9306</v>
      </c>
      <c r="K436" s="138" t="s">
        <v>9307</v>
      </c>
    </row>
    <row r="437" spans="1:11">
      <c r="A437" s="137"/>
      <c r="B437" s="119"/>
      <c r="C437" s="119" t="s">
        <v>1221</v>
      </c>
      <c r="D437" s="104" t="s">
        <v>1222</v>
      </c>
      <c r="E437" s="102" t="s">
        <v>9308</v>
      </c>
      <c r="F437" s="52" t="s">
        <v>7189</v>
      </c>
      <c r="G437" s="3" t="s">
        <v>9309</v>
      </c>
      <c r="H437" s="3" t="s">
        <v>9310</v>
      </c>
      <c r="I437" s="52" t="s">
        <v>3449</v>
      </c>
      <c r="J437" s="3" t="s">
        <v>9311</v>
      </c>
      <c r="K437" s="138" t="s">
        <v>9312</v>
      </c>
    </row>
    <row r="438" spans="1:11">
      <c r="A438" s="137"/>
      <c r="B438" s="119"/>
      <c r="C438" s="119"/>
      <c r="D438" s="104" t="s">
        <v>1224</v>
      </c>
      <c r="E438" s="102" t="s">
        <v>9313</v>
      </c>
      <c r="F438" s="52" t="s">
        <v>7183</v>
      </c>
      <c r="G438" s="3" t="s">
        <v>9314</v>
      </c>
      <c r="H438" s="3" t="s">
        <v>9315</v>
      </c>
      <c r="I438" s="52" t="s">
        <v>3449</v>
      </c>
      <c r="J438" s="3" t="s">
        <v>9316</v>
      </c>
      <c r="K438" s="138" t="s">
        <v>9317</v>
      </c>
    </row>
    <row r="439" spans="1:11">
      <c r="A439" s="137"/>
      <c r="B439" s="119"/>
      <c r="C439" s="119"/>
      <c r="D439" s="104" t="s">
        <v>1226</v>
      </c>
      <c r="E439" s="102" t="s">
        <v>9318</v>
      </c>
      <c r="F439" s="52" t="s">
        <v>7183</v>
      </c>
      <c r="G439" s="3" t="s">
        <v>9319</v>
      </c>
      <c r="H439" s="3" t="s">
        <v>9320</v>
      </c>
      <c r="I439" s="52" t="s">
        <v>3449</v>
      </c>
      <c r="J439" s="3" t="s">
        <v>9321</v>
      </c>
      <c r="K439" s="138" t="s">
        <v>9322</v>
      </c>
    </row>
    <row r="440" spans="1:11">
      <c r="A440" s="137"/>
      <c r="B440" s="119"/>
      <c r="C440" s="119"/>
      <c r="D440" s="104" t="s">
        <v>1228</v>
      </c>
      <c r="E440" s="102" t="s">
        <v>9323</v>
      </c>
      <c r="F440" s="52" t="s">
        <v>7183</v>
      </c>
      <c r="G440" s="3" t="s">
        <v>9324</v>
      </c>
      <c r="H440" s="3" t="s">
        <v>9325</v>
      </c>
      <c r="I440" s="52" t="s">
        <v>3449</v>
      </c>
      <c r="J440" s="3" t="s">
        <v>9326</v>
      </c>
      <c r="K440" s="138" t="s">
        <v>9327</v>
      </c>
    </row>
    <row r="441" spans="1:11">
      <c r="A441" s="137"/>
      <c r="B441" s="119"/>
      <c r="C441" s="119"/>
      <c r="D441" s="104" t="s">
        <v>1230</v>
      </c>
      <c r="E441" s="102" t="s">
        <v>9328</v>
      </c>
      <c r="F441" s="52" t="s">
        <v>7183</v>
      </c>
      <c r="G441" s="3" t="s">
        <v>9329</v>
      </c>
      <c r="H441" s="3" t="s">
        <v>9330</v>
      </c>
      <c r="I441" s="52" t="s">
        <v>3449</v>
      </c>
      <c r="J441" s="3" t="s">
        <v>9331</v>
      </c>
      <c r="K441" s="138" t="s">
        <v>9332</v>
      </c>
    </row>
    <row r="442" spans="1:11">
      <c r="A442" s="137"/>
      <c r="B442" s="119"/>
      <c r="C442" s="119" t="s">
        <v>1232</v>
      </c>
      <c r="D442" s="104" t="s">
        <v>1233</v>
      </c>
      <c r="E442" s="102" t="s">
        <v>9333</v>
      </c>
      <c r="F442" s="52" t="s">
        <v>7189</v>
      </c>
      <c r="G442" s="3" t="s">
        <v>9334</v>
      </c>
      <c r="H442" s="3" t="s">
        <v>9335</v>
      </c>
      <c r="I442" s="52" t="s">
        <v>3449</v>
      </c>
      <c r="J442" s="3" t="s">
        <v>9336</v>
      </c>
      <c r="K442" s="138" t="s">
        <v>9337</v>
      </c>
    </row>
    <row r="443" spans="1:11">
      <c r="A443" s="137"/>
      <c r="B443" s="119"/>
      <c r="C443" s="119"/>
      <c r="D443" s="104" t="s">
        <v>1235</v>
      </c>
      <c r="E443" s="102" t="s">
        <v>9338</v>
      </c>
      <c r="F443" s="52" t="s">
        <v>7183</v>
      </c>
      <c r="G443" s="3" t="s">
        <v>9339</v>
      </c>
      <c r="H443" s="3" t="s">
        <v>9340</v>
      </c>
      <c r="I443" s="52" t="s">
        <v>3449</v>
      </c>
      <c r="J443" s="3" t="s">
        <v>9341</v>
      </c>
      <c r="K443" s="138" t="s">
        <v>9342</v>
      </c>
    </row>
    <row r="444" spans="1:11">
      <c r="A444" s="137"/>
      <c r="B444" s="119"/>
      <c r="C444" s="119"/>
      <c r="D444" s="104" t="s">
        <v>1237</v>
      </c>
      <c r="E444" s="102" t="s">
        <v>9343</v>
      </c>
      <c r="F444" s="52" t="s">
        <v>7183</v>
      </c>
      <c r="G444" s="3" t="s">
        <v>9344</v>
      </c>
      <c r="H444" s="3" t="s">
        <v>9345</v>
      </c>
      <c r="I444" s="52" t="s">
        <v>3449</v>
      </c>
      <c r="J444" s="3" t="s">
        <v>9346</v>
      </c>
      <c r="K444" s="138" t="s">
        <v>9347</v>
      </c>
    </row>
    <row r="445" spans="1:11">
      <c r="A445" s="137"/>
      <c r="B445" s="119"/>
      <c r="C445" s="119"/>
      <c r="D445" s="104" t="s">
        <v>1239</v>
      </c>
      <c r="E445" s="102" t="s">
        <v>9348</v>
      </c>
      <c r="F445" s="52" t="s">
        <v>7183</v>
      </c>
      <c r="G445" s="3" t="s">
        <v>9349</v>
      </c>
      <c r="H445" s="3" t="s">
        <v>9350</v>
      </c>
      <c r="I445" s="52" t="s">
        <v>3449</v>
      </c>
      <c r="J445" s="3" t="s">
        <v>9351</v>
      </c>
      <c r="K445" s="138" t="s">
        <v>9352</v>
      </c>
    </row>
    <row r="446" spans="1:11">
      <c r="A446" s="137"/>
      <c r="B446" s="119"/>
      <c r="C446" s="119"/>
      <c r="D446" s="104" t="s">
        <v>1241</v>
      </c>
      <c r="E446" s="102" t="s">
        <v>9353</v>
      </c>
      <c r="F446" s="52" t="s">
        <v>7183</v>
      </c>
      <c r="G446" s="3" t="s">
        <v>9354</v>
      </c>
      <c r="H446" s="3" t="s">
        <v>9355</v>
      </c>
      <c r="I446" s="52" t="s">
        <v>3449</v>
      </c>
      <c r="J446" s="3" t="s">
        <v>9356</v>
      </c>
      <c r="K446" s="138" t="s">
        <v>9357</v>
      </c>
    </row>
    <row r="447" spans="1:11">
      <c r="A447" s="137"/>
      <c r="B447" s="119"/>
      <c r="C447" s="119" t="s">
        <v>9358</v>
      </c>
      <c r="D447" s="104" t="s">
        <v>1244</v>
      </c>
      <c r="E447" s="102" t="s">
        <v>9359</v>
      </c>
      <c r="F447" s="52" t="s">
        <v>7189</v>
      </c>
      <c r="G447" s="3" t="s">
        <v>9360</v>
      </c>
      <c r="H447" s="3" t="s">
        <v>9361</v>
      </c>
      <c r="I447" s="52" t="s">
        <v>3449</v>
      </c>
      <c r="J447" s="3" t="s">
        <v>9362</v>
      </c>
      <c r="K447" s="138" t="s">
        <v>9363</v>
      </c>
    </row>
    <row r="448" spans="1:11">
      <c r="A448" s="137"/>
      <c r="B448" s="119"/>
      <c r="C448" s="119"/>
      <c r="D448" s="104" t="s">
        <v>1246</v>
      </c>
      <c r="E448" s="102" t="s">
        <v>9364</v>
      </c>
      <c r="F448" s="52" t="s">
        <v>7183</v>
      </c>
      <c r="G448" s="3" t="s">
        <v>7259</v>
      </c>
      <c r="H448" s="3" t="s">
        <v>9365</v>
      </c>
      <c r="I448" s="52" t="s">
        <v>3449</v>
      </c>
      <c r="J448" s="3" t="s">
        <v>9366</v>
      </c>
      <c r="K448" s="138" t="s">
        <v>9367</v>
      </c>
    </row>
    <row r="449" spans="1:11">
      <c r="A449" s="137"/>
      <c r="B449" s="119"/>
      <c r="C449" s="119"/>
      <c r="D449" s="104" t="s">
        <v>1248</v>
      </c>
      <c r="E449" s="102" t="s">
        <v>9368</v>
      </c>
      <c r="F449" s="52" t="s">
        <v>7183</v>
      </c>
      <c r="G449" s="3" t="s">
        <v>9369</v>
      </c>
      <c r="H449" s="3" t="s">
        <v>9370</v>
      </c>
      <c r="I449" s="52" t="s">
        <v>3449</v>
      </c>
      <c r="J449" s="3" t="s">
        <v>9371</v>
      </c>
      <c r="K449" s="138" t="s">
        <v>9372</v>
      </c>
    </row>
    <row r="450" spans="1:11">
      <c r="A450" s="137"/>
      <c r="B450" s="119"/>
      <c r="C450" s="119"/>
      <c r="D450" s="104" t="s">
        <v>1250</v>
      </c>
      <c r="E450" s="102" t="s">
        <v>9373</v>
      </c>
      <c r="F450" s="52" t="s">
        <v>7183</v>
      </c>
      <c r="G450" s="3" t="s">
        <v>9374</v>
      </c>
      <c r="H450" s="3" t="s">
        <v>9375</v>
      </c>
      <c r="I450" s="52" t="s">
        <v>3449</v>
      </c>
      <c r="J450" s="3" t="s">
        <v>9376</v>
      </c>
      <c r="K450" s="138" t="s">
        <v>9377</v>
      </c>
    </row>
    <row r="451" spans="1:11">
      <c r="A451" s="137"/>
      <c r="B451" s="119"/>
      <c r="C451" s="119"/>
      <c r="D451" s="104" t="s">
        <v>1252</v>
      </c>
      <c r="E451" s="102" t="s">
        <v>9378</v>
      </c>
      <c r="F451" s="52" t="s">
        <v>7183</v>
      </c>
      <c r="G451" s="3" t="s">
        <v>9379</v>
      </c>
      <c r="H451" s="3" t="s">
        <v>9380</v>
      </c>
      <c r="I451" s="52" t="s">
        <v>3449</v>
      </c>
      <c r="J451" s="3" t="s">
        <v>9381</v>
      </c>
      <c r="K451" s="138" t="s">
        <v>9382</v>
      </c>
    </row>
    <row r="452" spans="1:11">
      <c r="A452" s="137"/>
      <c r="B452" s="119"/>
      <c r="C452" s="119" t="s">
        <v>1254</v>
      </c>
      <c r="D452" s="104" t="s">
        <v>743</v>
      </c>
      <c r="E452" s="102" t="s">
        <v>9383</v>
      </c>
      <c r="F452" s="52" t="s">
        <v>7189</v>
      </c>
      <c r="G452" s="3" t="s">
        <v>9384</v>
      </c>
      <c r="H452" s="3" t="s">
        <v>9385</v>
      </c>
      <c r="I452" s="52" t="s">
        <v>3449</v>
      </c>
      <c r="J452" s="3" t="s">
        <v>9386</v>
      </c>
      <c r="K452" s="138" t="s">
        <v>9387</v>
      </c>
    </row>
    <row r="453" spans="1:11">
      <c r="A453" s="137"/>
      <c r="B453" s="119"/>
      <c r="C453" s="119"/>
      <c r="D453" s="104" t="s">
        <v>1256</v>
      </c>
      <c r="E453" s="102" t="s">
        <v>9388</v>
      </c>
      <c r="F453" s="52" t="s">
        <v>7183</v>
      </c>
      <c r="G453" s="3" t="s">
        <v>9389</v>
      </c>
      <c r="H453" s="3" t="s">
        <v>9390</v>
      </c>
      <c r="I453" s="52" t="s">
        <v>3449</v>
      </c>
      <c r="J453" s="3" t="s">
        <v>9391</v>
      </c>
      <c r="K453" s="138" t="s">
        <v>9392</v>
      </c>
    </row>
    <row r="454" spans="1:11">
      <c r="A454" s="137"/>
      <c r="B454" s="119"/>
      <c r="C454" s="119"/>
      <c r="D454" s="104" t="s">
        <v>1248</v>
      </c>
      <c r="E454" s="102" t="s">
        <v>9393</v>
      </c>
      <c r="F454" s="52" t="s">
        <v>7183</v>
      </c>
      <c r="G454" s="3" t="s">
        <v>9276</v>
      </c>
      <c r="H454" s="3" t="s">
        <v>9394</v>
      </c>
      <c r="I454" s="52" t="s">
        <v>3449</v>
      </c>
      <c r="J454" s="3" t="s">
        <v>9395</v>
      </c>
      <c r="K454" s="138" t="s">
        <v>9396</v>
      </c>
    </row>
    <row r="455" spans="1:11">
      <c r="A455" s="137"/>
      <c r="B455" s="119"/>
      <c r="C455" s="119"/>
      <c r="D455" s="104" t="s">
        <v>1259</v>
      </c>
      <c r="E455" s="102" t="s">
        <v>9397</v>
      </c>
      <c r="F455" s="52" t="s">
        <v>7183</v>
      </c>
      <c r="G455" s="3" t="s">
        <v>9398</v>
      </c>
      <c r="H455" s="3" t="s">
        <v>9399</v>
      </c>
      <c r="I455" s="52" t="s">
        <v>3449</v>
      </c>
      <c r="J455" s="3" t="s">
        <v>9400</v>
      </c>
      <c r="K455" s="138" t="s">
        <v>9401</v>
      </c>
    </row>
    <row r="456" spans="1:11">
      <c r="A456" s="137"/>
      <c r="B456" s="119"/>
      <c r="C456" s="119"/>
      <c r="D456" s="104" t="s">
        <v>1261</v>
      </c>
      <c r="E456" s="102" t="s">
        <v>9402</v>
      </c>
      <c r="F456" s="52" t="s">
        <v>7183</v>
      </c>
      <c r="G456" s="3" t="s">
        <v>9403</v>
      </c>
      <c r="H456" s="3" t="s">
        <v>9404</v>
      </c>
      <c r="I456" s="52" t="s">
        <v>3449</v>
      </c>
      <c r="J456" s="3" t="s">
        <v>9405</v>
      </c>
      <c r="K456" s="138" t="s">
        <v>9406</v>
      </c>
    </row>
    <row r="457" spans="1:11">
      <c r="A457" s="137"/>
      <c r="B457" s="119"/>
      <c r="C457" s="119" t="s">
        <v>1263</v>
      </c>
      <c r="D457" s="104" t="s">
        <v>1264</v>
      </c>
      <c r="E457" s="102" t="s">
        <v>9407</v>
      </c>
      <c r="F457" s="52" t="s">
        <v>7189</v>
      </c>
      <c r="G457" s="3" t="s">
        <v>9408</v>
      </c>
      <c r="H457" s="3" t="s">
        <v>9409</v>
      </c>
      <c r="I457" s="52" t="s">
        <v>3449</v>
      </c>
      <c r="J457" s="3" t="s">
        <v>9410</v>
      </c>
      <c r="K457" s="138" t="s">
        <v>9411</v>
      </c>
    </row>
    <row r="458" spans="1:11">
      <c r="A458" s="137"/>
      <c r="B458" s="119"/>
      <c r="C458" s="119"/>
      <c r="D458" s="104" t="s">
        <v>1266</v>
      </c>
      <c r="E458" s="102" t="s">
        <v>9412</v>
      </c>
      <c r="F458" s="52" t="s">
        <v>7183</v>
      </c>
      <c r="G458" s="3" t="s">
        <v>9413</v>
      </c>
      <c r="H458" s="3" t="s">
        <v>9414</v>
      </c>
      <c r="I458" s="52" t="s">
        <v>3449</v>
      </c>
      <c r="J458" s="3" t="s">
        <v>9415</v>
      </c>
      <c r="K458" s="138" t="s">
        <v>9416</v>
      </c>
    </row>
    <row r="459" spans="1:11">
      <c r="A459" s="137"/>
      <c r="B459" s="119"/>
      <c r="C459" s="119"/>
      <c r="D459" s="104" t="s">
        <v>1268</v>
      </c>
      <c r="E459" s="102" t="s">
        <v>9417</v>
      </c>
      <c r="F459" s="52" t="s">
        <v>7183</v>
      </c>
      <c r="G459" s="3" t="s">
        <v>9418</v>
      </c>
      <c r="H459" s="3" t="s">
        <v>9419</v>
      </c>
      <c r="I459" s="52" t="s">
        <v>3449</v>
      </c>
      <c r="J459" s="3" t="s">
        <v>9420</v>
      </c>
      <c r="K459" s="138" t="s">
        <v>9421</v>
      </c>
    </row>
    <row r="460" spans="1:11">
      <c r="A460" s="137"/>
      <c r="B460" s="119"/>
      <c r="C460" s="119"/>
      <c r="D460" s="104" t="s">
        <v>1270</v>
      </c>
      <c r="E460" s="102" t="s">
        <v>9422</v>
      </c>
      <c r="F460" s="52" t="s">
        <v>7183</v>
      </c>
      <c r="G460" s="3" t="s">
        <v>9423</v>
      </c>
      <c r="H460" s="3" t="s">
        <v>9424</v>
      </c>
      <c r="I460" s="52" t="s">
        <v>3449</v>
      </c>
      <c r="J460" s="3" t="s">
        <v>9425</v>
      </c>
      <c r="K460" s="138" t="s">
        <v>9426</v>
      </c>
    </row>
    <row r="461" spans="1:11">
      <c r="A461" s="137"/>
      <c r="B461" s="119"/>
      <c r="C461" s="119"/>
      <c r="D461" s="104" t="s">
        <v>1272</v>
      </c>
      <c r="E461" s="102" t="s">
        <v>9427</v>
      </c>
      <c r="F461" s="52" t="s">
        <v>7183</v>
      </c>
      <c r="G461" s="3" t="s">
        <v>9428</v>
      </c>
      <c r="H461" s="3" t="s">
        <v>9429</v>
      </c>
      <c r="I461" s="52" t="s">
        <v>3449</v>
      </c>
      <c r="J461" s="3" t="s">
        <v>9430</v>
      </c>
      <c r="K461" s="138" t="s">
        <v>9431</v>
      </c>
    </row>
    <row r="462" spans="1:11">
      <c r="A462" s="137"/>
      <c r="B462" s="119"/>
      <c r="C462" s="119" t="s">
        <v>1274</v>
      </c>
      <c r="D462" s="104" t="s">
        <v>1275</v>
      </c>
      <c r="E462" s="102" t="s">
        <v>9432</v>
      </c>
      <c r="F462" s="52" t="s">
        <v>7189</v>
      </c>
      <c r="G462" s="3" t="s">
        <v>9433</v>
      </c>
      <c r="H462" s="3" t="s">
        <v>9434</v>
      </c>
      <c r="I462" s="52" t="s">
        <v>3449</v>
      </c>
      <c r="J462" s="3" t="s">
        <v>9435</v>
      </c>
      <c r="K462" s="138" t="s">
        <v>9436</v>
      </c>
    </row>
    <row r="463" spans="1:11">
      <c r="A463" s="137"/>
      <c r="B463" s="119"/>
      <c r="C463" s="119"/>
      <c r="D463" s="104" t="s">
        <v>1277</v>
      </c>
      <c r="E463" s="102" t="s">
        <v>9437</v>
      </c>
      <c r="F463" s="52" t="s">
        <v>7183</v>
      </c>
      <c r="G463" s="3" t="s">
        <v>9438</v>
      </c>
      <c r="H463" s="3" t="s">
        <v>9439</v>
      </c>
      <c r="I463" s="52" t="s">
        <v>3449</v>
      </c>
      <c r="J463" s="3" t="s">
        <v>9440</v>
      </c>
      <c r="K463" s="138" t="s">
        <v>9441</v>
      </c>
    </row>
    <row r="464" spans="1:11">
      <c r="A464" s="137"/>
      <c r="B464" s="119"/>
      <c r="C464" s="119"/>
      <c r="D464" s="104" t="s">
        <v>1279</v>
      </c>
      <c r="E464" s="102" t="s">
        <v>9442</v>
      </c>
      <c r="F464" s="52" t="s">
        <v>7183</v>
      </c>
      <c r="G464" s="3" t="s">
        <v>9443</v>
      </c>
      <c r="H464" s="3" t="s">
        <v>9444</v>
      </c>
      <c r="I464" s="52" t="s">
        <v>3449</v>
      </c>
      <c r="J464" s="3" t="s">
        <v>9445</v>
      </c>
      <c r="K464" s="138" t="s">
        <v>9446</v>
      </c>
    </row>
    <row r="465" spans="1:11">
      <c r="A465" s="137"/>
      <c r="B465" s="119"/>
      <c r="C465" s="119"/>
      <c r="D465" s="104" t="s">
        <v>1281</v>
      </c>
      <c r="E465" s="102" t="s">
        <v>9447</v>
      </c>
      <c r="F465" s="52" t="s">
        <v>7183</v>
      </c>
      <c r="G465" s="3" t="s">
        <v>9448</v>
      </c>
      <c r="H465" s="3" t="s">
        <v>9449</v>
      </c>
      <c r="I465" s="52" t="s">
        <v>3449</v>
      </c>
      <c r="J465" s="3" t="s">
        <v>9450</v>
      </c>
      <c r="K465" s="138" t="s">
        <v>9451</v>
      </c>
    </row>
    <row r="466" spans="1:11">
      <c r="A466" s="137"/>
      <c r="B466" s="119"/>
      <c r="C466" s="119"/>
      <c r="D466" s="104" t="s">
        <v>1283</v>
      </c>
      <c r="E466" s="102" t="s">
        <v>9452</v>
      </c>
      <c r="F466" s="52" t="s">
        <v>7183</v>
      </c>
      <c r="G466" s="3" t="s">
        <v>9453</v>
      </c>
      <c r="H466" s="3" t="s">
        <v>9454</v>
      </c>
      <c r="I466" s="52" t="s">
        <v>3449</v>
      </c>
      <c r="J466" s="3" t="s">
        <v>9455</v>
      </c>
      <c r="K466" s="138" t="s">
        <v>9456</v>
      </c>
    </row>
    <row r="467" spans="1:11">
      <c r="A467" s="137"/>
      <c r="B467" s="119"/>
      <c r="C467" s="119" t="s">
        <v>1285</v>
      </c>
      <c r="D467" s="104" t="s">
        <v>1233</v>
      </c>
      <c r="E467" s="102" t="s">
        <v>9457</v>
      </c>
      <c r="F467" s="52" t="s">
        <v>7189</v>
      </c>
      <c r="G467" s="3" t="s">
        <v>9458</v>
      </c>
      <c r="H467" s="3" t="s">
        <v>9459</v>
      </c>
      <c r="I467" s="52" t="s">
        <v>3449</v>
      </c>
      <c r="J467" s="3" t="s">
        <v>9460</v>
      </c>
      <c r="K467" s="138" t="s">
        <v>9461</v>
      </c>
    </row>
    <row r="468" spans="1:11">
      <c r="A468" s="137"/>
      <c r="B468" s="119"/>
      <c r="C468" s="119"/>
      <c r="D468" s="104" t="s">
        <v>1287</v>
      </c>
      <c r="E468" s="102" t="s">
        <v>9462</v>
      </c>
      <c r="F468" s="52" t="s">
        <v>7183</v>
      </c>
      <c r="G468" s="3" t="s">
        <v>9463</v>
      </c>
      <c r="H468" s="3" t="s">
        <v>9464</v>
      </c>
      <c r="I468" s="52" t="s">
        <v>3449</v>
      </c>
      <c r="J468" s="3" t="s">
        <v>9465</v>
      </c>
      <c r="K468" s="138" t="s">
        <v>9466</v>
      </c>
    </row>
    <row r="469" spans="1:11">
      <c r="A469" s="137"/>
      <c r="B469" s="119"/>
      <c r="C469" s="119"/>
      <c r="D469" s="104" t="s">
        <v>1289</v>
      </c>
      <c r="E469" s="102" t="s">
        <v>9467</v>
      </c>
      <c r="F469" s="52" t="s">
        <v>7183</v>
      </c>
      <c r="G469" s="3" t="s">
        <v>9468</v>
      </c>
      <c r="H469" s="3" t="s">
        <v>9469</v>
      </c>
      <c r="I469" s="52" t="s">
        <v>3449</v>
      </c>
      <c r="J469" s="3" t="s">
        <v>9470</v>
      </c>
      <c r="K469" s="138" t="s">
        <v>9471</v>
      </c>
    </row>
    <row r="470" spans="1:11">
      <c r="A470" s="137"/>
      <c r="B470" s="119"/>
      <c r="C470" s="119"/>
      <c r="D470" s="104" t="s">
        <v>1291</v>
      </c>
      <c r="E470" s="102" t="s">
        <v>9472</v>
      </c>
      <c r="F470" s="52" t="s">
        <v>7183</v>
      </c>
      <c r="G470" s="3" t="s">
        <v>9473</v>
      </c>
      <c r="H470" s="3" t="s">
        <v>9474</v>
      </c>
      <c r="I470" s="52" t="s">
        <v>3449</v>
      </c>
      <c r="J470" s="3" t="s">
        <v>9475</v>
      </c>
      <c r="K470" s="138" t="s">
        <v>9476</v>
      </c>
    </row>
    <row r="471" spans="1:11">
      <c r="A471" s="137"/>
      <c r="B471" s="119"/>
      <c r="C471" s="119"/>
      <c r="D471" s="104" t="s">
        <v>1293</v>
      </c>
      <c r="E471" s="102" t="s">
        <v>9477</v>
      </c>
      <c r="F471" s="52" t="s">
        <v>7183</v>
      </c>
      <c r="G471" s="3" t="s">
        <v>9478</v>
      </c>
      <c r="H471" s="3" t="s">
        <v>9479</v>
      </c>
      <c r="I471" s="52" t="s">
        <v>3449</v>
      </c>
      <c r="J471" s="3" t="s">
        <v>9480</v>
      </c>
      <c r="K471" s="138" t="s">
        <v>9481</v>
      </c>
    </row>
    <row r="472" spans="1:11">
      <c r="A472" s="137"/>
      <c r="B472" s="119"/>
      <c r="C472" s="119" t="s">
        <v>1295</v>
      </c>
      <c r="D472" s="104" t="s">
        <v>1296</v>
      </c>
      <c r="E472" s="102" t="s">
        <v>9482</v>
      </c>
      <c r="F472" s="52" t="s">
        <v>7189</v>
      </c>
      <c r="G472" s="3" t="s">
        <v>9483</v>
      </c>
      <c r="H472" s="3" t="s">
        <v>9484</v>
      </c>
      <c r="I472" s="52" t="s">
        <v>3449</v>
      </c>
      <c r="J472" s="3" t="s">
        <v>9485</v>
      </c>
      <c r="K472" s="138" t="s">
        <v>9486</v>
      </c>
    </row>
    <row r="473" spans="1:11">
      <c r="A473" s="137"/>
      <c r="B473" s="119"/>
      <c r="C473" s="119"/>
      <c r="D473" s="104" t="s">
        <v>1298</v>
      </c>
      <c r="E473" s="102" t="s">
        <v>9487</v>
      </c>
      <c r="F473" s="52" t="s">
        <v>7183</v>
      </c>
      <c r="G473" s="3" t="s">
        <v>9488</v>
      </c>
      <c r="H473" s="3" t="s">
        <v>9489</v>
      </c>
      <c r="I473" s="52" t="s">
        <v>3449</v>
      </c>
      <c r="J473" s="3" t="s">
        <v>9490</v>
      </c>
      <c r="K473" s="138" t="s">
        <v>9491</v>
      </c>
    </row>
    <row r="474" spans="1:11">
      <c r="A474" s="137"/>
      <c r="B474" s="119"/>
      <c r="C474" s="119"/>
      <c r="D474" s="104" t="s">
        <v>1300</v>
      </c>
      <c r="E474" s="102" t="s">
        <v>9492</v>
      </c>
      <c r="F474" s="52" t="s">
        <v>7183</v>
      </c>
      <c r="G474" s="3" t="s">
        <v>9493</v>
      </c>
      <c r="H474" s="3" t="s">
        <v>9494</v>
      </c>
      <c r="I474" s="52" t="s">
        <v>3449</v>
      </c>
      <c r="J474" s="3" t="s">
        <v>9495</v>
      </c>
      <c r="K474" s="138" t="s">
        <v>9496</v>
      </c>
    </row>
    <row r="475" spans="1:11">
      <c r="A475" s="137"/>
      <c r="B475" s="119"/>
      <c r="C475" s="119"/>
      <c r="D475" s="104" t="s">
        <v>1302</v>
      </c>
      <c r="E475" s="102" t="s">
        <v>9497</v>
      </c>
      <c r="F475" s="52" t="s">
        <v>7183</v>
      </c>
      <c r="G475" s="3" t="s">
        <v>9498</v>
      </c>
      <c r="H475" s="3" t="s">
        <v>9499</v>
      </c>
      <c r="I475" s="52" t="s">
        <v>3449</v>
      </c>
      <c r="J475" s="3" t="s">
        <v>9500</v>
      </c>
      <c r="K475" s="138" t="s">
        <v>9501</v>
      </c>
    </row>
    <row r="476" spans="1:11">
      <c r="A476" s="137"/>
      <c r="B476" s="119"/>
      <c r="C476" s="119"/>
      <c r="D476" s="104" t="s">
        <v>1304</v>
      </c>
      <c r="E476" s="102" t="s">
        <v>9502</v>
      </c>
      <c r="F476" s="52" t="s">
        <v>7183</v>
      </c>
      <c r="G476" s="3" t="s">
        <v>9503</v>
      </c>
      <c r="H476" s="3" t="s">
        <v>9504</v>
      </c>
      <c r="I476" s="52" t="s">
        <v>3449</v>
      </c>
      <c r="J476" s="3" t="s">
        <v>9505</v>
      </c>
      <c r="K476" s="138" t="s">
        <v>9506</v>
      </c>
    </row>
    <row r="477" spans="1:11">
      <c r="A477" s="137"/>
      <c r="B477" s="119"/>
      <c r="C477" s="119" t="s">
        <v>1306</v>
      </c>
      <c r="D477" s="104" t="s">
        <v>1307</v>
      </c>
      <c r="E477" s="102" t="s">
        <v>9507</v>
      </c>
      <c r="F477" s="52" t="s">
        <v>7189</v>
      </c>
      <c r="G477" s="3" t="s">
        <v>9508</v>
      </c>
      <c r="H477" s="3" t="s">
        <v>9509</v>
      </c>
      <c r="I477" s="52" t="s">
        <v>3449</v>
      </c>
      <c r="J477" s="3" t="s">
        <v>9510</v>
      </c>
      <c r="K477" s="138" t="s">
        <v>9511</v>
      </c>
    </row>
    <row r="478" spans="1:11">
      <c r="A478" s="137"/>
      <c r="B478" s="119"/>
      <c r="C478" s="119"/>
      <c r="D478" s="104" t="s">
        <v>1309</v>
      </c>
      <c r="E478" s="102" t="s">
        <v>9512</v>
      </c>
      <c r="F478" s="52" t="s">
        <v>7183</v>
      </c>
      <c r="G478" s="3" t="s">
        <v>9513</v>
      </c>
      <c r="H478" s="3" t="s">
        <v>9514</v>
      </c>
      <c r="I478" s="52" t="s">
        <v>3449</v>
      </c>
      <c r="J478" s="3" t="s">
        <v>9515</v>
      </c>
      <c r="K478" s="138" t="s">
        <v>9516</v>
      </c>
    </row>
    <row r="479" spans="1:11">
      <c r="A479" s="137"/>
      <c r="B479" s="119"/>
      <c r="C479" s="119"/>
      <c r="D479" s="104" t="s">
        <v>1311</v>
      </c>
      <c r="E479" s="102" t="s">
        <v>9517</v>
      </c>
      <c r="F479" s="52" t="s">
        <v>7183</v>
      </c>
      <c r="G479" s="3" t="s">
        <v>9518</v>
      </c>
      <c r="H479" s="3" t="s">
        <v>9519</v>
      </c>
      <c r="I479" s="52" t="s">
        <v>3449</v>
      </c>
      <c r="J479" s="3" t="s">
        <v>9520</v>
      </c>
      <c r="K479" s="138" t="s">
        <v>9521</v>
      </c>
    </row>
    <row r="480" spans="1:11">
      <c r="A480" s="137"/>
      <c r="B480" s="119"/>
      <c r="C480" s="119"/>
      <c r="D480" s="104" t="s">
        <v>1313</v>
      </c>
      <c r="E480" s="102" t="s">
        <v>9522</v>
      </c>
      <c r="F480" s="52" t="s">
        <v>7183</v>
      </c>
      <c r="G480" s="3" t="s">
        <v>9403</v>
      </c>
      <c r="H480" s="3" t="s">
        <v>9523</v>
      </c>
      <c r="I480" s="52" t="s">
        <v>3449</v>
      </c>
      <c r="J480" s="3" t="s">
        <v>9524</v>
      </c>
      <c r="K480" s="138" t="s">
        <v>9525</v>
      </c>
    </row>
    <row r="481" spans="1:11">
      <c r="A481" s="137"/>
      <c r="B481" s="119"/>
      <c r="C481" s="119"/>
      <c r="D481" s="104" t="s">
        <v>1315</v>
      </c>
      <c r="E481" s="102" t="s">
        <v>9526</v>
      </c>
      <c r="F481" s="52" t="s">
        <v>7183</v>
      </c>
      <c r="G481" s="3" t="s">
        <v>9527</v>
      </c>
      <c r="H481" s="3" t="s">
        <v>9528</v>
      </c>
      <c r="I481" s="52" t="s">
        <v>3449</v>
      </c>
      <c r="J481" s="3" t="s">
        <v>9529</v>
      </c>
      <c r="K481" s="138" t="s">
        <v>9530</v>
      </c>
    </row>
    <row r="482" spans="1:11">
      <c r="A482" s="137"/>
      <c r="B482" s="119"/>
      <c r="C482" s="119" t="s">
        <v>1317</v>
      </c>
      <c r="D482" s="104" t="s">
        <v>1318</v>
      </c>
      <c r="E482" s="102" t="s">
        <v>9531</v>
      </c>
      <c r="F482" s="52" t="s">
        <v>7189</v>
      </c>
      <c r="G482" s="3" t="s">
        <v>9532</v>
      </c>
      <c r="H482" s="3" t="s">
        <v>9533</v>
      </c>
      <c r="I482" s="52" t="s">
        <v>3449</v>
      </c>
      <c r="J482" s="3" t="s">
        <v>9534</v>
      </c>
      <c r="K482" s="138" t="s">
        <v>9535</v>
      </c>
    </row>
    <row r="483" spans="1:11">
      <c r="A483" s="137"/>
      <c r="B483" s="119"/>
      <c r="C483" s="119"/>
      <c r="D483" s="104" t="s">
        <v>1320</v>
      </c>
      <c r="E483" s="102" t="s">
        <v>9536</v>
      </c>
      <c r="F483" s="52" t="s">
        <v>7183</v>
      </c>
      <c r="G483" s="3" t="s">
        <v>9537</v>
      </c>
      <c r="H483" s="3" t="s">
        <v>9538</v>
      </c>
      <c r="I483" s="52" t="s">
        <v>3449</v>
      </c>
      <c r="J483" s="3" t="s">
        <v>9539</v>
      </c>
      <c r="K483" s="138" t="s">
        <v>9540</v>
      </c>
    </row>
    <row r="484" spans="1:11">
      <c r="A484" s="137"/>
      <c r="B484" s="119"/>
      <c r="C484" s="119"/>
      <c r="D484" s="104" t="s">
        <v>1322</v>
      </c>
      <c r="E484" s="102" t="s">
        <v>9541</v>
      </c>
      <c r="F484" s="52" t="s">
        <v>7183</v>
      </c>
      <c r="G484" s="3" t="s">
        <v>9542</v>
      </c>
      <c r="H484" s="3" t="s">
        <v>9543</v>
      </c>
      <c r="I484" s="52" t="s">
        <v>3449</v>
      </c>
      <c r="J484" s="3" t="s">
        <v>9544</v>
      </c>
      <c r="K484" s="138" t="s">
        <v>9545</v>
      </c>
    </row>
    <row r="485" spans="1:11">
      <c r="A485" s="137"/>
      <c r="B485" s="119"/>
      <c r="C485" s="119"/>
      <c r="D485" s="104" t="s">
        <v>1324</v>
      </c>
      <c r="E485" s="102" t="s">
        <v>9546</v>
      </c>
      <c r="F485" s="52" t="s">
        <v>7183</v>
      </c>
      <c r="G485" s="3" t="s">
        <v>9547</v>
      </c>
      <c r="H485" s="3" t="s">
        <v>9548</v>
      </c>
      <c r="I485" s="52" t="s">
        <v>3449</v>
      </c>
      <c r="J485" s="3" t="s">
        <v>9549</v>
      </c>
      <c r="K485" s="138" t="s">
        <v>9550</v>
      </c>
    </row>
    <row r="486" spans="1:11">
      <c r="A486" s="137"/>
      <c r="B486" s="119"/>
      <c r="C486" s="119"/>
      <c r="D486" s="104" t="s">
        <v>1326</v>
      </c>
      <c r="E486" s="102" t="s">
        <v>9551</v>
      </c>
      <c r="F486" s="52" t="s">
        <v>7183</v>
      </c>
      <c r="G486" s="3" t="s">
        <v>9552</v>
      </c>
      <c r="H486" s="3" t="s">
        <v>9553</v>
      </c>
      <c r="I486" s="52" t="s">
        <v>3450</v>
      </c>
      <c r="J486" s="3" t="s">
        <v>9554</v>
      </c>
      <c r="K486" s="138" t="s">
        <v>9555</v>
      </c>
    </row>
    <row r="487" spans="1:11">
      <c r="A487" s="137"/>
      <c r="B487" s="119"/>
      <c r="C487" s="119" t="s">
        <v>1328</v>
      </c>
      <c r="D487" s="104" t="s">
        <v>1329</v>
      </c>
      <c r="E487" s="102" t="s">
        <v>9556</v>
      </c>
      <c r="F487" s="52" t="s">
        <v>7189</v>
      </c>
      <c r="G487" s="3" t="s">
        <v>9557</v>
      </c>
      <c r="H487" s="3" t="s">
        <v>9558</v>
      </c>
      <c r="I487" s="52" t="s">
        <v>3449</v>
      </c>
      <c r="J487" s="3" t="s">
        <v>9559</v>
      </c>
      <c r="K487" s="138" t="s">
        <v>9560</v>
      </c>
    </row>
    <row r="488" spans="1:11">
      <c r="A488" s="137"/>
      <c r="B488" s="119"/>
      <c r="C488" s="119"/>
      <c r="D488" s="104" t="s">
        <v>1331</v>
      </c>
      <c r="E488" s="102" t="s">
        <v>9561</v>
      </c>
      <c r="F488" s="52" t="s">
        <v>7183</v>
      </c>
      <c r="G488" s="3" t="s">
        <v>9562</v>
      </c>
      <c r="H488" s="3" t="s">
        <v>9563</v>
      </c>
      <c r="I488" s="52" t="s">
        <v>3449</v>
      </c>
      <c r="J488" s="3" t="s">
        <v>9564</v>
      </c>
      <c r="K488" s="138" t="s">
        <v>9565</v>
      </c>
    </row>
    <row r="489" spans="1:11">
      <c r="A489" s="137"/>
      <c r="B489" s="119"/>
      <c r="C489" s="119"/>
      <c r="D489" s="104" t="s">
        <v>1248</v>
      </c>
      <c r="E489" s="102" t="s">
        <v>9566</v>
      </c>
      <c r="F489" s="52" t="s">
        <v>7183</v>
      </c>
      <c r="G489" s="3" t="s">
        <v>9567</v>
      </c>
      <c r="H489" s="3" t="s">
        <v>9568</v>
      </c>
      <c r="I489" s="52" t="s">
        <v>3449</v>
      </c>
      <c r="J489" s="3" t="s">
        <v>9569</v>
      </c>
      <c r="K489" s="138" t="s">
        <v>9570</v>
      </c>
    </row>
    <row r="490" spans="1:11">
      <c r="A490" s="137"/>
      <c r="B490" s="119"/>
      <c r="C490" s="119"/>
      <c r="D490" s="104" t="s">
        <v>1334</v>
      </c>
      <c r="E490" s="102" t="s">
        <v>9422</v>
      </c>
      <c r="F490" s="52" t="s">
        <v>7183</v>
      </c>
      <c r="G490" s="3" t="s">
        <v>9571</v>
      </c>
      <c r="H490" s="3" t="s">
        <v>9572</v>
      </c>
      <c r="I490" s="52" t="s">
        <v>3449</v>
      </c>
      <c r="J490" s="3" t="s">
        <v>9573</v>
      </c>
      <c r="K490" s="138" t="s">
        <v>9574</v>
      </c>
    </row>
    <row r="491" spans="1:11">
      <c r="A491" s="137"/>
      <c r="B491" s="119"/>
      <c r="C491" s="119"/>
      <c r="D491" s="104" t="s">
        <v>1252</v>
      </c>
      <c r="E491" s="102" t="s">
        <v>9575</v>
      </c>
      <c r="F491" s="52" t="s">
        <v>7183</v>
      </c>
      <c r="G491" s="3" t="s">
        <v>9576</v>
      </c>
      <c r="H491" s="3" t="s">
        <v>9577</v>
      </c>
      <c r="I491" s="52" t="s">
        <v>3449</v>
      </c>
      <c r="J491" s="3" t="s">
        <v>9578</v>
      </c>
      <c r="K491" s="138" t="s">
        <v>9579</v>
      </c>
    </row>
    <row r="492" spans="1:11">
      <c r="A492" s="137"/>
      <c r="B492" s="119"/>
      <c r="C492" s="119" t="s">
        <v>1337</v>
      </c>
      <c r="D492" s="104" t="s">
        <v>1338</v>
      </c>
      <c r="E492" s="102" t="s">
        <v>9580</v>
      </c>
      <c r="F492" s="52" t="s">
        <v>7189</v>
      </c>
      <c r="G492" s="3" t="s">
        <v>9581</v>
      </c>
      <c r="H492" s="3" t="s">
        <v>9582</v>
      </c>
      <c r="I492" s="52" t="s">
        <v>3449</v>
      </c>
      <c r="J492" s="3" t="s">
        <v>9583</v>
      </c>
      <c r="K492" s="138" t="s">
        <v>9584</v>
      </c>
    </row>
    <row r="493" spans="1:11">
      <c r="A493" s="137"/>
      <c r="B493" s="119"/>
      <c r="C493" s="119"/>
      <c r="D493" s="104" t="s">
        <v>1340</v>
      </c>
      <c r="E493" s="102" t="s">
        <v>9585</v>
      </c>
      <c r="F493" s="52" t="s">
        <v>7183</v>
      </c>
      <c r="G493" s="3" t="s">
        <v>9586</v>
      </c>
      <c r="H493" s="3" t="s">
        <v>9587</v>
      </c>
      <c r="I493" s="52" t="s">
        <v>3449</v>
      </c>
      <c r="J493" s="3" t="s">
        <v>9588</v>
      </c>
      <c r="K493" s="138" t="s">
        <v>9589</v>
      </c>
    </row>
    <row r="494" spans="1:11">
      <c r="A494" s="137"/>
      <c r="B494" s="119"/>
      <c r="C494" s="119"/>
      <c r="D494" s="104" t="s">
        <v>1342</v>
      </c>
      <c r="E494" s="102" t="s">
        <v>9590</v>
      </c>
      <c r="F494" s="52" t="s">
        <v>7183</v>
      </c>
      <c r="G494" s="3" t="s">
        <v>9591</v>
      </c>
      <c r="H494" s="3" t="s">
        <v>9592</v>
      </c>
      <c r="I494" s="52" t="s">
        <v>3449</v>
      </c>
      <c r="J494" s="3" t="s">
        <v>9593</v>
      </c>
      <c r="K494" s="138" t="s">
        <v>9594</v>
      </c>
    </row>
    <row r="495" spans="1:11">
      <c r="A495" s="137"/>
      <c r="B495" s="119"/>
      <c r="C495" s="119"/>
      <c r="D495" s="104" t="s">
        <v>1344</v>
      </c>
      <c r="E495" s="102" t="s">
        <v>9595</v>
      </c>
      <c r="F495" s="52" t="s">
        <v>7183</v>
      </c>
      <c r="G495" s="3" t="s">
        <v>9596</v>
      </c>
      <c r="H495" s="3" t="s">
        <v>9597</v>
      </c>
      <c r="I495" s="52" t="s">
        <v>3449</v>
      </c>
      <c r="J495" s="3" t="s">
        <v>9598</v>
      </c>
      <c r="K495" s="138" t="s">
        <v>9599</v>
      </c>
    </row>
    <row r="496" spans="1:11">
      <c r="A496" s="137"/>
      <c r="B496" s="119"/>
      <c r="C496" s="119"/>
      <c r="D496" s="104" t="s">
        <v>1346</v>
      </c>
      <c r="E496" s="102" t="s">
        <v>9600</v>
      </c>
      <c r="F496" s="52" t="s">
        <v>7183</v>
      </c>
      <c r="G496" s="3" t="s">
        <v>9601</v>
      </c>
      <c r="H496" s="3" t="s">
        <v>9602</v>
      </c>
      <c r="I496" s="52" t="s">
        <v>3449</v>
      </c>
      <c r="J496" s="3" t="s">
        <v>9603</v>
      </c>
      <c r="K496" s="138" t="s">
        <v>9604</v>
      </c>
    </row>
    <row r="497" spans="1:11">
      <c r="A497" s="137"/>
      <c r="B497" s="119"/>
      <c r="C497" s="119" t="s">
        <v>1348</v>
      </c>
      <c r="D497" s="104" t="s">
        <v>1349</v>
      </c>
      <c r="E497" s="102" t="s">
        <v>9605</v>
      </c>
      <c r="F497" s="52" t="s">
        <v>7189</v>
      </c>
      <c r="G497" s="3" t="s">
        <v>9606</v>
      </c>
      <c r="H497" s="3" t="s">
        <v>9607</v>
      </c>
      <c r="I497" s="52" t="s">
        <v>3449</v>
      </c>
      <c r="J497" s="3" t="s">
        <v>9608</v>
      </c>
      <c r="K497" s="138" t="s">
        <v>9609</v>
      </c>
    </row>
    <row r="498" spans="1:11">
      <c r="A498" s="137"/>
      <c r="B498" s="119"/>
      <c r="C498" s="119"/>
      <c r="D498" s="104" t="s">
        <v>1351</v>
      </c>
      <c r="E498" s="3" t="s">
        <v>9610</v>
      </c>
      <c r="F498" s="52" t="s">
        <v>7183</v>
      </c>
      <c r="G498" s="3" t="s">
        <v>9611</v>
      </c>
      <c r="H498" s="3" t="s">
        <v>9612</v>
      </c>
      <c r="I498" s="52" t="s">
        <v>3449</v>
      </c>
      <c r="J498" s="3" t="s">
        <v>9613</v>
      </c>
      <c r="K498" s="138" t="s">
        <v>9614</v>
      </c>
    </row>
    <row r="499" spans="1:11">
      <c r="A499" s="137"/>
      <c r="B499" s="119"/>
      <c r="C499" s="119"/>
      <c r="D499" s="104" t="s">
        <v>1353</v>
      </c>
      <c r="E499" s="3" t="s">
        <v>9615</v>
      </c>
      <c r="F499" s="52" t="s">
        <v>7183</v>
      </c>
      <c r="G499" s="3" t="s">
        <v>9616</v>
      </c>
      <c r="H499" s="3" t="s">
        <v>9617</v>
      </c>
      <c r="I499" s="52" t="s">
        <v>3449</v>
      </c>
      <c r="J499" s="3" t="s">
        <v>9618</v>
      </c>
      <c r="K499" s="138" t="s">
        <v>9619</v>
      </c>
    </row>
    <row r="500" spans="1:11">
      <c r="A500" s="137"/>
      <c r="B500" s="119"/>
      <c r="C500" s="119"/>
      <c r="D500" s="104" t="s">
        <v>1239</v>
      </c>
      <c r="E500" s="3" t="s">
        <v>9620</v>
      </c>
      <c r="F500" s="52" t="s">
        <v>7183</v>
      </c>
      <c r="G500" s="3" t="s">
        <v>9621</v>
      </c>
      <c r="H500" s="3" t="s">
        <v>9622</v>
      </c>
      <c r="I500" s="52" t="s">
        <v>3449</v>
      </c>
      <c r="J500" s="3" t="s">
        <v>9623</v>
      </c>
      <c r="K500" s="138" t="s">
        <v>9624</v>
      </c>
    </row>
    <row r="501" spans="1:11">
      <c r="A501" s="137"/>
      <c r="B501" s="119"/>
      <c r="C501" s="119"/>
      <c r="D501" s="104" t="s">
        <v>1356</v>
      </c>
      <c r="E501" s="3" t="s">
        <v>9625</v>
      </c>
      <c r="F501" s="52" t="s">
        <v>7183</v>
      </c>
      <c r="G501" s="3" t="s">
        <v>9626</v>
      </c>
      <c r="H501" s="3" t="s">
        <v>9627</v>
      </c>
      <c r="I501" s="52" t="s">
        <v>3449</v>
      </c>
      <c r="J501" s="3" t="s">
        <v>9628</v>
      </c>
      <c r="K501" s="138" t="s">
        <v>9629</v>
      </c>
    </row>
    <row r="502" spans="1:11">
      <c r="A502" s="137"/>
      <c r="B502" s="119"/>
      <c r="C502" s="119" t="s">
        <v>1358</v>
      </c>
      <c r="D502" s="104" t="s">
        <v>1359</v>
      </c>
      <c r="E502" s="3" t="s">
        <v>9630</v>
      </c>
      <c r="F502" s="52" t="s">
        <v>7183</v>
      </c>
      <c r="G502" s="3" t="s">
        <v>9631</v>
      </c>
      <c r="H502" s="3" t="s">
        <v>9632</v>
      </c>
      <c r="I502" s="52" t="s">
        <v>3449</v>
      </c>
      <c r="J502" s="3" t="s">
        <v>9633</v>
      </c>
      <c r="K502" s="138" t="s">
        <v>9634</v>
      </c>
    </row>
    <row r="503" spans="1:11">
      <c r="A503" s="137"/>
      <c r="B503" s="119"/>
      <c r="C503" s="119"/>
      <c r="D503" s="104" t="s">
        <v>1361</v>
      </c>
      <c r="E503" s="3" t="s">
        <v>9635</v>
      </c>
      <c r="F503" s="52" t="s">
        <v>7189</v>
      </c>
      <c r="G503" s="3" t="s">
        <v>9636</v>
      </c>
      <c r="H503" s="3" t="s">
        <v>9637</v>
      </c>
      <c r="I503" s="52" t="s">
        <v>3450</v>
      </c>
      <c r="J503" s="3" t="s">
        <v>9638</v>
      </c>
      <c r="K503" s="138" t="s">
        <v>9639</v>
      </c>
    </row>
    <row r="504" spans="1:11">
      <c r="A504" s="137"/>
      <c r="B504" s="119"/>
      <c r="C504" s="119"/>
      <c r="D504" s="104" t="s">
        <v>1363</v>
      </c>
      <c r="E504" s="3" t="s">
        <v>9640</v>
      </c>
      <c r="F504" s="52" t="s">
        <v>7183</v>
      </c>
      <c r="G504" s="3" t="s">
        <v>9641</v>
      </c>
      <c r="H504" s="3" t="s">
        <v>9642</v>
      </c>
      <c r="I504" s="52" t="s">
        <v>3449</v>
      </c>
      <c r="J504" s="3" t="s">
        <v>9643</v>
      </c>
      <c r="K504" s="138" t="s">
        <v>9644</v>
      </c>
    </row>
    <row r="505" spans="1:11">
      <c r="A505" s="137"/>
      <c r="B505" s="119"/>
      <c r="C505" s="119"/>
      <c r="D505" s="104" t="s">
        <v>1365</v>
      </c>
      <c r="E505" s="3" t="s">
        <v>9645</v>
      </c>
      <c r="F505" s="52" t="s">
        <v>7183</v>
      </c>
      <c r="G505" s="3" t="s">
        <v>9646</v>
      </c>
      <c r="H505" s="3" t="s">
        <v>9647</v>
      </c>
      <c r="I505" s="52" t="s">
        <v>3449</v>
      </c>
      <c r="J505" s="3" t="s">
        <v>9648</v>
      </c>
      <c r="K505" s="138" t="s">
        <v>9649</v>
      </c>
    </row>
    <row r="506" spans="1:11">
      <c r="A506" s="137"/>
      <c r="B506" s="119"/>
      <c r="C506" s="119"/>
      <c r="D506" s="104" t="s">
        <v>1367</v>
      </c>
      <c r="E506" s="3" t="s">
        <v>9650</v>
      </c>
      <c r="F506" s="52" t="s">
        <v>7183</v>
      </c>
      <c r="G506" s="3" t="s">
        <v>9651</v>
      </c>
      <c r="H506" s="3" t="s">
        <v>9652</v>
      </c>
      <c r="I506" s="52" t="s">
        <v>3449</v>
      </c>
      <c r="J506" s="3" t="s">
        <v>9653</v>
      </c>
      <c r="K506" s="138" t="s">
        <v>9654</v>
      </c>
    </row>
    <row r="507" spans="1:11" s="157" customFormat="1">
      <c r="A507" s="139"/>
      <c r="B507" s="126" t="s">
        <v>347</v>
      </c>
      <c r="C507" s="126" t="s">
        <v>348</v>
      </c>
      <c r="D507" s="124" t="s">
        <v>349</v>
      </c>
      <c r="E507" s="124" t="s">
        <v>350</v>
      </c>
      <c r="F507" s="125" t="s">
        <v>2638</v>
      </c>
      <c r="G507" s="124" t="s">
        <v>1369</v>
      </c>
      <c r="H507" s="124" t="s">
        <v>351</v>
      </c>
      <c r="I507" s="124" t="s">
        <v>2763</v>
      </c>
      <c r="J507" s="124" t="s">
        <v>352</v>
      </c>
      <c r="K507" s="140" t="s">
        <v>2764</v>
      </c>
    </row>
    <row r="508" spans="1:11">
      <c r="A508" s="137" t="s">
        <v>11525</v>
      </c>
      <c r="B508" s="119" t="s">
        <v>353</v>
      </c>
      <c r="C508" s="119" t="s">
        <v>354</v>
      </c>
      <c r="D508" s="104" t="s">
        <v>355</v>
      </c>
      <c r="E508" s="104" t="s">
        <v>356</v>
      </c>
      <c r="F508" s="105" t="s">
        <v>2639</v>
      </c>
      <c r="G508" s="3" t="s">
        <v>1982</v>
      </c>
      <c r="H508" s="3" t="s">
        <v>1983</v>
      </c>
      <c r="I508" s="102" t="s">
        <v>3459</v>
      </c>
      <c r="J508" s="3" t="s">
        <v>1984</v>
      </c>
      <c r="K508" s="4" t="s">
        <v>1985</v>
      </c>
    </row>
    <row r="509" spans="1:11">
      <c r="A509" s="137"/>
      <c r="B509" s="119"/>
      <c r="C509" s="119"/>
      <c r="D509" s="104" t="s">
        <v>357</v>
      </c>
      <c r="E509" s="104" t="s">
        <v>358</v>
      </c>
      <c r="F509" s="105" t="s">
        <v>2640</v>
      </c>
      <c r="G509" s="3" t="s">
        <v>1986</v>
      </c>
      <c r="H509" s="3" t="s">
        <v>1987</v>
      </c>
      <c r="I509" s="3" t="s">
        <v>3453</v>
      </c>
      <c r="J509" s="3" t="s">
        <v>1988</v>
      </c>
      <c r="K509" s="4" t="s">
        <v>1989</v>
      </c>
    </row>
    <row r="510" spans="1:11">
      <c r="A510" s="137"/>
      <c r="B510" s="119"/>
      <c r="C510" s="119"/>
      <c r="D510" s="104" t="s">
        <v>359</v>
      </c>
      <c r="E510" s="104" t="s">
        <v>360</v>
      </c>
      <c r="F510" s="105" t="s">
        <v>2640</v>
      </c>
      <c r="G510" s="3" t="s">
        <v>1990</v>
      </c>
      <c r="H510" s="3" t="s">
        <v>1991</v>
      </c>
      <c r="I510" s="3" t="s">
        <v>3459</v>
      </c>
      <c r="J510" s="3" t="s">
        <v>1992</v>
      </c>
      <c r="K510" s="4" t="s">
        <v>1993</v>
      </c>
    </row>
    <row r="511" spans="1:11">
      <c r="A511" s="137"/>
      <c r="B511" s="119"/>
      <c r="C511" s="119"/>
      <c r="D511" s="104" t="s">
        <v>361</v>
      </c>
      <c r="E511" s="104" t="s">
        <v>362</v>
      </c>
      <c r="F511" s="105" t="s">
        <v>2639</v>
      </c>
      <c r="G511" s="3" t="s">
        <v>1994</v>
      </c>
      <c r="H511" s="3" t="s">
        <v>1995</v>
      </c>
      <c r="I511" s="3" t="s">
        <v>3459</v>
      </c>
      <c r="J511" s="3" t="s">
        <v>1996</v>
      </c>
      <c r="K511" s="4" t="s">
        <v>1997</v>
      </c>
    </row>
    <row r="512" spans="1:11">
      <c r="A512" s="137"/>
      <c r="B512" s="119"/>
      <c r="C512" s="119"/>
      <c r="D512" s="104" t="s">
        <v>363</v>
      </c>
      <c r="E512" s="104" t="s">
        <v>364</v>
      </c>
      <c r="F512" s="105" t="s">
        <v>2639</v>
      </c>
      <c r="G512" s="3" t="s">
        <v>1998</v>
      </c>
      <c r="H512" s="3" t="s">
        <v>1999</v>
      </c>
      <c r="I512" s="3" t="s">
        <v>3453</v>
      </c>
      <c r="J512" s="3" t="s">
        <v>2000</v>
      </c>
      <c r="K512" s="4" t="s">
        <v>2001</v>
      </c>
    </row>
    <row r="513" spans="1:11">
      <c r="A513" s="137"/>
      <c r="B513" s="119"/>
      <c r="C513" s="119" t="s">
        <v>365</v>
      </c>
      <c r="D513" s="104" t="s">
        <v>366</v>
      </c>
      <c r="E513" s="104" t="s">
        <v>367</v>
      </c>
      <c r="F513" s="105" t="s">
        <v>2639</v>
      </c>
      <c r="G513" s="3" t="s">
        <v>2002</v>
      </c>
      <c r="H513" s="3" t="s">
        <v>2003</v>
      </c>
      <c r="I513" s="3" t="s">
        <v>3453</v>
      </c>
      <c r="J513" s="3" t="s">
        <v>2004</v>
      </c>
      <c r="K513" s="4" t="s">
        <v>2005</v>
      </c>
    </row>
    <row r="514" spans="1:11">
      <c r="A514" s="137"/>
      <c r="B514" s="119"/>
      <c r="C514" s="119"/>
      <c r="D514" s="104" t="s">
        <v>368</v>
      </c>
      <c r="E514" s="104" t="s">
        <v>369</v>
      </c>
      <c r="F514" s="105" t="s">
        <v>2639</v>
      </c>
      <c r="G514" s="3" t="s">
        <v>2006</v>
      </c>
      <c r="H514" s="3" t="s">
        <v>2007</v>
      </c>
      <c r="I514" s="3" t="s">
        <v>3459</v>
      </c>
      <c r="J514" s="3" t="s">
        <v>2008</v>
      </c>
      <c r="K514" s="4" t="s">
        <v>2009</v>
      </c>
    </row>
    <row r="515" spans="1:11">
      <c r="A515" s="137"/>
      <c r="B515" s="119"/>
      <c r="C515" s="119"/>
      <c r="D515" s="104" t="s">
        <v>370</v>
      </c>
      <c r="E515" s="104" t="s">
        <v>371</v>
      </c>
      <c r="F515" s="105" t="s">
        <v>2639</v>
      </c>
      <c r="G515" s="3" t="s">
        <v>2010</v>
      </c>
      <c r="H515" s="3" t="s">
        <v>2011</v>
      </c>
      <c r="I515" s="3" t="s">
        <v>3459</v>
      </c>
      <c r="J515" s="3" t="s">
        <v>2012</v>
      </c>
      <c r="K515" s="4" t="s">
        <v>2013</v>
      </c>
    </row>
    <row r="516" spans="1:11">
      <c r="A516" s="137"/>
      <c r="B516" s="119"/>
      <c r="C516" s="119"/>
      <c r="D516" s="104" t="s">
        <v>372</v>
      </c>
      <c r="E516" s="104" t="s">
        <v>373</v>
      </c>
      <c r="F516" s="105" t="s">
        <v>2640</v>
      </c>
      <c r="G516" s="3" t="s">
        <v>2014</v>
      </c>
      <c r="H516" s="3" t="s">
        <v>2015</v>
      </c>
      <c r="I516" s="3" t="s">
        <v>3453</v>
      </c>
      <c r="J516" s="3" t="s">
        <v>2016</v>
      </c>
      <c r="K516" s="4" t="s">
        <v>2017</v>
      </c>
    </row>
    <row r="517" spans="1:11">
      <c r="A517" s="137"/>
      <c r="B517" s="119"/>
      <c r="C517" s="119"/>
      <c r="D517" s="104" t="s">
        <v>374</v>
      </c>
      <c r="E517" s="104" t="s">
        <v>375</v>
      </c>
      <c r="F517" s="105" t="s">
        <v>2641</v>
      </c>
      <c r="G517" s="3" t="s">
        <v>2018</v>
      </c>
      <c r="H517" s="3" t="s">
        <v>2019</v>
      </c>
      <c r="I517" s="3" t="s">
        <v>3581</v>
      </c>
      <c r="J517" s="3" t="s">
        <v>2020</v>
      </c>
      <c r="K517" s="4" t="s">
        <v>2021</v>
      </c>
    </row>
    <row r="518" spans="1:11">
      <c r="A518" s="137"/>
      <c r="B518" s="119"/>
      <c r="C518" s="119" t="s">
        <v>376</v>
      </c>
      <c r="D518" s="104" t="s">
        <v>377</v>
      </c>
      <c r="E518" s="104" t="s">
        <v>378</v>
      </c>
      <c r="F518" s="105" t="s">
        <v>2639</v>
      </c>
      <c r="G518" s="3" t="s">
        <v>2022</v>
      </c>
      <c r="H518" s="3" t="s">
        <v>2023</v>
      </c>
      <c r="I518" s="3" t="s">
        <v>3459</v>
      </c>
      <c r="J518" s="3" t="s">
        <v>2024</v>
      </c>
      <c r="K518" s="4" t="s">
        <v>2025</v>
      </c>
    </row>
    <row r="519" spans="1:11">
      <c r="A519" s="137"/>
      <c r="B519" s="119"/>
      <c r="C519" s="119"/>
      <c r="D519" s="104" t="s">
        <v>379</v>
      </c>
      <c r="E519" s="104" t="s">
        <v>380</v>
      </c>
      <c r="F519" s="105" t="s">
        <v>2639</v>
      </c>
      <c r="G519" s="3" t="s">
        <v>2026</v>
      </c>
      <c r="H519" s="3" t="s">
        <v>2027</v>
      </c>
      <c r="I519" s="3" t="s">
        <v>3581</v>
      </c>
      <c r="J519" s="3" t="s">
        <v>2028</v>
      </c>
      <c r="K519" s="4" t="s">
        <v>2029</v>
      </c>
    </row>
    <row r="520" spans="1:11">
      <c r="A520" s="137"/>
      <c r="B520" s="119"/>
      <c r="C520" s="119"/>
      <c r="D520" s="104" t="s">
        <v>381</v>
      </c>
      <c r="E520" s="104" t="s">
        <v>382</v>
      </c>
      <c r="F520" s="105" t="s">
        <v>2640</v>
      </c>
      <c r="G520" s="3" t="s">
        <v>2030</v>
      </c>
      <c r="H520" s="3" t="s">
        <v>2031</v>
      </c>
      <c r="I520" s="3" t="s">
        <v>3459</v>
      </c>
      <c r="J520" s="3" t="s">
        <v>2032</v>
      </c>
      <c r="K520" s="4" t="s">
        <v>2033</v>
      </c>
    </row>
    <row r="521" spans="1:11">
      <c r="A521" s="137"/>
      <c r="B521" s="119"/>
      <c r="C521" s="119"/>
      <c r="D521" s="104" t="s">
        <v>383</v>
      </c>
      <c r="E521" s="104" t="s">
        <v>2034</v>
      </c>
      <c r="F521" s="105" t="s">
        <v>2639</v>
      </c>
      <c r="G521" s="3" t="s">
        <v>2035</v>
      </c>
      <c r="H521" s="3" t="s">
        <v>2036</v>
      </c>
      <c r="I521" s="3" t="s">
        <v>3581</v>
      </c>
      <c r="J521" s="3" t="s">
        <v>2037</v>
      </c>
      <c r="K521" s="4" t="s">
        <v>2038</v>
      </c>
    </row>
    <row r="522" spans="1:11">
      <c r="A522" s="137"/>
      <c r="B522" s="119"/>
      <c r="C522" s="119"/>
      <c r="D522" s="104" t="s">
        <v>384</v>
      </c>
      <c r="E522" s="104" t="s">
        <v>385</v>
      </c>
      <c r="F522" s="105" t="s">
        <v>2641</v>
      </c>
      <c r="G522" s="3" t="s">
        <v>2039</v>
      </c>
      <c r="H522" s="3" t="s">
        <v>2040</v>
      </c>
      <c r="I522" s="3" t="s">
        <v>3453</v>
      </c>
      <c r="J522" s="3" t="s">
        <v>2041</v>
      </c>
      <c r="K522" s="4" t="s">
        <v>2042</v>
      </c>
    </row>
    <row r="523" spans="1:11">
      <c r="A523" s="137"/>
      <c r="B523" s="119"/>
      <c r="C523" s="119" t="s">
        <v>386</v>
      </c>
      <c r="D523" s="104" t="s">
        <v>387</v>
      </c>
      <c r="E523" s="104" t="s">
        <v>388</v>
      </c>
      <c r="F523" s="105" t="s">
        <v>2639</v>
      </c>
      <c r="G523" s="3" t="s">
        <v>2043</v>
      </c>
      <c r="H523" s="3" t="s">
        <v>2044</v>
      </c>
      <c r="I523" s="3" t="s">
        <v>3453</v>
      </c>
      <c r="J523" s="3" t="s">
        <v>2045</v>
      </c>
      <c r="K523" s="4" t="s">
        <v>2046</v>
      </c>
    </row>
    <row r="524" spans="1:11">
      <c r="A524" s="137"/>
      <c r="B524" s="119"/>
      <c r="C524" s="119"/>
      <c r="D524" s="104" t="s">
        <v>389</v>
      </c>
      <c r="E524" s="104" t="s">
        <v>390</v>
      </c>
      <c r="F524" s="105" t="s">
        <v>2641</v>
      </c>
      <c r="G524" s="3" t="s">
        <v>2047</v>
      </c>
      <c r="H524" s="3" t="s">
        <v>2048</v>
      </c>
      <c r="I524" s="3" t="s">
        <v>3459</v>
      </c>
      <c r="J524" s="3" t="s">
        <v>2049</v>
      </c>
      <c r="K524" s="4" t="s">
        <v>2050</v>
      </c>
    </row>
    <row r="525" spans="1:11">
      <c r="A525" s="137"/>
      <c r="B525" s="119"/>
      <c r="C525" s="119"/>
      <c r="D525" s="104" t="s">
        <v>391</v>
      </c>
      <c r="E525" s="104" t="s">
        <v>392</v>
      </c>
      <c r="F525" s="105" t="s">
        <v>2641</v>
      </c>
      <c r="G525" s="3" t="s">
        <v>2051</v>
      </c>
      <c r="H525" s="3" t="s">
        <v>2052</v>
      </c>
      <c r="I525" s="3" t="s">
        <v>3459</v>
      </c>
      <c r="J525" s="3" t="s">
        <v>2053</v>
      </c>
      <c r="K525" s="4" t="s">
        <v>2054</v>
      </c>
    </row>
    <row r="526" spans="1:11">
      <c r="A526" s="137"/>
      <c r="B526" s="119"/>
      <c r="C526" s="119"/>
      <c r="D526" s="104" t="s">
        <v>393</v>
      </c>
      <c r="E526" s="104" t="s">
        <v>394</v>
      </c>
      <c r="F526" s="105" t="s">
        <v>2641</v>
      </c>
      <c r="G526" s="3" t="s">
        <v>2055</v>
      </c>
      <c r="H526" s="3" t="s">
        <v>2056</v>
      </c>
      <c r="I526" s="3" t="s">
        <v>3459</v>
      </c>
      <c r="J526" s="3" t="s">
        <v>2057</v>
      </c>
      <c r="K526" s="4" t="s">
        <v>2058</v>
      </c>
    </row>
    <row r="527" spans="1:11">
      <c r="A527" s="137"/>
      <c r="B527" s="119"/>
      <c r="C527" s="119"/>
      <c r="D527" s="104" t="s">
        <v>395</v>
      </c>
      <c r="E527" s="104" t="s">
        <v>396</v>
      </c>
      <c r="F527" s="105" t="s">
        <v>2641</v>
      </c>
      <c r="G527" s="3" t="s">
        <v>2059</v>
      </c>
      <c r="H527" s="3" t="s">
        <v>2060</v>
      </c>
      <c r="I527" s="3" t="s">
        <v>3459</v>
      </c>
      <c r="J527" s="3" t="s">
        <v>2061</v>
      </c>
      <c r="K527" s="4" t="s">
        <v>2062</v>
      </c>
    </row>
    <row r="528" spans="1:11">
      <c r="A528" s="137"/>
      <c r="B528" s="119"/>
      <c r="C528" s="119" t="s">
        <v>397</v>
      </c>
      <c r="D528" s="104" t="s">
        <v>398</v>
      </c>
      <c r="E528" s="104" t="s">
        <v>399</v>
      </c>
      <c r="F528" s="105" t="s">
        <v>2640</v>
      </c>
      <c r="G528" s="3" t="s">
        <v>2063</v>
      </c>
      <c r="H528" s="3" t="s">
        <v>2064</v>
      </c>
      <c r="I528" s="3" t="s">
        <v>3459</v>
      </c>
      <c r="J528" s="3" t="s">
        <v>2065</v>
      </c>
      <c r="K528" s="4" t="s">
        <v>2066</v>
      </c>
    </row>
    <row r="529" spans="1:11">
      <c r="A529" s="137"/>
      <c r="B529" s="119"/>
      <c r="C529" s="119"/>
      <c r="D529" s="104" t="s">
        <v>400</v>
      </c>
      <c r="E529" s="104" t="s">
        <v>401</v>
      </c>
      <c r="F529" s="105" t="s">
        <v>2640</v>
      </c>
      <c r="G529" s="3" t="s">
        <v>2067</v>
      </c>
      <c r="H529" s="3" t="s">
        <v>2068</v>
      </c>
      <c r="I529" s="3" t="s">
        <v>3581</v>
      </c>
      <c r="J529" s="3" t="s">
        <v>2069</v>
      </c>
      <c r="K529" s="4" t="s">
        <v>2070</v>
      </c>
    </row>
    <row r="530" spans="1:11">
      <c r="A530" s="137"/>
      <c r="B530" s="119"/>
      <c r="C530" s="119"/>
      <c r="D530" s="104" t="s">
        <v>402</v>
      </c>
      <c r="E530" s="104" t="s">
        <v>403</v>
      </c>
      <c r="F530" s="105" t="s">
        <v>2640</v>
      </c>
      <c r="G530" s="3" t="s">
        <v>2071</v>
      </c>
      <c r="H530" s="3" t="s">
        <v>2072</v>
      </c>
      <c r="I530" s="3" t="s">
        <v>3459</v>
      </c>
      <c r="J530" s="3" t="s">
        <v>2073</v>
      </c>
      <c r="K530" s="4" t="s">
        <v>2074</v>
      </c>
    </row>
    <row r="531" spans="1:11">
      <c r="A531" s="137"/>
      <c r="B531" s="119"/>
      <c r="C531" s="119"/>
      <c r="D531" s="104" t="s">
        <v>404</v>
      </c>
      <c r="E531" s="104" t="s">
        <v>405</v>
      </c>
      <c r="F531" s="105" t="s">
        <v>2640</v>
      </c>
      <c r="G531" s="3" t="s">
        <v>2075</v>
      </c>
      <c r="H531" s="3" t="s">
        <v>2076</v>
      </c>
      <c r="I531" s="3" t="s">
        <v>3459</v>
      </c>
      <c r="J531" s="3" t="s">
        <v>2077</v>
      </c>
      <c r="K531" s="4" t="s">
        <v>2078</v>
      </c>
    </row>
    <row r="532" spans="1:11">
      <c r="A532" s="137"/>
      <c r="B532" s="119"/>
      <c r="C532" s="119"/>
      <c r="D532" s="104" t="s">
        <v>406</v>
      </c>
      <c r="E532" s="104" t="s">
        <v>407</v>
      </c>
      <c r="F532" s="105" t="s">
        <v>2640</v>
      </c>
      <c r="G532" s="3" t="s">
        <v>2079</v>
      </c>
      <c r="H532" s="3" t="s">
        <v>2080</v>
      </c>
      <c r="I532" s="3" t="s">
        <v>3581</v>
      </c>
      <c r="J532" s="3" t="s">
        <v>2081</v>
      </c>
      <c r="K532" s="4" t="s">
        <v>2082</v>
      </c>
    </row>
    <row r="533" spans="1:11">
      <c r="A533" s="137"/>
      <c r="B533" s="119"/>
      <c r="C533" s="119" t="s">
        <v>408</v>
      </c>
      <c r="D533" s="104" t="s">
        <v>409</v>
      </c>
      <c r="E533" s="104" t="s">
        <v>2083</v>
      </c>
      <c r="F533" s="105" t="s">
        <v>2639</v>
      </c>
      <c r="G533" s="3" t="s">
        <v>2084</v>
      </c>
      <c r="H533" s="3" t="s">
        <v>2085</v>
      </c>
      <c r="I533" s="3" t="s">
        <v>3581</v>
      </c>
      <c r="J533" s="3" t="s">
        <v>2086</v>
      </c>
      <c r="K533" s="4" t="s">
        <v>2087</v>
      </c>
    </row>
    <row r="534" spans="1:11">
      <c r="A534" s="137"/>
      <c r="B534" s="119"/>
      <c r="C534" s="119"/>
      <c r="D534" s="104" t="s">
        <v>410</v>
      </c>
      <c r="E534" s="104" t="s">
        <v>411</v>
      </c>
      <c r="F534" s="105" t="s">
        <v>2639</v>
      </c>
      <c r="G534" s="3" t="s">
        <v>2088</v>
      </c>
      <c r="H534" s="3" t="s">
        <v>2089</v>
      </c>
      <c r="I534" s="3" t="s">
        <v>3459</v>
      </c>
      <c r="J534" s="3" t="s">
        <v>2090</v>
      </c>
      <c r="K534" s="4" t="s">
        <v>2091</v>
      </c>
    </row>
    <row r="535" spans="1:11">
      <c r="A535" s="137"/>
      <c r="B535" s="119"/>
      <c r="C535" s="119"/>
      <c r="D535" s="104" t="s">
        <v>412</v>
      </c>
      <c r="E535" s="104" t="s">
        <v>413</v>
      </c>
      <c r="F535" s="105" t="s">
        <v>2641</v>
      </c>
      <c r="G535" s="3" t="s">
        <v>2092</v>
      </c>
      <c r="H535" s="3" t="s">
        <v>2093</v>
      </c>
      <c r="I535" s="3" t="s">
        <v>3581</v>
      </c>
      <c r="J535" s="3" t="s">
        <v>2094</v>
      </c>
      <c r="K535" s="4" t="s">
        <v>2095</v>
      </c>
    </row>
    <row r="536" spans="1:11">
      <c r="A536" s="137"/>
      <c r="B536" s="119"/>
      <c r="C536" s="119"/>
      <c r="D536" s="104" t="s">
        <v>414</v>
      </c>
      <c r="E536" s="104" t="s">
        <v>415</v>
      </c>
      <c r="F536" s="105" t="s">
        <v>2639</v>
      </c>
      <c r="G536" s="3" t="s">
        <v>2096</v>
      </c>
      <c r="H536" s="3" t="s">
        <v>2097</v>
      </c>
      <c r="I536" s="3" t="s">
        <v>3459</v>
      </c>
      <c r="J536" s="3" t="s">
        <v>2098</v>
      </c>
      <c r="K536" s="4" t="s">
        <v>2099</v>
      </c>
    </row>
    <row r="537" spans="1:11">
      <c r="A537" s="137"/>
      <c r="B537" s="119"/>
      <c r="C537" s="119"/>
      <c r="D537" s="104" t="s">
        <v>416</v>
      </c>
      <c r="E537" s="104" t="s">
        <v>2100</v>
      </c>
      <c r="F537" s="105" t="s">
        <v>2639</v>
      </c>
      <c r="G537" s="3" t="s">
        <v>2101</v>
      </c>
      <c r="H537" s="3" t="s">
        <v>2102</v>
      </c>
      <c r="I537" s="3" t="s">
        <v>3581</v>
      </c>
      <c r="J537" s="3" t="s">
        <v>2103</v>
      </c>
      <c r="K537" s="4" t="s">
        <v>2104</v>
      </c>
    </row>
    <row r="538" spans="1:11">
      <c r="A538" s="137"/>
      <c r="B538" s="119"/>
      <c r="C538" s="119" t="s">
        <v>417</v>
      </c>
      <c r="D538" s="104" t="s">
        <v>418</v>
      </c>
      <c r="E538" s="104" t="s">
        <v>2105</v>
      </c>
      <c r="F538" s="105" t="s">
        <v>2639</v>
      </c>
      <c r="G538" s="3" t="s">
        <v>2106</v>
      </c>
      <c r="H538" s="3" t="s">
        <v>2107</v>
      </c>
      <c r="I538" s="3" t="s">
        <v>3459</v>
      </c>
      <c r="J538" s="3" t="s">
        <v>2108</v>
      </c>
      <c r="K538" s="4" t="s">
        <v>2109</v>
      </c>
    </row>
    <row r="539" spans="1:11">
      <c r="A539" s="137"/>
      <c r="B539" s="119"/>
      <c r="C539" s="119"/>
      <c r="D539" s="104" t="s">
        <v>419</v>
      </c>
      <c r="E539" s="104" t="s">
        <v>2110</v>
      </c>
      <c r="F539" s="105" t="s">
        <v>2639</v>
      </c>
      <c r="G539" s="3" t="s">
        <v>2111</v>
      </c>
      <c r="H539" s="3" t="s">
        <v>2112</v>
      </c>
      <c r="I539" s="3" t="s">
        <v>3459</v>
      </c>
      <c r="J539" s="3" t="s">
        <v>2113</v>
      </c>
      <c r="K539" s="4" t="s">
        <v>2114</v>
      </c>
    </row>
    <row r="540" spans="1:11">
      <c r="A540" s="137"/>
      <c r="B540" s="119"/>
      <c r="C540" s="119"/>
      <c r="D540" s="104" t="s">
        <v>420</v>
      </c>
      <c r="E540" s="104" t="s">
        <v>2115</v>
      </c>
      <c r="F540" s="105" t="s">
        <v>2639</v>
      </c>
      <c r="G540" s="3" t="s">
        <v>2116</v>
      </c>
      <c r="H540" s="3" t="s">
        <v>2117</v>
      </c>
      <c r="I540" s="3" t="s">
        <v>3581</v>
      </c>
      <c r="J540" s="3" t="s">
        <v>2118</v>
      </c>
      <c r="K540" s="4" t="s">
        <v>2119</v>
      </c>
    </row>
    <row r="541" spans="1:11">
      <c r="A541" s="137"/>
      <c r="B541" s="119"/>
      <c r="C541" s="119"/>
      <c r="D541" s="104" t="s">
        <v>421</v>
      </c>
      <c r="E541" s="104" t="s">
        <v>2120</v>
      </c>
      <c r="F541" s="105" t="s">
        <v>2639</v>
      </c>
      <c r="G541" s="3" t="s">
        <v>2121</v>
      </c>
      <c r="H541" s="3" t="s">
        <v>2122</v>
      </c>
      <c r="I541" s="3" t="s">
        <v>3581</v>
      </c>
      <c r="J541" s="3" t="s">
        <v>2123</v>
      </c>
      <c r="K541" s="4" t="s">
        <v>2124</v>
      </c>
    </row>
    <row r="542" spans="1:11">
      <c r="A542" s="137"/>
      <c r="B542" s="119"/>
      <c r="C542" s="119"/>
      <c r="D542" s="104" t="s">
        <v>422</v>
      </c>
      <c r="E542" s="104" t="s">
        <v>423</v>
      </c>
      <c r="F542" s="105" t="s">
        <v>2639</v>
      </c>
      <c r="G542" s="3" t="s">
        <v>2125</v>
      </c>
      <c r="H542" s="3" t="s">
        <v>2126</v>
      </c>
      <c r="I542" s="3" t="s">
        <v>3459</v>
      </c>
      <c r="J542" s="3" t="s">
        <v>2127</v>
      </c>
      <c r="K542" s="4" t="s">
        <v>2128</v>
      </c>
    </row>
    <row r="543" spans="1:11">
      <c r="A543" s="137"/>
      <c r="B543" s="119"/>
      <c r="C543" s="119" t="s">
        <v>424</v>
      </c>
      <c r="D543" s="104" t="s">
        <v>425</v>
      </c>
      <c r="E543" s="104" t="s">
        <v>426</v>
      </c>
      <c r="F543" s="105" t="s">
        <v>2640</v>
      </c>
      <c r="G543" s="3" t="s">
        <v>2129</v>
      </c>
      <c r="H543" s="3" t="s">
        <v>2130</v>
      </c>
      <c r="I543" s="3" t="s">
        <v>3453</v>
      </c>
      <c r="J543" s="3" t="s">
        <v>2131</v>
      </c>
      <c r="K543" s="4" t="s">
        <v>2132</v>
      </c>
    </row>
    <row r="544" spans="1:11">
      <c r="A544" s="137"/>
      <c r="B544" s="119"/>
      <c r="C544" s="119"/>
      <c r="D544" s="104" t="s">
        <v>427</v>
      </c>
      <c r="E544" s="104" t="s">
        <v>428</v>
      </c>
      <c r="F544" s="105" t="s">
        <v>2640</v>
      </c>
      <c r="G544" s="3" t="s">
        <v>2133</v>
      </c>
      <c r="H544" s="3" t="s">
        <v>2134</v>
      </c>
      <c r="I544" s="3" t="s">
        <v>3453</v>
      </c>
      <c r="J544" s="3" t="s">
        <v>2135</v>
      </c>
      <c r="K544" s="4" t="s">
        <v>2136</v>
      </c>
    </row>
    <row r="545" spans="1:11">
      <c r="A545" s="137"/>
      <c r="B545" s="119"/>
      <c r="C545" s="119"/>
      <c r="D545" s="104" t="s">
        <v>429</v>
      </c>
      <c r="E545" s="104" t="s">
        <v>430</v>
      </c>
      <c r="F545" s="105" t="s">
        <v>2640</v>
      </c>
      <c r="G545" s="3" t="s">
        <v>2137</v>
      </c>
      <c r="H545" s="3" t="s">
        <v>2138</v>
      </c>
      <c r="I545" s="3" t="s">
        <v>3459</v>
      </c>
      <c r="J545" s="3" t="s">
        <v>2139</v>
      </c>
      <c r="K545" s="4" t="s">
        <v>2140</v>
      </c>
    </row>
    <row r="546" spans="1:11">
      <c r="A546" s="137"/>
      <c r="B546" s="119"/>
      <c r="C546" s="119"/>
      <c r="D546" s="104" t="s">
        <v>431</v>
      </c>
      <c r="E546" s="104" t="s">
        <v>432</v>
      </c>
      <c r="F546" s="105" t="s">
        <v>2640</v>
      </c>
      <c r="G546" s="3" t="s">
        <v>2141</v>
      </c>
      <c r="H546" s="3" t="s">
        <v>2142</v>
      </c>
      <c r="I546" s="3" t="s">
        <v>3459</v>
      </c>
      <c r="J546" s="3" t="s">
        <v>2143</v>
      </c>
      <c r="K546" s="4" t="s">
        <v>2144</v>
      </c>
    </row>
    <row r="547" spans="1:11">
      <c r="A547" s="137"/>
      <c r="B547" s="119"/>
      <c r="C547" s="119"/>
      <c r="D547" s="104" t="s">
        <v>433</v>
      </c>
      <c r="E547" s="104" t="s">
        <v>434</v>
      </c>
      <c r="F547" s="105" t="s">
        <v>2640</v>
      </c>
      <c r="G547" s="3" t="s">
        <v>2145</v>
      </c>
      <c r="H547" s="3" t="s">
        <v>2146</v>
      </c>
      <c r="I547" s="3" t="s">
        <v>3459</v>
      </c>
      <c r="J547" s="3" t="s">
        <v>2147</v>
      </c>
      <c r="K547" s="4" t="s">
        <v>2148</v>
      </c>
    </row>
    <row r="548" spans="1:11">
      <c r="A548" s="137"/>
      <c r="B548" s="119"/>
      <c r="C548" s="119" t="s">
        <v>435</v>
      </c>
      <c r="D548" s="104" t="s">
        <v>436</v>
      </c>
      <c r="E548" s="104" t="s">
        <v>2149</v>
      </c>
      <c r="F548" s="105" t="s">
        <v>2639</v>
      </c>
      <c r="G548" s="3" t="s">
        <v>2150</v>
      </c>
      <c r="H548" s="3" t="s">
        <v>2151</v>
      </c>
      <c r="I548" s="3" t="s">
        <v>3581</v>
      </c>
      <c r="J548" s="3" t="s">
        <v>2152</v>
      </c>
      <c r="K548" s="4" t="s">
        <v>2153</v>
      </c>
    </row>
    <row r="549" spans="1:11">
      <c r="A549" s="137"/>
      <c r="B549" s="119"/>
      <c r="C549" s="119"/>
      <c r="D549" s="104" t="s">
        <v>437</v>
      </c>
      <c r="E549" s="104" t="s">
        <v>2154</v>
      </c>
      <c r="F549" s="105" t="s">
        <v>2639</v>
      </c>
      <c r="G549" s="3" t="s">
        <v>2155</v>
      </c>
      <c r="H549" s="3" t="s">
        <v>2156</v>
      </c>
      <c r="I549" s="3" t="s">
        <v>3459</v>
      </c>
      <c r="J549" s="3" t="s">
        <v>2157</v>
      </c>
      <c r="K549" s="4" t="s">
        <v>2158</v>
      </c>
    </row>
    <row r="550" spans="1:11">
      <c r="A550" s="137"/>
      <c r="B550" s="119"/>
      <c r="C550" s="119"/>
      <c r="D550" s="104" t="s">
        <v>438</v>
      </c>
      <c r="E550" s="104" t="s">
        <v>439</v>
      </c>
      <c r="F550" s="105" t="s">
        <v>2640</v>
      </c>
      <c r="G550" s="3" t="s">
        <v>2159</v>
      </c>
      <c r="H550" s="3" t="s">
        <v>2160</v>
      </c>
      <c r="I550" s="3" t="s">
        <v>3453</v>
      </c>
      <c r="J550" s="3" t="s">
        <v>2161</v>
      </c>
      <c r="K550" s="4" t="s">
        <v>2162</v>
      </c>
    </row>
    <row r="551" spans="1:11">
      <c r="A551" s="137"/>
      <c r="B551" s="119"/>
      <c r="C551" s="119"/>
      <c r="D551" s="104" t="s">
        <v>440</v>
      </c>
      <c r="E551" s="104" t="s">
        <v>441</v>
      </c>
      <c r="F551" s="105" t="s">
        <v>2640</v>
      </c>
      <c r="G551" s="3" t="s">
        <v>2163</v>
      </c>
      <c r="H551" s="3" t="s">
        <v>2164</v>
      </c>
      <c r="I551" s="3" t="s">
        <v>3459</v>
      </c>
      <c r="J551" s="3" t="s">
        <v>2165</v>
      </c>
      <c r="K551" s="4" t="s">
        <v>2166</v>
      </c>
    </row>
    <row r="552" spans="1:11">
      <c r="A552" s="137"/>
      <c r="B552" s="119"/>
      <c r="C552" s="119"/>
      <c r="D552" s="104" t="s">
        <v>442</v>
      </c>
      <c r="E552" s="104" t="s">
        <v>443</v>
      </c>
      <c r="F552" s="105" t="s">
        <v>2640</v>
      </c>
      <c r="G552" s="3" t="s">
        <v>2167</v>
      </c>
      <c r="H552" s="3" t="s">
        <v>2168</v>
      </c>
      <c r="I552" s="3" t="s">
        <v>3459</v>
      </c>
      <c r="J552" s="3" t="s">
        <v>2169</v>
      </c>
      <c r="K552" s="4" t="s">
        <v>2170</v>
      </c>
    </row>
    <row r="553" spans="1:11">
      <c r="A553" s="137"/>
      <c r="B553" s="119"/>
      <c r="C553" s="119" t="s">
        <v>444</v>
      </c>
      <c r="D553" s="104" t="s">
        <v>445</v>
      </c>
      <c r="E553" s="104" t="s">
        <v>2171</v>
      </c>
      <c r="F553" s="105" t="s">
        <v>2639</v>
      </c>
      <c r="G553" s="3" t="s">
        <v>2172</v>
      </c>
      <c r="H553" s="3" t="s">
        <v>2173</v>
      </c>
      <c r="I553" s="3" t="s">
        <v>3459</v>
      </c>
      <c r="J553" s="3" t="s">
        <v>2174</v>
      </c>
      <c r="K553" s="4" t="s">
        <v>2175</v>
      </c>
    </row>
    <row r="554" spans="1:11">
      <c r="A554" s="137"/>
      <c r="B554" s="119"/>
      <c r="C554" s="119"/>
      <c r="D554" s="104" t="s">
        <v>446</v>
      </c>
      <c r="E554" s="104" t="s">
        <v>447</v>
      </c>
      <c r="F554" s="105" t="s">
        <v>2639</v>
      </c>
      <c r="G554" s="3" t="s">
        <v>2176</v>
      </c>
      <c r="H554" s="3" t="s">
        <v>2177</v>
      </c>
      <c r="I554" s="3" t="s">
        <v>3459</v>
      </c>
      <c r="J554" s="3" t="s">
        <v>2178</v>
      </c>
      <c r="K554" s="4" t="s">
        <v>2179</v>
      </c>
    </row>
    <row r="555" spans="1:11">
      <c r="A555" s="137"/>
      <c r="B555" s="119"/>
      <c r="C555" s="119"/>
      <c r="D555" s="104" t="s">
        <v>420</v>
      </c>
      <c r="E555" s="104" t="s">
        <v>2180</v>
      </c>
      <c r="F555" s="105" t="s">
        <v>2639</v>
      </c>
      <c r="G555" s="3" t="s">
        <v>2181</v>
      </c>
      <c r="H555" s="3" t="s">
        <v>2182</v>
      </c>
      <c r="I555" s="3" t="s">
        <v>3459</v>
      </c>
      <c r="J555" s="3" t="s">
        <v>2183</v>
      </c>
      <c r="K555" s="4" t="s">
        <v>2184</v>
      </c>
    </row>
    <row r="556" spans="1:11">
      <c r="A556" s="137"/>
      <c r="B556" s="119"/>
      <c r="C556" s="119"/>
      <c r="D556" s="104" t="s">
        <v>448</v>
      </c>
      <c r="E556" s="104" t="s">
        <v>449</v>
      </c>
      <c r="F556" s="105" t="s">
        <v>2640</v>
      </c>
      <c r="G556" s="3" t="s">
        <v>2185</v>
      </c>
      <c r="H556" s="3" t="s">
        <v>2186</v>
      </c>
      <c r="I556" s="3" t="s">
        <v>3459</v>
      </c>
      <c r="J556" s="3" t="s">
        <v>2187</v>
      </c>
      <c r="K556" s="4" t="s">
        <v>2188</v>
      </c>
    </row>
    <row r="557" spans="1:11">
      <c r="A557" s="137"/>
      <c r="B557" s="119"/>
      <c r="C557" s="119"/>
      <c r="D557" s="104" t="s">
        <v>450</v>
      </c>
      <c r="E557" s="104" t="s">
        <v>2189</v>
      </c>
      <c r="F557" s="105" t="s">
        <v>2640</v>
      </c>
      <c r="G557" s="3" t="s">
        <v>2190</v>
      </c>
      <c r="H557" s="3" t="s">
        <v>2191</v>
      </c>
      <c r="I557" s="3" t="s">
        <v>3459</v>
      </c>
      <c r="J557" s="3" t="s">
        <v>2192</v>
      </c>
      <c r="K557" s="4" t="s">
        <v>2193</v>
      </c>
    </row>
    <row r="558" spans="1:11">
      <c r="A558" s="137"/>
      <c r="B558" s="119" t="s">
        <v>451</v>
      </c>
      <c r="C558" s="119" t="s">
        <v>452</v>
      </c>
      <c r="D558" s="104" t="s">
        <v>453</v>
      </c>
      <c r="E558" s="104" t="s">
        <v>454</v>
      </c>
      <c r="F558" s="105" t="s">
        <v>2639</v>
      </c>
      <c r="G558" s="3" t="s">
        <v>2245</v>
      </c>
      <c r="H558" s="3" t="s">
        <v>2246</v>
      </c>
      <c r="I558" s="3" t="s">
        <v>3459</v>
      </c>
      <c r="J558" s="3" t="s">
        <v>2247</v>
      </c>
      <c r="K558" s="4" t="s">
        <v>2248</v>
      </c>
    </row>
    <row r="559" spans="1:11">
      <c r="A559" s="137"/>
      <c r="B559" s="119"/>
      <c r="C559" s="119"/>
      <c r="D559" s="104" t="s">
        <v>455</v>
      </c>
      <c r="E559" s="104" t="s">
        <v>2249</v>
      </c>
      <c r="F559" s="105" t="s">
        <v>2639</v>
      </c>
      <c r="G559" s="3" t="s">
        <v>2250</v>
      </c>
      <c r="H559" s="3" t="s">
        <v>2251</v>
      </c>
      <c r="I559" s="3" t="s">
        <v>3453</v>
      </c>
      <c r="J559" s="3" t="s">
        <v>2252</v>
      </c>
      <c r="K559" s="4" t="s">
        <v>2253</v>
      </c>
    </row>
    <row r="560" spans="1:11">
      <c r="A560" s="137"/>
      <c r="B560" s="119"/>
      <c r="C560" s="119"/>
      <c r="D560" s="104" t="s">
        <v>456</v>
      </c>
      <c r="E560" s="104" t="s">
        <v>2254</v>
      </c>
      <c r="F560" s="105" t="s">
        <v>2640</v>
      </c>
      <c r="G560" s="3" t="s">
        <v>2255</v>
      </c>
      <c r="H560" s="3" t="s">
        <v>2256</v>
      </c>
      <c r="I560" s="3" t="s">
        <v>3453</v>
      </c>
      <c r="J560" s="3" t="s">
        <v>2257</v>
      </c>
      <c r="K560" s="4" t="s">
        <v>2258</v>
      </c>
    </row>
    <row r="561" spans="1:11">
      <c r="A561" s="137"/>
      <c r="B561" s="119"/>
      <c r="C561" s="119"/>
      <c r="D561" s="104" t="s">
        <v>457</v>
      </c>
      <c r="E561" s="104" t="s">
        <v>458</v>
      </c>
      <c r="F561" s="105" t="s">
        <v>2640</v>
      </c>
      <c r="G561" s="3" t="s">
        <v>2259</v>
      </c>
      <c r="H561" s="3" t="s">
        <v>2260</v>
      </c>
      <c r="I561" s="3" t="s">
        <v>3453</v>
      </c>
      <c r="J561" s="3" t="s">
        <v>2261</v>
      </c>
      <c r="K561" s="4" t="s">
        <v>2262</v>
      </c>
    </row>
    <row r="562" spans="1:11">
      <c r="A562" s="137"/>
      <c r="B562" s="119"/>
      <c r="C562" s="119"/>
      <c r="D562" s="104" t="s">
        <v>459</v>
      </c>
      <c r="E562" s="104" t="s">
        <v>460</v>
      </c>
      <c r="F562" s="105" t="s">
        <v>2639</v>
      </c>
      <c r="G562" s="3" t="s">
        <v>2263</v>
      </c>
      <c r="H562" s="3" t="s">
        <v>2264</v>
      </c>
      <c r="I562" s="3" t="s">
        <v>3453</v>
      </c>
      <c r="J562" s="3" t="s">
        <v>2265</v>
      </c>
      <c r="K562" s="4" t="s">
        <v>2266</v>
      </c>
    </row>
    <row r="563" spans="1:11">
      <c r="A563" s="137"/>
      <c r="B563" s="119"/>
      <c r="C563" s="119" t="s">
        <v>461</v>
      </c>
      <c r="D563" s="104" t="s">
        <v>462</v>
      </c>
      <c r="E563" s="104" t="s">
        <v>2267</v>
      </c>
      <c r="F563" s="105" t="s">
        <v>2639</v>
      </c>
      <c r="G563" s="3" t="s">
        <v>2268</v>
      </c>
      <c r="H563" s="3" t="s">
        <v>2269</v>
      </c>
      <c r="I563" s="3" t="s">
        <v>3459</v>
      </c>
      <c r="J563" s="3" t="s">
        <v>2270</v>
      </c>
      <c r="K563" s="4" t="s">
        <v>2271</v>
      </c>
    </row>
    <row r="564" spans="1:11">
      <c r="A564" s="137"/>
      <c r="B564" s="119"/>
      <c r="C564" s="119"/>
      <c r="D564" s="104" t="s">
        <v>463</v>
      </c>
      <c r="E564" s="104" t="s">
        <v>2272</v>
      </c>
      <c r="F564" s="105" t="s">
        <v>2640</v>
      </c>
      <c r="G564" s="3" t="s">
        <v>2273</v>
      </c>
      <c r="H564" s="3" t="s">
        <v>2274</v>
      </c>
      <c r="I564" s="3" t="s">
        <v>3453</v>
      </c>
      <c r="J564" s="3" t="s">
        <v>2275</v>
      </c>
      <c r="K564" s="4" t="s">
        <v>2276</v>
      </c>
    </row>
    <row r="565" spans="1:11">
      <c r="A565" s="137"/>
      <c r="B565" s="119"/>
      <c r="C565" s="119"/>
      <c r="D565" s="104" t="s">
        <v>464</v>
      </c>
      <c r="E565" s="104" t="s">
        <v>465</v>
      </c>
      <c r="F565" s="105" t="s">
        <v>2640</v>
      </c>
      <c r="G565" s="3" t="s">
        <v>2277</v>
      </c>
      <c r="H565" s="3" t="s">
        <v>2278</v>
      </c>
      <c r="I565" s="3" t="s">
        <v>3453</v>
      </c>
      <c r="J565" s="3" t="s">
        <v>2279</v>
      </c>
      <c r="K565" s="4" t="s">
        <v>2280</v>
      </c>
    </row>
    <row r="566" spans="1:11">
      <c r="A566" s="137"/>
      <c r="B566" s="119"/>
      <c r="C566" s="119"/>
      <c r="D566" s="104" t="s">
        <v>466</v>
      </c>
      <c r="E566" s="104" t="s">
        <v>2281</v>
      </c>
      <c r="F566" s="105" t="s">
        <v>2640</v>
      </c>
      <c r="G566" s="3" t="s">
        <v>2282</v>
      </c>
      <c r="H566" s="3" t="s">
        <v>2283</v>
      </c>
      <c r="I566" s="3" t="s">
        <v>3453</v>
      </c>
      <c r="J566" s="3" t="s">
        <v>2284</v>
      </c>
      <c r="K566" s="4" t="s">
        <v>2285</v>
      </c>
    </row>
    <row r="567" spans="1:11">
      <c r="A567" s="137"/>
      <c r="B567" s="119"/>
      <c r="C567" s="119"/>
      <c r="D567" s="104" t="s">
        <v>468</v>
      </c>
      <c r="E567" s="104" t="s">
        <v>469</v>
      </c>
      <c r="F567" s="105" t="s">
        <v>2640</v>
      </c>
      <c r="G567" s="3" t="s">
        <v>2286</v>
      </c>
      <c r="H567" s="3" t="s">
        <v>2287</v>
      </c>
      <c r="I567" s="3" t="s">
        <v>3459</v>
      </c>
      <c r="J567" s="3" t="s">
        <v>2288</v>
      </c>
      <c r="K567" s="4" t="s">
        <v>2289</v>
      </c>
    </row>
    <row r="568" spans="1:11">
      <c r="A568" s="137"/>
      <c r="B568" s="119"/>
      <c r="C568" s="119" t="s">
        <v>470</v>
      </c>
      <c r="D568" s="104" t="s">
        <v>471</v>
      </c>
      <c r="E568" s="104" t="s">
        <v>472</v>
      </c>
      <c r="F568" s="105" t="s">
        <v>2640</v>
      </c>
      <c r="G568" s="3" t="s">
        <v>2290</v>
      </c>
      <c r="H568" s="3" t="s">
        <v>2291</v>
      </c>
      <c r="I568" s="3" t="s">
        <v>3581</v>
      </c>
      <c r="J568" s="3" t="s">
        <v>2292</v>
      </c>
      <c r="K568" s="4" t="s">
        <v>2293</v>
      </c>
    </row>
    <row r="569" spans="1:11">
      <c r="A569" s="137"/>
      <c r="B569" s="119"/>
      <c r="C569" s="119"/>
      <c r="D569" s="104" t="s">
        <v>473</v>
      </c>
      <c r="E569" s="104" t="s">
        <v>2294</v>
      </c>
      <c r="F569" s="105" t="s">
        <v>2640</v>
      </c>
      <c r="G569" s="3" t="s">
        <v>2295</v>
      </c>
      <c r="H569" s="3" t="s">
        <v>2296</v>
      </c>
      <c r="I569" s="3" t="s">
        <v>3453</v>
      </c>
      <c r="J569" s="3" t="s">
        <v>2297</v>
      </c>
      <c r="K569" s="4" t="s">
        <v>2298</v>
      </c>
    </row>
    <row r="570" spans="1:11">
      <c r="A570" s="137"/>
      <c r="B570" s="119"/>
      <c r="C570" s="119"/>
      <c r="D570" s="104" t="s">
        <v>474</v>
      </c>
      <c r="E570" s="104" t="s">
        <v>475</v>
      </c>
      <c r="F570" s="105" t="s">
        <v>2640</v>
      </c>
      <c r="G570" s="3" t="s">
        <v>2299</v>
      </c>
      <c r="H570" s="3" t="s">
        <v>2300</v>
      </c>
      <c r="I570" s="3" t="s">
        <v>3459</v>
      </c>
      <c r="J570" s="3" t="s">
        <v>2301</v>
      </c>
      <c r="K570" s="4" t="s">
        <v>2302</v>
      </c>
    </row>
    <row r="571" spans="1:11">
      <c r="A571" s="137"/>
      <c r="B571" s="119"/>
      <c r="C571" s="119"/>
      <c r="D571" s="104" t="s">
        <v>476</v>
      </c>
      <c r="E571" s="104" t="s">
        <v>2303</v>
      </c>
      <c r="F571" s="105" t="s">
        <v>2640</v>
      </c>
      <c r="G571" s="3" t="s">
        <v>2304</v>
      </c>
      <c r="H571" s="3" t="s">
        <v>2305</v>
      </c>
      <c r="I571" s="3" t="s">
        <v>3459</v>
      </c>
      <c r="J571" s="3" t="s">
        <v>2306</v>
      </c>
      <c r="K571" s="4" t="s">
        <v>2307</v>
      </c>
    </row>
    <row r="572" spans="1:11">
      <c r="A572" s="137"/>
      <c r="B572" s="119"/>
      <c r="C572" s="119"/>
      <c r="D572" s="104" t="s">
        <v>478</v>
      </c>
      <c r="E572" s="104" t="s">
        <v>2308</v>
      </c>
      <c r="F572" s="105" t="s">
        <v>2639</v>
      </c>
      <c r="G572" s="3" t="s">
        <v>2309</v>
      </c>
      <c r="H572" s="3" t="s">
        <v>2310</v>
      </c>
      <c r="I572" s="3" t="s">
        <v>3459</v>
      </c>
      <c r="J572" s="3" t="s">
        <v>2311</v>
      </c>
      <c r="K572" s="4" t="s">
        <v>2312</v>
      </c>
    </row>
    <row r="573" spans="1:11">
      <c r="A573" s="137"/>
      <c r="B573" s="119"/>
      <c r="C573" s="119" t="s">
        <v>480</v>
      </c>
      <c r="D573" s="104" t="s">
        <v>481</v>
      </c>
      <c r="E573" s="104" t="s">
        <v>2313</v>
      </c>
      <c r="F573" s="105" t="s">
        <v>2639</v>
      </c>
      <c r="G573" s="3" t="s">
        <v>2314</v>
      </c>
      <c r="H573" s="3" t="s">
        <v>2315</v>
      </c>
      <c r="I573" s="3" t="s">
        <v>3459</v>
      </c>
      <c r="J573" s="3" t="s">
        <v>2316</v>
      </c>
      <c r="K573" s="4" t="s">
        <v>2317</v>
      </c>
    </row>
    <row r="574" spans="1:11">
      <c r="A574" s="137"/>
      <c r="B574" s="119"/>
      <c r="C574" s="119"/>
      <c r="D574" s="104" t="s">
        <v>483</v>
      </c>
      <c r="E574" s="104" t="s">
        <v>2318</v>
      </c>
      <c r="F574" s="105" t="s">
        <v>2639</v>
      </c>
      <c r="G574" s="3" t="s">
        <v>2319</v>
      </c>
      <c r="H574" s="3" t="s">
        <v>2320</v>
      </c>
      <c r="I574" s="3" t="s">
        <v>3453</v>
      </c>
      <c r="J574" s="3" t="s">
        <v>2321</v>
      </c>
      <c r="K574" s="4" t="s">
        <v>2322</v>
      </c>
    </row>
    <row r="575" spans="1:11">
      <c r="A575" s="137"/>
      <c r="B575" s="119"/>
      <c r="C575" s="119"/>
      <c r="D575" s="104" t="s">
        <v>484</v>
      </c>
      <c r="E575" s="104" t="s">
        <v>2323</v>
      </c>
      <c r="F575" s="105" t="s">
        <v>2640</v>
      </c>
      <c r="G575" s="3" t="s">
        <v>2324</v>
      </c>
      <c r="H575" s="3" t="s">
        <v>2325</v>
      </c>
      <c r="I575" s="3" t="s">
        <v>3453</v>
      </c>
      <c r="J575" s="3" t="s">
        <v>2326</v>
      </c>
      <c r="K575" s="4" t="s">
        <v>2327</v>
      </c>
    </row>
    <row r="576" spans="1:11">
      <c r="A576" s="137"/>
      <c r="B576" s="119"/>
      <c r="C576" s="119"/>
      <c r="D576" s="104" t="s">
        <v>485</v>
      </c>
      <c r="E576" s="104" t="s">
        <v>2328</v>
      </c>
      <c r="F576" s="105" t="s">
        <v>2640</v>
      </c>
      <c r="G576" s="3" t="s">
        <v>2329</v>
      </c>
      <c r="H576" s="3" t="s">
        <v>2330</v>
      </c>
      <c r="I576" s="3" t="s">
        <v>3453</v>
      </c>
      <c r="J576" s="3" t="s">
        <v>2331</v>
      </c>
      <c r="K576" s="4" t="s">
        <v>2332</v>
      </c>
    </row>
    <row r="577" spans="1:11">
      <c r="A577" s="137"/>
      <c r="B577" s="119"/>
      <c r="C577" s="119"/>
      <c r="D577" s="104" t="s">
        <v>486</v>
      </c>
      <c r="E577" s="104" t="s">
        <v>2333</v>
      </c>
      <c r="F577" s="105" t="s">
        <v>2639</v>
      </c>
      <c r="G577" s="3" t="s">
        <v>2334</v>
      </c>
      <c r="H577" s="3" t="s">
        <v>2335</v>
      </c>
      <c r="I577" s="3" t="s">
        <v>3459</v>
      </c>
      <c r="J577" s="3" t="s">
        <v>2336</v>
      </c>
      <c r="K577" s="4" t="s">
        <v>2337</v>
      </c>
    </row>
    <row r="578" spans="1:11">
      <c r="A578" s="137"/>
      <c r="B578" s="119"/>
      <c r="C578" s="119" t="s">
        <v>487</v>
      </c>
      <c r="D578" s="104" t="s">
        <v>488</v>
      </c>
      <c r="E578" s="104" t="s">
        <v>490</v>
      </c>
      <c r="F578" s="105" t="s">
        <v>2639</v>
      </c>
      <c r="G578" s="3" t="s">
        <v>2338</v>
      </c>
      <c r="H578" s="3" t="s">
        <v>2339</v>
      </c>
      <c r="I578" s="3" t="s">
        <v>3581</v>
      </c>
      <c r="J578" s="3" t="s">
        <v>2340</v>
      </c>
      <c r="K578" s="4" t="s">
        <v>2341</v>
      </c>
    </row>
    <row r="579" spans="1:11">
      <c r="A579" s="137"/>
      <c r="B579" s="119"/>
      <c r="C579" s="119"/>
      <c r="D579" s="104" t="s">
        <v>489</v>
      </c>
      <c r="E579" s="104" t="s">
        <v>492</v>
      </c>
      <c r="F579" s="105" t="s">
        <v>2639</v>
      </c>
      <c r="G579" s="3" t="s">
        <v>2342</v>
      </c>
      <c r="H579" s="3" t="s">
        <v>2343</v>
      </c>
      <c r="I579" s="3" t="s">
        <v>3459</v>
      </c>
      <c r="J579" s="3" t="s">
        <v>2344</v>
      </c>
      <c r="K579" s="4" t="s">
        <v>2345</v>
      </c>
    </row>
    <row r="580" spans="1:11">
      <c r="A580" s="137"/>
      <c r="B580" s="119"/>
      <c r="C580" s="119"/>
      <c r="D580" s="104" t="s">
        <v>491</v>
      </c>
      <c r="E580" s="104" t="s">
        <v>494</v>
      </c>
      <c r="F580" s="105" t="s">
        <v>2640</v>
      </c>
      <c r="G580" s="3" t="s">
        <v>2346</v>
      </c>
      <c r="H580" s="3" t="s">
        <v>2347</v>
      </c>
      <c r="I580" s="3" t="s">
        <v>3453</v>
      </c>
      <c r="J580" s="3" t="s">
        <v>2348</v>
      </c>
      <c r="K580" s="4" t="s">
        <v>2349</v>
      </c>
    </row>
    <row r="581" spans="1:11">
      <c r="A581" s="137"/>
      <c r="B581" s="119"/>
      <c r="C581" s="119"/>
      <c r="D581" s="104" t="s">
        <v>493</v>
      </c>
      <c r="E581" s="104" t="s">
        <v>496</v>
      </c>
      <c r="F581" s="105" t="s">
        <v>2640</v>
      </c>
      <c r="G581" s="3" t="s">
        <v>2350</v>
      </c>
      <c r="H581" s="3" t="s">
        <v>2351</v>
      </c>
      <c r="I581" s="3" t="s">
        <v>3459</v>
      </c>
      <c r="J581" s="3" t="s">
        <v>2352</v>
      </c>
      <c r="K581" s="4" t="s">
        <v>2353</v>
      </c>
    </row>
    <row r="582" spans="1:11">
      <c r="A582" s="137"/>
      <c r="B582" s="119"/>
      <c r="C582" s="119"/>
      <c r="D582" s="104" t="s">
        <v>495</v>
      </c>
      <c r="E582" s="104" t="s">
        <v>2354</v>
      </c>
      <c r="F582" s="105" t="s">
        <v>2639</v>
      </c>
      <c r="G582" s="3" t="s">
        <v>2355</v>
      </c>
      <c r="H582" s="3" t="s">
        <v>2356</v>
      </c>
      <c r="I582" s="3" t="s">
        <v>3459</v>
      </c>
      <c r="J582" s="3" t="s">
        <v>2357</v>
      </c>
      <c r="K582" s="4" t="s">
        <v>2358</v>
      </c>
    </row>
    <row r="583" spans="1:11">
      <c r="A583" s="137"/>
      <c r="B583" s="119"/>
      <c r="C583" s="119" t="s">
        <v>497</v>
      </c>
      <c r="D583" s="104" t="s">
        <v>498</v>
      </c>
      <c r="E583" s="104" t="s">
        <v>2359</v>
      </c>
      <c r="F583" s="105" t="s">
        <v>2639</v>
      </c>
      <c r="G583" s="3" t="s">
        <v>2360</v>
      </c>
      <c r="H583" s="3" t="s">
        <v>2361</v>
      </c>
      <c r="I583" s="3" t="s">
        <v>3581</v>
      </c>
      <c r="J583" s="3" t="s">
        <v>2362</v>
      </c>
      <c r="K583" s="4" t="s">
        <v>2363</v>
      </c>
    </row>
    <row r="584" spans="1:11">
      <c r="A584" s="137"/>
      <c r="B584" s="119"/>
      <c r="C584" s="119"/>
      <c r="D584" s="104" t="s">
        <v>499</v>
      </c>
      <c r="E584" s="104" t="s">
        <v>2364</v>
      </c>
      <c r="F584" s="105" t="s">
        <v>2639</v>
      </c>
      <c r="G584" s="3" t="s">
        <v>2365</v>
      </c>
      <c r="H584" s="3" t="s">
        <v>2366</v>
      </c>
      <c r="I584" s="3" t="s">
        <v>3581</v>
      </c>
      <c r="J584" s="3" t="s">
        <v>2367</v>
      </c>
      <c r="K584" s="4" t="s">
        <v>2368</v>
      </c>
    </row>
    <row r="585" spans="1:11">
      <c r="A585" s="137"/>
      <c r="B585" s="119"/>
      <c r="C585" s="119"/>
      <c r="D585" s="104" t="s">
        <v>500</v>
      </c>
      <c r="E585" s="104" t="s">
        <v>2369</v>
      </c>
      <c r="F585" s="105" t="s">
        <v>2639</v>
      </c>
      <c r="G585" s="3" t="s">
        <v>2370</v>
      </c>
      <c r="H585" s="3" t="s">
        <v>2371</v>
      </c>
      <c r="I585" s="3" t="s">
        <v>3453</v>
      </c>
      <c r="J585" s="3" t="s">
        <v>2372</v>
      </c>
      <c r="K585" s="4" t="s">
        <v>2373</v>
      </c>
    </row>
    <row r="586" spans="1:11">
      <c r="A586" s="137"/>
      <c r="B586" s="119"/>
      <c r="C586" s="119"/>
      <c r="D586" s="104" t="s">
        <v>457</v>
      </c>
      <c r="E586" s="104" t="s">
        <v>2374</v>
      </c>
      <c r="F586" s="105" t="s">
        <v>2640</v>
      </c>
      <c r="G586" s="3" t="s">
        <v>2375</v>
      </c>
      <c r="H586" s="3" t="s">
        <v>2376</v>
      </c>
      <c r="I586" s="3" t="s">
        <v>3459</v>
      </c>
      <c r="J586" s="3" t="s">
        <v>2377</v>
      </c>
      <c r="K586" s="4" t="s">
        <v>2378</v>
      </c>
    </row>
    <row r="587" spans="1:11">
      <c r="A587" s="137"/>
      <c r="B587" s="119"/>
      <c r="C587" s="119"/>
      <c r="D587" s="104" t="s">
        <v>501</v>
      </c>
      <c r="E587" s="104" t="s">
        <v>2379</v>
      </c>
      <c r="F587" s="105" t="s">
        <v>2640</v>
      </c>
      <c r="G587" s="3" t="s">
        <v>2380</v>
      </c>
      <c r="H587" s="3" t="s">
        <v>2381</v>
      </c>
      <c r="I587" s="3" t="s">
        <v>3581</v>
      </c>
      <c r="J587" s="3" t="s">
        <v>2382</v>
      </c>
      <c r="K587" s="4" t="s">
        <v>2383</v>
      </c>
    </row>
    <row r="588" spans="1:11">
      <c r="A588" s="137"/>
      <c r="B588" s="119"/>
      <c r="C588" s="119" t="s">
        <v>502</v>
      </c>
      <c r="D588" s="104" t="s">
        <v>503</v>
      </c>
      <c r="E588" s="104" t="s">
        <v>2384</v>
      </c>
      <c r="F588" s="105" t="s">
        <v>2639</v>
      </c>
      <c r="G588" s="3" t="s">
        <v>2385</v>
      </c>
      <c r="H588" s="3" t="s">
        <v>2386</v>
      </c>
      <c r="I588" s="3" t="s">
        <v>3459</v>
      </c>
      <c r="J588" s="3" t="s">
        <v>2387</v>
      </c>
      <c r="K588" s="4" t="s">
        <v>2388</v>
      </c>
    </row>
    <row r="589" spans="1:11">
      <c r="A589" s="137"/>
      <c r="B589" s="119"/>
      <c r="C589" s="119"/>
      <c r="D589" s="104" t="s">
        <v>504</v>
      </c>
      <c r="E589" s="104" t="s">
        <v>2389</v>
      </c>
      <c r="F589" s="105" t="s">
        <v>2640</v>
      </c>
      <c r="G589" s="3" t="s">
        <v>2390</v>
      </c>
      <c r="H589" s="3" t="s">
        <v>2391</v>
      </c>
      <c r="I589" s="3" t="s">
        <v>3453</v>
      </c>
      <c r="J589" s="3" t="s">
        <v>2392</v>
      </c>
      <c r="K589" s="4" t="s">
        <v>2393</v>
      </c>
    </row>
    <row r="590" spans="1:11">
      <c r="A590" s="137"/>
      <c r="B590" s="119"/>
      <c r="C590" s="119"/>
      <c r="D590" s="104" t="s">
        <v>505</v>
      </c>
      <c r="E590" s="104" t="s">
        <v>2394</v>
      </c>
      <c r="F590" s="105" t="s">
        <v>2641</v>
      </c>
      <c r="G590" s="3" t="s">
        <v>2395</v>
      </c>
      <c r="H590" s="3" t="s">
        <v>2310</v>
      </c>
      <c r="I590" s="3" t="s">
        <v>3453</v>
      </c>
      <c r="J590" s="3" t="s">
        <v>2396</v>
      </c>
      <c r="K590" s="4" t="s">
        <v>2397</v>
      </c>
    </row>
    <row r="591" spans="1:11">
      <c r="A591" s="137"/>
      <c r="B591" s="119"/>
      <c r="C591" s="119"/>
      <c r="D591" s="104" t="s">
        <v>506</v>
      </c>
      <c r="E591" s="104" t="s">
        <v>2398</v>
      </c>
      <c r="F591" s="105" t="s">
        <v>2641</v>
      </c>
      <c r="G591" s="3" t="s">
        <v>2399</v>
      </c>
      <c r="H591" s="3" t="s">
        <v>2400</v>
      </c>
      <c r="I591" s="3" t="s">
        <v>3453</v>
      </c>
      <c r="J591" s="3" t="s">
        <v>2401</v>
      </c>
      <c r="K591" s="4" t="s">
        <v>2402</v>
      </c>
    </row>
    <row r="592" spans="1:11">
      <c r="A592" s="137"/>
      <c r="B592" s="119"/>
      <c r="C592" s="119"/>
      <c r="D592" s="104" t="s">
        <v>507</v>
      </c>
      <c r="E592" s="104" t="s">
        <v>2403</v>
      </c>
      <c r="F592" s="105" t="s">
        <v>2639</v>
      </c>
      <c r="G592" s="3" t="s">
        <v>2404</v>
      </c>
      <c r="H592" s="3" t="s">
        <v>2405</v>
      </c>
      <c r="I592" s="3" t="s">
        <v>3453</v>
      </c>
      <c r="J592" s="3" t="s">
        <v>2406</v>
      </c>
      <c r="K592" s="4" t="s">
        <v>2407</v>
      </c>
    </row>
    <row r="593" spans="1:11">
      <c r="A593" s="137"/>
      <c r="B593" s="119"/>
      <c r="C593" s="119" t="s">
        <v>508</v>
      </c>
      <c r="D593" s="104" t="s">
        <v>509</v>
      </c>
      <c r="E593" s="104" t="s">
        <v>2408</v>
      </c>
      <c r="F593" s="105" t="s">
        <v>2639</v>
      </c>
      <c r="G593" s="3" t="s">
        <v>2409</v>
      </c>
      <c r="H593" s="3" t="s">
        <v>2410</v>
      </c>
      <c r="I593" s="3" t="s">
        <v>3453</v>
      </c>
      <c r="J593" s="3" t="s">
        <v>2411</v>
      </c>
      <c r="K593" s="4" t="s">
        <v>2412</v>
      </c>
    </row>
    <row r="594" spans="1:11">
      <c r="A594" s="137"/>
      <c r="B594" s="119"/>
      <c r="C594" s="119"/>
      <c r="D594" s="104" t="s">
        <v>510</v>
      </c>
      <c r="E594" s="104" t="s">
        <v>2413</v>
      </c>
      <c r="F594" s="105" t="s">
        <v>2639</v>
      </c>
      <c r="G594" s="3" t="s">
        <v>2414</v>
      </c>
      <c r="H594" s="3" t="s">
        <v>2415</v>
      </c>
      <c r="I594" s="3" t="s">
        <v>3453</v>
      </c>
      <c r="J594" s="3" t="s">
        <v>2416</v>
      </c>
      <c r="K594" s="4" t="s">
        <v>2417</v>
      </c>
    </row>
    <row r="595" spans="1:11">
      <c r="A595" s="137"/>
      <c r="B595" s="119"/>
      <c r="C595" s="119"/>
      <c r="D595" s="104" t="s">
        <v>511</v>
      </c>
      <c r="E595" s="104" t="s">
        <v>2418</v>
      </c>
      <c r="F595" s="105" t="s">
        <v>2640</v>
      </c>
      <c r="G595" s="3" t="s">
        <v>2419</v>
      </c>
      <c r="H595" s="3" t="s">
        <v>2420</v>
      </c>
      <c r="I595" s="3" t="s">
        <v>3453</v>
      </c>
      <c r="J595" s="3" t="s">
        <v>2421</v>
      </c>
      <c r="K595" s="4" t="s">
        <v>2422</v>
      </c>
    </row>
    <row r="596" spans="1:11">
      <c r="A596" s="137"/>
      <c r="B596" s="119"/>
      <c r="C596" s="119"/>
      <c r="D596" s="104" t="s">
        <v>512</v>
      </c>
      <c r="E596" s="104" t="s">
        <v>2423</v>
      </c>
      <c r="F596" s="105" t="s">
        <v>2640</v>
      </c>
      <c r="G596" s="3" t="s">
        <v>2424</v>
      </c>
      <c r="H596" s="3" t="s">
        <v>2425</v>
      </c>
      <c r="I596" s="3" t="s">
        <v>3459</v>
      </c>
      <c r="J596" s="3" t="s">
        <v>2426</v>
      </c>
      <c r="K596" s="4" t="s">
        <v>2427</v>
      </c>
    </row>
    <row r="597" spans="1:11">
      <c r="A597" s="137"/>
      <c r="B597" s="119"/>
      <c r="C597" s="119"/>
      <c r="D597" s="104" t="s">
        <v>513</v>
      </c>
      <c r="E597" s="104" t="s">
        <v>2428</v>
      </c>
      <c r="F597" s="105" t="s">
        <v>2640</v>
      </c>
      <c r="G597" s="3" t="s">
        <v>2429</v>
      </c>
      <c r="H597" s="3" t="s">
        <v>2430</v>
      </c>
      <c r="I597" s="3" t="s">
        <v>3459</v>
      </c>
      <c r="J597" s="3" t="s">
        <v>2431</v>
      </c>
      <c r="K597" s="4" t="s">
        <v>2432</v>
      </c>
    </row>
    <row r="598" spans="1:11">
      <c r="A598" s="137"/>
      <c r="B598" s="119"/>
      <c r="C598" s="119" t="s">
        <v>514</v>
      </c>
      <c r="D598" s="104" t="s">
        <v>515</v>
      </c>
      <c r="E598" s="104" t="s">
        <v>2433</v>
      </c>
      <c r="F598" s="105" t="s">
        <v>2640</v>
      </c>
      <c r="G598" s="3" t="s">
        <v>2434</v>
      </c>
      <c r="H598" s="3" t="s">
        <v>2435</v>
      </c>
      <c r="I598" s="3" t="s">
        <v>3581</v>
      </c>
      <c r="J598" s="3" t="s">
        <v>2436</v>
      </c>
      <c r="K598" s="4" t="s">
        <v>2437</v>
      </c>
    </row>
    <row r="599" spans="1:11">
      <c r="A599" s="137"/>
      <c r="B599" s="119"/>
      <c r="C599" s="119"/>
      <c r="D599" s="104" t="s">
        <v>516</v>
      </c>
      <c r="E599" s="104" t="s">
        <v>2438</v>
      </c>
      <c r="F599" s="105" t="s">
        <v>2640</v>
      </c>
      <c r="G599" s="3" t="s">
        <v>2439</v>
      </c>
      <c r="H599" s="3" t="s">
        <v>2440</v>
      </c>
      <c r="I599" s="3" t="s">
        <v>3459</v>
      </c>
      <c r="J599" s="3" t="s">
        <v>2441</v>
      </c>
      <c r="K599" s="4" t="s">
        <v>2442</v>
      </c>
    </row>
    <row r="600" spans="1:11">
      <c r="A600" s="137"/>
      <c r="B600" s="119"/>
      <c r="C600" s="119"/>
      <c r="D600" s="104" t="s">
        <v>517</v>
      </c>
      <c r="E600" s="104" t="s">
        <v>2443</v>
      </c>
      <c r="F600" s="105" t="s">
        <v>2640</v>
      </c>
      <c r="G600" s="3" t="s">
        <v>2444</v>
      </c>
      <c r="H600" s="3" t="s">
        <v>2445</v>
      </c>
      <c r="I600" s="3" t="s">
        <v>3453</v>
      </c>
      <c r="J600" s="3" t="s">
        <v>2446</v>
      </c>
      <c r="K600" s="4" t="s">
        <v>2447</v>
      </c>
    </row>
    <row r="601" spans="1:11">
      <c r="A601" s="137"/>
      <c r="B601" s="119"/>
      <c r="C601" s="119"/>
      <c r="D601" s="104" t="s">
        <v>518</v>
      </c>
      <c r="E601" s="104" t="s">
        <v>2448</v>
      </c>
      <c r="F601" s="105" t="s">
        <v>2640</v>
      </c>
      <c r="G601" s="3" t="s">
        <v>2449</v>
      </c>
      <c r="H601" s="3" t="s">
        <v>2450</v>
      </c>
      <c r="I601" s="3" t="s">
        <v>3459</v>
      </c>
      <c r="J601" s="3" t="s">
        <v>2451</v>
      </c>
      <c r="K601" s="4" t="s">
        <v>2452</v>
      </c>
    </row>
    <row r="602" spans="1:11">
      <c r="A602" s="137"/>
      <c r="B602" s="119"/>
      <c r="C602" s="119"/>
      <c r="D602" s="104" t="s">
        <v>519</v>
      </c>
      <c r="E602" s="104" t="s">
        <v>2453</v>
      </c>
      <c r="F602" s="105" t="s">
        <v>2640</v>
      </c>
      <c r="G602" s="3" t="s">
        <v>2454</v>
      </c>
      <c r="H602" s="3" t="s">
        <v>2455</v>
      </c>
      <c r="I602" s="3" t="s">
        <v>3581</v>
      </c>
      <c r="J602" s="3" t="s">
        <v>2456</v>
      </c>
      <c r="K602" s="4" t="s">
        <v>2457</v>
      </c>
    </row>
    <row r="603" spans="1:11">
      <c r="A603" s="137"/>
      <c r="B603" s="119"/>
      <c r="C603" s="119" t="s">
        <v>520</v>
      </c>
      <c r="D603" s="104" t="s">
        <v>521</v>
      </c>
      <c r="E603" s="104" t="s">
        <v>522</v>
      </c>
      <c r="F603" s="105" t="s">
        <v>2640</v>
      </c>
      <c r="G603" s="3" t="s">
        <v>2458</v>
      </c>
      <c r="H603" s="3" t="s">
        <v>2459</v>
      </c>
      <c r="I603" s="3" t="s">
        <v>3581</v>
      </c>
      <c r="J603" s="22" t="s">
        <v>2460</v>
      </c>
      <c r="K603" s="141" t="s">
        <v>2461</v>
      </c>
    </row>
    <row r="604" spans="1:11">
      <c r="A604" s="137"/>
      <c r="B604" s="119"/>
      <c r="C604" s="119"/>
      <c r="D604" s="104" t="s">
        <v>523</v>
      </c>
      <c r="E604" s="104" t="s">
        <v>524</v>
      </c>
      <c r="F604" s="105" t="s">
        <v>2640</v>
      </c>
      <c r="G604" s="3" t="s">
        <v>2462</v>
      </c>
      <c r="H604" s="3" t="s">
        <v>2463</v>
      </c>
      <c r="I604" s="3" t="s">
        <v>3459</v>
      </c>
      <c r="J604" s="22" t="s">
        <v>2464</v>
      </c>
      <c r="K604" s="141" t="s">
        <v>2465</v>
      </c>
    </row>
    <row r="605" spans="1:11">
      <c r="A605" s="137"/>
      <c r="B605" s="119"/>
      <c r="C605" s="119"/>
      <c r="D605" s="104" t="s">
        <v>525</v>
      </c>
      <c r="E605" s="104" t="s">
        <v>526</v>
      </c>
      <c r="F605" s="105" t="s">
        <v>2640</v>
      </c>
      <c r="G605" s="3" t="s">
        <v>2466</v>
      </c>
      <c r="H605" s="3" t="s">
        <v>2467</v>
      </c>
      <c r="I605" s="3" t="s">
        <v>3453</v>
      </c>
      <c r="J605" s="22" t="s">
        <v>2468</v>
      </c>
      <c r="K605" s="141" t="s">
        <v>2469</v>
      </c>
    </row>
    <row r="606" spans="1:11">
      <c r="A606" s="137"/>
      <c r="B606" s="119"/>
      <c r="C606" s="119"/>
      <c r="D606" s="104" t="s">
        <v>527</v>
      </c>
      <c r="E606" s="104" t="s">
        <v>528</v>
      </c>
      <c r="F606" s="105" t="s">
        <v>2640</v>
      </c>
      <c r="G606" s="3" t="s">
        <v>2470</v>
      </c>
      <c r="H606" s="3" t="s">
        <v>2471</v>
      </c>
      <c r="I606" s="3" t="s">
        <v>3459</v>
      </c>
      <c r="J606" s="22" t="s">
        <v>2472</v>
      </c>
      <c r="K606" s="141" t="s">
        <v>2473</v>
      </c>
    </row>
    <row r="607" spans="1:11">
      <c r="A607" s="137"/>
      <c r="B607" s="119"/>
      <c r="C607" s="119"/>
      <c r="D607" s="104" t="s">
        <v>529</v>
      </c>
      <c r="E607" s="104" t="s">
        <v>530</v>
      </c>
      <c r="F607" s="105" t="s">
        <v>2640</v>
      </c>
      <c r="G607" s="3" t="s">
        <v>2474</v>
      </c>
      <c r="H607" s="3" t="s">
        <v>2475</v>
      </c>
      <c r="I607" s="3" t="s">
        <v>3459</v>
      </c>
      <c r="J607" s="22" t="s">
        <v>2476</v>
      </c>
      <c r="K607" s="141" t="s">
        <v>2477</v>
      </c>
    </row>
    <row r="608" spans="1:11">
      <c r="A608" s="137"/>
      <c r="B608" s="119"/>
      <c r="C608" s="119" t="s">
        <v>531</v>
      </c>
      <c r="D608" s="104" t="s">
        <v>532</v>
      </c>
      <c r="E608" s="104" t="s">
        <v>533</v>
      </c>
      <c r="F608" s="105" t="s">
        <v>2640</v>
      </c>
      <c r="G608" s="3" t="s">
        <v>2478</v>
      </c>
      <c r="H608" s="3" t="s">
        <v>2479</v>
      </c>
      <c r="I608" s="3" t="s">
        <v>3581</v>
      </c>
      <c r="J608" s="22" t="s">
        <v>2480</v>
      </c>
      <c r="K608" s="141" t="s">
        <v>2481</v>
      </c>
    </row>
    <row r="609" spans="1:11">
      <c r="A609" s="137"/>
      <c r="B609" s="119"/>
      <c r="C609" s="119"/>
      <c r="D609" s="104" t="s">
        <v>534</v>
      </c>
      <c r="E609" s="104" t="s">
        <v>535</v>
      </c>
      <c r="F609" s="105" t="s">
        <v>2640</v>
      </c>
      <c r="G609" s="3" t="s">
        <v>2482</v>
      </c>
      <c r="H609" s="3" t="s">
        <v>2483</v>
      </c>
      <c r="I609" s="3" t="s">
        <v>3459</v>
      </c>
      <c r="J609" s="22" t="s">
        <v>2484</v>
      </c>
      <c r="K609" s="141" t="s">
        <v>2485</v>
      </c>
    </row>
    <row r="610" spans="1:11">
      <c r="A610" s="137"/>
      <c r="B610" s="119"/>
      <c r="C610" s="119"/>
      <c r="D610" s="104" t="s">
        <v>536</v>
      </c>
      <c r="E610" s="104" t="s">
        <v>537</v>
      </c>
      <c r="F610" s="105" t="s">
        <v>2640</v>
      </c>
      <c r="G610" s="3" t="s">
        <v>2486</v>
      </c>
      <c r="H610" s="3" t="s">
        <v>2487</v>
      </c>
      <c r="I610" s="3" t="s">
        <v>3453</v>
      </c>
      <c r="J610" s="22" t="s">
        <v>2488</v>
      </c>
      <c r="K610" s="141" t="s">
        <v>2489</v>
      </c>
    </row>
    <row r="611" spans="1:11">
      <c r="A611" s="137"/>
      <c r="B611" s="119"/>
      <c r="C611" s="119"/>
      <c r="D611" s="104" t="s">
        <v>538</v>
      </c>
      <c r="E611" s="104" t="s">
        <v>539</v>
      </c>
      <c r="F611" s="105" t="s">
        <v>2640</v>
      </c>
      <c r="G611" s="3" t="s">
        <v>2490</v>
      </c>
      <c r="H611" s="3" t="s">
        <v>2491</v>
      </c>
      <c r="I611" s="3" t="s">
        <v>3581</v>
      </c>
      <c r="J611" s="22" t="s">
        <v>2492</v>
      </c>
      <c r="K611" s="141" t="s">
        <v>2493</v>
      </c>
    </row>
    <row r="612" spans="1:11">
      <c r="A612" s="137"/>
      <c r="B612" s="119"/>
      <c r="C612" s="119"/>
      <c r="D612" s="104" t="s">
        <v>540</v>
      </c>
      <c r="E612" s="104" t="s">
        <v>541</v>
      </c>
      <c r="F612" s="105" t="s">
        <v>2640</v>
      </c>
      <c r="G612" s="3" t="s">
        <v>2494</v>
      </c>
      <c r="H612" s="3" t="s">
        <v>2495</v>
      </c>
      <c r="I612" s="3" t="s">
        <v>3459</v>
      </c>
      <c r="J612" s="22" t="s">
        <v>2496</v>
      </c>
      <c r="K612" s="141" t="s">
        <v>2497</v>
      </c>
    </row>
    <row r="613" spans="1:11">
      <c r="A613" s="137"/>
      <c r="B613" s="119"/>
      <c r="C613" s="119" t="s">
        <v>542</v>
      </c>
      <c r="D613" s="104" t="s">
        <v>543</v>
      </c>
      <c r="E613" s="104" t="s">
        <v>544</v>
      </c>
      <c r="F613" s="105" t="s">
        <v>2640</v>
      </c>
      <c r="G613" s="3" t="s">
        <v>2498</v>
      </c>
      <c r="H613" s="3" t="s">
        <v>2499</v>
      </c>
      <c r="I613" s="3" t="s">
        <v>3581</v>
      </c>
      <c r="J613" s="22" t="s">
        <v>2500</v>
      </c>
      <c r="K613" s="141" t="s">
        <v>2501</v>
      </c>
    </row>
    <row r="614" spans="1:11">
      <c r="A614" s="137"/>
      <c r="B614" s="119"/>
      <c r="C614" s="119"/>
      <c r="D614" s="104" t="s">
        <v>504</v>
      </c>
      <c r="E614" s="104" t="s">
        <v>545</v>
      </c>
      <c r="F614" s="105" t="s">
        <v>2640</v>
      </c>
      <c r="G614" s="3" t="s">
        <v>2502</v>
      </c>
      <c r="H614" s="3" t="s">
        <v>2503</v>
      </c>
      <c r="I614" s="3" t="s">
        <v>3453</v>
      </c>
      <c r="J614" s="22" t="s">
        <v>2504</v>
      </c>
      <c r="K614" s="141" t="s">
        <v>2505</v>
      </c>
    </row>
    <row r="615" spans="1:11">
      <c r="A615" s="137"/>
      <c r="B615" s="119"/>
      <c r="C615" s="119"/>
      <c r="D615" s="104" t="s">
        <v>546</v>
      </c>
      <c r="E615" s="104" t="s">
        <v>547</v>
      </c>
      <c r="F615" s="105" t="s">
        <v>2640</v>
      </c>
      <c r="G615" s="3" t="s">
        <v>2506</v>
      </c>
      <c r="H615" s="3" t="s">
        <v>2507</v>
      </c>
      <c r="I615" s="3" t="s">
        <v>3459</v>
      </c>
      <c r="J615" s="22" t="s">
        <v>2508</v>
      </c>
      <c r="K615" s="141" t="s">
        <v>2509</v>
      </c>
    </row>
    <row r="616" spans="1:11">
      <c r="A616" s="137"/>
      <c r="B616" s="119"/>
      <c r="C616" s="119"/>
      <c r="D616" s="104" t="s">
        <v>548</v>
      </c>
      <c r="E616" s="104" t="s">
        <v>549</v>
      </c>
      <c r="F616" s="105" t="s">
        <v>2640</v>
      </c>
      <c r="G616" s="3" t="s">
        <v>2510</v>
      </c>
      <c r="H616" s="3" t="s">
        <v>2511</v>
      </c>
      <c r="I616" s="3" t="s">
        <v>3459</v>
      </c>
      <c r="J616" s="22" t="s">
        <v>2512</v>
      </c>
      <c r="K616" s="141" t="s">
        <v>2513</v>
      </c>
    </row>
    <row r="617" spans="1:11">
      <c r="A617" s="137"/>
      <c r="B617" s="119"/>
      <c r="C617" s="119"/>
      <c r="D617" s="104" t="s">
        <v>507</v>
      </c>
      <c r="E617" s="104" t="s">
        <v>550</v>
      </c>
      <c r="F617" s="105" t="s">
        <v>2639</v>
      </c>
      <c r="G617" s="3" t="s">
        <v>2514</v>
      </c>
      <c r="H617" s="3" t="s">
        <v>2515</v>
      </c>
      <c r="I617" s="3" t="s">
        <v>3453</v>
      </c>
      <c r="J617" s="22" t="s">
        <v>2516</v>
      </c>
      <c r="K617" s="141" t="s">
        <v>2517</v>
      </c>
    </row>
    <row r="618" spans="1:11">
      <c r="A618" s="137"/>
      <c r="B618" s="119"/>
      <c r="C618" s="119" t="s">
        <v>551</v>
      </c>
      <c r="D618" s="104" t="s">
        <v>552</v>
      </c>
      <c r="E618" s="104" t="s">
        <v>553</v>
      </c>
      <c r="F618" s="105" t="s">
        <v>2640</v>
      </c>
      <c r="G618" s="3" t="s">
        <v>2518</v>
      </c>
      <c r="H618" s="3" t="s">
        <v>2519</v>
      </c>
      <c r="I618" s="3" t="s">
        <v>3453</v>
      </c>
      <c r="J618" s="22" t="s">
        <v>2520</v>
      </c>
      <c r="K618" s="141" t="s">
        <v>2521</v>
      </c>
    </row>
    <row r="619" spans="1:11">
      <c r="A619" s="137"/>
      <c r="B619" s="119"/>
      <c r="C619" s="119"/>
      <c r="D619" s="104" t="s">
        <v>554</v>
      </c>
      <c r="E619" s="104" t="s">
        <v>555</v>
      </c>
      <c r="F619" s="105" t="s">
        <v>2639</v>
      </c>
      <c r="G619" s="3" t="s">
        <v>2522</v>
      </c>
      <c r="H619" s="3" t="s">
        <v>2523</v>
      </c>
      <c r="I619" s="3" t="s">
        <v>3453</v>
      </c>
      <c r="J619" s="22" t="s">
        <v>2524</v>
      </c>
      <c r="K619" s="141" t="s">
        <v>2525</v>
      </c>
    </row>
    <row r="620" spans="1:11">
      <c r="A620" s="137"/>
      <c r="B620" s="119"/>
      <c r="C620" s="119"/>
      <c r="D620" s="104" t="s">
        <v>556</v>
      </c>
      <c r="E620" s="104" t="s">
        <v>557</v>
      </c>
      <c r="F620" s="105" t="s">
        <v>2639</v>
      </c>
      <c r="G620" s="3" t="s">
        <v>2526</v>
      </c>
      <c r="H620" s="3" t="s">
        <v>2527</v>
      </c>
      <c r="I620" s="102" t="s">
        <v>3459</v>
      </c>
      <c r="J620" s="22" t="s">
        <v>2528</v>
      </c>
      <c r="K620" s="141" t="s">
        <v>2529</v>
      </c>
    </row>
    <row r="621" spans="1:11">
      <c r="A621" s="137"/>
      <c r="B621" s="119"/>
      <c r="C621" s="119"/>
      <c r="D621" s="104" t="s">
        <v>558</v>
      </c>
      <c r="E621" s="104" t="s">
        <v>559</v>
      </c>
      <c r="F621" s="105" t="s">
        <v>2641</v>
      </c>
      <c r="G621" s="3" t="s">
        <v>2530</v>
      </c>
      <c r="H621" s="3" t="s">
        <v>2531</v>
      </c>
      <c r="I621" s="3" t="s">
        <v>3453</v>
      </c>
      <c r="J621" s="22" t="s">
        <v>2532</v>
      </c>
      <c r="K621" s="141" t="s">
        <v>2533</v>
      </c>
    </row>
    <row r="622" spans="1:11">
      <c r="A622" s="137"/>
      <c r="B622" s="119"/>
      <c r="C622" s="119"/>
      <c r="D622" s="104" t="s">
        <v>529</v>
      </c>
      <c r="E622" s="104" t="s">
        <v>560</v>
      </c>
      <c r="F622" s="105" t="s">
        <v>2639</v>
      </c>
      <c r="G622" s="3" t="s">
        <v>2534</v>
      </c>
      <c r="H622" s="3" t="s">
        <v>2535</v>
      </c>
      <c r="I622" s="3" t="s">
        <v>3459</v>
      </c>
      <c r="J622" s="22" t="s">
        <v>2536</v>
      </c>
      <c r="K622" s="141" t="s">
        <v>2537</v>
      </c>
    </row>
    <row r="623" spans="1:11">
      <c r="A623" s="137"/>
      <c r="B623" s="119"/>
      <c r="C623" s="119" t="s">
        <v>561</v>
      </c>
      <c r="D623" s="104" t="s">
        <v>562</v>
      </c>
      <c r="E623" s="104" t="s">
        <v>563</v>
      </c>
      <c r="F623" s="105" t="s">
        <v>2639</v>
      </c>
      <c r="G623" s="3" t="s">
        <v>2538</v>
      </c>
      <c r="H623" s="3" t="s">
        <v>2539</v>
      </c>
      <c r="I623" s="3" t="s">
        <v>3459</v>
      </c>
      <c r="J623" s="22" t="s">
        <v>2540</v>
      </c>
      <c r="K623" s="141" t="s">
        <v>2541</v>
      </c>
    </row>
    <row r="624" spans="1:11">
      <c r="A624" s="137"/>
      <c r="B624" s="119"/>
      <c r="C624" s="119"/>
      <c r="D624" s="104" t="s">
        <v>564</v>
      </c>
      <c r="E624" s="104" t="s">
        <v>565</v>
      </c>
      <c r="F624" s="105" t="s">
        <v>2641</v>
      </c>
      <c r="G624" s="3" t="s">
        <v>2542</v>
      </c>
      <c r="H624" s="3" t="s">
        <v>2543</v>
      </c>
      <c r="I624" s="3" t="s">
        <v>3453</v>
      </c>
      <c r="J624" s="22" t="s">
        <v>2544</v>
      </c>
      <c r="K624" s="141" t="s">
        <v>2545</v>
      </c>
    </row>
    <row r="625" spans="1:11">
      <c r="A625" s="137"/>
      <c r="B625" s="119"/>
      <c r="C625" s="119"/>
      <c r="D625" s="104" t="s">
        <v>566</v>
      </c>
      <c r="E625" s="104" t="s">
        <v>567</v>
      </c>
      <c r="F625" s="105" t="s">
        <v>2639</v>
      </c>
      <c r="G625" s="3" t="s">
        <v>2546</v>
      </c>
      <c r="H625" s="3" t="s">
        <v>2547</v>
      </c>
      <c r="I625" s="3" t="s">
        <v>3453</v>
      </c>
      <c r="J625" s="22" t="s">
        <v>2548</v>
      </c>
      <c r="K625" s="141" t="s">
        <v>2549</v>
      </c>
    </row>
    <row r="626" spans="1:11">
      <c r="A626" s="137"/>
      <c r="B626" s="119"/>
      <c r="C626" s="119"/>
      <c r="D626" s="104" t="s">
        <v>568</v>
      </c>
      <c r="E626" s="104" t="s">
        <v>569</v>
      </c>
      <c r="F626" s="105" t="s">
        <v>2639</v>
      </c>
      <c r="G626" s="3" t="s">
        <v>2550</v>
      </c>
      <c r="H626" s="3" t="s">
        <v>2551</v>
      </c>
      <c r="I626" s="3" t="s">
        <v>3459</v>
      </c>
      <c r="J626" s="22" t="s">
        <v>2552</v>
      </c>
      <c r="K626" s="141" t="s">
        <v>2553</v>
      </c>
    </row>
    <row r="627" spans="1:11">
      <c r="A627" s="137"/>
      <c r="B627" s="119"/>
      <c r="C627" s="119"/>
      <c r="D627" s="104" t="s">
        <v>570</v>
      </c>
      <c r="E627" s="104" t="s">
        <v>571</v>
      </c>
      <c r="F627" s="105" t="s">
        <v>2639</v>
      </c>
      <c r="G627" s="3" t="s">
        <v>2554</v>
      </c>
      <c r="H627" s="3" t="s">
        <v>2555</v>
      </c>
      <c r="I627" s="3" t="s">
        <v>3459</v>
      </c>
      <c r="J627" s="22" t="s">
        <v>2556</v>
      </c>
      <c r="K627" s="141" t="s">
        <v>2557</v>
      </c>
    </row>
    <row r="628" spans="1:11">
      <c r="A628" s="137"/>
      <c r="B628" s="119"/>
      <c r="C628" s="119" t="s">
        <v>572</v>
      </c>
      <c r="D628" s="104" t="s">
        <v>573</v>
      </c>
      <c r="E628" s="104" t="s">
        <v>574</v>
      </c>
      <c r="F628" s="105" t="s">
        <v>2639</v>
      </c>
      <c r="G628" s="3" t="s">
        <v>2558</v>
      </c>
      <c r="H628" s="3" t="s">
        <v>2559</v>
      </c>
      <c r="I628" s="3" t="s">
        <v>3453</v>
      </c>
      <c r="J628" s="22" t="s">
        <v>2560</v>
      </c>
      <c r="K628" s="141" t="s">
        <v>2561</v>
      </c>
    </row>
    <row r="629" spans="1:11">
      <c r="A629" s="137"/>
      <c r="B629" s="119"/>
      <c r="C629" s="119"/>
      <c r="D629" s="104" t="s">
        <v>575</v>
      </c>
      <c r="E629" s="104" t="s">
        <v>576</v>
      </c>
      <c r="F629" s="105" t="s">
        <v>2640</v>
      </c>
      <c r="G629" s="3" t="s">
        <v>2562</v>
      </c>
      <c r="H629" s="3" t="s">
        <v>2563</v>
      </c>
      <c r="I629" s="3" t="s">
        <v>3581</v>
      </c>
      <c r="J629" s="22" t="s">
        <v>2564</v>
      </c>
      <c r="K629" s="141" t="s">
        <v>2565</v>
      </c>
    </row>
    <row r="630" spans="1:11">
      <c r="A630" s="137"/>
      <c r="B630" s="119"/>
      <c r="C630" s="119"/>
      <c r="D630" s="104" t="s">
        <v>577</v>
      </c>
      <c r="E630" s="104" t="s">
        <v>578</v>
      </c>
      <c r="F630" s="105" t="s">
        <v>2639</v>
      </c>
      <c r="G630" s="3" t="s">
        <v>2566</v>
      </c>
      <c r="H630" s="3" t="s">
        <v>2567</v>
      </c>
      <c r="I630" s="3" t="s">
        <v>3459</v>
      </c>
      <c r="J630" s="22" t="s">
        <v>2568</v>
      </c>
      <c r="K630" s="141" t="s">
        <v>2569</v>
      </c>
    </row>
    <row r="631" spans="1:11">
      <c r="A631" s="137"/>
      <c r="B631" s="119"/>
      <c r="C631" s="119"/>
      <c r="D631" s="104" t="s">
        <v>579</v>
      </c>
      <c r="E631" s="104" t="s">
        <v>580</v>
      </c>
      <c r="F631" s="105" t="s">
        <v>2639</v>
      </c>
      <c r="G631" s="3" t="s">
        <v>2570</v>
      </c>
      <c r="H631" s="3" t="s">
        <v>2571</v>
      </c>
      <c r="I631" s="3" t="s">
        <v>3581</v>
      </c>
      <c r="J631" s="22" t="s">
        <v>2572</v>
      </c>
      <c r="K631" s="141" t="s">
        <v>2573</v>
      </c>
    </row>
    <row r="632" spans="1:11">
      <c r="A632" s="137"/>
      <c r="B632" s="119"/>
      <c r="C632" s="119"/>
      <c r="D632" s="104" t="s">
        <v>581</v>
      </c>
      <c r="E632" s="104" t="s">
        <v>582</v>
      </c>
      <c r="F632" s="105" t="s">
        <v>2641</v>
      </c>
      <c r="G632" s="3" t="s">
        <v>2574</v>
      </c>
      <c r="H632" s="3" t="s">
        <v>2575</v>
      </c>
      <c r="I632" s="3" t="s">
        <v>3459</v>
      </c>
      <c r="J632" s="22" t="s">
        <v>2576</v>
      </c>
      <c r="K632" s="141" t="s">
        <v>2577</v>
      </c>
    </row>
    <row r="633" spans="1:11">
      <c r="A633" s="137"/>
      <c r="B633" s="119"/>
      <c r="C633" s="119" t="s">
        <v>583</v>
      </c>
      <c r="D633" s="104" t="s">
        <v>584</v>
      </c>
      <c r="E633" s="104" t="s">
        <v>585</v>
      </c>
      <c r="F633" s="105" t="s">
        <v>2639</v>
      </c>
      <c r="G633" s="3" t="s">
        <v>2578</v>
      </c>
      <c r="H633" s="3" t="s">
        <v>2579</v>
      </c>
      <c r="I633" s="3" t="s">
        <v>3581</v>
      </c>
      <c r="J633" s="22" t="s">
        <v>2580</v>
      </c>
      <c r="K633" s="141" t="s">
        <v>2581</v>
      </c>
    </row>
    <row r="634" spans="1:11">
      <c r="A634" s="137"/>
      <c r="B634" s="119"/>
      <c r="C634" s="119"/>
      <c r="D634" s="104" t="s">
        <v>586</v>
      </c>
      <c r="E634" s="104" t="s">
        <v>587</v>
      </c>
      <c r="F634" s="105" t="s">
        <v>2639</v>
      </c>
      <c r="G634" s="3" t="s">
        <v>2582</v>
      </c>
      <c r="H634" s="3" t="s">
        <v>2583</v>
      </c>
      <c r="I634" s="3" t="s">
        <v>3453</v>
      </c>
      <c r="J634" s="22" t="s">
        <v>2584</v>
      </c>
      <c r="K634" s="141" t="s">
        <v>2585</v>
      </c>
    </row>
    <row r="635" spans="1:11">
      <c r="A635" s="137"/>
      <c r="B635" s="119"/>
      <c r="C635" s="119"/>
      <c r="D635" s="104" t="s">
        <v>588</v>
      </c>
      <c r="E635" s="104" t="s">
        <v>589</v>
      </c>
      <c r="F635" s="105" t="s">
        <v>2639</v>
      </c>
      <c r="G635" s="3" t="s">
        <v>2586</v>
      </c>
      <c r="H635" s="3" t="s">
        <v>2587</v>
      </c>
      <c r="I635" s="3" t="s">
        <v>3453</v>
      </c>
      <c r="J635" s="22" t="s">
        <v>2588</v>
      </c>
      <c r="K635" s="141" t="s">
        <v>2589</v>
      </c>
    </row>
    <row r="636" spans="1:11">
      <c r="A636" s="137"/>
      <c r="B636" s="119"/>
      <c r="C636" s="119"/>
      <c r="D636" s="104" t="s">
        <v>590</v>
      </c>
      <c r="E636" s="104" t="s">
        <v>591</v>
      </c>
      <c r="F636" s="105" t="s">
        <v>2639</v>
      </c>
      <c r="G636" s="3" t="s">
        <v>2590</v>
      </c>
      <c r="H636" s="3" t="s">
        <v>2591</v>
      </c>
      <c r="I636" s="3" t="s">
        <v>3459</v>
      </c>
      <c r="J636" s="22" t="s">
        <v>2592</v>
      </c>
      <c r="K636" s="141" t="s">
        <v>2593</v>
      </c>
    </row>
    <row r="637" spans="1:11">
      <c r="A637" s="137"/>
      <c r="B637" s="119"/>
      <c r="C637" s="119"/>
      <c r="D637" s="104" t="s">
        <v>592</v>
      </c>
      <c r="E637" s="104" t="s">
        <v>593</v>
      </c>
      <c r="F637" s="105" t="s">
        <v>2640</v>
      </c>
      <c r="G637" s="3" t="s">
        <v>2594</v>
      </c>
      <c r="H637" s="3" t="s">
        <v>2595</v>
      </c>
      <c r="I637" s="3" t="s">
        <v>3459</v>
      </c>
      <c r="J637" s="22" t="s">
        <v>2596</v>
      </c>
      <c r="K637" s="141" t="s">
        <v>2597</v>
      </c>
    </row>
    <row r="638" spans="1:11">
      <c r="A638" s="137"/>
      <c r="B638" s="119"/>
      <c r="C638" s="119" t="s">
        <v>594</v>
      </c>
      <c r="D638" s="104" t="s">
        <v>595</v>
      </c>
      <c r="E638" s="104" t="s">
        <v>596</v>
      </c>
      <c r="F638" s="105" t="s">
        <v>2639</v>
      </c>
      <c r="G638" s="3" t="s">
        <v>2598</v>
      </c>
      <c r="H638" s="3" t="s">
        <v>2599</v>
      </c>
      <c r="I638" s="3" t="s">
        <v>3459</v>
      </c>
      <c r="J638" s="22" t="s">
        <v>2600</v>
      </c>
      <c r="K638" s="141" t="s">
        <v>2601</v>
      </c>
    </row>
    <row r="639" spans="1:11">
      <c r="A639" s="137"/>
      <c r="B639" s="119"/>
      <c r="C639" s="119"/>
      <c r="D639" s="104" t="s">
        <v>597</v>
      </c>
      <c r="E639" s="104" t="s">
        <v>598</v>
      </c>
      <c r="F639" s="105" t="s">
        <v>2639</v>
      </c>
      <c r="G639" s="3" t="s">
        <v>2602</v>
      </c>
      <c r="H639" s="3" t="s">
        <v>2603</v>
      </c>
      <c r="I639" s="3" t="s">
        <v>3459</v>
      </c>
      <c r="J639" s="22" t="s">
        <v>2604</v>
      </c>
      <c r="K639" s="141" t="s">
        <v>2605</v>
      </c>
    </row>
    <row r="640" spans="1:11">
      <c r="A640" s="137"/>
      <c r="B640" s="119"/>
      <c r="C640" s="119"/>
      <c r="D640" s="104" t="s">
        <v>599</v>
      </c>
      <c r="E640" s="104" t="s">
        <v>600</v>
      </c>
      <c r="F640" s="105" t="s">
        <v>2641</v>
      </c>
      <c r="G640" s="3" t="s">
        <v>2606</v>
      </c>
      <c r="H640" s="3" t="s">
        <v>2607</v>
      </c>
      <c r="I640" s="3" t="s">
        <v>3459</v>
      </c>
      <c r="J640" s="22" t="s">
        <v>2608</v>
      </c>
      <c r="K640" s="141" t="s">
        <v>2609</v>
      </c>
    </row>
    <row r="641" spans="1:11">
      <c r="A641" s="137"/>
      <c r="B641" s="119"/>
      <c r="C641" s="119"/>
      <c r="D641" s="104" t="s">
        <v>601</v>
      </c>
      <c r="E641" s="104" t="s">
        <v>602</v>
      </c>
      <c r="F641" s="105" t="s">
        <v>2639</v>
      </c>
      <c r="G641" s="3" t="s">
        <v>2610</v>
      </c>
      <c r="H641" s="3" t="s">
        <v>2611</v>
      </c>
      <c r="I641" s="3" t="s">
        <v>3581</v>
      </c>
      <c r="J641" s="22" t="s">
        <v>2612</v>
      </c>
      <c r="K641" s="141" t="s">
        <v>2613</v>
      </c>
    </row>
    <row r="642" spans="1:11">
      <c r="A642" s="137"/>
      <c r="B642" s="119"/>
      <c r="C642" s="119"/>
      <c r="D642" s="104" t="s">
        <v>603</v>
      </c>
      <c r="E642" s="104" t="s">
        <v>604</v>
      </c>
      <c r="F642" s="105" t="s">
        <v>2639</v>
      </c>
      <c r="G642" s="3" t="s">
        <v>2614</v>
      </c>
      <c r="H642" s="3" t="s">
        <v>2615</v>
      </c>
      <c r="I642" s="3" t="s">
        <v>3459</v>
      </c>
      <c r="J642" s="22" t="s">
        <v>2616</v>
      </c>
      <c r="K642" s="141" t="s">
        <v>2617</v>
      </c>
    </row>
    <row r="643" spans="1:11">
      <c r="A643" s="137"/>
      <c r="B643" s="119"/>
      <c r="C643" s="119" t="s">
        <v>605</v>
      </c>
      <c r="D643" s="104" t="s">
        <v>606</v>
      </c>
      <c r="E643" s="104" t="s">
        <v>607</v>
      </c>
      <c r="F643" s="105" t="s">
        <v>2640</v>
      </c>
      <c r="G643" s="3" t="s">
        <v>2618</v>
      </c>
      <c r="H643" s="3" t="s">
        <v>2619</v>
      </c>
      <c r="I643" s="3" t="s">
        <v>3459</v>
      </c>
      <c r="J643" s="22" t="s">
        <v>2620</v>
      </c>
      <c r="K643" s="141" t="s">
        <v>2621</v>
      </c>
    </row>
    <row r="644" spans="1:11">
      <c r="A644" s="137"/>
      <c r="B644" s="119"/>
      <c r="C644" s="119"/>
      <c r="D644" s="104" t="s">
        <v>504</v>
      </c>
      <c r="E644" s="104" t="s">
        <v>608</v>
      </c>
      <c r="F644" s="105" t="s">
        <v>2639</v>
      </c>
      <c r="G644" s="3" t="s">
        <v>2622</v>
      </c>
      <c r="H644" s="3" t="s">
        <v>2623</v>
      </c>
      <c r="I644" s="3" t="s">
        <v>3581</v>
      </c>
      <c r="J644" s="22" t="s">
        <v>2624</v>
      </c>
      <c r="K644" s="141" t="s">
        <v>2625</v>
      </c>
    </row>
    <row r="645" spans="1:11">
      <c r="A645" s="137"/>
      <c r="B645" s="119"/>
      <c r="C645" s="119"/>
      <c r="D645" s="104" t="s">
        <v>609</v>
      </c>
      <c r="E645" s="104" t="s">
        <v>610</v>
      </c>
      <c r="F645" s="105" t="s">
        <v>2639</v>
      </c>
      <c r="G645" s="3" t="s">
        <v>2626</v>
      </c>
      <c r="H645" s="3" t="s">
        <v>2627</v>
      </c>
      <c r="I645" s="3" t="s">
        <v>3581</v>
      </c>
      <c r="J645" s="22" t="s">
        <v>2628</v>
      </c>
      <c r="K645" s="141" t="s">
        <v>2629</v>
      </c>
    </row>
    <row r="646" spans="1:11">
      <c r="A646" s="137"/>
      <c r="B646" s="119"/>
      <c r="C646" s="119"/>
      <c r="D646" s="104" t="s">
        <v>611</v>
      </c>
      <c r="E646" s="104" t="s">
        <v>612</v>
      </c>
      <c r="F646" s="105" t="s">
        <v>2641</v>
      </c>
      <c r="G646" s="3" t="s">
        <v>2630</v>
      </c>
      <c r="H646" s="3" t="s">
        <v>2631</v>
      </c>
      <c r="I646" s="3" t="s">
        <v>3459</v>
      </c>
      <c r="J646" s="22" t="s">
        <v>2632</v>
      </c>
      <c r="K646" s="141" t="s">
        <v>2633</v>
      </c>
    </row>
    <row r="647" spans="1:11">
      <c r="A647" s="137"/>
      <c r="B647" s="119"/>
      <c r="C647" s="119"/>
      <c r="D647" s="104" t="s">
        <v>507</v>
      </c>
      <c r="E647" s="104" t="s">
        <v>613</v>
      </c>
      <c r="F647" s="105" t="s">
        <v>2639</v>
      </c>
      <c r="G647" s="3" t="s">
        <v>2634</v>
      </c>
      <c r="H647" s="3" t="s">
        <v>2635</v>
      </c>
      <c r="I647" s="3" t="s">
        <v>3581</v>
      </c>
      <c r="J647" s="22" t="s">
        <v>2636</v>
      </c>
      <c r="K647" s="141" t="s">
        <v>2637</v>
      </c>
    </row>
    <row r="648" spans="1:11">
      <c r="A648" s="137"/>
      <c r="B648" s="119"/>
      <c r="C648" s="119" t="s">
        <v>614</v>
      </c>
      <c r="D648" s="104" t="s">
        <v>615</v>
      </c>
      <c r="E648" s="104" t="s">
        <v>616</v>
      </c>
      <c r="F648" s="105" t="s">
        <v>2639</v>
      </c>
      <c r="G648" s="3" t="s">
        <v>2222</v>
      </c>
      <c r="H648" s="3" t="s">
        <v>2642</v>
      </c>
      <c r="I648" s="3" t="s">
        <v>3459</v>
      </c>
      <c r="J648" s="22" t="s">
        <v>2643</v>
      </c>
      <c r="K648" s="141" t="s">
        <v>2644</v>
      </c>
    </row>
    <row r="649" spans="1:11">
      <c r="A649" s="137"/>
      <c r="B649" s="119"/>
      <c r="C649" s="119"/>
      <c r="D649" s="104" t="s">
        <v>504</v>
      </c>
      <c r="E649" s="104" t="s">
        <v>617</v>
      </c>
      <c r="F649" s="105" t="s">
        <v>2639</v>
      </c>
      <c r="G649" s="3" t="s">
        <v>2645</v>
      </c>
      <c r="H649" s="3" t="s">
        <v>2646</v>
      </c>
      <c r="I649" s="3" t="s">
        <v>3581</v>
      </c>
      <c r="J649" s="22" t="s">
        <v>2647</v>
      </c>
      <c r="K649" s="141" t="s">
        <v>2648</v>
      </c>
    </row>
    <row r="650" spans="1:11">
      <c r="A650" s="137"/>
      <c r="B650" s="119"/>
      <c r="C650" s="119"/>
      <c r="D650" s="104" t="s">
        <v>609</v>
      </c>
      <c r="E650" s="104" t="s">
        <v>618</v>
      </c>
      <c r="F650" s="105" t="s">
        <v>2641</v>
      </c>
      <c r="G650" s="3" t="s">
        <v>2649</v>
      </c>
      <c r="H650" s="3" t="s">
        <v>2650</v>
      </c>
      <c r="I650" s="3" t="s">
        <v>3459</v>
      </c>
      <c r="J650" s="22" t="s">
        <v>2651</v>
      </c>
      <c r="K650" s="141" t="s">
        <v>2652</v>
      </c>
    </row>
    <row r="651" spans="1:11">
      <c r="A651" s="137"/>
      <c r="B651" s="119"/>
      <c r="C651" s="119"/>
      <c r="D651" s="104" t="s">
        <v>611</v>
      </c>
      <c r="E651" s="104" t="s">
        <v>619</v>
      </c>
      <c r="F651" s="105" t="s">
        <v>2639</v>
      </c>
      <c r="G651" s="3" t="s">
        <v>2653</v>
      </c>
      <c r="H651" s="3" t="s">
        <v>2654</v>
      </c>
      <c r="I651" s="3" t="s">
        <v>3459</v>
      </c>
      <c r="J651" s="22" t="s">
        <v>2655</v>
      </c>
      <c r="K651" s="141" t="s">
        <v>2656</v>
      </c>
    </row>
    <row r="652" spans="1:11">
      <c r="A652" s="137"/>
      <c r="B652" s="119"/>
      <c r="C652" s="119"/>
      <c r="D652" s="104" t="s">
        <v>507</v>
      </c>
      <c r="E652" s="104" t="s">
        <v>620</v>
      </c>
      <c r="F652" s="105" t="s">
        <v>2639</v>
      </c>
      <c r="G652" s="3" t="s">
        <v>2657</v>
      </c>
      <c r="H652" s="3" t="s">
        <v>2658</v>
      </c>
      <c r="I652" s="3" t="s">
        <v>3581</v>
      </c>
      <c r="J652" s="22" t="s">
        <v>2659</v>
      </c>
      <c r="K652" s="141" t="s">
        <v>2660</v>
      </c>
    </row>
    <row r="653" spans="1:11">
      <c r="A653" s="137"/>
      <c r="B653" s="119"/>
      <c r="C653" s="119" t="s">
        <v>621</v>
      </c>
      <c r="D653" s="104" t="s">
        <v>622</v>
      </c>
      <c r="E653" s="104" t="s">
        <v>623</v>
      </c>
      <c r="F653" s="105" t="s">
        <v>2641</v>
      </c>
      <c r="G653" s="3" t="s">
        <v>2661</v>
      </c>
      <c r="H653" s="3" t="s">
        <v>2662</v>
      </c>
      <c r="I653" s="3" t="s">
        <v>3581</v>
      </c>
      <c r="J653" s="22" t="s">
        <v>2663</v>
      </c>
      <c r="K653" s="141" t="s">
        <v>2664</v>
      </c>
    </row>
    <row r="654" spans="1:11">
      <c r="A654" s="137"/>
      <c r="B654" s="119"/>
      <c r="C654" s="119"/>
      <c r="D654" s="104" t="s">
        <v>624</v>
      </c>
      <c r="E654" s="104" t="s">
        <v>625</v>
      </c>
      <c r="F654" s="105" t="s">
        <v>2639</v>
      </c>
      <c r="G654" s="3" t="s">
        <v>2665</v>
      </c>
      <c r="H654" s="3" t="s">
        <v>2666</v>
      </c>
      <c r="I654" s="3" t="s">
        <v>3459</v>
      </c>
      <c r="J654" s="22" t="s">
        <v>2667</v>
      </c>
      <c r="K654" s="141" t="s">
        <v>2668</v>
      </c>
    </row>
    <row r="655" spans="1:11">
      <c r="A655" s="137"/>
      <c r="B655" s="119"/>
      <c r="C655" s="119"/>
      <c r="D655" s="104" t="s">
        <v>626</v>
      </c>
      <c r="E655" s="104" t="s">
        <v>627</v>
      </c>
      <c r="F655" s="105" t="s">
        <v>2639</v>
      </c>
      <c r="G655" s="3" t="s">
        <v>2669</v>
      </c>
      <c r="H655" s="3" t="s">
        <v>2670</v>
      </c>
      <c r="I655" s="3" t="s">
        <v>3453</v>
      </c>
      <c r="J655" s="22" t="s">
        <v>2671</v>
      </c>
      <c r="K655" s="141" t="s">
        <v>2672</v>
      </c>
    </row>
    <row r="656" spans="1:11">
      <c r="A656" s="137"/>
      <c r="B656" s="119"/>
      <c r="C656" s="119"/>
      <c r="D656" s="104" t="s">
        <v>628</v>
      </c>
      <c r="E656" s="104" t="s">
        <v>629</v>
      </c>
      <c r="F656" s="105" t="s">
        <v>2639</v>
      </c>
      <c r="G656" s="3" t="s">
        <v>2673</v>
      </c>
      <c r="H656" s="3" t="s">
        <v>2674</v>
      </c>
      <c r="I656" s="3" t="s">
        <v>3453</v>
      </c>
      <c r="J656" s="22" t="s">
        <v>2675</v>
      </c>
      <c r="K656" s="141" t="s">
        <v>2676</v>
      </c>
    </row>
    <row r="657" spans="1:11">
      <c r="A657" s="137"/>
      <c r="B657" s="119"/>
      <c r="C657" s="119"/>
      <c r="D657" s="104" t="s">
        <v>630</v>
      </c>
      <c r="E657" s="104" t="s">
        <v>631</v>
      </c>
      <c r="F657" s="105" t="s">
        <v>2639</v>
      </c>
      <c r="G657" s="3" t="s">
        <v>2677</v>
      </c>
      <c r="H657" s="3" t="s">
        <v>2678</v>
      </c>
      <c r="I657" s="3" t="s">
        <v>3459</v>
      </c>
      <c r="J657" s="22" t="s">
        <v>2679</v>
      </c>
      <c r="K657" s="141" t="s">
        <v>2680</v>
      </c>
    </row>
    <row r="658" spans="1:11">
      <c r="A658" s="137"/>
      <c r="B658" s="119"/>
      <c r="C658" s="119" t="s">
        <v>632</v>
      </c>
      <c r="D658" s="104" t="s">
        <v>633</v>
      </c>
      <c r="E658" s="104" t="s">
        <v>634</v>
      </c>
      <c r="F658" s="105" t="s">
        <v>2640</v>
      </c>
      <c r="G658" s="102" t="s">
        <v>2682</v>
      </c>
      <c r="H658" s="102" t="s">
        <v>2683</v>
      </c>
      <c r="I658" s="3" t="s">
        <v>3459</v>
      </c>
      <c r="J658" s="102" t="s">
        <v>2684</v>
      </c>
      <c r="K658" s="141" t="s">
        <v>2685</v>
      </c>
    </row>
    <row r="659" spans="1:11">
      <c r="A659" s="137"/>
      <c r="B659" s="119"/>
      <c r="C659" s="119"/>
      <c r="D659" s="104" t="s">
        <v>635</v>
      </c>
      <c r="E659" s="104" t="s">
        <v>636</v>
      </c>
      <c r="F659" s="105" t="s">
        <v>2639</v>
      </c>
      <c r="G659" s="102" t="s">
        <v>2686</v>
      </c>
      <c r="H659" s="102" t="s">
        <v>2687</v>
      </c>
      <c r="I659" s="3" t="s">
        <v>3459</v>
      </c>
      <c r="J659" s="102" t="s">
        <v>2688</v>
      </c>
      <c r="K659" s="141" t="s">
        <v>2689</v>
      </c>
    </row>
    <row r="660" spans="1:11">
      <c r="A660" s="137"/>
      <c r="B660" s="119"/>
      <c r="C660" s="119"/>
      <c r="D660" s="104" t="s">
        <v>637</v>
      </c>
      <c r="E660" s="104" t="s">
        <v>638</v>
      </c>
      <c r="F660" s="105" t="s">
        <v>2639</v>
      </c>
      <c r="G660" s="102" t="s">
        <v>2691</v>
      </c>
      <c r="H660" s="102" t="s">
        <v>2692</v>
      </c>
      <c r="I660" s="3" t="s">
        <v>3581</v>
      </c>
      <c r="J660" s="102" t="s">
        <v>2693</v>
      </c>
      <c r="K660" s="141" t="s">
        <v>2694</v>
      </c>
    </row>
    <row r="661" spans="1:11">
      <c r="A661" s="137"/>
      <c r="B661" s="119"/>
      <c r="C661" s="119"/>
      <c r="D661" s="104" t="s">
        <v>639</v>
      </c>
      <c r="E661" s="104" t="s">
        <v>640</v>
      </c>
      <c r="F661" s="105" t="s">
        <v>2641</v>
      </c>
      <c r="G661" s="102" t="s">
        <v>2695</v>
      </c>
      <c r="H661" s="102" t="s">
        <v>2696</v>
      </c>
      <c r="I661" s="3" t="s">
        <v>3459</v>
      </c>
      <c r="J661" s="102" t="s">
        <v>2487</v>
      </c>
      <c r="K661" s="141" t="s">
        <v>2697</v>
      </c>
    </row>
    <row r="662" spans="1:11">
      <c r="A662" s="137"/>
      <c r="B662" s="119"/>
      <c r="C662" s="119"/>
      <c r="D662" s="104" t="s">
        <v>529</v>
      </c>
      <c r="E662" s="104" t="s">
        <v>641</v>
      </c>
      <c r="F662" s="105" t="s">
        <v>2639</v>
      </c>
      <c r="G662" s="102" t="s">
        <v>2653</v>
      </c>
      <c r="H662" s="102" t="s">
        <v>2487</v>
      </c>
      <c r="I662" s="3" t="s">
        <v>3453</v>
      </c>
      <c r="J662" s="102" t="s">
        <v>2698</v>
      </c>
      <c r="K662" s="141" t="s">
        <v>2699</v>
      </c>
    </row>
    <row r="663" spans="1:11">
      <c r="A663" s="137"/>
      <c r="B663" s="119"/>
      <c r="C663" s="119" t="s">
        <v>642</v>
      </c>
      <c r="D663" s="104" t="s">
        <v>643</v>
      </c>
      <c r="E663" s="104" t="s">
        <v>644</v>
      </c>
      <c r="F663" s="105" t="s">
        <v>2639</v>
      </c>
      <c r="G663" s="102" t="s">
        <v>2700</v>
      </c>
      <c r="H663" s="102" t="s">
        <v>2701</v>
      </c>
      <c r="I663" s="3" t="s">
        <v>3459</v>
      </c>
      <c r="J663" s="102" t="s">
        <v>2702</v>
      </c>
      <c r="K663" s="141" t="s">
        <v>2703</v>
      </c>
    </row>
    <row r="664" spans="1:11">
      <c r="A664" s="137"/>
      <c r="B664" s="119"/>
      <c r="C664" s="119"/>
      <c r="D664" s="104" t="s">
        <v>645</v>
      </c>
      <c r="E664" s="104" t="s">
        <v>646</v>
      </c>
      <c r="F664" s="105" t="s">
        <v>2639</v>
      </c>
      <c r="G664" s="102" t="s">
        <v>2704</v>
      </c>
      <c r="H664" s="102" t="s">
        <v>2705</v>
      </c>
      <c r="I664" s="3" t="s">
        <v>3459</v>
      </c>
      <c r="J664" s="102" t="s">
        <v>2706</v>
      </c>
      <c r="K664" s="141" t="s">
        <v>2707</v>
      </c>
    </row>
    <row r="665" spans="1:11">
      <c r="A665" s="137"/>
      <c r="B665" s="119"/>
      <c r="C665" s="119"/>
      <c r="D665" s="104" t="s">
        <v>647</v>
      </c>
      <c r="E665" s="104" t="s">
        <v>648</v>
      </c>
      <c r="F665" s="105" t="s">
        <v>2639</v>
      </c>
      <c r="G665" s="102" t="s">
        <v>2708</v>
      </c>
      <c r="H665" s="102" t="s">
        <v>2231</v>
      </c>
      <c r="I665" s="3" t="s">
        <v>3459</v>
      </c>
      <c r="J665" s="102" t="s">
        <v>2709</v>
      </c>
      <c r="K665" s="141" t="s">
        <v>2710</v>
      </c>
    </row>
    <row r="666" spans="1:11">
      <c r="A666" s="137"/>
      <c r="B666" s="119"/>
      <c r="C666" s="119"/>
      <c r="D666" s="104" t="s">
        <v>649</v>
      </c>
      <c r="E666" s="104" t="s">
        <v>650</v>
      </c>
      <c r="F666" s="105" t="s">
        <v>2640</v>
      </c>
      <c r="G666" s="102" t="s">
        <v>2711</v>
      </c>
      <c r="H666" s="102" t="s">
        <v>2712</v>
      </c>
      <c r="I666" s="3" t="s">
        <v>3459</v>
      </c>
      <c r="J666" s="102" t="s">
        <v>1992</v>
      </c>
      <c r="K666" s="141" t="s">
        <v>2713</v>
      </c>
    </row>
    <row r="667" spans="1:11">
      <c r="A667" s="137"/>
      <c r="B667" s="119"/>
      <c r="C667" s="119"/>
      <c r="D667" s="104" t="s">
        <v>529</v>
      </c>
      <c r="E667" s="104" t="s">
        <v>651</v>
      </c>
      <c r="F667" s="105" t="s">
        <v>2639</v>
      </c>
      <c r="G667" s="102" t="s">
        <v>2714</v>
      </c>
      <c r="H667" s="102" t="s">
        <v>2715</v>
      </c>
      <c r="I667" s="3" t="s">
        <v>3459</v>
      </c>
      <c r="J667" s="102" t="s">
        <v>2716</v>
      </c>
      <c r="K667" s="141" t="s">
        <v>2717</v>
      </c>
    </row>
    <row r="668" spans="1:11">
      <c r="A668" s="137"/>
      <c r="B668" s="119"/>
      <c r="C668" s="119" t="s">
        <v>652</v>
      </c>
      <c r="D668" s="104" t="s">
        <v>653</v>
      </c>
      <c r="E668" s="104" t="s">
        <v>654</v>
      </c>
      <c r="F668" s="105" t="s">
        <v>2639</v>
      </c>
      <c r="G668" s="102" t="s">
        <v>2718</v>
      </c>
      <c r="H668" s="102" t="s">
        <v>2719</v>
      </c>
      <c r="I668" s="3" t="s">
        <v>3459</v>
      </c>
      <c r="J668" s="102" t="s">
        <v>2720</v>
      </c>
      <c r="K668" s="141" t="s">
        <v>2721</v>
      </c>
    </row>
    <row r="669" spans="1:11">
      <c r="A669" s="137"/>
      <c r="B669" s="119"/>
      <c r="C669" s="119"/>
      <c r="D669" s="104" t="s">
        <v>655</v>
      </c>
      <c r="E669" s="104" t="s">
        <v>656</v>
      </c>
      <c r="F669" s="105" t="s">
        <v>2641</v>
      </c>
      <c r="G669" s="102" t="s">
        <v>2722</v>
      </c>
      <c r="H669" s="102" t="s">
        <v>2723</v>
      </c>
      <c r="I669" s="3" t="s">
        <v>3459</v>
      </c>
      <c r="J669" s="102" t="s">
        <v>2724</v>
      </c>
      <c r="K669" s="141" t="s">
        <v>2725</v>
      </c>
    </row>
    <row r="670" spans="1:11">
      <c r="A670" s="137"/>
      <c r="B670" s="119"/>
      <c r="C670" s="119"/>
      <c r="D670" s="104" t="s">
        <v>657</v>
      </c>
      <c r="E670" s="104" t="s">
        <v>658</v>
      </c>
      <c r="F670" s="105" t="s">
        <v>2639</v>
      </c>
      <c r="G670" s="102" t="s">
        <v>2726</v>
      </c>
      <c r="H670" s="102" t="s">
        <v>2727</v>
      </c>
      <c r="I670" s="3" t="s">
        <v>3459</v>
      </c>
      <c r="J670" s="102" t="s">
        <v>2728</v>
      </c>
      <c r="K670" s="141" t="s">
        <v>2729</v>
      </c>
    </row>
    <row r="671" spans="1:11">
      <c r="A671" s="137"/>
      <c r="B671" s="119"/>
      <c r="C671" s="119"/>
      <c r="D671" s="104" t="s">
        <v>659</v>
      </c>
      <c r="E671" s="104" t="s">
        <v>660</v>
      </c>
      <c r="F671" s="105" t="s">
        <v>2639</v>
      </c>
      <c r="G671" s="102" t="s">
        <v>2730</v>
      </c>
      <c r="H671" s="102" t="s">
        <v>2731</v>
      </c>
      <c r="I671" s="3" t="s">
        <v>3453</v>
      </c>
      <c r="J671" s="102" t="s">
        <v>2732</v>
      </c>
      <c r="K671" s="141" t="s">
        <v>2733</v>
      </c>
    </row>
    <row r="672" spans="1:11">
      <c r="A672" s="137"/>
      <c r="B672" s="119"/>
      <c r="C672" s="119"/>
      <c r="D672" s="104" t="s">
        <v>529</v>
      </c>
      <c r="E672" s="104" t="s">
        <v>661</v>
      </c>
      <c r="F672" s="105" t="s">
        <v>2640</v>
      </c>
      <c r="G672" s="102" t="s">
        <v>2734</v>
      </c>
      <c r="H672" s="102" t="s">
        <v>2735</v>
      </c>
      <c r="I672" s="3" t="s">
        <v>3453</v>
      </c>
      <c r="J672" s="102" t="s">
        <v>2736</v>
      </c>
      <c r="K672" s="141" t="s">
        <v>2737</v>
      </c>
    </row>
    <row r="673" spans="1:11">
      <c r="A673" s="137"/>
      <c r="B673" s="119"/>
      <c r="C673" s="119" t="s">
        <v>662</v>
      </c>
      <c r="D673" s="104" t="s">
        <v>663</v>
      </c>
      <c r="E673" s="104" t="s">
        <v>664</v>
      </c>
      <c r="F673" s="105" t="s">
        <v>2639</v>
      </c>
      <c r="G673" s="102" t="s">
        <v>2738</v>
      </c>
      <c r="H673" s="102" t="s">
        <v>2739</v>
      </c>
      <c r="I673" s="3" t="s">
        <v>3453</v>
      </c>
      <c r="J673" s="102" t="s">
        <v>2740</v>
      </c>
      <c r="K673" s="141" t="s">
        <v>2741</v>
      </c>
    </row>
    <row r="674" spans="1:11">
      <c r="A674" s="137"/>
      <c r="B674" s="119"/>
      <c r="C674" s="119"/>
      <c r="D674" s="104" t="s">
        <v>635</v>
      </c>
      <c r="E674" s="104" t="s">
        <v>665</v>
      </c>
      <c r="F674" s="105" t="s">
        <v>2639</v>
      </c>
      <c r="G674" s="102" t="s">
        <v>2742</v>
      </c>
      <c r="H674" s="102" t="s">
        <v>2743</v>
      </c>
      <c r="I674" s="3" t="s">
        <v>3453</v>
      </c>
      <c r="J674" s="102" t="s">
        <v>2744</v>
      </c>
      <c r="K674" s="141" t="s">
        <v>2745</v>
      </c>
    </row>
    <row r="675" spans="1:11">
      <c r="A675" s="137"/>
      <c r="B675" s="119"/>
      <c r="C675" s="119"/>
      <c r="D675" s="104" t="s">
        <v>637</v>
      </c>
      <c r="E675" s="104" t="s">
        <v>666</v>
      </c>
      <c r="F675" s="105" t="s">
        <v>2641</v>
      </c>
      <c r="G675" s="102" t="s">
        <v>2746</v>
      </c>
      <c r="H675" s="102" t="s">
        <v>2747</v>
      </c>
      <c r="I675" s="3" t="s">
        <v>3459</v>
      </c>
      <c r="J675" s="102" t="s">
        <v>2748</v>
      </c>
      <c r="K675" s="141" t="s">
        <v>2749</v>
      </c>
    </row>
    <row r="676" spans="1:11">
      <c r="A676" s="137"/>
      <c r="B676" s="119"/>
      <c r="C676" s="119"/>
      <c r="D676" s="104" t="s">
        <v>639</v>
      </c>
      <c r="E676" s="104" t="s">
        <v>667</v>
      </c>
      <c r="F676" s="105" t="s">
        <v>2639</v>
      </c>
      <c r="G676" s="102" t="s">
        <v>2750</v>
      </c>
      <c r="H676" s="102" t="s">
        <v>2751</v>
      </c>
      <c r="I676" s="3" t="s">
        <v>3453</v>
      </c>
      <c r="J676" s="102" t="s">
        <v>2752</v>
      </c>
      <c r="K676" s="141" t="s">
        <v>2753</v>
      </c>
    </row>
    <row r="677" spans="1:11">
      <c r="A677" s="137"/>
      <c r="B677" s="119"/>
      <c r="C677" s="119"/>
      <c r="D677" s="104" t="s">
        <v>529</v>
      </c>
      <c r="E677" s="104" t="s">
        <v>668</v>
      </c>
      <c r="F677" s="105" t="s">
        <v>2640</v>
      </c>
      <c r="G677" s="102" t="s">
        <v>2754</v>
      </c>
      <c r="H677" s="102" t="s">
        <v>2755</v>
      </c>
      <c r="I677" s="3" t="s">
        <v>3453</v>
      </c>
      <c r="J677" s="102" t="s">
        <v>2756</v>
      </c>
      <c r="K677" s="141" t="s">
        <v>2757</v>
      </c>
    </row>
    <row r="678" spans="1:11">
      <c r="A678" s="137"/>
      <c r="B678" s="119"/>
      <c r="C678" s="119" t="s">
        <v>669</v>
      </c>
      <c r="D678" s="104" t="s">
        <v>670</v>
      </c>
      <c r="E678" s="104" t="s">
        <v>671</v>
      </c>
      <c r="F678" s="105" t="s">
        <v>2640</v>
      </c>
      <c r="G678" s="102" t="s">
        <v>2758</v>
      </c>
      <c r="H678" s="102" t="s">
        <v>2759</v>
      </c>
      <c r="I678" s="3" t="s">
        <v>3453</v>
      </c>
      <c r="J678" s="102" t="s">
        <v>2760</v>
      </c>
      <c r="K678" s="141" t="s">
        <v>2761</v>
      </c>
    </row>
    <row r="679" spans="1:11">
      <c r="A679" s="137"/>
      <c r="B679" s="119"/>
      <c r="C679" s="119"/>
      <c r="D679" s="104" t="s">
        <v>672</v>
      </c>
      <c r="E679" s="104" t="s">
        <v>673</v>
      </c>
      <c r="F679" s="105" t="s">
        <v>2639</v>
      </c>
      <c r="G679" s="3" t="s">
        <v>2841</v>
      </c>
      <c r="H679" s="3" t="s">
        <v>2842</v>
      </c>
      <c r="I679" s="3" t="s">
        <v>3459</v>
      </c>
      <c r="J679" s="22" t="s">
        <v>2843</v>
      </c>
      <c r="K679" s="141" t="s">
        <v>2844</v>
      </c>
    </row>
    <row r="680" spans="1:11">
      <c r="A680" s="137"/>
      <c r="B680" s="119"/>
      <c r="C680" s="119"/>
      <c r="D680" s="104" t="s">
        <v>674</v>
      </c>
      <c r="E680" s="104" t="s">
        <v>675</v>
      </c>
      <c r="F680" s="105" t="s">
        <v>2639</v>
      </c>
      <c r="G680" s="3" t="s">
        <v>2845</v>
      </c>
      <c r="H680" s="3" t="s">
        <v>2846</v>
      </c>
      <c r="I680" s="3" t="s">
        <v>3581</v>
      </c>
      <c r="J680" s="22" t="s">
        <v>2847</v>
      </c>
      <c r="K680" s="141" t="s">
        <v>2848</v>
      </c>
    </row>
    <row r="681" spans="1:11">
      <c r="A681" s="137"/>
      <c r="B681" s="119"/>
      <c r="C681" s="119"/>
      <c r="D681" s="104" t="s">
        <v>649</v>
      </c>
      <c r="E681" s="104" t="s">
        <v>676</v>
      </c>
      <c r="F681" s="105" t="s">
        <v>2639</v>
      </c>
      <c r="G681" s="3" t="s">
        <v>2849</v>
      </c>
      <c r="H681" s="3" t="s">
        <v>2850</v>
      </c>
      <c r="I681" s="3" t="s">
        <v>3453</v>
      </c>
      <c r="J681" s="22" t="s">
        <v>2851</v>
      </c>
      <c r="K681" s="141" t="s">
        <v>2852</v>
      </c>
    </row>
    <row r="682" spans="1:11">
      <c r="A682" s="137"/>
      <c r="B682" s="119"/>
      <c r="C682" s="119"/>
      <c r="D682" s="104" t="s">
        <v>529</v>
      </c>
      <c r="E682" s="104" t="s">
        <v>677</v>
      </c>
      <c r="F682" s="105" t="s">
        <v>2641</v>
      </c>
      <c r="G682" s="3" t="s">
        <v>2853</v>
      </c>
      <c r="H682" s="3" t="s">
        <v>2662</v>
      </c>
      <c r="I682" s="3" t="s">
        <v>3459</v>
      </c>
      <c r="J682" s="22" t="s">
        <v>2854</v>
      </c>
      <c r="K682" s="141" t="s">
        <v>2855</v>
      </c>
    </row>
    <row r="683" spans="1:11">
      <c r="A683" s="137"/>
      <c r="B683" s="119"/>
      <c r="C683" s="119" t="s">
        <v>678</v>
      </c>
      <c r="D683" s="104" t="s">
        <v>679</v>
      </c>
      <c r="E683" s="104" t="s">
        <v>680</v>
      </c>
      <c r="F683" s="105" t="s">
        <v>2639</v>
      </c>
      <c r="G683" s="3" t="s">
        <v>2856</v>
      </c>
      <c r="H683" s="3" t="s">
        <v>2857</v>
      </c>
      <c r="I683" s="3" t="s">
        <v>3459</v>
      </c>
      <c r="J683" s="22" t="s">
        <v>2858</v>
      </c>
      <c r="K683" s="141" t="s">
        <v>2859</v>
      </c>
    </row>
    <row r="684" spans="1:11">
      <c r="A684" s="137"/>
      <c r="B684" s="119"/>
      <c r="C684" s="119"/>
      <c r="D684" s="104" t="s">
        <v>681</v>
      </c>
      <c r="E684" s="104" t="s">
        <v>682</v>
      </c>
      <c r="F684" s="105" t="s">
        <v>2640</v>
      </c>
      <c r="G684" s="3" t="s">
        <v>2860</v>
      </c>
      <c r="H684" s="3" t="s">
        <v>2861</v>
      </c>
      <c r="I684" s="3" t="s">
        <v>3459</v>
      </c>
      <c r="J684" s="22" t="s">
        <v>2862</v>
      </c>
      <c r="K684" s="141" t="s">
        <v>2863</v>
      </c>
    </row>
    <row r="685" spans="1:11">
      <c r="A685" s="137"/>
      <c r="B685" s="119"/>
      <c r="C685" s="119"/>
      <c r="D685" s="104" t="s">
        <v>683</v>
      </c>
      <c r="E685" s="104" t="s">
        <v>684</v>
      </c>
      <c r="F685" s="105" t="s">
        <v>2640</v>
      </c>
      <c r="G685" s="3" t="s">
        <v>2864</v>
      </c>
      <c r="H685" s="3" t="s">
        <v>2865</v>
      </c>
      <c r="I685" s="3" t="s">
        <v>3459</v>
      </c>
      <c r="J685" s="22" t="s">
        <v>2866</v>
      </c>
      <c r="K685" s="141" t="s">
        <v>2867</v>
      </c>
    </row>
    <row r="686" spans="1:11">
      <c r="A686" s="137"/>
      <c r="B686" s="119"/>
      <c r="C686" s="119"/>
      <c r="D686" s="104" t="s">
        <v>685</v>
      </c>
      <c r="E686" s="104" t="s">
        <v>686</v>
      </c>
      <c r="F686" s="105" t="s">
        <v>2639</v>
      </c>
      <c r="G686" s="3" t="s">
        <v>2868</v>
      </c>
      <c r="H686" s="3" t="s">
        <v>2869</v>
      </c>
      <c r="I686" s="3" t="s">
        <v>3453</v>
      </c>
      <c r="J686" s="22" t="s">
        <v>2870</v>
      </c>
      <c r="K686" s="141" t="s">
        <v>2871</v>
      </c>
    </row>
    <row r="687" spans="1:11">
      <c r="A687" s="137"/>
      <c r="B687" s="119"/>
      <c r="C687" s="119"/>
      <c r="D687" s="104" t="s">
        <v>529</v>
      </c>
      <c r="E687" s="104" t="s">
        <v>687</v>
      </c>
      <c r="F687" s="105" t="s">
        <v>2639</v>
      </c>
      <c r="G687" s="3" t="s">
        <v>2872</v>
      </c>
      <c r="H687" s="3" t="s">
        <v>2873</v>
      </c>
      <c r="I687" s="3" t="s">
        <v>3453</v>
      </c>
      <c r="J687" s="22" t="s">
        <v>2874</v>
      </c>
      <c r="K687" s="141" t="s">
        <v>2875</v>
      </c>
    </row>
    <row r="688" spans="1:11">
      <c r="A688" s="137"/>
      <c r="B688" s="119"/>
      <c r="C688" s="119" t="s">
        <v>688</v>
      </c>
      <c r="D688" s="104" t="s">
        <v>689</v>
      </c>
      <c r="E688" s="104" t="s">
        <v>690</v>
      </c>
      <c r="F688" s="105" t="s">
        <v>2639</v>
      </c>
      <c r="G688" s="3" t="s">
        <v>2876</v>
      </c>
      <c r="H688" s="3" t="s">
        <v>2877</v>
      </c>
      <c r="I688" s="3" t="s">
        <v>3453</v>
      </c>
      <c r="J688" s="22" t="s">
        <v>2878</v>
      </c>
      <c r="K688" s="141" t="s">
        <v>2879</v>
      </c>
    </row>
    <row r="689" spans="1:11">
      <c r="A689" s="137"/>
      <c r="B689" s="119"/>
      <c r="C689" s="119"/>
      <c r="D689" s="104" t="s">
        <v>691</v>
      </c>
      <c r="E689" s="104" t="s">
        <v>692</v>
      </c>
      <c r="F689" s="105" t="s">
        <v>2639</v>
      </c>
      <c r="G689" s="3" t="s">
        <v>2880</v>
      </c>
      <c r="H689" s="3" t="s">
        <v>2881</v>
      </c>
      <c r="I689" s="3" t="s">
        <v>3459</v>
      </c>
      <c r="J689" s="22" t="s">
        <v>2882</v>
      </c>
      <c r="K689" s="141" t="s">
        <v>2883</v>
      </c>
    </row>
    <row r="690" spans="1:11">
      <c r="A690" s="137"/>
      <c r="B690" s="119"/>
      <c r="C690" s="119"/>
      <c r="D690" s="104" t="s">
        <v>693</v>
      </c>
      <c r="E690" s="104" t="s">
        <v>694</v>
      </c>
      <c r="F690" s="105" t="s">
        <v>2639</v>
      </c>
      <c r="G690" s="3" t="s">
        <v>2884</v>
      </c>
      <c r="H690" s="3" t="s">
        <v>2885</v>
      </c>
      <c r="I690" s="3" t="s">
        <v>3581</v>
      </c>
      <c r="J690" s="22" t="s">
        <v>2886</v>
      </c>
      <c r="K690" s="141" t="s">
        <v>2887</v>
      </c>
    </row>
    <row r="691" spans="1:11">
      <c r="A691" s="137"/>
      <c r="B691" s="119"/>
      <c r="C691" s="119"/>
      <c r="D691" s="104" t="s">
        <v>695</v>
      </c>
      <c r="E691" s="104" t="s">
        <v>696</v>
      </c>
      <c r="F691" s="105" t="s">
        <v>2640</v>
      </c>
      <c r="G691" s="3" t="s">
        <v>2888</v>
      </c>
      <c r="H691" s="3" t="s">
        <v>2889</v>
      </c>
      <c r="I691" s="3" t="s">
        <v>3459</v>
      </c>
      <c r="J691" s="22" t="s">
        <v>2890</v>
      </c>
      <c r="K691" s="141" t="s">
        <v>2891</v>
      </c>
    </row>
    <row r="692" spans="1:11">
      <c r="A692" s="137"/>
      <c r="B692" s="119"/>
      <c r="C692" s="119"/>
      <c r="D692" s="104" t="s">
        <v>529</v>
      </c>
      <c r="E692" s="104" t="s">
        <v>697</v>
      </c>
      <c r="F692" s="105" t="s">
        <v>2641</v>
      </c>
      <c r="G692" s="3" t="s">
        <v>2653</v>
      </c>
      <c r="H692" s="3" t="s">
        <v>2892</v>
      </c>
      <c r="I692" s="3" t="s">
        <v>3453</v>
      </c>
      <c r="J692" s="22" t="s">
        <v>2893</v>
      </c>
      <c r="K692" s="141" t="s">
        <v>2894</v>
      </c>
    </row>
    <row r="693" spans="1:11">
      <c r="A693" s="137"/>
      <c r="B693" s="119"/>
      <c r="C693" s="119" t="s">
        <v>698</v>
      </c>
      <c r="D693" s="104" t="s">
        <v>699</v>
      </c>
      <c r="E693" s="104" t="s">
        <v>700</v>
      </c>
      <c r="F693" s="105" t="s">
        <v>2639</v>
      </c>
      <c r="G693" s="3" t="s">
        <v>2895</v>
      </c>
      <c r="H693" s="3" t="s">
        <v>2896</v>
      </c>
      <c r="I693" s="3" t="s">
        <v>3459</v>
      </c>
      <c r="J693" s="22" t="s">
        <v>2897</v>
      </c>
      <c r="K693" s="141" t="s">
        <v>2898</v>
      </c>
    </row>
    <row r="694" spans="1:11">
      <c r="A694" s="137"/>
      <c r="B694" s="119"/>
      <c r="C694" s="119"/>
      <c r="D694" s="104" t="s">
        <v>701</v>
      </c>
      <c r="E694" s="104" t="s">
        <v>702</v>
      </c>
      <c r="F694" s="105" t="s">
        <v>2639</v>
      </c>
      <c r="G694" s="3" t="s">
        <v>2899</v>
      </c>
      <c r="H694" s="3" t="s">
        <v>2674</v>
      </c>
      <c r="I694" s="3" t="s">
        <v>3459</v>
      </c>
      <c r="J694" s="22" t="s">
        <v>2900</v>
      </c>
      <c r="K694" s="141" t="s">
        <v>2901</v>
      </c>
    </row>
    <row r="695" spans="1:11">
      <c r="A695" s="137"/>
      <c r="B695" s="119"/>
      <c r="C695" s="119"/>
      <c r="D695" s="104" t="s">
        <v>703</v>
      </c>
      <c r="E695" s="104" t="s">
        <v>704</v>
      </c>
      <c r="F695" s="105" t="s">
        <v>2640</v>
      </c>
      <c r="G695" s="3" t="s">
        <v>2902</v>
      </c>
      <c r="H695" s="3" t="s">
        <v>2903</v>
      </c>
      <c r="I695" s="3" t="s">
        <v>3581</v>
      </c>
      <c r="J695" s="22" t="s">
        <v>2904</v>
      </c>
      <c r="K695" s="141" t="s">
        <v>2905</v>
      </c>
    </row>
    <row r="696" spans="1:11">
      <c r="A696" s="137"/>
      <c r="B696" s="119"/>
      <c r="C696" s="119"/>
      <c r="D696" s="104" t="s">
        <v>705</v>
      </c>
      <c r="E696" s="104" t="s">
        <v>706</v>
      </c>
      <c r="F696" s="105" t="s">
        <v>2639</v>
      </c>
      <c r="G696" s="3" t="s">
        <v>2906</v>
      </c>
      <c r="H696" s="3" t="s">
        <v>2907</v>
      </c>
      <c r="I696" s="3" t="s">
        <v>3581</v>
      </c>
      <c r="J696" s="22" t="s">
        <v>2908</v>
      </c>
      <c r="K696" s="141" t="s">
        <v>2909</v>
      </c>
    </row>
    <row r="697" spans="1:11">
      <c r="A697" s="137"/>
      <c r="B697" s="119"/>
      <c r="C697" s="119"/>
      <c r="D697" s="104" t="s">
        <v>529</v>
      </c>
      <c r="E697" s="104" t="s">
        <v>707</v>
      </c>
      <c r="F697" s="105" t="s">
        <v>2641</v>
      </c>
      <c r="G697" s="3" t="s">
        <v>2910</v>
      </c>
      <c r="H697" s="3" t="s">
        <v>2911</v>
      </c>
      <c r="I697" s="3" t="s">
        <v>3453</v>
      </c>
      <c r="J697" s="22" t="s">
        <v>2912</v>
      </c>
      <c r="K697" s="141" t="s">
        <v>2913</v>
      </c>
    </row>
    <row r="698" spans="1:11">
      <c r="A698" s="137"/>
      <c r="B698" s="119" t="s">
        <v>708</v>
      </c>
      <c r="C698" s="119" t="s">
        <v>709</v>
      </c>
      <c r="D698" s="104" t="s">
        <v>710</v>
      </c>
      <c r="E698" s="104" t="s">
        <v>711</v>
      </c>
      <c r="F698" s="105" t="s">
        <v>2639</v>
      </c>
      <c r="G698" s="3" t="s">
        <v>2914</v>
      </c>
      <c r="H698" s="3" t="s">
        <v>2915</v>
      </c>
      <c r="I698" s="3" t="s">
        <v>3459</v>
      </c>
      <c r="J698" s="22" t="s">
        <v>2916</v>
      </c>
      <c r="K698" s="141" t="s">
        <v>2917</v>
      </c>
    </row>
    <row r="699" spans="1:11">
      <c r="A699" s="137"/>
      <c r="B699" s="119"/>
      <c r="C699" s="119"/>
      <c r="D699" s="104" t="s">
        <v>712</v>
      </c>
      <c r="E699" s="104" t="s">
        <v>713</v>
      </c>
      <c r="F699" s="105" t="s">
        <v>2641</v>
      </c>
      <c r="G699" s="3" t="s">
        <v>2918</v>
      </c>
      <c r="H699" s="3" t="s">
        <v>2274</v>
      </c>
      <c r="I699" s="3" t="s">
        <v>3581</v>
      </c>
      <c r="J699" s="22" t="s">
        <v>2919</v>
      </c>
      <c r="K699" s="141" t="s">
        <v>2920</v>
      </c>
    </row>
    <row r="700" spans="1:11">
      <c r="A700" s="137"/>
      <c r="B700" s="119"/>
      <c r="C700" s="119"/>
      <c r="D700" s="104" t="s">
        <v>714</v>
      </c>
      <c r="E700" s="104" t="s">
        <v>715</v>
      </c>
      <c r="F700" s="105" t="s">
        <v>2641</v>
      </c>
      <c r="G700" s="3" t="s">
        <v>2921</v>
      </c>
      <c r="H700" s="3" t="s">
        <v>2922</v>
      </c>
      <c r="I700" s="3" t="s">
        <v>3459</v>
      </c>
      <c r="J700" s="22" t="s">
        <v>2923</v>
      </c>
      <c r="K700" s="141" t="s">
        <v>2924</v>
      </c>
    </row>
    <row r="701" spans="1:11">
      <c r="A701" s="137"/>
      <c r="B701" s="119"/>
      <c r="C701" s="119"/>
      <c r="D701" s="104" t="s">
        <v>716</v>
      </c>
      <c r="E701" s="104" t="s">
        <v>717</v>
      </c>
      <c r="F701" s="105" t="s">
        <v>2639</v>
      </c>
      <c r="G701" s="3" t="s">
        <v>2925</v>
      </c>
      <c r="H701" s="3" t="s">
        <v>2926</v>
      </c>
      <c r="I701" s="3" t="s">
        <v>3453</v>
      </c>
      <c r="J701" s="22" t="s">
        <v>2927</v>
      </c>
      <c r="K701" s="141" t="s">
        <v>2928</v>
      </c>
    </row>
    <row r="702" spans="1:11">
      <c r="A702" s="137"/>
      <c r="B702" s="119"/>
      <c r="C702" s="119"/>
      <c r="D702" s="104" t="s">
        <v>718</v>
      </c>
      <c r="E702" s="104" t="s">
        <v>719</v>
      </c>
      <c r="F702" s="105" t="s">
        <v>2639</v>
      </c>
      <c r="G702" s="3" t="s">
        <v>2929</v>
      </c>
      <c r="H702" s="3" t="s">
        <v>2930</v>
      </c>
      <c r="I702" s="3" t="s">
        <v>3453</v>
      </c>
      <c r="J702" s="22" t="s">
        <v>2931</v>
      </c>
      <c r="K702" s="141" t="s">
        <v>2932</v>
      </c>
    </row>
    <row r="703" spans="1:11">
      <c r="A703" s="137"/>
      <c r="B703" s="119"/>
      <c r="C703" s="119" t="s">
        <v>720</v>
      </c>
      <c r="D703" s="104" t="s">
        <v>721</v>
      </c>
      <c r="E703" s="104" t="s">
        <v>722</v>
      </c>
      <c r="F703" s="105" t="s">
        <v>2639</v>
      </c>
      <c r="G703" s="3" t="s">
        <v>2933</v>
      </c>
      <c r="H703" s="3" t="s">
        <v>2934</v>
      </c>
      <c r="I703" s="3" t="s">
        <v>3453</v>
      </c>
      <c r="J703" s="22" t="s">
        <v>2935</v>
      </c>
      <c r="K703" s="141" t="s">
        <v>2936</v>
      </c>
    </row>
    <row r="704" spans="1:11">
      <c r="A704" s="137"/>
      <c r="B704" s="119"/>
      <c r="C704" s="119"/>
      <c r="D704" s="104" t="s">
        <v>723</v>
      </c>
      <c r="E704" s="104" t="s">
        <v>724</v>
      </c>
      <c r="F704" s="105" t="s">
        <v>2639</v>
      </c>
      <c r="G704" s="3" t="s">
        <v>2937</v>
      </c>
      <c r="H704" s="3" t="s">
        <v>2861</v>
      </c>
      <c r="I704" s="3" t="s">
        <v>3453</v>
      </c>
      <c r="J704" s="22" t="s">
        <v>2938</v>
      </c>
      <c r="K704" s="141" t="s">
        <v>2939</v>
      </c>
    </row>
    <row r="705" spans="1:11">
      <c r="A705" s="137"/>
      <c r="B705" s="119"/>
      <c r="C705" s="119"/>
      <c r="D705" s="104" t="s">
        <v>725</v>
      </c>
      <c r="E705" s="104" t="s">
        <v>726</v>
      </c>
      <c r="F705" s="105" t="s">
        <v>2640</v>
      </c>
      <c r="G705" s="3" t="s">
        <v>2940</v>
      </c>
      <c r="H705" s="3" t="s">
        <v>2941</v>
      </c>
      <c r="I705" s="3" t="s">
        <v>3453</v>
      </c>
      <c r="J705" s="22" t="s">
        <v>2942</v>
      </c>
      <c r="K705" s="141" t="s">
        <v>2943</v>
      </c>
    </row>
    <row r="706" spans="1:11">
      <c r="A706" s="137"/>
      <c r="B706" s="119"/>
      <c r="C706" s="119"/>
      <c r="D706" s="104" t="s">
        <v>727</v>
      </c>
      <c r="E706" s="104" t="s">
        <v>728</v>
      </c>
      <c r="F706" s="105" t="s">
        <v>2639</v>
      </c>
      <c r="G706" s="3" t="s">
        <v>2944</v>
      </c>
      <c r="H706" s="3" t="s">
        <v>2945</v>
      </c>
      <c r="I706" s="3" t="s">
        <v>3453</v>
      </c>
      <c r="J706" s="22" t="s">
        <v>2946</v>
      </c>
      <c r="K706" s="141" t="s">
        <v>2947</v>
      </c>
    </row>
    <row r="707" spans="1:11">
      <c r="A707" s="137"/>
      <c r="B707" s="119"/>
      <c r="C707" s="119"/>
      <c r="D707" s="104" t="s">
        <v>729</v>
      </c>
      <c r="E707" s="104" t="s">
        <v>730</v>
      </c>
      <c r="F707" s="105" t="s">
        <v>2639</v>
      </c>
      <c r="G707" s="3" t="s">
        <v>2948</v>
      </c>
      <c r="H707" s="3" t="s">
        <v>2949</v>
      </c>
      <c r="I707" s="3" t="s">
        <v>3453</v>
      </c>
      <c r="J707" s="22" t="s">
        <v>2381</v>
      </c>
      <c r="K707" s="141" t="s">
        <v>2950</v>
      </c>
    </row>
    <row r="708" spans="1:11">
      <c r="A708" s="137"/>
      <c r="B708" s="119"/>
      <c r="C708" s="119" t="s">
        <v>731</v>
      </c>
      <c r="D708" s="104" t="s">
        <v>732</v>
      </c>
      <c r="E708" s="104" t="s">
        <v>733</v>
      </c>
      <c r="F708" s="105" t="s">
        <v>2641</v>
      </c>
      <c r="G708" s="3" t="s">
        <v>2951</v>
      </c>
      <c r="H708" s="3" t="s">
        <v>2952</v>
      </c>
      <c r="I708" s="3" t="s">
        <v>3459</v>
      </c>
      <c r="J708" s="22" t="s">
        <v>2953</v>
      </c>
      <c r="K708" s="141" t="s">
        <v>2954</v>
      </c>
    </row>
    <row r="709" spans="1:11">
      <c r="A709" s="137"/>
      <c r="B709" s="119"/>
      <c r="C709" s="119"/>
      <c r="D709" s="104" t="s">
        <v>734</v>
      </c>
      <c r="E709" s="104" t="s">
        <v>735</v>
      </c>
      <c r="F709" s="105" t="s">
        <v>2639</v>
      </c>
      <c r="G709" s="3" t="s">
        <v>2955</v>
      </c>
      <c r="H709" s="3" t="s">
        <v>2956</v>
      </c>
      <c r="I709" s="3" t="s">
        <v>3459</v>
      </c>
      <c r="J709" s="22" t="s">
        <v>2957</v>
      </c>
      <c r="K709" s="141" t="s">
        <v>2958</v>
      </c>
    </row>
    <row r="710" spans="1:11">
      <c r="A710" s="137"/>
      <c r="B710" s="119"/>
      <c r="C710" s="119"/>
      <c r="D710" s="104" t="s">
        <v>736</v>
      </c>
      <c r="E710" s="104" t="s">
        <v>737</v>
      </c>
      <c r="F710" s="105" t="s">
        <v>2639</v>
      </c>
      <c r="G710" s="3" t="s">
        <v>2959</v>
      </c>
      <c r="H710" s="3" t="s">
        <v>2960</v>
      </c>
      <c r="I710" s="3" t="s">
        <v>3581</v>
      </c>
      <c r="J710" s="22" t="s">
        <v>2961</v>
      </c>
      <c r="K710" s="141" t="s">
        <v>2962</v>
      </c>
    </row>
    <row r="711" spans="1:11">
      <c r="A711" s="137"/>
      <c r="B711" s="119"/>
      <c r="C711" s="119"/>
      <c r="D711" s="104" t="s">
        <v>738</v>
      </c>
      <c r="E711" s="104" t="s">
        <v>739</v>
      </c>
      <c r="F711" s="105" t="s">
        <v>2639</v>
      </c>
      <c r="G711" s="3" t="s">
        <v>2963</v>
      </c>
      <c r="H711" s="3" t="s">
        <v>2964</v>
      </c>
      <c r="I711" s="3" t="s">
        <v>3459</v>
      </c>
      <c r="J711" s="22" t="s">
        <v>2965</v>
      </c>
      <c r="K711" s="141" t="s">
        <v>2966</v>
      </c>
    </row>
    <row r="712" spans="1:11">
      <c r="A712" s="137"/>
      <c r="B712" s="119"/>
      <c r="C712" s="119"/>
      <c r="D712" s="104" t="s">
        <v>740</v>
      </c>
      <c r="E712" s="104" t="s">
        <v>741</v>
      </c>
      <c r="F712" s="105" t="s">
        <v>2640</v>
      </c>
      <c r="G712" s="3" t="s">
        <v>2967</v>
      </c>
      <c r="H712" s="3" t="s">
        <v>2968</v>
      </c>
      <c r="I712" s="3" t="s">
        <v>3453</v>
      </c>
      <c r="J712" s="22" t="s">
        <v>2969</v>
      </c>
      <c r="K712" s="141" t="s">
        <v>2970</v>
      </c>
    </row>
    <row r="713" spans="1:11">
      <c r="A713" s="137"/>
      <c r="B713" s="119"/>
      <c r="C713" s="119" t="s">
        <v>742</v>
      </c>
      <c r="D713" s="104" t="s">
        <v>743</v>
      </c>
      <c r="E713" s="104" t="s">
        <v>744</v>
      </c>
      <c r="F713" s="105" t="s">
        <v>2640</v>
      </c>
      <c r="G713" s="3" t="s">
        <v>2971</v>
      </c>
      <c r="H713" s="3" t="s">
        <v>2972</v>
      </c>
      <c r="I713" s="3" t="s">
        <v>3459</v>
      </c>
      <c r="J713" s="22" t="s">
        <v>2973</v>
      </c>
      <c r="K713" s="141" t="s">
        <v>2974</v>
      </c>
    </row>
    <row r="714" spans="1:11">
      <c r="A714" s="137"/>
      <c r="B714" s="119"/>
      <c r="C714" s="119"/>
      <c r="D714" s="104" t="s">
        <v>745</v>
      </c>
      <c r="E714" s="104" t="s">
        <v>746</v>
      </c>
      <c r="F714" s="105" t="s">
        <v>2639</v>
      </c>
      <c r="G714" s="3" t="s">
        <v>2975</v>
      </c>
      <c r="H714" s="3" t="s">
        <v>2976</v>
      </c>
      <c r="I714" s="3" t="s">
        <v>3581</v>
      </c>
      <c r="J714" s="22" t="s">
        <v>2977</v>
      </c>
      <c r="K714" s="141" t="s">
        <v>2978</v>
      </c>
    </row>
    <row r="715" spans="1:11">
      <c r="A715" s="137"/>
      <c r="B715" s="119"/>
      <c r="C715" s="119"/>
      <c r="D715" s="104" t="s">
        <v>747</v>
      </c>
      <c r="E715" s="104" t="s">
        <v>748</v>
      </c>
      <c r="F715" s="105" t="s">
        <v>2639</v>
      </c>
      <c r="G715" s="3" t="s">
        <v>2979</v>
      </c>
      <c r="H715" s="3" t="s">
        <v>2980</v>
      </c>
      <c r="I715" s="3" t="s">
        <v>3581</v>
      </c>
      <c r="J715" s="22" t="s">
        <v>2981</v>
      </c>
      <c r="K715" s="141" t="s">
        <v>2982</v>
      </c>
    </row>
    <row r="716" spans="1:11">
      <c r="A716" s="137"/>
      <c r="B716" s="119"/>
      <c r="C716" s="119"/>
      <c r="D716" s="104" t="s">
        <v>749</v>
      </c>
      <c r="E716" s="104" t="s">
        <v>750</v>
      </c>
      <c r="F716" s="105" t="s">
        <v>2639</v>
      </c>
      <c r="G716" s="3" t="s">
        <v>2983</v>
      </c>
      <c r="H716" s="3" t="s">
        <v>2984</v>
      </c>
      <c r="I716" s="3" t="s">
        <v>3459</v>
      </c>
      <c r="J716" s="22" t="s">
        <v>2985</v>
      </c>
      <c r="K716" s="141" t="s">
        <v>2986</v>
      </c>
    </row>
    <row r="717" spans="1:11">
      <c r="A717" s="137"/>
      <c r="B717" s="119"/>
      <c r="C717" s="119"/>
      <c r="D717" s="104" t="s">
        <v>751</v>
      </c>
      <c r="E717" s="104" t="s">
        <v>752</v>
      </c>
      <c r="F717" s="105" t="s">
        <v>2639</v>
      </c>
      <c r="G717" s="3" t="s">
        <v>2987</v>
      </c>
      <c r="H717" s="3" t="s">
        <v>2988</v>
      </c>
      <c r="I717" s="3" t="s">
        <v>3453</v>
      </c>
      <c r="J717" s="22" t="s">
        <v>2989</v>
      </c>
      <c r="K717" s="141" t="s">
        <v>2990</v>
      </c>
    </row>
    <row r="718" spans="1:11">
      <c r="A718" s="137"/>
      <c r="B718" s="119"/>
      <c r="C718" s="119" t="s">
        <v>753</v>
      </c>
      <c r="D718" s="104" t="s">
        <v>754</v>
      </c>
      <c r="E718" s="104" t="s">
        <v>755</v>
      </c>
      <c r="F718" s="105" t="s">
        <v>2639</v>
      </c>
      <c r="G718" s="3" t="s">
        <v>2991</v>
      </c>
      <c r="H718" s="3" t="s">
        <v>2992</v>
      </c>
      <c r="I718" s="3" t="s">
        <v>3459</v>
      </c>
      <c r="J718" s="22" t="s">
        <v>2993</v>
      </c>
      <c r="K718" s="141" t="s">
        <v>2994</v>
      </c>
    </row>
    <row r="719" spans="1:11">
      <c r="A719" s="137"/>
      <c r="B719" s="119"/>
      <c r="C719" s="119"/>
      <c r="D719" s="104" t="s">
        <v>756</v>
      </c>
      <c r="E719" s="104" t="s">
        <v>757</v>
      </c>
      <c r="F719" s="105" t="s">
        <v>2640</v>
      </c>
      <c r="G719" s="3" t="s">
        <v>2995</v>
      </c>
      <c r="H719" s="3" t="s">
        <v>2996</v>
      </c>
      <c r="I719" s="3" t="s">
        <v>3459</v>
      </c>
      <c r="J719" s="22" t="s">
        <v>2997</v>
      </c>
      <c r="K719" s="141" t="s">
        <v>2998</v>
      </c>
    </row>
    <row r="720" spans="1:11">
      <c r="A720" s="137"/>
      <c r="B720" s="119"/>
      <c r="C720" s="119"/>
      <c r="D720" s="104" t="s">
        <v>758</v>
      </c>
      <c r="E720" s="104" t="s">
        <v>759</v>
      </c>
      <c r="F720" s="105" t="s">
        <v>2641</v>
      </c>
      <c r="G720" s="3" t="s">
        <v>2999</v>
      </c>
      <c r="H720" s="3" t="s">
        <v>3000</v>
      </c>
      <c r="I720" s="3" t="s">
        <v>3581</v>
      </c>
      <c r="J720" s="22" t="s">
        <v>3001</v>
      </c>
      <c r="K720" s="141" t="s">
        <v>3002</v>
      </c>
    </row>
    <row r="721" spans="1:11">
      <c r="A721" s="137"/>
      <c r="B721" s="119"/>
      <c r="C721" s="119"/>
      <c r="D721" s="104" t="s">
        <v>760</v>
      </c>
      <c r="E721" s="104" t="s">
        <v>761</v>
      </c>
      <c r="F721" s="105" t="s">
        <v>2639</v>
      </c>
      <c r="G721" s="3" t="s">
        <v>3003</v>
      </c>
      <c r="H721" s="3" t="s">
        <v>3004</v>
      </c>
      <c r="I721" s="3" t="s">
        <v>3459</v>
      </c>
      <c r="J721" s="22" t="s">
        <v>3005</v>
      </c>
      <c r="K721" s="141" t="s">
        <v>3006</v>
      </c>
    </row>
    <row r="722" spans="1:11">
      <c r="A722" s="137"/>
      <c r="B722" s="119"/>
      <c r="C722" s="119"/>
      <c r="D722" s="104" t="s">
        <v>762</v>
      </c>
      <c r="E722" s="104" t="s">
        <v>763</v>
      </c>
      <c r="F722" s="105" t="s">
        <v>2639</v>
      </c>
      <c r="G722" s="3" t="s">
        <v>3007</v>
      </c>
      <c r="H722" s="3" t="s">
        <v>3008</v>
      </c>
      <c r="I722" s="3" t="s">
        <v>3453</v>
      </c>
      <c r="J722" s="22" t="s">
        <v>3009</v>
      </c>
      <c r="K722" s="141" t="s">
        <v>3010</v>
      </c>
    </row>
    <row r="723" spans="1:11">
      <c r="A723" s="137"/>
      <c r="B723" s="119"/>
      <c r="C723" s="119" t="s">
        <v>764</v>
      </c>
      <c r="D723" s="104" t="s">
        <v>765</v>
      </c>
      <c r="E723" s="104" t="s">
        <v>766</v>
      </c>
      <c r="F723" s="105" t="s">
        <v>2640</v>
      </c>
      <c r="G723" s="3" t="s">
        <v>3011</v>
      </c>
      <c r="H723" s="3" t="s">
        <v>3012</v>
      </c>
      <c r="I723" s="3" t="s">
        <v>3581</v>
      </c>
      <c r="J723" s="22" t="s">
        <v>3013</v>
      </c>
      <c r="K723" s="141" t="s">
        <v>3014</v>
      </c>
    </row>
    <row r="724" spans="1:11">
      <c r="A724" s="137"/>
      <c r="B724" s="119"/>
      <c r="C724" s="119"/>
      <c r="D724" s="104" t="s">
        <v>767</v>
      </c>
      <c r="E724" s="104" t="s">
        <v>768</v>
      </c>
      <c r="F724" s="105" t="s">
        <v>2639</v>
      </c>
      <c r="G724" s="3" t="s">
        <v>3015</v>
      </c>
      <c r="H724" s="3" t="s">
        <v>3016</v>
      </c>
      <c r="I724" s="3" t="s">
        <v>3459</v>
      </c>
      <c r="J724" s="22" t="s">
        <v>3017</v>
      </c>
      <c r="K724" s="141" t="s">
        <v>3018</v>
      </c>
    </row>
    <row r="725" spans="1:11">
      <c r="A725" s="137"/>
      <c r="B725" s="119"/>
      <c r="C725" s="119"/>
      <c r="D725" s="104" t="s">
        <v>769</v>
      </c>
      <c r="E725" s="104" t="s">
        <v>770</v>
      </c>
      <c r="F725" s="105" t="s">
        <v>2641</v>
      </c>
      <c r="G725" s="3" t="s">
        <v>3019</v>
      </c>
      <c r="H725" s="3" t="s">
        <v>3020</v>
      </c>
      <c r="I725" s="3" t="s">
        <v>3581</v>
      </c>
      <c r="J725" s="22" t="s">
        <v>3021</v>
      </c>
      <c r="K725" s="141" t="s">
        <v>3022</v>
      </c>
    </row>
    <row r="726" spans="1:11">
      <c r="A726" s="137"/>
      <c r="B726" s="119"/>
      <c r="C726" s="119"/>
      <c r="D726" s="104" t="s">
        <v>771</v>
      </c>
      <c r="E726" s="104" t="s">
        <v>772</v>
      </c>
      <c r="F726" s="105" t="s">
        <v>2639</v>
      </c>
      <c r="G726" s="3" t="s">
        <v>2929</v>
      </c>
      <c r="H726" s="3" t="s">
        <v>3023</v>
      </c>
      <c r="I726" s="3" t="s">
        <v>3453</v>
      </c>
      <c r="J726" s="22" t="s">
        <v>3024</v>
      </c>
      <c r="K726" s="141" t="s">
        <v>3025</v>
      </c>
    </row>
    <row r="727" spans="1:11">
      <c r="A727" s="137"/>
      <c r="B727" s="119"/>
      <c r="C727" s="119"/>
      <c r="D727" s="104" t="s">
        <v>773</v>
      </c>
      <c r="E727" s="104" t="s">
        <v>774</v>
      </c>
      <c r="F727" s="105" t="s">
        <v>2641</v>
      </c>
      <c r="G727" s="3" t="s">
        <v>3026</v>
      </c>
      <c r="H727" s="3" t="s">
        <v>2076</v>
      </c>
      <c r="I727" s="3" t="s">
        <v>3459</v>
      </c>
      <c r="J727" s="22" t="s">
        <v>3027</v>
      </c>
      <c r="K727" s="141" t="s">
        <v>3028</v>
      </c>
    </row>
    <row r="728" spans="1:11">
      <c r="A728" s="137"/>
      <c r="B728" s="119"/>
      <c r="C728" s="119" t="s">
        <v>775</v>
      </c>
      <c r="D728" s="104" t="s">
        <v>776</v>
      </c>
      <c r="E728" s="104" t="s">
        <v>777</v>
      </c>
      <c r="F728" s="105" t="s">
        <v>2641</v>
      </c>
      <c r="G728" s="3" t="s">
        <v>3029</v>
      </c>
      <c r="H728" s="3" t="s">
        <v>3030</v>
      </c>
      <c r="I728" s="3" t="s">
        <v>3459</v>
      </c>
      <c r="J728" s="22" t="s">
        <v>3031</v>
      </c>
      <c r="K728" s="141" t="s">
        <v>3032</v>
      </c>
    </row>
    <row r="729" spans="1:11">
      <c r="A729" s="137"/>
      <c r="B729" s="119"/>
      <c r="C729" s="119"/>
      <c r="D729" s="104" t="s">
        <v>778</v>
      </c>
      <c r="E729" s="104" t="s">
        <v>779</v>
      </c>
      <c r="F729" s="105" t="s">
        <v>2641</v>
      </c>
      <c r="G729" s="3" t="s">
        <v>3033</v>
      </c>
      <c r="H729" s="3" t="s">
        <v>3034</v>
      </c>
      <c r="I729" s="3" t="s">
        <v>3453</v>
      </c>
      <c r="J729" s="22" t="s">
        <v>3035</v>
      </c>
      <c r="K729" s="141" t="s">
        <v>3036</v>
      </c>
    </row>
    <row r="730" spans="1:11">
      <c r="A730" s="137"/>
      <c r="B730" s="119"/>
      <c r="C730" s="119"/>
      <c r="D730" s="104" t="s">
        <v>780</v>
      </c>
      <c r="E730" s="104" t="s">
        <v>781</v>
      </c>
      <c r="F730" s="105" t="s">
        <v>2641</v>
      </c>
      <c r="G730" s="3" t="s">
        <v>3037</v>
      </c>
      <c r="H730" s="3" t="s">
        <v>3038</v>
      </c>
      <c r="I730" s="3" t="s">
        <v>3453</v>
      </c>
      <c r="J730" s="22" t="s">
        <v>3039</v>
      </c>
      <c r="K730" s="141" t="s">
        <v>3040</v>
      </c>
    </row>
    <row r="731" spans="1:11">
      <c r="A731" s="137"/>
      <c r="B731" s="119"/>
      <c r="C731" s="119"/>
      <c r="D731" s="104" t="s">
        <v>782</v>
      </c>
      <c r="E731" s="104" t="s">
        <v>783</v>
      </c>
      <c r="F731" s="105" t="s">
        <v>2640</v>
      </c>
      <c r="G731" s="3" t="s">
        <v>3041</v>
      </c>
      <c r="H731" s="3" t="s">
        <v>3042</v>
      </c>
      <c r="I731" s="3" t="s">
        <v>3453</v>
      </c>
      <c r="J731" s="22" t="s">
        <v>3043</v>
      </c>
      <c r="K731" s="141" t="s">
        <v>3044</v>
      </c>
    </row>
    <row r="732" spans="1:11">
      <c r="A732" s="137"/>
      <c r="B732" s="119"/>
      <c r="C732" s="119"/>
      <c r="D732" s="104" t="s">
        <v>784</v>
      </c>
      <c r="E732" s="104" t="s">
        <v>785</v>
      </c>
      <c r="F732" s="105" t="s">
        <v>2640</v>
      </c>
      <c r="G732" s="3" t="s">
        <v>2880</v>
      </c>
      <c r="H732" s="3" t="s">
        <v>3045</v>
      </c>
      <c r="I732" s="102" t="s">
        <v>3459</v>
      </c>
      <c r="J732" s="22" t="s">
        <v>3046</v>
      </c>
      <c r="K732" s="141" t="s">
        <v>3047</v>
      </c>
    </row>
    <row r="733" spans="1:11">
      <c r="A733" s="137"/>
      <c r="B733" s="119"/>
      <c r="C733" s="119" t="s">
        <v>786</v>
      </c>
      <c r="D733" s="104" t="s">
        <v>787</v>
      </c>
      <c r="E733" s="104" t="s">
        <v>788</v>
      </c>
      <c r="F733" s="105" t="s">
        <v>2640</v>
      </c>
      <c r="G733" s="3" t="s">
        <v>3048</v>
      </c>
      <c r="H733" s="3" t="s">
        <v>3049</v>
      </c>
      <c r="I733" s="3" t="s">
        <v>3453</v>
      </c>
      <c r="J733" s="22" t="s">
        <v>3050</v>
      </c>
      <c r="K733" s="141" t="s">
        <v>3051</v>
      </c>
    </row>
    <row r="734" spans="1:11">
      <c r="A734" s="137"/>
      <c r="B734" s="119"/>
      <c r="C734" s="119"/>
      <c r="D734" s="104" t="s">
        <v>789</v>
      </c>
      <c r="E734" s="104" t="s">
        <v>790</v>
      </c>
      <c r="F734" s="105" t="s">
        <v>2640</v>
      </c>
      <c r="G734" s="3" t="s">
        <v>3052</v>
      </c>
      <c r="H734" s="3" t="s">
        <v>3053</v>
      </c>
      <c r="I734" s="3" t="s">
        <v>3459</v>
      </c>
      <c r="J734" s="22" t="s">
        <v>3054</v>
      </c>
      <c r="K734" s="141" t="s">
        <v>3055</v>
      </c>
    </row>
    <row r="735" spans="1:11">
      <c r="A735" s="137"/>
      <c r="B735" s="119"/>
      <c r="C735" s="119"/>
      <c r="D735" s="104" t="s">
        <v>791</v>
      </c>
      <c r="E735" s="104" t="s">
        <v>792</v>
      </c>
      <c r="F735" s="105" t="s">
        <v>2640</v>
      </c>
      <c r="G735" s="3" t="s">
        <v>3056</v>
      </c>
      <c r="H735" s="3" t="s">
        <v>3057</v>
      </c>
      <c r="I735" s="3" t="s">
        <v>3459</v>
      </c>
      <c r="J735" s="22" t="s">
        <v>3058</v>
      </c>
      <c r="K735" s="141" t="s">
        <v>3059</v>
      </c>
    </row>
    <row r="736" spans="1:11">
      <c r="A736" s="137"/>
      <c r="B736" s="119"/>
      <c r="C736" s="119"/>
      <c r="D736" s="104" t="s">
        <v>793</v>
      </c>
      <c r="E736" s="104" t="s">
        <v>794</v>
      </c>
      <c r="F736" s="105" t="s">
        <v>2639</v>
      </c>
      <c r="G736" s="3" t="s">
        <v>3060</v>
      </c>
      <c r="H736" s="3" t="s">
        <v>3061</v>
      </c>
      <c r="I736" s="3" t="s">
        <v>3453</v>
      </c>
      <c r="J736" s="22" t="s">
        <v>3062</v>
      </c>
      <c r="K736" s="141" t="s">
        <v>3063</v>
      </c>
    </row>
    <row r="737" spans="1:11">
      <c r="A737" s="137"/>
      <c r="B737" s="119"/>
      <c r="C737" s="119"/>
      <c r="D737" s="104" t="s">
        <v>795</v>
      </c>
      <c r="E737" s="104" t="s">
        <v>796</v>
      </c>
      <c r="F737" s="105" t="s">
        <v>2639</v>
      </c>
      <c r="G737" s="3" t="s">
        <v>3064</v>
      </c>
      <c r="H737" s="3" t="s">
        <v>3065</v>
      </c>
      <c r="I737" s="3" t="s">
        <v>3453</v>
      </c>
      <c r="J737" s="22" t="s">
        <v>3066</v>
      </c>
      <c r="K737" s="141" t="s">
        <v>3067</v>
      </c>
    </row>
    <row r="738" spans="1:11">
      <c r="A738" s="137"/>
      <c r="B738" s="119"/>
      <c r="C738" s="119" t="s">
        <v>797</v>
      </c>
      <c r="D738" s="104" t="s">
        <v>798</v>
      </c>
      <c r="E738" s="104" t="s">
        <v>799</v>
      </c>
      <c r="F738" s="105" t="s">
        <v>2641</v>
      </c>
      <c r="G738" s="3" t="s">
        <v>3068</v>
      </c>
      <c r="H738" s="3" t="s">
        <v>2635</v>
      </c>
      <c r="I738" s="3" t="s">
        <v>3459</v>
      </c>
      <c r="J738" s="22" t="s">
        <v>3069</v>
      </c>
      <c r="K738" s="141" t="s">
        <v>3070</v>
      </c>
    </row>
    <row r="739" spans="1:11">
      <c r="A739" s="137"/>
      <c r="B739" s="119"/>
      <c r="C739" s="119"/>
      <c r="D739" s="104" t="s">
        <v>597</v>
      </c>
      <c r="E739" s="104" t="s">
        <v>800</v>
      </c>
      <c r="F739" s="105" t="s">
        <v>2639</v>
      </c>
      <c r="G739" s="3" t="s">
        <v>3071</v>
      </c>
      <c r="H739" s="3" t="s">
        <v>3072</v>
      </c>
      <c r="I739" s="3" t="s">
        <v>3459</v>
      </c>
      <c r="J739" s="22" t="s">
        <v>3073</v>
      </c>
      <c r="K739" s="141" t="s">
        <v>3074</v>
      </c>
    </row>
    <row r="740" spans="1:11">
      <c r="A740" s="137"/>
      <c r="B740" s="119"/>
      <c r="C740" s="119"/>
      <c r="D740" s="104" t="s">
        <v>801</v>
      </c>
      <c r="E740" s="104" t="s">
        <v>802</v>
      </c>
      <c r="F740" s="105" t="s">
        <v>2639</v>
      </c>
      <c r="G740" s="3" t="s">
        <v>3075</v>
      </c>
      <c r="H740" s="3" t="s">
        <v>3076</v>
      </c>
      <c r="I740" s="3" t="s">
        <v>3453</v>
      </c>
      <c r="J740" s="22" t="s">
        <v>3077</v>
      </c>
      <c r="K740" s="141" t="s">
        <v>3078</v>
      </c>
    </row>
    <row r="741" spans="1:11">
      <c r="A741" s="137"/>
      <c r="B741" s="119"/>
      <c r="C741" s="119"/>
      <c r="D741" s="104" t="s">
        <v>803</v>
      </c>
      <c r="E741" s="104" t="s">
        <v>804</v>
      </c>
      <c r="F741" s="105" t="s">
        <v>2639</v>
      </c>
      <c r="G741" s="3" t="s">
        <v>3079</v>
      </c>
      <c r="H741" s="3" t="s">
        <v>3080</v>
      </c>
      <c r="I741" s="3" t="s">
        <v>3581</v>
      </c>
      <c r="J741" s="22" t="s">
        <v>3081</v>
      </c>
      <c r="K741" s="141" t="s">
        <v>3082</v>
      </c>
    </row>
    <row r="742" spans="1:11">
      <c r="A742" s="137"/>
      <c r="B742" s="119"/>
      <c r="C742" s="119"/>
      <c r="D742" s="104" t="s">
        <v>805</v>
      </c>
      <c r="E742" s="104" t="s">
        <v>806</v>
      </c>
      <c r="F742" s="105" t="s">
        <v>2639</v>
      </c>
      <c r="G742" s="3" t="s">
        <v>3083</v>
      </c>
      <c r="H742" s="3" t="s">
        <v>3084</v>
      </c>
      <c r="I742" s="3" t="s">
        <v>3459</v>
      </c>
      <c r="J742" s="22" t="s">
        <v>3085</v>
      </c>
      <c r="K742" s="141" t="s">
        <v>3086</v>
      </c>
    </row>
    <row r="743" spans="1:11">
      <c r="A743" s="137"/>
      <c r="B743" s="119"/>
      <c r="C743" s="119" t="s">
        <v>807</v>
      </c>
      <c r="D743" s="104" t="s">
        <v>808</v>
      </c>
      <c r="E743" s="104" t="s">
        <v>809</v>
      </c>
      <c r="F743" s="105" t="s">
        <v>2640</v>
      </c>
      <c r="G743" s="3" t="s">
        <v>3087</v>
      </c>
      <c r="H743" s="3" t="s">
        <v>3000</v>
      </c>
      <c r="I743" s="3" t="s">
        <v>3581</v>
      </c>
      <c r="J743" s="22" t="s">
        <v>3088</v>
      </c>
      <c r="K743" s="141" t="s">
        <v>3089</v>
      </c>
    </row>
    <row r="744" spans="1:11">
      <c r="A744" s="137"/>
      <c r="B744" s="119"/>
      <c r="C744" s="119"/>
      <c r="D744" s="104" t="s">
        <v>810</v>
      </c>
      <c r="E744" s="104" t="s">
        <v>811</v>
      </c>
      <c r="F744" s="105" t="s">
        <v>2640</v>
      </c>
      <c r="G744" s="3" t="s">
        <v>3090</v>
      </c>
      <c r="H744" s="3" t="s">
        <v>3091</v>
      </c>
      <c r="I744" s="3" t="s">
        <v>3459</v>
      </c>
      <c r="J744" s="22" t="s">
        <v>3092</v>
      </c>
      <c r="K744" s="141" t="s">
        <v>3093</v>
      </c>
    </row>
    <row r="745" spans="1:11">
      <c r="A745" s="137"/>
      <c r="B745" s="119"/>
      <c r="C745" s="119"/>
      <c r="D745" s="104" t="s">
        <v>812</v>
      </c>
      <c r="E745" s="104" t="s">
        <v>813</v>
      </c>
      <c r="F745" s="105" t="s">
        <v>2640</v>
      </c>
      <c r="G745" s="3" t="s">
        <v>3094</v>
      </c>
      <c r="H745" s="3" t="s">
        <v>3095</v>
      </c>
      <c r="I745" s="3" t="s">
        <v>3581</v>
      </c>
      <c r="J745" s="22" t="s">
        <v>3096</v>
      </c>
      <c r="K745" s="141" t="s">
        <v>3097</v>
      </c>
    </row>
    <row r="746" spans="1:11">
      <c r="A746" s="137"/>
      <c r="B746" s="119"/>
      <c r="C746" s="119"/>
      <c r="D746" s="104" t="s">
        <v>628</v>
      </c>
      <c r="E746" s="104" t="s">
        <v>814</v>
      </c>
      <c r="F746" s="105" t="s">
        <v>2639</v>
      </c>
      <c r="G746" s="3" t="s">
        <v>3098</v>
      </c>
      <c r="H746" s="3" t="s">
        <v>2635</v>
      </c>
      <c r="I746" s="3" t="s">
        <v>3453</v>
      </c>
      <c r="J746" s="22" t="s">
        <v>3099</v>
      </c>
      <c r="K746" s="141" t="s">
        <v>3100</v>
      </c>
    </row>
    <row r="747" spans="1:11">
      <c r="A747" s="137"/>
      <c r="B747" s="119"/>
      <c r="C747" s="119"/>
      <c r="D747" s="104" t="s">
        <v>630</v>
      </c>
      <c r="E747" s="104" t="s">
        <v>815</v>
      </c>
      <c r="F747" s="105" t="s">
        <v>2639</v>
      </c>
      <c r="G747" s="3" t="s">
        <v>3101</v>
      </c>
      <c r="H747" s="3" t="s">
        <v>3102</v>
      </c>
      <c r="I747" s="3" t="s">
        <v>3453</v>
      </c>
      <c r="J747" s="22" t="s">
        <v>3103</v>
      </c>
      <c r="K747" s="141" t="s">
        <v>3104</v>
      </c>
    </row>
    <row r="748" spans="1:11">
      <c r="A748" s="137"/>
      <c r="B748" s="119"/>
      <c r="C748" s="119" t="s">
        <v>816</v>
      </c>
      <c r="D748" s="104" t="s">
        <v>817</v>
      </c>
      <c r="E748" s="104" t="s">
        <v>818</v>
      </c>
      <c r="F748" s="105" t="s">
        <v>2639</v>
      </c>
      <c r="G748" s="3" t="s">
        <v>3105</v>
      </c>
      <c r="H748" s="3" t="s">
        <v>3106</v>
      </c>
      <c r="I748" s="3" t="s">
        <v>3459</v>
      </c>
      <c r="J748" s="22" t="s">
        <v>3107</v>
      </c>
      <c r="K748" s="141" t="s">
        <v>3108</v>
      </c>
    </row>
    <row r="749" spans="1:11">
      <c r="A749" s="137"/>
      <c r="B749" s="119"/>
      <c r="C749" s="119"/>
      <c r="D749" s="104" t="s">
        <v>819</v>
      </c>
      <c r="E749" s="104" t="s">
        <v>820</v>
      </c>
      <c r="F749" s="105" t="s">
        <v>2640</v>
      </c>
      <c r="G749" s="3" t="s">
        <v>3109</v>
      </c>
      <c r="H749" s="3" t="s">
        <v>3110</v>
      </c>
      <c r="I749" s="3" t="s">
        <v>3459</v>
      </c>
      <c r="J749" s="22" t="s">
        <v>3111</v>
      </c>
      <c r="K749" s="141" t="s">
        <v>3112</v>
      </c>
    </row>
    <row r="750" spans="1:11">
      <c r="A750" s="137"/>
      <c r="B750" s="119"/>
      <c r="C750" s="119"/>
      <c r="D750" s="104" t="s">
        <v>821</v>
      </c>
      <c r="E750" s="104" t="s">
        <v>822</v>
      </c>
      <c r="F750" s="105" t="s">
        <v>2640</v>
      </c>
      <c r="G750" s="3" t="s">
        <v>2240</v>
      </c>
      <c r="H750" s="3" t="s">
        <v>3113</v>
      </c>
      <c r="I750" s="3" t="s">
        <v>3459</v>
      </c>
      <c r="J750" s="22" t="s">
        <v>3114</v>
      </c>
      <c r="K750" s="141" t="s">
        <v>3115</v>
      </c>
    </row>
    <row r="751" spans="1:11">
      <c r="A751" s="137"/>
      <c r="B751" s="119"/>
      <c r="C751" s="119"/>
      <c r="D751" s="104" t="s">
        <v>823</v>
      </c>
      <c r="E751" s="104" t="s">
        <v>824</v>
      </c>
      <c r="F751" s="105" t="s">
        <v>2639</v>
      </c>
      <c r="G751" s="3" t="s">
        <v>3116</v>
      </c>
      <c r="H751" s="3" t="s">
        <v>3117</v>
      </c>
      <c r="I751" s="3" t="s">
        <v>3459</v>
      </c>
      <c r="J751" s="22" t="s">
        <v>3118</v>
      </c>
      <c r="K751" s="141" t="s">
        <v>3119</v>
      </c>
    </row>
    <row r="752" spans="1:11">
      <c r="A752" s="137"/>
      <c r="B752" s="119"/>
      <c r="C752" s="119"/>
      <c r="D752" s="104" t="s">
        <v>529</v>
      </c>
      <c r="E752" s="104" t="s">
        <v>825</v>
      </c>
      <c r="F752" s="105" t="s">
        <v>2639</v>
      </c>
      <c r="G752" s="3" t="s">
        <v>3120</v>
      </c>
      <c r="H752" s="3" t="s">
        <v>3121</v>
      </c>
      <c r="I752" s="3" t="s">
        <v>3459</v>
      </c>
      <c r="J752" s="22" t="s">
        <v>3122</v>
      </c>
      <c r="K752" s="141" t="s">
        <v>3123</v>
      </c>
    </row>
    <row r="753" spans="1:11">
      <c r="A753" s="137"/>
      <c r="B753" s="119"/>
      <c r="C753" s="119" t="s">
        <v>826</v>
      </c>
      <c r="D753" s="104" t="s">
        <v>827</v>
      </c>
      <c r="E753" s="104" t="s">
        <v>828</v>
      </c>
      <c r="F753" s="105" t="s">
        <v>2639</v>
      </c>
      <c r="G753" s="3" t="s">
        <v>3124</v>
      </c>
      <c r="H753" s="3" t="s">
        <v>3125</v>
      </c>
      <c r="I753" s="3" t="s">
        <v>3581</v>
      </c>
      <c r="J753" s="22" t="s">
        <v>3126</v>
      </c>
      <c r="K753" s="141" t="s">
        <v>3127</v>
      </c>
    </row>
    <row r="754" spans="1:11">
      <c r="A754" s="137"/>
      <c r="B754" s="119"/>
      <c r="C754" s="119"/>
      <c r="D754" s="104" t="s">
        <v>575</v>
      </c>
      <c r="E754" s="104" t="s">
        <v>829</v>
      </c>
      <c r="F754" s="105" t="s">
        <v>2640</v>
      </c>
      <c r="G754" s="3" t="s">
        <v>2995</v>
      </c>
      <c r="H754" s="3" t="s">
        <v>2996</v>
      </c>
      <c r="I754" s="3" t="s">
        <v>3459</v>
      </c>
      <c r="J754" s="22" t="s">
        <v>3128</v>
      </c>
      <c r="K754" s="141" t="s">
        <v>3129</v>
      </c>
    </row>
    <row r="755" spans="1:11">
      <c r="A755" s="137"/>
      <c r="B755" s="119"/>
      <c r="C755" s="119"/>
      <c r="D755" s="104" t="s">
        <v>830</v>
      </c>
      <c r="E755" s="104" t="s">
        <v>831</v>
      </c>
      <c r="F755" s="105" t="s">
        <v>2640</v>
      </c>
      <c r="G755" s="3" t="s">
        <v>3130</v>
      </c>
      <c r="H755" s="3" t="s">
        <v>3131</v>
      </c>
      <c r="I755" s="3" t="s">
        <v>3459</v>
      </c>
      <c r="J755" s="22" t="s">
        <v>3132</v>
      </c>
      <c r="K755" s="141" t="s">
        <v>3133</v>
      </c>
    </row>
    <row r="756" spans="1:11">
      <c r="A756" s="137"/>
      <c r="B756" s="119"/>
      <c r="C756" s="119"/>
      <c r="D756" s="104" t="s">
        <v>832</v>
      </c>
      <c r="E756" s="104" t="s">
        <v>833</v>
      </c>
      <c r="F756" s="105" t="s">
        <v>2639</v>
      </c>
      <c r="G756" s="3" t="s">
        <v>2983</v>
      </c>
      <c r="H756" s="3" t="s">
        <v>3134</v>
      </c>
      <c r="I756" s="3" t="s">
        <v>3581</v>
      </c>
      <c r="J756" s="22" t="s">
        <v>3135</v>
      </c>
      <c r="K756" s="141" t="s">
        <v>3136</v>
      </c>
    </row>
    <row r="757" spans="1:11">
      <c r="A757" s="137"/>
      <c r="B757" s="119"/>
      <c r="C757" s="119"/>
      <c r="D757" s="104" t="s">
        <v>581</v>
      </c>
      <c r="E757" s="104" t="s">
        <v>834</v>
      </c>
      <c r="F757" s="105" t="s">
        <v>2639</v>
      </c>
      <c r="G757" s="3" t="s">
        <v>3137</v>
      </c>
      <c r="H757" s="3" t="s">
        <v>3138</v>
      </c>
      <c r="I757" s="3" t="s">
        <v>3581</v>
      </c>
      <c r="J757" s="22" t="s">
        <v>3139</v>
      </c>
      <c r="K757" s="141" t="s">
        <v>3140</v>
      </c>
    </row>
    <row r="758" spans="1:11">
      <c r="A758" s="137"/>
      <c r="B758" s="119"/>
      <c r="C758" s="119" t="s">
        <v>835</v>
      </c>
      <c r="D758" s="104" t="s">
        <v>836</v>
      </c>
      <c r="E758" s="104" t="s">
        <v>828</v>
      </c>
      <c r="F758" s="105" t="s">
        <v>2640</v>
      </c>
      <c r="G758" s="3" t="s">
        <v>3094</v>
      </c>
      <c r="H758" s="3" t="s">
        <v>3141</v>
      </c>
      <c r="I758" s="3" t="s">
        <v>3459</v>
      </c>
      <c r="J758" s="22" t="s">
        <v>3142</v>
      </c>
      <c r="K758" s="141" t="s">
        <v>3143</v>
      </c>
    </row>
    <row r="759" spans="1:11">
      <c r="A759" s="137"/>
      <c r="B759" s="119"/>
      <c r="C759" s="119"/>
      <c r="D759" s="104" t="s">
        <v>837</v>
      </c>
      <c r="E759" s="104" t="s">
        <v>829</v>
      </c>
      <c r="F759" s="105" t="s">
        <v>2640</v>
      </c>
      <c r="G759" s="3" t="s">
        <v>2983</v>
      </c>
      <c r="H759" s="3" t="s">
        <v>3144</v>
      </c>
      <c r="I759" s="3" t="s">
        <v>3581</v>
      </c>
      <c r="J759" s="22" t="s">
        <v>3145</v>
      </c>
      <c r="K759" s="141" t="s">
        <v>3146</v>
      </c>
    </row>
    <row r="760" spans="1:11">
      <c r="A760" s="137"/>
      <c r="B760" s="119"/>
      <c r="C760" s="119"/>
      <c r="D760" s="104" t="s">
        <v>838</v>
      </c>
      <c r="E760" s="104" t="s">
        <v>831</v>
      </c>
      <c r="F760" s="105" t="s">
        <v>2640</v>
      </c>
      <c r="G760" s="3" t="s">
        <v>2995</v>
      </c>
      <c r="H760" s="3" t="s">
        <v>3147</v>
      </c>
      <c r="I760" s="3" t="s">
        <v>3459</v>
      </c>
      <c r="J760" s="22" t="s">
        <v>3148</v>
      </c>
      <c r="K760" s="141" t="s">
        <v>3149</v>
      </c>
    </row>
    <row r="761" spans="1:11">
      <c r="A761" s="137"/>
      <c r="B761" s="119"/>
      <c r="C761" s="119"/>
      <c r="D761" s="104" t="s">
        <v>839</v>
      </c>
      <c r="E761" s="104" t="s">
        <v>833</v>
      </c>
      <c r="F761" s="105" t="s">
        <v>2640</v>
      </c>
      <c r="G761" s="3" t="s">
        <v>3150</v>
      </c>
      <c r="H761" s="3" t="s">
        <v>2934</v>
      </c>
      <c r="I761" s="3" t="s">
        <v>3581</v>
      </c>
      <c r="J761" s="22" t="s">
        <v>3151</v>
      </c>
      <c r="K761" s="141" t="s">
        <v>3152</v>
      </c>
    </row>
    <row r="762" spans="1:11">
      <c r="A762" s="137"/>
      <c r="B762" s="119"/>
      <c r="C762" s="119"/>
      <c r="D762" s="104" t="s">
        <v>840</v>
      </c>
      <c r="E762" s="104" t="s">
        <v>834</v>
      </c>
      <c r="F762" s="105" t="s">
        <v>2640</v>
      </c>
      <c r="G762" s="3" t="s">
        <v>3153</v>
      </c>
      <c r="H762" s="3" t="s">
        <v>3154</v>
      </c>
      <c r="I762" s="3" t="s">
        <v>3459</v>
      </c>
      <c r="J762" s="22" t="s">
        <v>3155</v>
      </c>
      <c r="K762" s="141" t="s">
        <v>3156</v>
      </c>
    </row>
    <row r="763" spans="1:11">
      <c r="A763" s="137"/>
      <c r="B763" s="119"/>
      <c r="C763" s="119" t="s">
        <v>841</v>
      </c>
      <c r="D763" s="104" t="s">
        <v>842</v>
      </c>
      <c r="E763" s="104" t="s">
        <v>843</v>
      </c>
      <c r="F763" s="105" t="s">
        <v>2640</v>
      </c>
      <c r="G763" s="3" t="s">
        <v>3157</v>
      </c>
      <c r="H763" s="3" t="s">
        <v>3072</v>
      </c>
      <c r="I763" s="3" t="s">
        <v>3459</v>
      </c>
      <c r="J763" s="22" t="s">
        <v>3158</v>
      </c>
      <c r="K763" s="141" t="s">
        <v>3159</v>
      </c>
    </row>
    <row r="764" spans="1:11">
      <c r="A764" s="137"/>
      <c r="B764" s="119"/>
      <c r="C764" s="119"/>
      <c r="D764" s="104" t="s">
        <v>789</v>
      </c>
      <c r="E764" s="104" t="s">
        <v>844</v>
      </c>
      <c r="F764" s="105" t="s">
        <v>2640</v>
      </c>
      <c r="G764" s="3" t="s">
        <v>3160</v>
      </c>
      <c r="H764" s="3" t="s">
        <v>3161</v>
      </c>
      <c r="I764" s="3" t="s">
        <v>3581</v>
      </c>
      <c r="J764" s="22" t="s">
        <v>3162</v>
      </c>
      <c r="K764" s="141" t="s">
        <v>3163</v>
      </c>
    </row>
    <row r="765" spans="1:11">
      <c r="A765" s="137"/>
      <c r="B765" s="119"/>
      <c r="C765" s="119"/>
      <c r="D765" s="104" t="s">
        <v>791</v>
      </c>
      <c r="E765" s="104" t="s">
        <v>845</v>
      </c>
      <c r="F765" s="105" t="s">
        <v>2640</v>
      </c>
      <c r="G765" s="3" t="s">
        <v>3164</v>
      </c>
      <c r="H765" s="3" t="s">
        <v>3042</v>
      </c>
      <c r="I765" s="3" t="s">
        <v>3581</v>
      </c>
      <c r="J765" s="22" t="s">
        <v>3165</v>
      </c>
      <c r="K765" s="141" t="s">
        <v>3166</v>
      </c>
    </row>
    <row r="766" spans="1:11">
      <c r="A766" s="137"/>
      <c r="B766" s="119"/>
      <c r="C766" s="119"/>
      <c r="D766" s="104" t="s">
        <v>846</v>
      </c>
      <c r="E766" s="104" t="s">
        <v>847</v>
      </c>
      <c r="F766" s="105" t="s">
        <v>2639</v>
      </c>
      <c r="G766" s="3" t="s">
        <v>3167</v>
      </c>
      <c r="H766" s="3" t="s">
        <v>3016</v>
      </c>
      <c r="I766" s="3" t="s">
        <v>3459</v>
      </c>
      <c r="J766" s="22" t="s">
        <v>3168</v>
      </c>
      <c r="K766" s="141" t="s">
        <v>3169</v>
      </c>
    </row>
    <row r="767" spans="1:11">
      <c r="A767" s="137"/>
      <c r="B767" s="119"/>
      <c r="C767" s="119"/>
      <c r="D767" s="104" t="s">
        <v>795</v>
      </c>
      <c r="E767" s="104" t="s">
        <v>848</v>
      </c>
      <c r="F767" s="105" t="s">
        <v>2639</v>
      </c>
      <c r="G767" s="3" t="s">
        <v>3170</v>
      </c>
      <c r="H767" s="3" t="s">
        <v>3171</v>
      </c>
      <c r="I767" s="3" t="s">
        <v>3453</v>
      </c>
      <c r="J767" s="22" t="s">
        <v>3172</v>
      </c>
      <c r="K767" s="141" t="s">
        <v>3173</v>
      </c>
    </row>
    <row r="768" spans="1:11">
      <c r="A768" s="137"/>
      <c r="B768" s="119"/>
      <c r="C768" s="119" t="s">
        <v>849</v>
      </c>
      <c r="D768" s="104" t="s">
        <v>850</v>
      </c>
      <c r="E768" s="104" t="s">
        <v>851</v>
      </c>
      <c r="F768" s="105" t="s">
        <v>2639</v>
      </c>
      <c r="G768" s="3" t="s">
        <v>3174</v>
      </c>
      <c r="H768" s="3" t="s">
        <v>3175</v>
      </c>
      <c r="I768" s="3" t="s">
        <v>3453</v>
      </c>
      <c r="J768" s="22" t="s">
        <v>3176</v>
      </c>
      <c r="K768" s="141" t="s">
        <v>3177</v>
      </c>
    </row>
    <row r="769" spans="1:11">
      <c r="A769" s="137"/>
      <c r="B769" s="119"/>
      <c r="C769" s="119"/>
      <c r="D769" s="104" t="s">
        <v>852</v>
      </c>
      <c r="E769" s="104" t="s">
        <v>853</v>
      </c>
      <c r="F769" s="105" t="s">
        <v>2640</v>
      </c>
      <c r="G769" s="3" t="s">
        <v>3178</v>
      </c>
      <c r="H769" s="3" t="s">
        <v>3179</v>
      </c>
      <c r="I769" s="3" t="s">
        <v>3459</v>
      </c>
      <c r="J769" s="22" t="s">
        <v>3180</v>
      </c>
      <c r="K769" s="141" t="s">
        <v>3181</v>
      </c>
    </row>
    <row r="770" spans="1:11">
      <c r="A770" s="137"/>
      <c r="B770" s="119"/>
      <c r="C770" s="119"/>
      <c r="D770" s="104" t="s">
        <v>854</v>
      </c>
      <c r="E770" s="104" t="s">
        <v>855</v>
      </c>
      <c r="F770" s="105" t="s">
        <v>2640</v>
      </c>
      <c r="G770" s="3" t="s">
        <v>3182</v>
      </c>
      <c r="H770" s="3" t="s">
        <v>3183</v>
      </c>
      <c r="I770" s="3" t="s">
        <v>3459</v>
      </c>
      <c r="J770" s="22" t="s">
        <v>3184</v>
      </c>
      <c r="K770" s="141" t="s">
        <v>3185</v>
      </c>
    </row>
    <row r="771" spans="1:11">
      <c r="A771" s="137"/>
      <c r="B771" s="119"/>
      <c r="C771" s="119"/>
      <c r="D771" s="104" t="s">
        <v>856</v>
      </c>
      <c r="E771" s="104" t="s">
        <v>857</v>
      </c>
      <c r="F771" s="105" t="s">
        <v>2639</v>
      </c>
      <c r="G771" s="3" t="s">
        <v>3029</v>
      </c>
      <c r="H771" s="3" t="s">
        <v>2076</v>
      </c>
      <c r="I771" s="3" t="s">
        <v>3459</v>
      </c>
      <c r="J771" s="22" t="s">
        <v>3186</v>
      </c>
      <c r="K771" s="141" t="s">
        <v>3187</v>
      </c>
    </row>
    <row r="772" spans="1:11">
      <c r="A772" s="137"/>
      <c r="B772" s="119"/>
      <c r="C772" s="119"/>
      <c r="D772" s="104" t="s">
        <v>858</v>
      </c>
      <c r="E772" s="104" t="s">
        <v>859</v>
      </c>
      <c r="F772" s="105" t="s">
        <v>2639</v>
      </c>
      <c r="G772" s="3" t="s">
        <v>2895</v>
      </c>
      <c r="H772" s="3" t="s">
        <v>3188</v>
      </c>
      <c r="I772" s="3" t="s">
        <v>3581</v>
      </c>
      <c r="J772" s="22" t="s">
        <v>3189</v>
      </c>
      <c r="K772" s="141" t="s">
        <v>3190</v>
      </c>
    </row>
    <row r="773" spans="1:11">
      <c r="A773" s="137"/>
      <c r="B773" s="119"/>
      <c r="C773" s="119" t="s">
        <v>860</v>
      </c>
      <c r="D773" s="104" t="s">
        <v>861</v>
      </c>
      <c r="E773" s="104" t="s">
        <v>862</v>
      </c>
      <c r="F773" s="105" t="s">
        <v>2639</v>
      </c>
      <c r="G773" s="3" t="s">
        <v>3191</v>
      </c>
      <c r="H773" s="3" t="s">
        <v>3192</v>
      </c>
      <c r="I773" s="3" t="s">
        <v>3459</v>
      </c>
      <c r="J773" s="22" t="s">
        <v>3193</v>
      </c>
      <c r="K773" s="141" t="s">
        <v>3194</v>
      </c>
    </row>
    <row r="774" spans="1:11">
      <c r="A774" s="137"/>
      <c r="B774" s="119"/>
      <c r="C774" s="119"/>
      <c r="D774" s="104" t="s">
        <v>863</v>
      </c>
      <c r="E774" s="104" t="s">
        <v>864</v>
      </c>
      <c r="F774" s="105" t="s">
        <v>2640</v>
      </c>
      <c r="G774" s="3" t="s">
        <v>2849</v>
      </c>
      <c r="H774" s="3" t="s">
        <v>3195</v>
      </c>
      <c r="I774" s="3" t="s">
        <v>3453</v>
      </c>
      <c r="J774" s="22" t="s">
        <v>3196</v>
      </c>
      <c r="K774" s="141" t="s">
        <v>3197</v>
      </c>
    </row>
    <row r="775" spans="1:11">
      <c r="A775" s="137"/>
      <c r="B775" s="119"/>
      <c r="C775" s="119"/>
      <c r="D775" s="104" t="s">
        <v>865</v>
      </c>
      <c r="E775" s="104" t="s">
        <v>866</v>
      </c>
      <c r="F775" s="105" t="s">
        <v>2640</v>
      </c>
      <c r="G775" s="102" t="s">
        <v>3198</v>
      </c>
      <c r="H775" s="102" t="s">
        <v>3199</v>
      </c>
      <c r="I775" s="3" t="s">
        <v>3459</v>
      </c>
      <c r="J775" s="102" t="s">
        <v>3200</v>
      </c>
      <c r="K775" s="141" t="s">
        <v>3201</v>
      </c>
    </row>
    <row r="776" spans="1:11">
      <c r="A776" s="137"/>
      <c r="B776" s="119"/>
      <c r="C776" s="119"/>
      <c r="D776" s="104" t="s">
        <v>867</v>
      </c>
      <c r="E776" s="104" t="s">
        <v>868</v>
      </c>
      <c r="F776" s="105" t="s">
        <v>2639</v>
      </c>
      <c r="G776" s="3" t="s">
        <v>3202</v>
      </c>
      <c r="H776" s="3" t="s">
        <v>3012</v>
      </c>
      <c r="I776" s="3" t="s">
        <v>3459</v>
      </c>
      <c r="J776" s="22" t="s">
        <v>3203</v>
      </c>
      <c r="K776" s="141" t="s">
        <v>3204</v>
      </c>
    </row>
    <row r="777" spans="1:11">
      <c r="A777" s="137"/>
      <c r="B777" s="119"/>
      <c r="C777" s="119"/>
      <c r="D777" s="104" t="s">
        <v>869</v>
      </c>
      <c r="E777" s="104" t="s">
        <v>870</v>
      </c>
      <c r="F777" s="105" t="s">
        <v>2639</v>
      </c>
      <c r="G777" s="3" t="s">
        <v>3205</v>
      </c>
      <c r="H777" s="3" t="s">
        <v>3206</v>
      </c>
      <c r="I777" s="3" t="s">
        <v>3459</v>
      </c>
      <c r="J777" s="22" t="s">
        <v>3207</v>
      </c>
      <c r="K777" s="141" t="s">
        <v>3208</v>
      </c>
    </row>
    <row r="778" spans="1:11">
      <c r="A778" s="137"/>
      <c r="B778" s="119"/>
      <c r="C778" s="119" t="s">
        <v>871</v>
      </c>
      <c r="D778" s="104" t="s">
        <v>872</v>
      </c>
      <c r="E778" s="104" t="s">
        <v>873</v>
      </c>
      <c r="F778" s="105" t="s">
        <v>2639</v>
      </c>
      <c r="G778" s="3" t="s">
        <v>3209</v>
      </c>
      <c r="H778" s="3" t="s">
        <v>3210</v>
      </c>
      <c r="I778" s="3" t="s">
        <v>3459</v>
      </c>
      <c r="J778" s="22" t="s">
        <v>3211</v>
      </c>
      <c r="K778" s="141" t="s">
        <v>3212</v>
      </c>
    </row>
    <row r="779" spans="1:11">
      <c r="A779" s="137"/>
      <c r="B779" s="119"/>
      <c r="C779" s="119"/>
      <c r="D779" s="104" t="s">
        <v>863</v>
      </c>
      <c r="E779" s="104" t="s">
        <v>874</v>
      </c>
      <c r="F779" s="105" t="s">
        <v>2639</v>
      </c>
      <c r="G779" s="3" t="s">
        <v>3213</v>
      </c>
      <c r="H779" s="3" t="s">
        <v>1915</v>
      </c>
      <c r="I779" s="3" t="s">
        <v>3459</v>
      </c>
      <c r="J779" s="22" t="s">
        <v>3214</v>
      </c>
      <c r="K779" s="141" t="s">
        <v>3215</v>
      </c>
    </row>
    <row r="780" spans="1:11">
      <c r="A780" s="137"/>
      <c r="B780" s="119"/>
      <c r="C780" s="119"/>
      <c r="D780" s="104" t="s">
        <v>875</v>
      </c>
      <c r="E780" s="104" t="s">
        <v>876</v>
      </c>
      <c r="F780" s="105" t="s">
        <v>2640</v>
      </c>
      <c r="G780" s="3" t="s">
        <v>3216</v>
      </c>
      <c r="H780" s="3" t="s">
        <v>3217</v>
      </c>
      <c r="I780" s="3" t="s">
        <v>3459</v>
      </c>
      <c r="J780" s="22" t="s">
        <v>3218</v>
      </c>
      <c r="K780" s="141" t="s">
        <v>3219</v>
      </c>
    </row>
    <row r="781" spans="1:11">
      <c r="A781" s="137"/>
      <c r="B781" s="119"/>
      <c r="C781" s="119"/>
      <c r="D781" s="104" t="s">
        <v>877</v>
      </c>
      <c r="E781" s="104" t="s">
        <v>878</v>
      </c>
      <c r="F781" s="105" t="s">
        <v>2640</v>
      </c>
      <c r="G781" s="3" t="s">
        <v>3220</v>
      </c>
      <c r="H781" s="3" t="s">
        <v>3221</v>
      </c>
      <c r="I781" s="3" t="s">
        <v>3459</v>
      </c>
      <c r="J781" s="22" t="s">
        <v>3222</v>
      </c>
      <c r="K781" s="141" t="s">
        <v>3223</v>
      </c>
    </row>
    <row r="782" spans="1:11">
      <c r="A782" s="137"/>
      <c r="B782" s="119"/>
      <c r="C782" s="119"/>
      <c r="D782" s="104" t="s">
        <v>879</v>
      </c>
      <c r="E782" s="104" t="s">
        <v>880</v>
      </c>
      <c r="F782" s="105" t="s">
        <v>2639</v>
      </c>
      <c r="G782" s="3" t="s">
        <v>3224</v>
      </c>
      <c r="H782" s="3" t="s">
        <v>3225</v>
      </c>
      <c r="I782" s="3" t="s">
        <v>3459</v>
      </c>
      <c r="J782" s="22" t="s">
        <v>3226</v>
      </c>
      <c r="K782" s="141" t="s">
        <v>3227</v>
      </c>
    </row>
    <row r="783" spans="1:11">
      <c r="A783" s="137"/>
      <c r="B783" s="119"/>
      <c r="C783" s="119" t="s">
        <v>881</v>
      </c>
      <c r="D783" s="104" t="s">
        <v>882</v>
      </c>
      <c r="E783" s="104" t="s">
        <v>883</v>
      </c>
      <c r="F783" s="105" t="s">
        <v>2640</v>
      </c>
      <c r="G783" s="3" t="s">
        <v>3228</v>
      </c>
      <c r="H783" s="3" t="s">
        <v>3229</v>
      </c>
      <c r="I783" s="3" t="s">
        <v>3453</v>
      </c>
      <c r="J783" s="22" t="s">
        <v>3200</v>
      </c>
      <c r="K783" s="141" t="s">
        <v>3230</v>
      </c>
    </row>
    <row r="784" spans="1:11">
      <c r="A784" s="137"/>
      <c r="B784" s="119"/>
      <c r="C784" s="119"/>
      <c r="D784" s="104" t="s">
        <v>884</v>
      </c>
      <c r="E784" s="104" t="s">
        <v>885</v>
      </c>
      <c r="F784" s="105" t="s">
        <v>2641</v>
      </c>
      <c r="G784" s="3" t="s">
        <v>2290</v>
      </c>
      <c r="H784" s="3" t="s">
        <v>3231</v>
      </c>
      <c r="I784" s="3" t="s">
        <v>3453</v>
      </c>
      <c r="J784" s="22" t="s">
        <v>3232</v>
      </c>
      <c r="K784" s="141" t="s">
        <v>3233</v>
      </c>
    </row>
    <row r="785" spans="1:11">
      <c r="A785" s="137"/>
      <c r="B785" s="119"/>
      <c r="C785" s="119"/>
      <c r="D785" s="104" t="s">
        <v>886</v>
      </c>
      <c r="E785" s="104" t="s">
        <v>887</v>
      </c>
      <c r="F785" s="105" t="s">
        <v>2641</v>
      </c>
      <c r="G785" s="3" t="s">
        <v>3234</v>
      </c>
      <c r="H785" s="3" t="s">
        <v>3235</v>
      </c>
      <c r="I785" s="3" t="s">
        <v>3453</v>
      </c>
      <c r="J785" s="22" t="s">
        <v>3236</v>
      </c>
      <c r="K785" s="141" t="s">
        <v>3237</v>
      </c>
    </row>
    <row r="786" spans="1:11">
      <c r="A786" s="137"/>
      <c r="B786" s="119"/>
      <c r="C786" s="119"/>
      <c r="D786" s="104" t="s">
        <v>888</v>
      </c>
      <c r="E786" s="104" t="s">
        <v>889</v>
      </c>
      <c r="F786" s="105" t="s">
        <v>2639</v>
      </c>
      <c r="G786" s="3" t="s">
        <v>3238</v>
      </c>
      <c r="H786" s="3" t="s">
        <v>3239</v>
      </c>
      <c r="I786" s="3" t="s">
        <v>3453</v>
      </c>
      <c r="J786" s="22" t="s">
        <v>3240</v>
      </c>
      <c r="K786" s="141" t="s">
        <v>3241</v>
      </c>
    </row>
    <row r="787" spans="1:11">
      <c r="A787" s="137"/>
      <c r="B787" s="119"/>
      <c r="C787" s="119"/>
      <c r="D787" s="104" t="s">
        <v>890</v>
      </c>
      <c r="E787" s="104" t="s">
        <v>891</v>
      </c>
      <c r="F787" s="105" t="s">
        <v>2639</v>
      </c>
      <c r="G787" s="3" t="s">
        <v>3242</v>
      </c>
      <c r="H787" s="3" t="s">
        <v>3243</v>
      </c>
      <c r="I787" s="3" t="s">
        <v>3459</v>
      </c>
      <c r="J787" s="22" t="s">
        <v>3244</v>
      </c>
      <c r="K787" s="141" t="s">
        <v>3245</v>
      </c>
    </row>
    <row r="788" spans="1:11">
      <c r="A788" s="137"/>
      <c r="B788" s="119"/>
      <c r="C788" s="119" t="s">
        <v>892</v>
      </c>
      <c r="D788" s="104" t="s">
        <v>882</v>
      </c>
      <c r="E788" s="104" t="s">
        <v>893</v>
      </c>
      <c r="F788" s="105" t="s">
        <v>2639</v>
      </c>
      <c r="G788" s="3" t="s">
        <v>3246</v>
      </c>
      <c r="H788" s="3" t="s">
        <v>3247</v>
      </c>
      <c r="I788" s="3" t="s">
        <v>3453</v>
      </c>
      <c r="J788" s="22" t="s">
        <v>3248</v>
      </c>
      <c r="K788" s="141" t="s">
        <v>3249</v>
      </c>
    </row>
    <row r="789" spans="1:11">
      <c r="A789" s="137"/>
      <c r="B789" s="119"/>
      <c r="C789" s="119"/>
      <c r="D789" s="104" t="s">
        <v>894</v>
      </c>
      <c r="E789" s="104" t="s">
        <v>895</v>
      </c>
      <c r="F789" s="105" t="s">
        <v>2640</v>
      </c>
      <c r="G789" s="3" t="s">
        <v>3250</v>
      </c>
      <c r="H789" s="3" t="s">
        <v>3251</v>
      </c>
      <c r="I789" s="3" t="s">
        <v>3453</v>
      </c>
      <c r="J789" s="22" t="s">
        <v>3252</v>
      </c>
      <c r="K789" s="141" t="s">
        <v>3253</v>
      </c>
    </row>
    <row r="790" spans="1:11">
      <c r="A790" s="137"/>
      <c r="B790" s="119"/>
      <c r="C790" s="119"/>
      <c r="D790" s="104" t="s">
        <v>886</v>
      </c>
      <c r="E790" s="104" t="s">
        <v>896</v>
      </c>
      <c r="F790" s="105" t="s">
        <v>2640</v>
      </c>
      <c r="G790" s="3" t="s">
        <v>3220</v>
      </c>
      <c r="H790" s="3" t="s">
        <v>3221</v>
      </c>
      <c r="I790" s="3" t="s">
        <v>3453</v>
      </c>
      <c r="J790" s="22" t="s">
        <v>3254</v>
      </c>
      <c r="K790" s="141" t="s">
        <v>3255</v>
      </c>
    </row>
    <row r="791" spans="1:11">
      <c r="A791" s="137"/>
      <c r="B791" s="119"/>
      <c r="C791" s="119"/>
      <c r="D791" s="104" t="s">
        <v>888</v>
      </c>
      <c r="E791" s="104" t="s">
        <v>897</v>
      </c>
      <c r="F791" s="105" t="s">
        <v>2640</v>
      </c>
      <c r="G791" s="3" t="s">
        <v>3256</v>
      </c>
      <c r="H791" s="3" t="s">
        <v>3257</v>
      </c>
      <c r="I791" s="3" t="s">
        <v>3459</v>
      </c>
      <c r="J791" s="22" t="s">
        <v>2892</v>
      </c>
      <c r="K791" s="141" t="s">
        <v>3258</v>
      </c>
    </row>
    <row r="792" spans="1:11">
      <c r="A792" s="137"/>
      <c r="B792" s="119"/>
      <c r="C792" s="119"/>
      <c r="D792" s="104" t="s">
        <v>898</v>
      </c>
      <c r="E792" s="104" t="s">
        <v>899</v>
      </c>
      <c r="F792" s="105" t="s">
        <v>2640</v>
      </c>
      <c r="G792" s="3" t="s">
        <v>2948</v>
      </c>
      <c r="H792" s="3" t="s">
        <v>3259</v>
      </c>
      <c r="I792" s="3" t="s">
        <v>3581</v>
      </c>
      <c r="J792" s="22" t="s">
        <v>3260</v>
      </c>
      <c r="K792" s="141" t="s">
        <v>3261</v>
      </c>
    </row>
    <row r="793" spans="1:11">
      <c r="A793" s="137"/>
      <c r="B793" s="119"/>
      <c r="C793" s="119" t="s">
        <v>900</v>
      </c>
      <c r="D793" s="104" t="s">
        <v>901</v>
      </c>
      <c r="E793" s="104" t="s">
        <v>902</v>
      </c>
      <c r="F793" s="105" t="s">
        <v>2640</v>
      </c>
      <c r="G793" s="3" t="s">
        <v>3262</v>
      </c>
      <c r="H793" s="3" t="s">
        <v>3263</v>
      </c>
      <c r="I793" s="3" t="s">
        <v>3453</v>
      </c>
      <c r="J793" s="22" t="s">
        <v>3264</v>
      </c>
      <c r="K793" s="141" t="s">
        <v>3265</v>
      </c>
    </row>
    <row r="794" spans="1:11">
      <c r="A794" s="137"/>
      <c r="B794" s="119"/>
      <c r="C794" s="119"/>
      <c r="D794" s="104" t="s">
        <v>903</v>
      </c>
      <c r="E794" s="104" t="s">
        <v>904</v>
      </c>
      <c r="F794" s="105" t="s">
        <v>2640</v>
      </c>
      <c r="G794" s="3" t="s">
        <v>2959</v>
      </c>
      <c r="H794" s="3" t="s">
        <v>3266</v>
      </c>
      <c r="I794" s="3" t="s">
        <v>3459</v>
      </c>
      <c r="J794" s="22" t="s">
        <v>3267</v>
      </c>
      <c r="K794" s="141" t="s">
        <v>3268</v>
      </c>
    </row>
    <row r="795" spans="1:11">
      <c r="A795" s="137"/>
      <c r="B795" s="119"/>
      <c r="C795" s="119"/>
      <c r="D795" s="104" t="s">
        <v>905</v>
      </c>
      <c r="E795" s="104" t="s">
        <v>906</v>
      </c>
      <c r="F795" s="105" t="s">
        <v>2640</v>
      </c>
      <c r="G795" s="3" t="s">
        <v>3094</v>
      </c>
      <c r="H795" s="3" t="s">
        <v>3269</v>
      </c>
      <c r="I795" s="3" t="s">
        <v>3459</v>
      </c>
      <c r="J795" s="22" t="s">
        <v>3270</v>
      </c>
      <c r="K795" s="141" t="s">
        <v>3271</v>
      </c>
    </row>
    <row r="796" spans="1:11">
      <c r="A796" s="137"/>
      <c r="B796" s="119"/>
      <c r="C796" s="119"/>
      <c r="D796" s="104" t="s">
        <v>907</v>
      </c>
      <c r="E796" s="104" t="s">
        <v>908</v>
      </c>
      <c r="F796" s="105" t="s">
        <v>2640</v>
      </c>
      <c r="G796" s="3" t="s">
        <v>3272</v>
      </c>
      <c r="H796" s="3" t="s">
        <v>3273</v>
      </c>
      <c r="I796" s="3" t="s">
        <v>3459</v>
      </c>
      <c r="J796" s="22" t="s">
        <v>3274</v>
      </c>
      <c r="K796" s="141" t="s">
        <v>3275</v>
      </c>
    </row>
    <row r="797" spans="1:11">
      <c r="A797" s="137"/>
      <c r="B797" s="119"/>
      <c r="C797" s="119"/>
      <c r="D797" s="104" t="s">
        <v>879</v>
      </c>
      <c r="E797" s="104" t="s">
        <v>909</v>
      </c>
      <c r="F797" s="105" t="s">
        <v>2640</v>
      </c>
      <c r="G797" s="3" t="s">
        <v>2895</v>
      </c>
      <c r="H797" s="3" t="s">
        <v>3276</v>
      </c>
      <c r="I797" s="3" t="s">
        <v>3459</v>
      </c>
      <c r="J797" s="22" t="s">
        <v>3277</v>
      </c>
      <c r="K797" s="141" t="s">
        <v>3278</v>
      </c>
    </row>
    <row r="798" spans="1:11">
      <c r="A798" s="137"/>
      <c r="B798" s="119"/>
      <c r="C798" s="119" t="s">
        <v>910</v>
      </c>
      <c r="D798" s="104" t="s">
        <v>911</v>
      </c>
      <c r="E798" s="104" t="s">
        <v>912</v>
      </c>
      <c r="F798" s="105" t="s">
        <v>2640</v>
      </c>
      <c r="G798" s="3" t="s">
        <v>2948</v>
      </c>
      <c r="H798" s="3" t="s">
        <v>3279</v>
      </c>
      <c r="I798" s="3" t="s">
        <v>3453</v>
      </c>
      <c r="J798" s="22" t="s">
        <v>3280</v>
      </c>
      <c r="K798" s="141" t="s">
        <v>3281</v>
      </c>
    </row>
    <row r="799" spans="1:11">
      <c r="A799" s="137"/>
      <c r="B799" s="119"/>
      <c r="C799" s="119"/>
      <c r="D799" s="104" t="s">
        <v>913</v>
      </c>
      <c r="E799" s="104" t="s">
        <v>914</v>
      </c>
      <c r="F799" s="105" t="s">
        <v>2640</v>
      </c>
      <c r="G799" s="3" t="s">
        <v>3282</v>
      </c>
      <c r="H799" s="3" t="s">
        <v>3283</v>
      </c>
      <c r="I799" s="3" t="s">
        <v>3453</v>
      </c>
      <c r="J799" s="22" t="s">
        <v>3284</v>
      </c>
      <c r="K799" s="141" t="s">
        <v>3285</v>
      </c>
    </row>
    <row r="800" spans="1:11">
      <c r="A800" s="137"/>
      <c r="B800" s="119"/>
      <c r="C800" s="119"/>
      <c r="D800" s="104" t="s">
        <v>915</v>
      </c>
      <c r="E800" s="104" t="s">
        <v>916</v>
      </c>
      <c r="F800" s="105" t="s">
        <v>2640</v>
      </c>
      <c r="G800" s="3" t="s">
        <v>2979</v>
      </c>
      <c r="H800" s="3" t="s">
        <v>2635</v>
      </c>
      <c r="I800" s="3" t="s">
        <v>3453</v>
      </c>
      <c r="J800" s="22" t="s">
        <v>3286</v>
      </c>
      <c r="K800" s="141" t="s">
        <v>3287</v>
      </c>
    </row>
    <row r="801" spans="1:11">
      <c r="A801" s="137"/>
      <c r="B801" s="119"/>
      <c r="C801" s="119"/>
      <c r="D801" s="104" t="s">
        <v>907</v>
      </c>
      <c r="E801" s="104" t="s">
        <v>917</v>
      </c>
      <c r="F801" s="105" t="s">
        <v>2639</v>
      </c>
      <c r="G801" s="3" t="s">
        <v>3288</v>
      </c>
      <c r="H801" s="3" t="s">
        <v>3289</v>
      </c>
      <c r="I801" s="3" t="s">
        <v>3459</v>
      </c>
      <c r="J801" s="22" t="s">
        <v>3290</v>
      </c>
      <c r="K801" s="141" t="s">
        <v>3291</v>
      </c>
    </row>
    <row r="802" spans="1:11">
      <c r="A802" s="137"/>
      <c r="B802" s="119"/>
      <c r="C802" s="119"/>
      <c r="D802" s="104" t="s">
        <v>918</v>
      </c>
      <c r="E802" s="104" t="s">
        <v>919</v>
      </c>
      <c r="F802" s="105" t="s">
        <v>2640</v>
      </c>
      <c r="G802" s="3" t="s">
        <v>3292</v>
      </c>
      <c r="H802" s="3" t="s">
        <v>3293</v>
      </c>
      <c r="I802" s="3" t="s">
        <v>3581</v>
      </c>
      <c r="J802" s="22" t="s">
        <v>3294</v>
      </c>
      <c r="K802" s="141" t="s">
        <v>3295</v>
      </c>
    </row>
    <row r="803" spans="1:11">
      <c r="A803" s="137"/>
      <c r="B803" s="119"/>
      <c r="C803" s="119" t="s">
        <v>920</v>
      </c>
      <c r="D803" s="104" t="s">
        <v>921</v>
      </c>
      <c r="E803" s="104" t="s">
        <v>922</v>
      </c>
      <c r="F803" s="105" t="s">
        <v>2639</v>
      </c>
      <c r="G803" s="3" t="s">
        <v>3130</v>
      </c>
      <c r="H803" s="3" t="s">
        <v>3210</v>
      </c>
      <c r="I803" s="3" t="s">
        <v>3459</v>
      </c>
      <c r="J803" s="22" t="s">
        <v>3296</v>
      </c>
      <c r="K803" s="141" t="s">
        <v>3297</v>
      </c>
    </row>
    <row r="804" spans="1:11">
      <c r="A804" s="137"/>
      <c r="B804" s="119"/>
      <c r="C804" s="119"/>
      <c r="D804" s="104" t="s">
        <v>923</v>
      </c>
      <c r="E804" s="104" t="s">
        <v>924</v>
      </c>
      <c r="F804" s="105" t="s">
        <v>2639</v>
      </c>
      <c r="G804" s="3" t="s">
        <v>3298</v>
      </c>
      <c r="H804" s="3" t="s">
        <v>3299</v>
      </c>
      <c r="I804" s="3" t="s">
        <v>3453</v>
      </c>
      <c r="J804" s="22" t="s">
        <v>3300</v>
      </c>
      <c r="K804" s="141" t="s">
        <v>3301</v>
      </c>
    </row>
    <row r="805" spans="1:11">
      <c r="A805" s="137"/>
      <c r="B805" s="119"/>
      <c r="C805" s="119"/>
      <c r="D805" s="104" t="s">
        <v>925</v>
      </c>
      <c r="E805" s="104" t="s">
        <v>926</v>
      </c>
      <c r="F805" s="105" t="s">
        <v>2641</v>
      </c>
      <c r="G805" s="3" t="s">
        <v>3302</v>
      </c>
      <c r="H805" s="3" t="s">
        <v>3303</v>
      </c>
      <c r="I805" s="3" t="s">
        <v>3459</v>
      </c>
      <c r="J805" s="22" t="s">
        <v>3304</v>
      </c>
      <c r="K805" s="141" t="s">
        <v>3305</v>
      </c>
    </row>
    <row r="806" spans="1:11">
      <c r="A806" s="137"/>
      <c r="B806" s="119"/>
      <c r="C806" s="119"/>
      <c r="D806" s="104" t="s">
        <v>927</v>
      </c>
      <c r="E806" s="104" t="s">
        <v>928</v>
      </c>
      <c r="F806" s="105" t="s">
        <v>2639</v>
      </c>
      <c r="G806" s="3" t="s">
        <v>3306</v>
      </c>
      <c r="H806" s="3" t="s">
        <v>3307</v>
      </c>
      <c r="I806" s="3" t="s">
        <v>3459</v>
      </c>
      <c r="J806" s="22" t="s">
        <v>3308</v>
      </c>
      <c r="K806" s="141" t="s">
        <v>3309</v>
      </c>
    </row>
    <row r="807" spans="1:11">
      <c r="A807" s="137"/>
      <c r="B807" s="119"/>
      <c r="C807" s="119"/>
      <c r="D807" s="104" t="s">
        <v>929</v>
      </c>
      <c r="E807" s="104" t="s">
        <v>930</v>
      </c>
      <c r="F807" s="105" t="s">
        <v>2639</v>
      </c>
      <c r="G807" s="3" t="s">
        <v>3310</v>
      </c>
      <c r="H807" s="3" t="s">
        <v>3311</v>
      </c>
      <c r="I807" s="3" t="s">
        <v>3581</v>
      </c>
      <c r="J807" s="22" t="s">
        <v>3312</v>
      </c>
      <c r="K807" s="141" t="s">
        <v>3313</v>
      </c>
    </row>
    <row r="808" spans="1:11">
      <c r="A808" s="137"/>
      <c r="B808" s="119"/>
      <c r="C808" s="119" t="s">
        <v>931</v>
      </c>
      <c r="D808" s="104" t="s">
        <v>932</v>
      </c>
      <c r="E808" s="104" t="s">
        <v>853</v>
      </c>
      <c r="F808" s="105" t="s">
        <v>2641</v>
      </c>
      <c r="G808" s="3" t="s">
        <v>2888</v>
      </c>
      <c r="H808" s="3" t="s">
        <v>3314</v>
      </c>
      <c r="I808" s="3" t="s">
        <v>3581</v>
      </c>
      <c r="J808" s="22" t="s">
        <v>3315</v>
      </c>
      <c r="K808" s="141" t="s">
        <v>3316</v>
      </c>
    </row>
    <row r="809" spans="1:11">
      <c r="A809" s="137"/>
      <c r="B809" s="119"/>
      <c r="C809" s="119"/>
      <c r="D809" s="104" t="s">
        <v>933</v>
      </c>
      <c r="E809" s="104" t="s">
        <v>934</v>
      </c>
      <c r="F809" s="105" t="s">
        <v>2639</v>
      </c>
      <c r="G809" s="3" t="s">
        <v>2849</v>
      </c>
      <c r="H809" s="3" t="s">
        <v>3283</v>
      </c>
      <c r="I809" s="3" t="s">
        <v>3453</v>
      </c>
      <c r="J809" s="22" t="s">
        <v>3317</v>
      </c>
      <c r="K809" s="141" t="s">
        <v>3318</v>
      </c>
    </row>
    <row r="810" spans="1:11">
      <c r="A810" s="137"/>
      <c r="B810" s="119"/>
      <c r="C810" s="119"/>
      <c r="D810" s="104" t="s">
        <v>935</v>
      </c>
      <c r="E810" s="104" t="s">
        <v>936</v>
      </c>
      <c r="F810" s="105" t="s">
        <v>2639</v>
      </c>
      <c r="G810" s="3" t="s">
        <v>2649</v>
      </c>
      <c r="H810" s="3" t="s">
        <v>3319</v>
      </c>
      <c r="I810" s="3" t="s">
        <v>3459</v>
      </c>
      <c r="J810" s="22" t="s">
        <v>3320</v>
      </c>
      <c r="K810" s="141" t="s">
        <v>3321</v>
      </c>
    </row>
    <row r="811" spans="1:11">
      <c r="A811" s="137"/>
      <c r="B811" s="119"/>
      <c r="C811" s="119"/>
      <c r="D811" s="104" t="s">
        <v>937</v>
      </c>
      <c r="E811" s="104" t="s">
        <v>938</v>
      </c>
      <c r="F811" s="105" t="s">
        <v>2639</v>
      </c>
      <c r="G811" s="3" t="s">
        <v>3322</v>
      </c>
      <c r="H811" s="3" t="s">
        <v>3323</v>
      </c>
      <c r="I811" s="3" t="s">
        <v>3581</v>
      </c>
      <c r="J811" s="22" t="s">
        <v>3324</v>
      </c>
      <c r="K811" s="141" t="s">
        <v>3325</v>
      </c>
    </row>
    <row r="812" spans="1:11">
      <c r="A812" s="137"/>
      <c r="B812" s="119"/>
      <c r="C812" s="119"/>
      <c r="D812" s="104" t="s">
        <v>939</v>
      </c>
      <c r="E812" s="104" t="s">
        <v>859</v>
      </c>
      <c r="F812" s="105" t="s">
        <v>2639</v>
      </c>
      <c r="G812" s="3" t="s">
        <v>3326</v>
      </c>
      <c r="H812" s="3" t="s">
        <v>3327</v>
      </c>
      <c r="I812" s="3" t="s">
        <v>3459</v>
      </c>
      <c r="J812" s="22" t="s">
        <v>3328</v>
      </c>
      <c r="K812" s="141" t="s">
        <v>3329</v>
      </c>
    </row>
    <row r="813" spans="1:11">
      <c r="A813" s="137"/>
      <c r="B813" s="119"/>
      <c r="C813" s="119" t="s">
        <v>940</v>
      </c>
      <c r="D813" s="104" t="s">
        <v>941</v>
      </c>
      <c r="E813" s="104" t="s">
        <v>942</v>
      </c>
      <c r="F813" s="105" t="s">
        <v>2640</v>
      </c>
      <c r="G813" s="3" t="s">
        <v>3330</v>
      </c>
      <c r="H813" s="3" t="s">
        <v>2674</v>
      </c>
      <c r="I813" s="3" t="s">
        <v>3453</v>
      </c>
      <c r="J813" s="22" t="s">
        <v>3331</v>
      </c>
      <c r="K813" s="141" t="s">
        <v>3332</v>
      </c>
    </row>
    <row r="814" spans="1:11">
      <c r="A814" s="137"/>
      <c r="B814" s="119"/>
      <c r="C814" s="119"/>
      <c r="D814" s="104" t="s">
        <v>933</v>
      </c>
      <c r="E814" s="104" t="s">
        <v>943</v>
      </c>
      <c r="F814" s="105" t="s">
        <v>2639</v>
      </c>
      <c r="G814" s="3" t="s">
        <v>3333</v>
      </c>
      <c r="H814" s="3" t="s">
        <v>3334</v>
      </c>
      <c r="I814" s="3" t="s">
        <v>3453</v>
      </c>
      <c r="J814" s="22" t="s">
        <v>3335</v>
      </c>
      <c r="K814" s="141" t="s">
        <v>3336</v>
      </c>
    </row>
    <row r="815" spans="1:11">
      <c r="A815" s="137"/>
      <c r="B815" s="119"/>
      <c r="C815" s="119"/>
      <c r="D815" s="104" t="s">
        <v>935</v>
      </c>
      <c r="E815" s="104" t="s">
        <v>944</v>
      </c>
      <c r="F815" s="105" t="s">
        <v>2639</v>
      </c>
      <c r="G815" s="3" t="s">
        <v>3298</v>
      </c>
      <c r="H815" s="3" t="s">
        <v>3337</v>
      </c>
      <c r="I815" s="3" t="s">
        <v>3453</v>
      </c>
      <c r="J815" s="22" t="s">
        <v>3338</v>
      </c>
      <c r="K815" s="141" t="s">
        <v>3339</v>
      </c>
    </row>
    <row r="816" spans="1:11">
      <c r="A816" s="137"/>
      <c r="B816" s="119"/>
      <c r="C816" s="119"/>
      <c r="D816" s="104" t="s">
        <v>937</v>
      </c>
      <c r="E816" s="104" t="s">
        <v>945</v>
      </c>
      <c r="F816" s="105" t="s">
        <v>2641</v>
      </c>
      <c r="G816" s="3" t="s">
        <v>3340</v>
      </c>
      <c r="H816" s="3" t="s">
        <v>3341</v>
      </c>
      <c r="I816" s="3" t="s">
        <v>3453</v>
      </c>
      <c r="J816" s="22" t="s">
        <v>3342</v>
      </c>
      <c r="K816" s="141" t="s">
        <v>3343</v>
      </c>
    </row>
    <row r="817" spans="1:11">
      <c r="A817" s="137"/>
      <c r="B817" s="119"/>
      <c r="C817" s="119"/>
      <c r="D817" s="104" t="s">
        <v>939</v>
      </c>
      <c r="E817" s="104" t="s">
        <v>946</v>
      </c>
      <c r="F817" s="105" t="s">
        <v>2639</v>
      </c>
      <c r="G817" s="3" t="s">
        <v>3322</v>
      </c>
      <c r="H817" s="3" t="s">
        <v>1987</v>
      </c>
      <c r="I817" s="3" t="s">
        <v>3453</v>
      </c>
      <c r="J817" s="22" t="s">
        <v>3344</v>
      </c>
      <c r="K817" s="141" t="s">
        <v>3345</v>
      </c>
    </row>
    <row r="818" spans="1:11">
      <c r="A818" s="137"/>
      <c r="B818" s="119"/>
      <c r="C818" s="119" t="s">
        <v>947</v>
      </c>
      <c r="D818" s="104" t="s">
        <v>948</v>
      </c>
      <c r="E818" s="104" t="s">
        <v>949</v>
      </c>
      <c r="F818" s="105" t="s">
        <v>2639</v>
      </c>
      <c r="G818" s="3" t="s">
        <v>3346</v>
      </c>
      <c r="H818" s="3" t="s">
        <v>3347</v>
      </c>
      <c r="I818" s="3" t="s">
        <v>3453</v>
      </c>
      <c r="J818" s="22" t="s">
        <v>3348</v>
      </c>
      <c r="K818" s="141" t="s">
        <v>3349</v>
      </c>
    </row>
    <row r="819" spans="1:11">
      <c r="A819" s="137"/>
      <c r="B819" s="119"/>
      <c r="C819" s="119"/>
      <c r="D819" s="104" t="s">
        <v>950</v>
      </c>
      <c r="E819" s="104" t="s">
        <v>951</v>
      </c>
      <c r="F819" s="105" t="s">
        <v>2639</v>
      </c>
      <c r="G819" s="3" t="s">
        <v>3350</v>
      </c>
      <c r="H819" s="3" t="s">
        <v>3351</v>
      </c>
      <c r="I819" s="3" t="s">
        <v>3453</v>
      </c>
      <c r="J819" s="22" t="s">
        <v>3352</v>
      </c>
      <c r="K819" s="141" t="s">
        <v>3353</v>
      </c>
    </row>
    <row r="820" spans="1:11">
      <c r="A820" s="137"/>
      <c r="B820" s="119"/>
      <c r="C820" s="119"/>
      <c r="D820" s="104" t="s">
        <v>952</v>
      </c>
      <c r="E820" s="104" t="s">
        <v>953</v>
      </c>
      <c r="F820" s="105" t="s">
        <v>2639</v>
      </c>
      <c r="G820" s="3" t="s">
        <v>3354</v>
      </c>
      <c r="H820" s="3" t="s">
        <v>2674</v>
      </c>
      <c r="I820" s="3" t="s">
        <v>3459</v>
      </c>
      <c r="J820" s="22" t="s">
        <v>3355</v>
      </c>
      <c r="K820" s="141" t="s">
        <v>3356</v>
      </c>
    </row>
    <row r="821" spans="1:11">
      <c r="A821" s="137"/>
      <c r="B821" s="119"/>
      <c r="C821" s="119"/>
      <c r="D821" s="104" t="s">
        <v>628</v>
      </c>
      <c r="E821" s="104" t="s">
        <v>954</v>
      </c>
      <c r="F821" s="105" t="s">
        <v>2640</v>
      </c>
      <c r="G821" s="3" t="s">
        <v>2876</v>
      </c>
      <c r="H821" s="3" t="s">
        <v>3357</v>
      </c>
      <c r="I821" s="3" t="s">
        <v>3459</v>
      </c>
      <c r="J821" s="22" t="s">
        <v>2878</v>
      </c>
      <c r="K821" s="141" t="s">
        <v>2879</v>
      </c>
    </row>
    <row r="822" spans="1:11">
      <c r="A822" s="137"/>
      <c r="B822" s="119"/>
      <c r="C822" s="119"/>
      <c r="D822" s="104" t="s">
        <v>630</v>
      </c>
      <c r="E822" s="104" t="s">
        <v>955</v>
      </c>
      <c r="F822" s="105" t="s">
        <v>2639</v>
      </c>
      <c r="G822" s="3" t="s">
        <v>3358</v>
      </c>
      <c r="H822" s="3" t="s">
        <v>2274</v>
      </c>
      <c r="I822" s="3" t="s">
        <v>3581</v>
      </c>
      <c r="J822" s="22" t="s">
        <v>3359</v>
      </c>
      <c r="K822" s="141" t="s">
        <v>3360</v>
      </c>
    </row>
    <row r="823" spans="1:11">
      <c r="A823" s="137"/>
      <c r="B823" s="119" t="s">
        <v>956</v>
      </c>
      <c r="C823" s="119" t="s">
        <v>957</v>
      </c>
      <c r="D823" s="104" t="s">
        <v>958</v>
      </c>
      <c r="E823" s="104" t="s">
        <v>959</v>
      </c>
      <c r="F823" s="105" t="s">
        <v>2639</v>
      </c>
      <c r="G823" s="3" t="s">
        <v>3361</v>
      </c>
      <c r="H823" s="3" t="s">
        <v>3362</v>
      </c>
      <c r="I823" s="3" t="s">
        <v>3459</v>
      </c>
      <c r="J823" s="22" t="s">
        <v>3363</v>
      </c>
      <c r="K823" s="141" t="s">
        <v>3364</v>
      </c>
    </row>
    <row r="824" spans="1:11">
      <c r="A824" s="137"/>
      <c r="B824" s="119"/>
      <c r="C824" s="119"/>
      <c r="D824" s="104" t="s">
        <v>960</v>
      </c>
      <c r="E824" s="104" t="s">
        <v>961</v>
      </c>
      <c r="F824" s="105" t="s">
        <v>2641</v>
      </c>
      <c r="G824" s="3" t="s">
        <v>3365</v>
      </c>
      <c r="H824" s="3" t="s">
        <v>3366</v>
      </c>
      <c r="I824" s="3" t="s">
        <v>3453</v>
      </c>
      <c r="J824" s="22" t="s">
        <v>3367</v>
      </c>
      <c r="K824" s="141" t="s">
        <v>3368</v>
      </c>
    </row>
    <row r="825" spans="1:11">
      <c r="A825" s="137"/>
      <c r="B825" s="119"/>
      <c r="C825" s="119"/>
      <c r="D825" s="104" t="s">
        <v>962</v>
      </c>
      <c r="E825" s="104" t="s">
        <v>963</v>
      </c>
      <c r="F825" s="105" t="s">
        <v>2639</v>
      </c>
      <c r="G825" s="3" t="s">
        <v>2995</v>
      </c>
      <c r="H825" s="3" t="s">
        <v>3369</v>
      </c>
      <c r="I825" s="3" t="s">
        <v>3459</v>
      </c>
      <c r="J825" s="22" t="s">
        <v>3370</v>
      </c>
      <c r="K825" s="141" t="s">
        <v>3371</v>
      </c>
    </row>
    <row r="826" spans="1:11">
      <c r="A826" s="137"/>
      <c r="B826" s="119"/>
      <c r="C826" s="119"/>
      <c r="D826" s="104" t="s">
        <v>964</v>
      </c>
      <c r="E826" s="104" t="s">
        <v>965</v>
      </c>
      <c r="F826" s="105" t="s">
        <v>2639</v>
      </c>
      <c r="G826" s="3" t="s">
        <v>3029</v>
      </c>
      <c r="H826" s="3" t="s">
        <v>2076</v>
      </c>
      <c r="I826" s="3" t="s">
        <v>3581</v>
      </c>
      <c r="J826" s="22" t="s">
        <v>3372</v>
      </c>
      <c r="K826" s="141" t="s">
        <v>3373</v>
      </c>
    </row>
    <row r="827" spans="1:11">
      <c r="A827" s="137"/>
      <c r="B827" s="119"/>
      <c r="C827" s="119"/>
      <c r="D827" s="104" t="s">
        <v>966</v>
      </c>
      <c r="E827" s="104" t="s">
        <v>967</v>
      </c>
      <c r="F827" s="105" t="s">
        <v>2640</v>
      </c>
      <c r="G827" s="3" t="s">
        <v>3374</v>
      </c>
      <c r="H827" s="3" t="s">
        <v>3375</v>
      </c>
      <c r="I827" s="3" t="s">
        <v>3581</v>
      </c>
      <c r="J827" s="22" t="s">
        <v>3376</v>
      </c>
      <c r="K827" s="141" t="s">
        <v>3377</v>
      </c>
    </row>
    <row r="828" spans="1:11">
      <c r="A828" s="137"/>
      <c r="B828" s="119"/>
      <c r="C828" s="119" t="s">
        <v>968</v>
      </c>
      <c r="D828" s="104" t="s">
        <v>969</v>
      </c>
      <c r="E828" s="104" t="s">
        <v>970</v>
      </c>
      <c r="F828" s="105" t="s">
        <v>2639</v>
      </c>
      <c r="G828" s="3" t="s">
        <v>3378</v>
      </c>
      <c r="H828" s="3" t="s">
        <v>3379</v>
      </c>
      <c r="I828" s="3" t="s">
        <v>3459</v>
      </c>
      <c r="J828" s="22" t="s">
        <v>3380</v>
      </c>
      <c r="K828" s="141" t="s">
        <v>3381</v>
      </c>
    </row>
    <row r="829" spans="1:11">
      <c r="A829" s="137"/>
      <c r="B829" s="119"/>
      <c r="C829" s="119"/>
      <c r="D829" s="104" t="s">
        <v>971</v>
      </c>
      <c r="E829" s="104" t="s">
        <v>972</v>
      </c>
      <c r="F829" s="105" t="s">
        <v>2639</v>
      </c>
      <c r="G829" s="3" t="s">
        <v>3382</v>
      </c>
      <c r="H829" s="3" t="s">
        <v>3383</v>
      </c>
      <c r="I829" s="3" t="s">
        <v>3453</v>
      </c>
      <c r="J829" s="22" t="s">
        <v>3384</v>
      </c>
      <c r="K829" s="141" t="s">
        <v>3385</v>
      </c>
    </row>
    <row r="830" spans="1:11">
      <c r="A830" s="137"/>
      <c r="B830" s="119"/>
      <c r="C830" s="119"/>
      <c r="D830" s="104" t="s">
        <v>973</v>
      </c>
      <c r="E830" s="104" t="s">
        <v>974</v>
      </c>
      <c r="F830" s="105" t="s">
        <v>2641</v>
      </c>
      <c r="G830" s="3" t="s">
        <v>3386</v>
      </c>
      <c r="H830" s="3" t="s">
        <v>3375</v>
      </c>
      <c r="I830" s="3" t="s">
        <v>3459</v>
      </c>
      <c r="J830" s="22" t="s">
        <v>3387</v>
      </c>
      <c r="K830" s="141" t="s">
        <v>3388</v>
      </c>
    </row>
    <row r="831" spans="1:11">
      <c r="A831" s="137"/>
      <c r="B831" s="119"/>
      <c r="C831" s="119"/>
      <c r="D831" s="104" t="s">
        <v>975</v>
      </c>
      <c r="E831" s="104" t="s">
        <v>976</v>
      </c>
      <c r="F831" s="105" t="s">
        <v>2639</v>
      </c>
      <c r="G831" s="3" t="s">
        <v>3389</v>
      </c>
      <c r="H831" s="3" t="s">
        <v>3390</v>
      </c>
      <c r="I831" s="3" t="s">
        <v>3459</v>
      </c>
      <c r="J831" s="22" t="s">
        <v>3376</v>
      </c>
      <c r="K831" s="141" t="s">
        <v>3391</v>
      </c>
    </row>
    <row r="832" spans="1:11">
      <c r="A832" s="137"/>
      <c r="B832" s="119"/>
      <c r="C832" s="119"/>
      <c r="D832" s="104" t="s">
        <v>977</v>
      </c>
      <c r="E832" s="104" t="s">
        <v>978</v>
      </c>
      <c r="F832" s="105" t="s">
        <v>2640</v>
      </c>
      <c r="G832" s="3" t="s">
        <v>3392</v>
      </c>
      <c r="H832" s="3" t="s">
        <v>2076</v>
      </c>
      <c r="I832" s="3" t="s">
        <v>3581</v>
      </c>
      <c r="J832" s="22" t="s">
        <v>3393</v>
      </c>
      <c r="K832" s="141" t="s">
        <v>3394</v>
      </c>
    </row>
    <row r="833" spans="1:11">
      <c r="A833" s="137"/>
      <c r="B833" s="119"/>
      <c r="C833" s="119" t="s">
        <v>979</v>
      </c>
      <c r="D833" s="104" t="s">
        <v>980</v>
      </c>
      <c r="E833" s="104" t="s">
        <v>981</v>
      </c>
      <c r="F833" s="105" t="s">
        <v>2639</v>
      </c>
      <c r="G833" s="3" t="s">
        <v>3395</v>
      </c>
      <c r="H833" s="3" t="s">
        <v>3396</v>
      </c>
      <c r="I833" s="3" t="s">
        <v>3459</v>
      </c>
      <c r="J833" s="22" t="s">
        <v>3397</v>
      </c>
      <c r="K833" s="141" t="s">
        <v>3398</v>
      </c>
    </row>
    <row r="834" spans="1:11">
      <c r="A834" s="137"/>
      <c r="B834" s="119"/>
      <c r="C834" s="119"/>
      <c r="D834" s="104" t="s">
        <v>982</v>
      </c>
      <c r="E834" s="104" t="s">
        <v>983</v>
      </c>
      <c r="F834" s="105" t="s">
        <v>2639</v>
      </c>
      <c r="G834" s="3" t="s">
        <v>3399</v>
      </c>
      <c r="H834" s="3" t="s">
        <v>3400</v>
      </c>
      <c r="I834" s="3" t="s">
        <v>3453</v>
      </c>
      <c r="J834" s="22" t="s">
        <v>3401</v>
      </c>
      <c r="K834" s="141" t="s">
        <v>3402</v>
      </c>
    </row>
    <row r="835" spans="1:11">
      <c r="A835" s="137"/>
      <c r="B835" s="119"/>
      <c r="C835" s="119"/>
      <c r="D835" s="104" t="s">
        <v>984</v>
      </c>
      <c r="E835" s="104" t="s">
        <v>985</v>
      </c>
      <c r="F835" s="105" t="s">
        <v>2641</v>
      </c>
      <c r="G835" s="3" t="s">
        <v>3403</v>
      </c>
      <c r="H835" s="3" t="s">
        <v>3404</v>
      </c>
      <c r="I835" s="3" t="s">
        <v>3581</v>
      </c>
      <c r="J835" s="22" t="s">
        <v>3405</v>
      </c>
      <c r="K835" s="141" t="s">
        <v>3406</v>
      </c>
    </row>
    <row r="836" spans="1:11">
      <c r="A836" s="137"/>
      <c r="B836" s="119"/>
      <c r="C836" s="119"/>
      <c r="D836" s="104" t="s">
        <v>986</v>
      </c>
      <c r="E836" s="104" t="s">
        <v>987</v>
      </c>
      <c r="F836" s="105" t="s">
        <v>2639</v>
      </c>
      <c r="G836" s="3" t="s">
        <v>2902</v>
      </c>
      <c r="H836" s="3" t="s">
        <v>3407</v>
      </c>
      <c r="I836" s="3" t="s">
        <v>3459</v>
      </c>
      <c r="J836" s="22" t="s">
        <v>3408</v>
      </c>
      <c r="K836" s="141" t="s">
        <v>3409</v>
      </c>
    </row>
    <row r="837" spans="1:11">
      <c r="A837" s="137"/>
      <c r="B837" s="119"/>
      <c r="C837" s="119"/>
      <c r="D837" s="104" t="s">
        <v>988</v>
      </c>
      <c r="E837" s="104" t="s">
        <v>989</v>
      </c>
      <c r="F837" s="105" t="s">
        <v>2639</v>
      </c>
      <c r="G837" s="3" t="s">
        <v>3410</v>
      </c>
      <c r="H837" s="3" t="s">
        <v>2274</v>
      </c>
      <c r="I837" s="3" t="s">
        <v>3581</v>
      </c>
      <c r="J837" s="22" t="s">
        <v>3411</v>
      </c>
      <c r="K837" s="141" t="s">
        <v>3412</v>
      </c>
    </row>
    <row r="838" spans="1:11">
      <c r="A838" s="137"/>
      <c r="B838" s="119"/>
      <c r="C838" s="119" t="s">
        <v>990</v>
      </c>
      <c r="D838" s="104" t="s">
        <v>991</v>
      </c>
      <c r="E838" s="104" t="s">
        <v>992</v>
      </c>
      <c r="F838" s="105" t="s">
        <v>2641</v>
      </c>
      <c r="G838" s="3" t="s">
        <v>3413</v>
      </c>
      <c r="H838" s="3" t="s">
        <v>3414</v>
      </c>
      <c r="I838" s="3" t="s">
        <v>3453</v>
      </c>
      <c r="J838" s="22" t="s">
        <v>3415</v>
      </c>
      <c r="K838" s="141" t="s">
        <v>3416</v>
      </c>
    </row>
    <row r="839" spans="1:11">
      <c r="A839" s="137"/>
      <c r="B839" s="119"/>
      <c r="C839" s="119"/>
      <c r="D839" s="104" t="s">
        <v>993</v>
      </c>
      <c r="E839" s="104" t="s">
        <v>994</v>
      </c>
      <c r="F839" s="105" t="s">
        <v>2639</v>
      </c>
      <c r="G839" s="3" t="s">
        <v>3417</v>
      </c>
      <c r="H839" s="3" t="s">
        <v>3418</v>
      </c>
      <c r="I839" s="3" t="s">
        <v>3459</v>
      </c>
      <c r="J839" s="22" t="s">
        <v>3419</v>
      </c>
      <c r="K839" s="141" t="s">
        <v>3420</v>
      </c>
    </row>
    <row r="840" spans="1:11">
      <c r="A840" s="137"/>
      <c r="B840" s="119"/>
      <c r="C840" s="119"/>
      <c r="D840" s="104" t="s">
        <v>995</v>
      </c>
      <c r="E840" s="104" t="s">
        <v>996</v>
      </c>
      <c r="F840" s="105" t="s">
        <v>2639</v>
      </c>
      <c r="G840" s="3" t="s">
        <v>3386</v>
      </c>
      <c r="H840" s="3" t="s">
        <v>3375</v>
      </c>
      <c r="I840" s="3" t="s">
        <v>3459</v>
      </c>
      <c r="J840" s="22" t="s">
        <v>3421</v>
      </c>
      <c r="K840" s="141" t="s">
        <v>3388</v>
      </c>
    </row>
    <row r="841" spans="1:11">
      <c r="A841" s="137"/>
      <c r="B841" s="119"/>
      <c r="C841" s="119"/>
      <c r="D841" s="104" t="s">
        <v>997</v>
      </c>
      <c r="E841" s="104" t="s">
        <v>998</v>
      </c>
      <c r="F841" s="105" t="s">
        <v>2639</v>
      </c>
      <c r="G841" s="3" t="s">
        <v>2849</v>
      </c>
      <c r="H841" s="3" t="s">
        <v>3283</v>
      </c>
      <c r="I841" s="3" t="s">
        <v>3453</v>
      </c>
      <c r="J841" s="22" t="s">
        <v>3196</v>
      </c>
      <c r="K841" s="141" t="s">
        <v>3422</v>
      </c>
    </row>
    <row r="842" spans="1:11">
      <c r="A842" s="137"/>
      <c r="B842" s="119"/>
      <c r="C842" s="119"/>
      <c r="D842" s="104" t="s">
        <v>999</v>
      </c>
      <c r="E842" s="104" t="s">
        <v>1000</v>
      </c>
      <c r="F842" s="105" t="s">
        <v>2639</v>
      </c>
      <c r="G842" s="3" t="s">
        <v>2995</v>
      </c>
      <c r="H842" s="3" t="s">
        <v>2996</v>
      </c>
      <c r="I842" s="3" t="s">
        <v>3453</v>
      </c>
      <c r="J842" s="22" t="s">
        <v>3423</v>
      </c>
      <c r="K842" s="141" t="s">
        <v>3424</v>
      </c>
    </row>
    <row r="843" spans="1:11">
      <c r="A843" s="137"/>
      <c r="B843" s="119"/>
      <c r="C843" s="119" t="s">
        <v>1001</v>
      </c>
      <c r="D843" s="104" t="s">
        <v>1002</v>
      </c>
      <c r="E843" s="104" t="s">
        <v>1003</v>
      </c>
      <c r="F843" s="105" t="s">
        <v>2640</v>
      </c>
      <c r="G843" s="3" t="s">
        <v>3425</v>
      </c>
      <c r="H843" s="3" t="s">
        <v>2861</v>
      </c>
      <c r="I843" s="3" t="s">
        <v>3453</v>
      </c>
      <c r="J843" s="22" t="s">
        <v>3426</v>
      </c>
      <c r="K843" s="141" t="s">
        <v>2939</v>
      </c>
    </row>
    <row r="844" spans="1:11">
      <c r="A844" s="137"/>
      <c r="B844" s="119"/>
      <c r="C844" s="119"/>
      <c r="D844" s="104" t="s">
        <v>1004</v>
      </c>
      <c r="E844" s="104" t="s">
        <v>1005</v>
      </c>
      <c r="F844" s="105" t="s">
        <v>2639</v>
      </c>
      <c r="G844" s="3" t="s">
        <v>3427</v>
      </c>
      <c r="H844" s="3" t="s">
        <v>2635</v>
      </c>
      <c r="I844" s="102" t="s">
        <v>3459</v>
      </c>
      <c r="J844" s="22" t="s">
        <v>3428</v>
      </c>
      <c r="K844" s="141" t="s">
        <v>3429</v>
      </c>
    </row>
    <row r="845" spans="1:11">
      <c r="A845" s="137"/>
      <c r="B845" s="119"/>
      <c r="C845" s="119"/>
      <c r="D845" s="104" t="s">
        <v>1006</v>
      </c>
      <c r="E845" s="104" t="s">
        <v>1007</v>
      </c>
      <c r="F845" s="105" t="s">
        <v>2639</v>
      </c>
      <c r="G845" s="3" t="s">
        <v>3430</v>
      </c>
      <c r="H845" s="3" t="s">
        <v>3375</v>
      </c>
      <c r="I845" s="3" t="s">
        <v>3453</v>
      </c>
      <c r="J845" s="22" t="s">
        <v>3431</v>
      </c>
      <c r="K845" s="141" t="s">
        <v>3432</v>
      </c>
    </row>
    <row r="846" spans="1:11">
      <c r="A846" s="137"/>
      <c r="B846" s="119"/>
      <c r="C846" s="119"/>
      <c r="D846" s="104" t="s">
        <v>1008</v>
      </c>
      <c r="E846" s="104" t="s">
        <v>1009</v>
      </c>
      <c r="F846" s="105" t="s">
        <v>2641</v>
      </c>
      <c r="G846" s="3" t="s">
        <v>3433</v>
      </c>
      <c r="H846" s="3" t="s">
        <v>3434</v>
      </c>
      <c r="I846" s="3" t="s">
        <v>3459</v>
      </c>
      <c r="J846" s="22" t="s">
        <v>3435</v>
      </c>
      <c r="K846" s="141" t="s">
        <v>3436</v>
      </c>
    </row>
    <row r="847" spans="1:11">
      <c r="A847" s="137"/>
      <c r="B847" s="119"/>
      <c r="C847" s="119"/>
      <c r="D847" s="104" t="s">
        <v>1010</v>
      </c>
      <c r="E847" s="104" t="s">
        <v>1011</v>
      </c>
      <c r="F847" s="105" t="s">
        <v>2639</v>
      </c>
      <c r="G847" s="3" t="s">
        <v>2849</v>
      </c>
      <c r="H847" s="3" t="s">
        <v>3210</v>
      </c>
      <c r="I847" s="3" t="s">
        <v>3459</v>
      </c>
      <c r="J847" s="22" t="s">
        <v>3437</v>
      </c>
      <c r="K847" s="141" t="s">
        <v>3438</v>
      </c>
    </row>
    <row r="848" spans="1:11">
      <c r="A848" s="137"/>
      <c r="B848" s="119"/>
      <c r="C848" s="119" t="s">
        <v>1012</v>
      </c>
      <c r="D848" s="104" t="s">
        <v>1013</v>
      </c>
      <c r="E848" s="104" t="s">
        <v>1014</v>
      </c>
      <c r="F848" s="105" t="s">
        <v>2639</v>
      </c>
      <c r="G848" s="3" t="s">
        <v>3386</v>
      </c>
      <c r="H848" s="3" t="s">
        <v>3439</v>
      </c>
      <c r="I848" s="3" t="s">
        <v>3453</v>
      </c>
      <c r="J848" s="22" t="s">
        <v>3440</v>
      </c>
      <c r="K848" s="141" t="s">
        <v>3441</v>
      </c>
    </row>
    <row r="849" spans="1:11">
      <c r="A849" s="137"/>
      <c r="B849" s="119"/>
      <c r="C849" s="119"/>
      <c r="D849" s="104" t="s">
        <v>1015</v>
      </c>
      <c r="E849" s="104" t="s">
        <v>1016</v>
      </c>
      <c r="F849" s="105" t="s">
        <v>2639</v>
      </c>
      <c r="G849" s="3" t="s">
        <v>3442</v>
      </c>
      <c r="H849" s="3" t="s">
        <v>1987</v>
      </c>
      <c r="I849" s="3" t="s">
        <v>3453</v>
      </c>
      <c r="J849" s="22" t="s">
        <v>3443</v>
      </c>
      <c r="K849" s="141" t="s">
        <v>3444</v>
      </c>
    </row>
    <row r="850" spans="1:11">
      <c r="A850" s="137"/>
      <c r="B850" s="119"/>
      <c r="C850" s="119"/>
      <c r="D850" s="104" t="s">
        <v>1017</v>
      </c>
      <c r="E850" s="104" t="s">
        <v>1018</v>
      </c>
      <c r="F850" s="105" t="s">
        <v>2639</v>
      </c>
      <c r="G850" s="3" t="s">
        <v>3445</v>
      </c>
      <c r="H850" s="3" t="s">
        <v>3446</v>
      </c>
      <c r="I850" s="3" t="s">
        <v>3459</v>
      </c>
      <c r="J850" s="22" t="s">
        <v>3447</v>
      </c>
      <c r="K850" s="141" t="s">
        <v>3448</v>
      </c>
    </row>
    <row r="851" spans="1:11">
      <c r="A851" s="137"/>
      <c r="B851" s="119"/>
      <c r="C851" s="119"/>
      <c r="D851" s="104" t="s">
        <v>1019</v>
      </c>
      <c r="E851" s="104" t="s">
        <v>1020</v>
      </c>
      <c r="F851" s="105" t="s">
        <v>2640</v>
      </c>
      <c r="G851" s="3" t="s">
        <v>3392</v>
      </c>
      <c r="H851" s="3" t="s">
        <v>2076</v>
      </c>
      <c r="I851" s="3" t="s">
        <v>3459</v>
      </c>
      <c r="J851" s="22" t="s">
        <v>3393</v>
      </c>
      <c r="K851" s="141" t="s">
        <v>3394</v>
      </c>
    </row>
    <row r="852" spans="1:11">
      <c r="A852" s="137"/>
      <c r="B852" s="119"/>
      <c r="C852" s="119"/>
      <c r="D852" s="104" t="s">
        <v>977</v>
      </c>
      <c r="E852" s="104" t="s">
        <v>1021</v>
      </c>
      <c r="F852" s="105" t="s">
        <v>2639</v>
      </c>
      <c r="G852" s="3" t="s">
        <v>11653</v>
      </c>
      <c r="H852" s="102" t="s">
        <v>11654</v>
      </c>
      <c r="I852" s="3" t="s">
        <v>3453</v>
      </c>
      <c r="J852" s="102" t="s">
        <v>11655</v>
      </c>
      <c r="K852" s="141" t="s">
        <v>11656</v>
      </c>
    </row>
    <row r="853" spans="1:11">
      <c r="A853" s="137"/>
      <c r="B853" s="119" t="s">
        <v>1022</v>
      </c>
      <c r="C853" s="119" t="s">
        <v>1023</v>
      </c>
      <c r="D853" s="104" t="s">
        <v>1024</v>
      </c>
      <c r="E853" s="104" t="s">
        <v>1025</v>
      </c>
      <c r="F853" s="105" t="s">
        <v>2639</v>
      </c>
      <c r="G853" s="3" t="s">
        <v>11657</v>
      </c>
      <c r="H853" s="3" t="s">
        <v>11658</v>
      </c>
      <c r="I853" s="3" t="s">
        <v>3581</v>
      </c>
      <c r="J853" s="3" t="s">
        <v>11659</v>
      </c>
      <c r="K853" s="4" t="s">
        <v>11660</v>
      </c>
    </row>
    <row r="854" spans="1:11">
      <c r="A854" s="137"/>
      <c r="B854" s="119"/>
      <c r="C854" s="119"/>
      <c r="D854" s="104" t="s">
        <v>1026</v>
      </c>
      <c r="E854" s="104" t="s">
        <v>1027</v>
      </c>
      <c r="F854" s="105" t="s">
        <v>2641</v>
      </c>
      <c r="G854" s="3" t="s">
        <v>11661</v>
      </c>
      <c r="H854" s="3" t="s">
        <v>11662</v>
      </c>
      <c r="I854" s="3" t="s">
        <v>3459</v>
      </c>
      <c r="J854" s="3" t="s">
        <v>11663</v>
      </c>
      <c r="K854" s="4" t="s">
        <v>11664</v>
      </c>
    </row>
    <row r="855" spans="1:11">
      <c r="A855" s="137"/>
      <c r="B855" s="119"/>
      <c r="C855" s="119"/>
      <c r="D855" s="104" t="s">
        <v>1028</v>
      </c>
      <c r="E855" s="104" t="s">
        <v>1029</v>
      </c>
      <c r="F855" s="105" t="s">
        <v>2639</v>
      </c>
      <c r="G855" s="3" t="s">
        <v>10811</v>
      </c>
      <c r="H855" s="3" t="s">
        <v>5850</v>
      </c>
      <c r="I855" s="3" t="s">
        <v>3459</v>
      </c>
      <c r="J855" s="3" t="s">
        <v>11665</v>
      </c>
      <c r="K855" s="4" t="s">
        <v>11666</v>
      </c>
    </row>
    <row r="856" spans="1:11">
      <c r="A856" s="137"/>
      <c r="B856" s="119"/>
      <c r="C856" s="119"/>
      <c r="D856" s="104" t="s">
        <v>1030</v>
      </c>
      <c r="E856" s="104" t="s">
        <v>1031</v>
      </c>
      <c r="F856" s="105" t="s">
        <v>2639</v>
      </c>
      <c r="G856" s="3" t="s">
        <v>11667</v>
      </c>
      <c r="H856" s="3" t="s">
        <v>11668</v>
      </c>
      <c r="I856" s="3" t="s">
        <v>3453</v>
      </c>
      <c r="J856" s="3" t="s">
        <v>11669</v>
      </c>
      <c r="K856" s="4" t="s">
        <v>11670</v>
      </c>
    </row>
    <row r="857" spans="1:11">
      <c r="A857" s="137"/>
      <c r="B857" s="119"/>
      <c r="C857" s="119"/>
      <c r="D857" s="104" t="s">
        <v>1032</v>
      </c>
      <c r="E857" s="104" t="s">
        <v>1033</v>
      </c>
      <c r="F857" s="105" t="s">
        <v>2641</v>
      </c>
      <c r="G857" s="3" t="s">
        <v>11671</v>
      </c>
      <c r="H857" s="3" t="s">
        <v>11672</v>
      </c>
      <c r="I857" s="3" t="s">
        <v>3453</v>
      </c>
      <c r="J857" s="3" t="s">
        <v>11673</v>
      </c>
      <c r="K857" s="4" t="s">
        <v>11674</v>
      </c>
    </row>
    <row r="858" spans="1:11">
      <c r="A858" s="137"/>
      <c r="B858" s="119"/>
      <c r="C858" s="119" t="s">
        <v>1034</v>
      </c>
      <c r="D858" s="104" t="s">
        <v>1035</v>
      </c>
      <c r="E858" s="104" t="s">
        <v>1036</v>
      </c>
      <c r="F858" s="105" t="s">
        <v>2639</v>
      </c>
      <c r="G858" s="3" t="s">
        <v>11675</v>
      </c>
      <c r="H858" s="3" t="s">
        <v>11676</v>
      </c>
      <c r="I858" s="3" t="s">
        <v>3459</v>
      </c>
      <c r="J858" s="3" t="s">
        <v>11677</v>
      </c>
      <c r="K858" s="4" t="s">
        <v>11678</v>
      </c>
    </row>
    <row r="859" spans="1:11">
      <c r="A859" s="137"/>
      <c r="B859" s="119"/>
      <c r="C859" s="119"/>
      <c r="D859" s="104" t="s">
        <v>1037</v>
      </c>
      <c r="E859" s="104" t="s">
        <v>1038</v>
      </c>
      <c r="F859" s="105" t="s">
        <v>2640</v>
      </c>
      <c r="G859" s="3" t="s">
        <v>11679</v>
      </c>
      <c r="H859" s="3" t="s">
        <v>11680</v>
      </c>
      <c r="I859" s="3" t="s">
        <v>3459</v>
      </c>
      <c r="J859" s="3" t="s">
        <v>11681</v>
      </c>
      <c r="K859" s="4" t="s">
        <v>11682</v>
      </c>
    </row>
    <row r="860" spans="1:11">
      <c r="A860" s="137"/>
      <c r="B860" s="119"/>
      <c r="C860" s="119"/>
      <c r="D860" s="104" t="s">
        <v>1039</v>
      </c>
      <c r="E860" s="104" t="s">
        <v>1040</v>
      </c>
      <c r="F860" s="105" t="s">
        <v>2640</v>
      </c>
      <c r="G860" s="3" t="s">
        <v>11683</v>
      </c>
      <c r="H860" s="3" t="s">
        <v>11684</v>
      </c>
      <c r="I860" s="3" t="s">
        <v>3453</v>
      </c>
      <c r="J860" s="3" t="s">
        <v>11685</v>
      </c>
      <c r="K860" s="4" t="s">
        <v>11686</v>
      </c>
    </row>
    <row r="861" spans="1:11">
      <c r="A861" s="137"/>
      <c r="B861" s="119"/>
      <c r="C861" s="119"/>
      <c r="D861" s="104" t="s">
        <v>1041</v>
      </c>
      <c r="E861" s="104" t="s">
        <v>1042</v>
      </c>
      <c r="F861" s="105" t="s">
        <v>2639</v>
      </c>
      <c r="G861" s="3" t="s">
        <v>11687</v>
      </c>
      <c r="H861" s="3" t="s">
        <v>11688</v>
      </c>
      <c r="I861" s="3" t="s">
        <v>3581</v>
      </c>
      <c r="J861" s="3" t="s">
        <v>11689</v>
      </c>
      <c r="K861" s="4" t="s">
        <v>11690</v>
      </c>
    </row>
    <row r="862" spans="1:11">
      <c r="A862" s="137"/>
      <c r="B862" s="119"/>
      <c r="C862" s="119"/>
      <c r="D862" s="104" t="s">
        <v>1043</v>
      </c>
      <c r="E862" s="104" t="s">
        <v>1044</v>
      </c>
      <c r="F862" s="105" t="s">
        <v>2639</v>
      </c>
      <c r="G862" s="3" t="s">
        <v>11691</v>
      </c>
      <c r="H862" s="3" t="s">
        <v>11692</v>
      </c>
      <c r="I862" s="3" t="s">
        <v>3459</v>
      </c>
      <c r="J862" s="3" t="s">
        <v>11693</v>
      </c>
      <c r="K862" s="4" t="s">
        <v>11694</v>
      </c>
    </row>
    <row r="863" spans="1:11">
      <c r="A863" s="137"/>
      <c r="B863" s="119"/>
      <c r="C863" s="119" t="s">
        <v>1045</v>
      </c>
      <c r="D863" s="104" t="s">
        <v>1046</v>
      </c>
      <c r="E863" s="104" t="s">
        <v>1047</v>
      </c>
      <c r="F863" s="105" t="s">
        <v>2639</v>
      </c>
      <c r="G863" s="3" t="s">
        <v>11695</v>
      </c>
      <c r="H863" s="3" t="s">
        <v>11696</v>
      </c>
      <c r="I863" s="3" t="s">
        <v>3581</v>
      </c>
      <c r="J863" s="3" t="s">
        <v>11697</v>
      </c>
      <c r="K863" s="4" t="s">
        <v>11698</v>
      </c>
    </row>
    <row r="864" spans="1:11">
      <c r="A864" s="137"/>
      <c r="B864" s="119"/>
      <c r="C864" s="119"/>
      <c r="D864" s="104" t="s">
        <v>1048</v>
      </c>
      <c r="E864" s="104" t="s">
        <v>1049</v>
      </c>
      <c r="F864" s="105" t="s">
        <v>2639</v>
      </c>
      <c r="G864" s="3" t="s">
        <v>2213</v>
      </c>
      <c r="H864" s="3" t="s">
        <v>11699</v>
      </c>
      <c r="I864" s="3" t="s">
        <v>3459</v>
      </c>
      <c r="J864" s="3" t="s">
        <v>11700</v>
      </c>
      <c r="K864" s="4" t="s">
        <v>11701</v>
      </c>
    </row>
    <row r="865" spans="1:11">
      <c r="A865" s="137"/>
      <c r="B865" s="119"/>
      <c r="C865" s="119"/>
      <c r="D865" s="104" t="s">
        <v>1050</v>
      </c>
      <c r="E865" s="104" t="s">
        <v>1051</v>
      </c>
      <c r="F865" s="105" t="s">
        <v>2639</v>
      </c>
      <c r="G865" s="3" t="s">
        <v>11702</v>
      </c>
      <c r="H865" s="3" t="s">
        <v>11703</v>
      </c>
      <c r="I865" s="3" t="s">
        <v>3581</v>
      </c>
      <c r="J865" s="3" t="s">
        <v>11704</v>
      </c>
      <c r="K865" s="4" t="s">
        <v>11705</v>
      </c>
    </row>
    <row r="866" spans="1:11">
      <c r="A866" s="137"/>
      <c r="B866" s="119"/>
      <c r="C866" s="119"/>
      <c r="D866" s="104" t="s">
        <v>1052</v>
      </c>
      <c r="E866" s="104" t="s">
        <v>1053</v>
      </c>
      <c r="F866" s="105" t="s">
        <v>2640</v>
      </c>
      <c r="G866" s="3" t="s">
        <v>11706</v>
      </c>
      <c r="H866" s="3" t="s">
        <v>11707</v>
      </c>
      <c r="I866" s="3" t="s">
        <v>3453</v>
      </c>
      <c r="J866" s="3" t="s">
        <v>11708</v>
      </c>
      <c r="K866" s="4" t="s">
        <v>11709</v>
      </c>
    </row>
    <row r="867" spans="1:11">
      <c r="A867" s="137"/>
      <c r="B867" s="119"/>
      <c r="C867" s="119"/>
      <c r="D867" s="104" t="s">
        <v>1054</v>
      </c>
      <c r="E867" s="104" t="s">
        <v>1055</v>
      </c>
      <c r="F867" s="105" t="s">
        <v>2641</v>
      </c>
      <c r="G867" s="3" t="s">
        <v>11710</v>
      </c>
      <c r="H867" s="3" t="s">
        <v>11711</v>
      </c>
      <c r="I867" s="3" t="s">
        <v>3453</v>
      </c>
      <c r="J867" s="3" t="s">
        <v>11712</v>
      </c>
      <c r="K867" s="4" t="s">
        <v>11713</v>
      </c>
    </row>
    <row r="868" spans="1:11">
      <c r="A868" s="137"/>
      <c r="B868" s="119"/>
      <c r="C868" s="119" t="s">
        <v>1056</v>
      </c>
      <c r="D868" s="104" t="s">
        <v>1057</v>
      </c>
      <c r="E868" s="104" t="s">
        <v>1058</v>
      </c>
      <c r="F868" s="105" t="s">
        <v>2639</v>
      </c>
      <c r="G868" s="3" t="s">
        <v>11714</v>
      </c>
      <c r="H868" s="3" t="s">
        <v>5802</v>
      </c>
      <c r="I868" s="3" t="s">
        <v>3459</v>
      </c>
      <c r="J868" s="3" t="s">
        <v>7008</v>
      </c>
      <c r="K868" s="4" t="s">
        <v>11715</v>
      </c>
    </row>
    <row r="869" spans="1:11">
      <c r="A869" s="137"/>
      <c r="B869" s="119"/>
      <c r="C869" s="119"/>
      <c r="D869" s="104" t="s">
        <v>1059</v>
      </c>
      <c r="E869" s="104" t="s">
        <v>1060</v>
      </c>
      <c r="F869" s="105" t="s">
        <v>2639</v>
      </c>
      <c r="G869" s="3" t="s">
        <v>5767</v>
      </c>
      <c r="H869" s="3" t="s">
        <v>11716</v>
      </c>
      <c r="I869" s="3" t="s">
        <v>3459</v>
      </c>
      <c r="J869" s="3" t="s">
        <v>11717</v>
      </c>
      <c r="K869" s="4" t="s">
        <v>11718</v>
      </c>
    </row>
    <row r="870" spans="1:11">
      <c r="A870" s="137"/>
      <c r="B870" s="119"/>
      <c r="C870" s="119"/>
      <c r="D870" s="104" t="s">
        <v>1061</v>
      </c>
      <c r="E870" s="104" t="s">
        <v>1062</v>
      </c>
      <c r="F870" s="105" t="s">
        <v>2640</v>
      </c>
      <c r="G870" s="3" t="s">
        <v>3503</v>
      </c>
      <c r="H870" s="3" t="s">
        <v>11719</v>
      </c>
      <c r="I870" s="3" t="s">
        <v>3459</v>
      </c>
      <c r="J870" s="3" t="s">
        <v>11720</v>
      </c>
      <c r="K870" s="4" t="s">
        <v>11721</v>
      </c>
    </row>
    <row r="871" spans="1:11">
      <c r="A871" s="137"/>
      <c r="B871" s="119"/>
      <c r="C871" s="119"/>
      <c r="D871" s="104" t="s">
        <v>1063</v>
      </c>
      <c r="E871" s="104" t="s">
        <v>1064</v>
      </c>
      <c r="F871" s="105" t="s">
        <v>2639</v>
      </c>
      <c r="G871" s="3" t="s">
        <v>11722</v>
      </c>
      <c r="H871" s="3" t="s">
        <v>11723</v>
      </c>
      <c r="I871" s="3" t="s">
        <v>3459</v>
      </c>
      <c r="J871" s="3" t="s">
        <v>11724</v>
      </c>
      <c r="K871" s="4" t="s">
        <v>11725</v>
      </c>
    </row>
    <row r="872" spans="1:11">
      <c r="A872" s="137"/>
      <c r="B872" s="119"/>
      <c r="C872" s="119"/>
      <c r="D872" s="104" t="s">
        <v>1065</v>
      </c>
      <c r="E872" s="104" t="s">
        <v>1066</v>
      </c>
      <c r="F872" s="105" t="s">
        <v>2641</v>
      </c>
      <c r="G872" s="3" t="s">
        <v>11726</v>
      </c>
      <c r="H872" s="3" t="s">
        <v>11727</v>
      </c>
      <c r="I872" s="3" t="s">
        <v>3459</v>
      </c>
      <c r="J872" s="3" t="s">
        <v>11728</v>
      </c>
      <c r="K872" s="4" t="s">
        <v>11729</v>
      </c>
    </row>
    <row r="873" spans="1:11">
      <c r="A873" s="137"/>
      <c r="B873" s="119"/>
      <c r="C873" s="119" t="s">
        <v>1067</v>
      </c>
      <c r="D873" s="104" t="s">
        <v>1068</v>
      </c>
      <c r="E873" s="104" t="s">
        <v>1069</v>
      </c>
      <c r="F873" s="105" t="s">
        <v>2639</v>
      </c>
      <c r="G873" s="3" t="s">
        <v>11730</v>
      </c>
      <c r="H873" s="3" t="s">
        <v>11731</v>
      </c>
      <c r="I873" s="3" t="s">
        <v>3581</v>
      </c>
      <c r="J873" s="3" t="s">
        <v>11732</v>
      </c>
      <c r="K873" s="4" t="s">
        <v>11733</v>
      </c>
    </row>
    <row r="874" spans="1:11">
      <c r="A874" s="137"/>
      <c r="B874" s="119"/>
      <c r="C874" s="119"/>
      <c r="D874" s="104" t="s">
        <v>1070</v>
      </c>
      <c r="E874" s="104" t="s">
        <v>1071</v>
      </c>
      <c r="F874" s="105" t="s">
        <v>2641</v>
      </c>
      <c r="G874" s="3" t="s">
        <v>11734</v>
      </c>
      <c r="H874" s="3" t="s">
        <v>11735</v>
      </c>
      <c r="I874" s="3" t="s">
        <v>3459</v>
      </c>
      <c r="J874" s="3" t="s">
        <v>11736</v>
      </c>
      <c r="K874" s="4" t="s">
        <v>11737</v>
      </c>
    </row>
    <row r="875" spans="1:11">
      <c r="A875" s="137"/>
      <c r="B875" s="119"/>
      <c r="C875" s="119"/>
      <c r="D875" s="104" t="s">
        <v>1072</v>
      </c>
      <c r="E875" s="104" t="s">
        <v>1073</v>
      </c>
      <c r="F875" s="105" t="s">
        <v>2641</v>
      </c>
      <c r="G875" s="3" t="s">
        <v>11738</v>
      </c>
      <c r="H875" s="3" t="s">
        <v>11739</v>
      </c>
      <c r="I875" s="3" t="s">
        <v>3459</v>
      </c>
      <c r="J875" s="3" t="s">
        <v>11740</v>
      </c>
      <c r="K875" s="4" t="s">
        <v>11741</v>
      </c>
    </row>
    <row r="876" spans="1:11">
      <c r="A876" s="137"/>
      <c r="B876" s="119"/>
      <c r="C876" s="119"/>
      <c r="D876" s="104" t="s">
        <v>1074</v>
      </c>
      <c r="E876" s="104" t="s">
        <v>1075</v>
      </c>
      <c r="F876" s="105" t="s">
        <v>2639</v>
      </c>
      <c r="G876" s="3" t="s">
        <v>11742</v>
      </c>
      <c r="H876" s="3" t="s">
        <v>4928</v>
      </c>
      <c r="I876" s="3" t="s">
        <v>3581</v>
      </c>
      <c r="J876" s="3" t="s">
        <v>11743</v>
      </c>
      <c r="K876" s="4" t="s">
        <v>11744</v>
      </c>
    </row>
    <row r="877" spans="1:11">
      <c r="A877" s="137"/>
      <c r="B877" s="119"/>
      <c r="C877" s="119"/>
      <c r="D877" s="104" t="s">
        <v>1076</v>
      </c>
      <c r="E877" s="104" t="s">
        <v>1077</v>
      </c>
      <c r="F877" s="105" t="s">
        <v>2639</v>
      </c>
      <c r="G877" s="3" t="s">
        <v>11745</v>
      </c>
      <c r="H877" s="3" t="s">
        <v>11746</v>
      </c>
      <c r="I877" s="3" t="s">
        <v>3581</v>
      </c>
      <c r="J877" s="3" t="s">
        <v>11747</v>
      </c>
      <c r="K877" s="4" t="s">
        <v>11748</v>
      </c>
    </row>
    <row r="878" spans="1:11">
      <c r="A878" s="137"/>
      <c r="B878" s="119"/>
      <c r="C878" s="119" t="s">
        <v>1078</v>
      </c>
      <c r="D878" s="104" t="s">
        <v>1079</v>
      </c>
      <c r="E878" s="104" t="s">
        <v>1080</v>
      </c>
      <c r="F878" s="105" t="s">
        <v>2639</v>
      </c>
      <c r="G878" s="3" t="s">
        <v>11749</v>
      </c>
      <c r="H878" s="3" t="s">
        <v>11750</v>
      </c>
      <c r="I878" s="3" t="s">
        <v>3459</v>
      </c>
      <c r="J878" s="3" t="s">
        <v>11751</v>
      </c>
      <c r="K878" s="4" t="s">
        <v>11752</v>
      </c>
    </row>
    <row r="879" spans="1:11">
      <c r="A879" s="137"/>
      <c r="B879" s="119"/>
      <c r="C879" s="119"/>
      <c r="D879" s="104" t="s">
        <v>1081</v>
      </c>
      <c r="E879" s="104" t="s">
        <v>1082</v>
      </c>
      <c r="F879" s="105" t="s">
        <v>2639</v>
      </c>
      <c r="G879" s="3" t="s">
        <v>11753</v>
      </c>
      <c r="H879" s="3" t="s">
        <v>11754</v>
      </c>
      <c r="I879" s="3" t="s">
        <v>3581</v>
      </c>
      <c r="J879" s="3" t="s">
        <v>11755</v>
      </c>
      <c r="K879" s="4" t="s">
        <v>11756</v>
      </c>
    </row>
    <row r="880" spans="1:11">
      <c r="A880" s="137"/>
      <c r="B880" s="119"/>
      <c r="C880" s="119"/>
      <c r="D880" s="104" t="s">
        <v>1083</v>
      </c>
      <c r="E880" s="104" t="s">
        <v>1084</v>
      </c>
      <c r="F880" s="105" t="s">
        <v>2640</v>
      </c>
      <c r="G880" s="3" t="s">
        <v>3634</v>
      </c>
      <c r="H880" s="3" t="s">
        <v>11757</v>
      </c>
      <c r="I880" s="3" t="s">
        <v>3459</v>
      </c>
      <c r="J880" s="3" t="s">
        <v>11758</v>
      </c>
      <c r="K880" s="4" t="s">
        <v>11759</v>
      </c>
    </row>
    <row r="881" spans="1:11">
      <c r="A881" s="137"/>
      <c r="B881" s="119"/>
      <c r="C881" s="119"/>
      <c r="D881" s="104" t="s">
        <v>1085</v>
      </c>
      <c r="E881" s="104" t="s">
        <v>1086</v>
      </c>
      <c r="F881" s="105" t="s">
        <v>2639</v>
      </c>
      <c r="G881" s="3" t="s">
        <v>11760</v>
      </c>
      <c r="H881" s="3" t="s">
        <v>11761</v>
      </c>
      <c r="I881" s="3" t="s">
        <v>3581</v>
      </c>
      <c r="J881" s="3" t="s">
        <v>11762</v>
      </c>
      <c r="K881" s="4" t="s">
        <v>11763</v>
      </c>
    </row>
    <row r="882" spans="1:11">
      <c r="A882" s="137"/>
      <c r="B882" s="119"/>
      <c r="C882" s="119"/>
      <c r="D882" s="104" t="s">
        <v>1087</v>
      </c>
      <c r="E882" s="104" t="s">
        <v>1088</v>
      </c>
      <c r="F882" s="105" t="s">
        <v>2639</v>
      </c>
      <c r="G882" s="3" t="s">
        <v>11764</v>
      </c>
      <c r="H882" s="3" t="s">
        <v>11765</v>
      </c>
      <c r="I882" s="3" t="s">
        <v>3459</v>
      </c>
      <c r="J882" s="3" t="s">
        <v>11766</v>
      </c>
      <c r="K882" s="4" t="s">
        <v>11767</v>
      </c>
    </row>
    <row r="883" spans="1:11">
      <c r="A883" s="137"/>
      <c r="B883" s="119"/>
      <c r="C883" s="119" t="s">
        <v>1089</v>
      </c>
      <c r="D883" s="104" t="s">
        <v>1090</v>
      </c>
      <c r="E883" s="104" t="s">
        <v>1091</v>
      </c>
      <c r="F883" s="105" t="s">
        <v>2641</v>
      </c>
      <c r="G883" s="3" t="s">
        <v>11768</v>
      </c>
      <c r="H883" s="3" t="s">
        <v>11769</v>
      </c>
      <c r="I883" s="3" t="s">
        <v>3459</v>
      </c>
      <c r="J883" s="3" t="s">
        <v>11770</v>
      </c>
      <c r="K883" s="4" t="s">
        <v>11771</v>
      </c>
    </row>
    <row r="884" spans="1:11">
      <c r="A884" s="137"/>
      <c r="B884" s="119"/>
      <c r="C884" s="119"/>
      <c r="D884" s="104" t="s">
        <v>1092</v>
      </c>
      <c r="E884" s="104" t="s">
        <v>1093</v>
      </c>
      <c r="F884" s="105" t="s">
        <v>2639</v>
      </c>
      <c r="G884" s="3" t="s">
        <v>11772</v>
      </c>
      <c r="H884" s="3" t="s">
        <v>11773</v>
      </c>
      <c r="I884" s="3" t="s">
        <v>3581</v>
      </c>
      <c r="J884" s="3" t="s">
        <v>11774</v>
      </c>
      <c r="K884" s="4" t="s">
        <v>11775</v>
      </c>
    </row>
    <row r="885" spans="1:11">
      <c r="A885" s="137"/>
      <c r="B885" s="119"/>
      <c r="C885" s="119"/>
      <c r="D885" s="104" t="s">
        <v>1094</v>
      </c>
      <c r="E885" s="104" t="s">
        <v>1095</v>
      </c>
      <c r="F885" s="105" t="s">
        <v>2639</v>
      </c>
      <c r="G885" s="3" t="s">
        <v>11776</v>
      </c>
      <c r="H885" s="3" t="s">
        <v>11777</v>
      </c>
      <c r="I885" s="3" t="s">
        <v>3581</v>
      </c>
      <c r="J885" s="3" t="s">
        <v>11778</v>
      </c>
      <c r="K885" s="4" t="s">
        <v>11779</v>
      </c>
    </row>
    <row r="886" spans="1:11">
      <c r="A886" s="137"/>
      <c r="B886" s="119"/>
      <c r="C886" s="119"/>
      <c r="D886" s="104" t="s">
        <v>1096</v>
      </c>
      <c r="E886" s="104" t="s">
        <v>1097</v>
      </c>
      <c r="F886" s="105" t="s">
        <v>2639</v>
      </c>
      <c r="G886" s="3" t="s">
        <v>11742</v>
      </c>
      <c r="H886" s="3" t="s">
        <v>11780</v>
      </c>
      <c r="I886" s="3" t="s">
        <v>3459</v>
      </c>
      <c r="J886" s="3" t="s">
        <v>11781</v>
      </c>
      <c r="K886" s="4" t="s">
        <v>11782</v>
      </c>
    </row>
    <row r="887" spans="1:11">
      <c r="A887" s="137"/>
      <c r="B887" s="119"/>
      <c r="C887" s="119"/>
      <c r="D887" s="104" t="s">
        <v>1098</v>
      </c>
      <c r="E887" s="104" t="s">
        <v>1099</v>
      </c>
      <c r="F887" s="105" t="s">
        <v>2640</v>
      </c>
      <c r="G887" s="3" t="s">
        <v>11783</v>
      </c>
      <c r="H887" s="3" t="s">
        <v>11784</v>
      </c>
      <c r="I887" s="3" t="s">
        <v>3453</v>
      </c>
      <c r="J887" s="3" t="s">
        <v>11785</v>
      </c>
      <c r="K887" s="4" t="s">
        <v>11786</v>
      </c>
    </row>
    <row r="888" spans="1:11">
      <c r="A888" s="137"/>
      <c r="B888" s="119"/>
      <c r="C888" s="119" t="s">
        <v>1100</v>
      </c>
      <c r="D888" s="104" t="s">
        <v>1101</v>
      </c>
      <c r="E888" s="104" t="s">
        <v>1102</v>
      </c>
      <c r="F888" s="105" t="s">
        <v>2640</v>
      </c>
      <c r="G888" s="3" t="s">
        <v>11787</v>
      </c>
      <c r="H888" s="3" t="s">
        <v>11788</v>
      </c>
      <c r="I888" s="3" t="s">
        <v>3453</v>
      </c>
      <c r="J888" s="3" t="s">
        <v>11789</v>
      </c>
      <c r="K888" s="4" t="s">
        <v>11790</v>
      </c>
    </row>
    <row r="889" spans="1:11">
      <c r="A889" s="137"/>
      <c r="B889" s="119"/>
      <c r="C889" s="119"/>
      <c r="D889" s="104" t="s">
        <v>1103</v>
      </c>
      <c r="E889" s="104" t="s">
        <v>1104</v>
      </c>
      <c r="F889" s="105" t="s">
        <v>2639</v>
      </c>
      <c r="G889" s="3" t="s">
        <v>11791</v>
      </c>
      <c r="H889" s="3" t="s">
        <v>11792</v>
      </c>
      <c r="I889" s="3" t="s">
        <v>3459</v>
      </c>
      <c r="J889" s="3" t="s">
        <v>11793</v>
      </c>
      <c r="K889" s="4" t="s">
        <v>11794</v>
      </c>
    </row>
    <row r="890" spans="1:11">
      <c r="A890" s="137"/>
      <c r="B890" s="119"/>
      <c r="C890" s="119"/>
      <c r="D890" s="104" t="s">
        <v>1105</v>
      </c>
      <c r="E890" s="104" t="s">
        <v>1106</v>
      </c>
      <c r="F890" s="105" t="s">
        <v>2639</v>
      </c>
      <c r="G890" s="3" t="s">
        <v>11795</v>
      </c>
      <c r="H890" s="3" t="s">
        <v>11796</v>
      </c>
      <c r="I890" s="3" t="s">
        <v>3459</v>
      </c>
      <c r="J890" s="3" t="s">
        <v>2221</v>
      </c>
      <c r="K890" s="4" t="s">
        <v>11797</v>
      </c>
    </row>
    <row r="891" spans="1:11">
      <c r="A891" s="137"/>
      <c r="B891" s="119"/>
      <c r="C891" s="119"/>
      <c r="D891" s="104" t="s">
        <v>1107</v>
      </c>
      <c r="E891" s="104" t="s">
        <v>1108</v>
      </c>
      <c r="F891" s="105" t="s">
        <v>2639</v>
      </c>
      <c r="G891" s="3" t="s">
        <v>10811</v>
      </c>
      <c r="H891" s="3" t="s">
        <v>11798</v>
      </c>
      <c r="I891" s="3" t="s">
        <v>3459</v>
      </c>
      <c r="J891" s="3" t="s">
        <v>11799</v>
      </c>
      <c r="K891" s="4" t="s">
        <v>11800</v>
      </c>
    </row>
    <row r="892" spans="1:11">
      <c r="A892" s="137"/>
      <c r="B892" s="119"/>
      <c r="C892" s="119"/>
      <c r="D892" s="104" t="s">
        <v>1109</v>
      </c>
      <c r="E892" s="104" t="s">
        <v>1110</v>
      </c>
      <c r="F892" s="105" t="s">
        <v>2639</v>
      </c>
      <c r="G892" s="3" t="s">
        <v>11801</v>
      </c>
      <c r="H892" s="3" t="s">
        <v>10013</v>
      </c>
      <c r="I892" s="3" t="s">
        <v>3581</v>
      </c>
      <c r="J892" s="3" t="s">
        <v>11802</v>
      </c>
      <c r="K892" s="4" t="s">
        <v>11803</v>
      </c>
    </row>
    <row r="893" spans="1:11">
      <c r="A893" s="137"/>
      <c r="B893" s="119"/>
      <c r="C893" s="119" t="s">
        <v>1111</v>
      </c>
      <c r="D893" s="104" t="s">
        <v>1112</v>
      </c>
      <c r="E893" s="104" t="s">
        <v>1113</v>
      </c>
      <c r="F893" s="105" t="s">
        <v>2639</v>
      </c>
      <c r="G893" s="3" t="s">
        <v>11804</v>
      </c>
      <c r="H893" s="3" t="s">
        <v>5354</v>
      </c>
      <c r="I893" s="3" t="s">
        <v>3459</v>
      </c>
      <c r="J893" s="3" t="s">
        <v>11805</v>
      </c>
      <c r="K893" s="4" t="s">
        <v>11806</v>
      </c>
    </row>
    <row r="894" spans="1:11">
      <c r="A894" s="137"/>
      <c r="B894" s="119"/>
      <c r="C894" s="119"/>
      <c r="D894" s="104" t="s">
        <v>1114</v>
      </c>
      <c r="E894" s="104" t="s">
        <v>1115</v>
      </c>
      <c r="F894" s="105" t="s">
        <v>2640</v>
      </c>
      <c r="G894" s="3" t="s">
        <v>11807</v>
      </c>
      <c r="H894" s="3" t="s">
        <v>11808</v>
      </c>
      <c r="I894" s="3" t="s">
        <v>3453</v>
      </c>
      <c r="J894" s="3" t="s">
        <v>11809</v>
      </c>
      <c r="K894" s="4" t="s">
        <v>11810</v>
      </c>
    </row>
    <row r="895" spans="1:11">
      <c r="A895" s="137"/>
      <c r="B895" s="119"/>
      <c r="C895" s="119"/>
      <c r="D895" s="104" t="s">
        <v>1116</v>
      </c>
      <c r="E895" s="104" t="s">
        <v>1117</v>
      </c>
      <c r="F895" s="105" t="s">
        <v>2641</v>
      </c>
      <c r="G895" s="3" t="s">
        <v>11811</v>
      </c>
      <c r="H895" s="3" t="s">
        <v>2243</v>
      </c>
      <c r="I895" s="3" t="s">
        <v>3459</v>
      </c>
      <c r="J895" s="3" t="s">
        <v>11812</v>
      </c>
      <c r="K895" s="4" t="s">
        <v>11813</v>
      </c>
    </row>
    <row r="896" spans="1:11">
      <c r="A896" s="137"/>
      <c r="B896" s="119"/>
      <c r="C896" s="119"/>
      <c r="D896" s="104" t="s">
        <v>1118</v>
      </c>
      <c r="E896" s="104" t="s">
        <v>1119</v>
      </c>
      <c r="F896" s="105" t="s">
        <v>2639</v>
      </c>
      <c r="G896" s="3" t="s">
        <v>11742</v>
      </c>
      <c r="H896" s="3" t="s">
        <v>11814</v>
      </c>
      <c r="I896" s="3" t="s">
        <v>3459</v>
      </c>
      <c r="J896" s="3" t="s">
        <v>11815</v>
      </c>
      <c r="K896" s="4" t="s">
        <v>11816</v>
      </c>
    </row>
    <row r="897" spans="1:11">
      <c r="A897" s="137"/>
      <c r="B897" s="119"/>
      <c r="C897" s="119"/>
      <c r="D897" s="104" t="s">
        <v>1098</v>
      </c>
      <c r="E897" s="104" t="s">
        <v>1120</v>
      </c>
      <c r="F897" s="105" t="s">
        <v>2639</v>
      </c>
      <c r="G897" s="3" t="s">
        <v>3160</v>
      </c>
      <c r="H897" s="3" t="s">
        <v>11817</v>
      </c>
      <c r="I897" s="3" t="s">
        <v>3459</v>
      </c>
      <c r="J897" s="3" t="s">
        <v>11818</v>
      </c>
      <c r="K897" s="4" t="s">
        <v>11819</v>
      </c>
    </row>
    <row r="898" spans="1:11">
      <c r="A898" s="137"/>
      <c r="B898" s="119"/>
      <c r="C898" s="119" t="s">
        <v>1121</v>
      </c>
      <c r="D898" s="104" t="s">
        <v>1122</v>
      </c>
      <c r="E898" s="104" t="s">
        <v>1123</v>
      </c>
      <c r="F898" s="105" t="s">
        <v>2640</v>
      </c>
      <c r="G898" s="3" t="s">
        <v>11820</v>
      </c>
      <c r="H898" s="3" t="s">
        <v>5832</v>
      </c>
      <c r="I898" s="3" t="s">
        <v>3459</v>
      </c>
      <c r="J898" s="3" t="s">
        <v>11821</v>
      </c>
      <c r="K898" s="4" t="s">
        <v>11822</v>
      </c>
    </row>
    <row r="899" spans="1:11">
      <c r="A899" s="137"/>
      <c r="B899" s="119"/>
      <c r="C899" s="119"/>
      <c r="D899" s="104" t="s">
        <v>1124</v>
      </c>
      <c r="E899" s="104" t="s">
        <v>1125</v>
      </c>
      <c r="F899" s="105" t="s">
        <v>2639</v>
      </c>
      <c r="G899" s="3" t="s">
        <v>11823</v>
      </c>
      <c r="H899" s="3" t="s">
        <v>11824</v>
      </c>
      <c r="I899" s="3" t="s">
        <v>3459</v>
      </c>
      <c r="J899" s="3" t="s">
        <v>11825</v>
      </c>
      <c r="K899" s="4" t="s">
        <v>11826</v>
      </c>
    </row>
    <row r="900" spans="1:11">
      <c r="A900" s="137"/>
      <c r="B900" s="119"/>
      <c r="C900" s="119"/>
      <c r="D900" s="104" t="s">
        <v>1126</v>
      </c>
      <c r="E900" s="104" t="s">
        <v>1127</v>
      </c>
      <c r="F900" s="105" t="s">
        <v>2641</v>
      </c>
      <c r="G900" s="3" t="s">
        <v>11827</v>
      </c>
      <c r="H900" s="3" t="s">
        <v>11111</v>
      </c>
      <c r="I900" s="3" t="s">
        <v>3459</v>
      </c>
      <c r="J900" s="3" t="s">
        <v>11828</v>
      </c>
      <c r="K900" s="4" t="s">
        <v>11829</v>
      </c>
    </row>
    <row r="901" spans="1:11">
      <c r="A901" s="137"/>
      <c r="B901" s="119"/>
      <c r="C901" s="119"/>
      <c r="D901" s="104" t="s">
        <v>1128</v>
      </c>
      <c r="E901" s="104" t="s">
        <v>1129</v>
      </c>
      <c r="F901" s="105" t="s">
        <v>2639</v>
      </c>
      <c r="G901" s="3" t="s">
        <v>11830</v>
      </c>
      <c r="H901" s="3" t="s">
        <v>11831</v>
      </c>
      <c r="I901" s="3" t="s">
        <v>3459</v>
      </c>
      <c r="J901" s="3" t="s">
        <v>5339</v>
      </c>
      <c r="K901" s="4" t="s">
        <v>11832</v>
      </c>
    </row>
    <row r="902" spans="1:11">
      <c r="A902" s="137"/>
      <c r="B902" s="119"/>
      <c r="C902" s="119"/>
      <c r="D902" s="104" t="s">
        <v>1130</v>
      </c>
      <c r="E902" s="104" t="s">
        <v>1131</v>
      </c>
      <c r="F902" s="105" t="s">
        <v>2641</v>
      </c>
      <c r="G902" s="3" t="s">
        <v>11833</v>
      </c>
      <c r="H902" s="3" t="s">
        <v>11834</v>
      </c>
      <c r="I902" s="3" t="s">
        <v>3459</v>
      </c>
      <c r="J902" s="3" t="s">
        <v>11835</v>
      </c>
      <c r="K902" s="4" t="s">
        <v>11836</v>
      </c>
    </row>
    <row r="903" spans="1:11">
      <c r="A903" s="137"/>
      <c r="B903" s="119"/>
      <c r="C903" s="119" t="s">
        <v>1132</v>
      </c>
      <c r="D903" s="104" t="s">
        <v>1133</v>
      </c>
      <c r="E903" s="104" t="s">
        <v>1134</v>
      </c>
      <c r="F903" s="105" t="s">
        <v>2641</v>
      </c>
      <c r="G903" s="3" t="s">
        <v>2230</v>
      </c>
      <c r="H903" s="3" t="s">
        <v>11837</v>
      </c>
      <c r="I903" s="3" t="s">
        <v>3453</v>
      </c>
      <c r="J903" s="3" t="s">
        <v>11838</v>
      </c>
      <c r="K903" s="4" t="s">
        <v>11839</v>
      </c>
    </row>
    <row r="904" spans="1:11">
      <c r="A904" s="137"/>
      <c r="B904" s="119"/>
      <c r="C904" s="119"/>
      <c r="D904" s="104" t="s">
        <v>1135</v>
      </c>
      <c r="E904" s="104" t="s">
        <v>1136</v>
      </c>
      <c r="F904" s="105" t="s">
        <v>2641</v>
      </c>
      <c r="G904" s="3" t="s">
        <v>3130</v>
      </c>
      <c r="H904" s="3" t="s">
        <v>11840</v>
      </c>
      <c r="I904" s="3" t="s">
        <v>3453</v>
      </c>
      <c r="J904" s="3" t="s">
        <v>11841</v>
      </c>
      <c r="K904" s="4" t="s">
        <v>11842</v>
      </c>
    </row>
    <row r="905" spans="1:11">
      <c r="A905" s="137"/>
      <c r="B905" s="119"/>
      <c r="C905" s="119"/>
      <c r="D905" s="104" t="s">
        <v>1137</v>
      </c>
      <c r="E905" s="104" t="s">
        <v>1138</v>
      </c>
      <c r="F905" s="105" t="s">
        <v>2641</v>
      </c>
      <c r="G905" s="3" t="s">
        <v>11843</v>
      </c>
      <c r="H905" s="3" t="s">
        <v>11844</v>
      </c>
      <c r="I905" s="3" t="s">
        <v>3453</v>
      </c>
      <c r="J905" s="3" t="s">
        <v>11845</v>
      </c>
      <c r="K905" s="4" t="s">
        <v>11846</v>
      </c>
    </row>
    <row r="906" spans="1:11">
      <c r="A906" s="137"/>
      <c r="B906" s="119"/>
      <c r="C906" s="119"/>
      <c r="D906" s="104" t="s">
        <v>1139</v>
      </c>
      <c r="E906" s="104" t="s">
        <v>1140</v>
      </c>
      <c r="F906" s="105" t="s">
        <v>2640</v>
      </c>
      <c r="G906" s="3" t="s">
        <v>11847</v>
      </c>
      <c r="H906" s="3" t="s">
        <v>11848</v>
      </c>
      <c r="I906" s="3" t="s">
        <v>3453</v>
      </c>
      <c r="J906" s="3" t="s">
        <v>11849</v>
      </c>
      <c r="K906" s="4" t="s">
        <v>11850</v>
      </c>
    </row>
    <row r="907" spans="1:11">
      <c r="A907" s="137"/>
      <c r="B907" s="119"/>
      <c r="C907" s="119"/>
      <c r="D907" s="104" t="s">
        <v>1141</v>
      </c>
      <c r="E907" s="104" t="s">
        <v>1142</v>
      </c>
      <c r="F907" s="105" t="s">
        <v>2640</v>
      </c>
      <c r="G907" s="3" t="s">
        <v>9849</v>
      </c>
      <c r="H907" s="3" t="s">
        <v>11851</v>
      </c>
      <c r="I907" s="3" t="s">
        <v>3459</v>
      </c>
      <c r="J907" s="3" t="s">
        <v>11852</v>
      </c>
      <c r="K907" s="4" t="s">
        <v>2852</v>
      </c>
    </row>
    <row r="908" spans="1:11">
      <c r="A908" s="137"/>
      <c r="B908" s="119"/>
      <c r="C908" s="119" t="s">
        <v>1143</v>
      </c>
      <c r="D908" s="104" t="s">
        <v>1144</v>
      </c>
      <c r="E908" s="104" t="s">
        <v>1145</v>
      </c>
      <c r="F908" s="105" t="s">
        <v>2640</v>
      </c>
      <c r="G908" s="3" t="s">
        <v>11843</v>
      </c>
      <c r="H908" s="3" t="s">
        <v>11853</v>
      </c>
      <c r="I908" s="3" t="s">
        <v>3453</v>
      </c>
      <c r="J908" s="3" t="s">
        <v>11854</v>
      </c>
      <c r="K908" s="4" t="s">
        <v>11855</v>
      </c>
    </row>
    <row r="909" spans="1:11">
      <c r="A909" s="137"/>
      <c r="B909" s="119"/>
      <c r="C909" s="119"/>
      <c r="D909" s="104" t="s">
        <v>1146</v>
      </c>
      <c r="E909" s="104" t="s">
        <v>1147</v>
      </c>
      <c r="F909" s="105" t="s">
        <v>2640</v>
      </c>
      <c r="G909" s="3" t="s">
        <v>11856</v>
      </c>
      <c r="H909" s="3" t="s">
        <v>11857</v>
      </c>
      <c r="I909" s="3" t="s">
        <v>3453</v>
      </c>
      <c r="J909" s="3" t="s">
        <v>11858</v>
      </c>
      <c r="K909" s="4" t="s">
        <v>11859</v>
      </c>
    </row>
    <row r="910" spans="1:11">
      <c r="A910" s="137"/>
      <c r="B910" s="119"/>
      <c r="C910" s="119"/>
      <c r="D910" s="104" t="s">
        <v>1148</v>
      </c>
      <c r="E910" s="104" t="s">
        <v>1149</v>
      </c>
      <c r="F910" s="105" t="s">
        <v>2640</v>
      </c>
      <c r="G910" s="3" t="s">
        <v>11962</v>
      </c>
      <c r="H910" s="3" t="s">
        <v>11963</v>
      </c>
      <c r="I910" s="3" t="s">
        <v>3453</v>
      </c>
      <c r="J910" s="3" t="s">
        <v>11964</v>
      </c>
      <c r="K910" s="4" t="s">
        <v>11965</v>
      </c>
    </row>
    <row r="911" spans="1:11">
      <c r="A911" s="137"/>
      <c r="B911" s="119"/>
      <c r="C911" s="119"/>
      <c r="D911" s="104" t="s">
        <v>1150</v>
      </c>
      <c r="E911" s="104" t="s">
        <v>1151</v>
      </c>
      <c r="F911" s="105" t="s">
        <v>2639</v>
      </c>
      <c r="G911" s="3" t="s">
        <v>11966</v>
      </c>
      <c r="H911" s="3" t="s">
        <v>11967</v>
      </c>
      <c r="I911" s="3" t="s">
        <v>3459</v>
      </c>
      <c r="J911" s="3" t="s">
        <v>11968</v>
      </c>
      <c r="K911" s="4" t="s">
        <v>11969</v>
      </c>
    </row>
    <row r="912" spans="1:11">
      <c r="A912" s="137"/>
      <c r="B912" s="119"/>
      <c r="C912" s="119"/>
      <c r="D912" s="104" t="s">
        <v>1152</v>
      </c>
      <c r="E912" s="104" t="s">
        <v>1153</v>
      </c>
      <c r="F912" s="105" t="s">
        <v>2639</v>
      </c>
      <c r="G912" s="3" t="s">
        <v>11970</v>
      </c>
      <c r="H912" s="3" t="s">
        <v>11971</v>
      </c>
      <c r="I912" s="3" t="s">
        <v>3581</v>
      </c>
      <c r="J912" s="3" t="s">
        <v>11033</v>
      </c>
      <c r="K912" s="4" t="s">
        <v>11972</v>
      </c>
    </row>
    <row r="913" spans="1:11">
      <c r="A913" s="137"/>
      <c r="B913" s="119"/>
      <c r="C913" s="119" t="s">
        <v>1154</v>
      </c>
      <c r="D913" s="104" t="s">
        <v>1155</v>
      </c>
      <c r="E913" s="104" t="s">
        <v>1156</v>
      </c>
      <c r="F913" s="105" t="s">
        <v>2641</v>
      </c>
      <c r="G913" s="3" t="s">
        <v>11973</v>
      </c>
      <c r="H913" s="3" t="s">
        <v>11974</v>
      </c>
      <c r="I913" s="3" t="s">
        <v>3453</v>
      </c>
      <c r="J913" s="3" t="s">
        <v>11975</v>
      </c>
      <c r="K913" s="4" t="s">
        <v>11976</v>
      </c>
    </row>
    <row r="914" spans="1:11">
      <c r="A914" s="137"/>
      <c r="B914" s="119"/>
      <c r="C914" s="119"/>
      <c r="D914" s="104" t="s">
        <v>1157</v>
      </c>
      <c r="E914" s="104" t="s">
        <v>1158</v>
      </c>
      <c r="F914" s="105" t="s">
        <v>2639</v>
      </c>
      <c r="G914" s="3" t="s">
        <v>10811</v>
      </c>
      <c r="H914" s="3" t="s">
        <v>11977</v>
      </c>
      <c r="I914" s="3" t="s">
        <v>3459</v>
      </c>
      <c r="J914" s="3" t="s">
        <v>11978</v>
      </c>
      <c r="K914" s="4" t="s">
        <v>11979</v>
      </c>
    </row>
    <row r="915" spans="1:11">
      <c r="A915" s="137"/>
      <c r="B915" s="119"/>
      <c r="C915" s="119"/>
      <c r="D915" s="104" t="s">
        <v>1159</v>
      </c>
      <c r="E915" s="104" t="s">
        <v>1160</v>
      </c>
      <c r="F915" s="105" t="s">
        <v>2639</v>
      </c>
      <c r="G915" s="3" t="s">
        <v>11795</v>
      </c>
      <c r="H915" s="3" t="s">
        <v>11980</v>
      </c>
      <c r="I915" s="3" t="s">
        <v>3459</v>
      </c>
      <c r="J915" s="3" t="s">
        <v>11981</v>
      </c>
      <c r="K915" s="4" t="s">
        <v>11982</v>
      </c>
    </row>
    <row r="916" spans="1:11">
      <c r="A916" s="137"/>
      <c r="B916" s="119"/>
      <c r="C916" s="119"/>
      <c r="D916" s="104" t="s">
        <v>1161</v>
      </c>
      <c r="E916" s="104" t="s">
        <v>1162</v>
      </c>
      <c r="F916" s="105" t="s">
        <v>2639</v>
      </c>
      <c r="G916" s="3" t="s">
        <v>11983</v>
      </c>
      <c r="H916" s="3" t="s">
        <v>11984</v>
      </c>
      <c r="I916" s="3" t="s">
        <v>3459</v>
      </c>
      <c r="J916" s="3" t="s">
        <v>11985</v>
      </c>
      <c r="K916" s="4" t="s">
        <v>11986</v>
      </c>
    </row>
    <row r="917" spans="1:11">
      <c r="A917" s="137"/>
      <c r="B917" s="119"/>
      <c r="C917" s="119"/>
      <c r="D917" s="104" t="s">
        <v>1163</v>
      </c>
      <c r="E917" s="104" t="s">
        <v>1164</v>
      </c>
      <c r="F917" s="105" t="s">
        <v>2639</v>
      </c>
      <c r="G917" s="3" t="s">
        <v>11987</v>
      </c>
      <c r="H917" s="3" t="s">
        <v>11988</v>
      </c>
      <c r="I917" s="3" t="s">
        <v>3459</v>
      </c>
      <c r="J917" s="3" t="s">
        <v>11989</v>
      </c>
      <c r="K917" s="4" t="s">
        <v>11990</v>
      </c>
    </row>
    <row r="918" spans="1:11">
      <c r="A918" s="137"/>
      <c r="B918" s="119" t="s">
        <v>1165</v>
      </c>
      <c r="C918" s="119" t="s">
        <v>1166</v>
      </c>
      <c r="D918" s="104" t="s">
        <v>1167</v>
      </c>
      <c r="E918" s="104" t="s">
        <v>1168</v>
      </c>
      <c r="F918" s="105" t="s">
        <v>2640</v>
      </c>
      <c r="G918" s="3" t="s">
        <v>11991</v>
      </c>
      <c r="H918" s="3" t="s">
        <v>11992</v>
      </c>
      <c r="I918" s="3" t="s">
        <v>3453</v>
      </c>
      <c r="J918" s="3" t="s">
        <v>11993</v>
      </c>
      <c r="K918" s="4" t="s">
        <v>11994</v>
      </c>
    </row>
    <row r="919" spans="1:11">
      <c r="A919" s="137"/>
      <c r="B919" s="119"/>
      <c r="C919" s="119"/>
      <c r="D919" s="104" t="s">
        <v>1169</v>
      </c>
      <c r="E919" s="104" t="s">
        <v>1170</v>
      </c>
      <c r="F919" s="105" t="s">
        <v>2640</v>
      </c>
      <c r="G919" s="3" t="s">
        <v>11995</v>
      </c>
      <c r="H919" s="3" t="s">
        <v>11996</v>
      </c>
      <c r="I919" s="3" t="s">
        <v>3453</v>
      </c>
      <c r="J919" s="3" t="s">
        <v>11997</v>
      </c>
      <c r="K919" s="4" t="s">
        <v>11998</v>
      </c>
    </row>
    <row r="920" spans="1:11">
      <c r="A920" s="137"/>
      <c r="B920" s="119"/>
      <c r="C920" s="119"/>
      <c r="D920" s="104" t="s">
        <v>1171</v>
      </c>
      <c r="E920" s="104" t="s">
        <v>1172</v>
      </c>
      <c r="F920" s="105" t="s">
        <v>2640</v>
      </c>
      <c r="G920" s="3" t="s">
        <v>11999</v>
      </c>
      <c r="H920" s="3" t="s">
        <v>12000</v>
      </c>
      <c r="I920" s="3" t="s">
        <v>3453</v>
      </c>
      <c r="J920" s="3" t="s">
        <v>12001</v>
      </c>
      <c r="K920" s="4" t="s">
        <v>12002</v>
      </c>
    </row>
    <row r="921" spans="1:11">
      <c r="A921" s="137"/>
      <c r="B921" s="119"/>
      <c r="C921" s="119"/>
      <c r="D921" s="104" t="s">
        <v>1173</v>
      </c>
      <c r="E921" s="104" t="s">
        <v>1174</v>
      </c>
      <c r="F921" s="105" t="s">
        <v>2639</v>
      </c>
      <c r="G921" s="3" t="s">
        <v>12003</v>
      </c>
      <c r="H921" s="3" t="s">
        <v>12004</v>
      </c>
      <c r="I921" s="3" t="s">
        <v>3459</v>
      </c>
      <c r="J921" s="3" t="s">
        <v>12005</v>
      </c>
      <c r="K921" s="4" t="s">
        <v>12006</v>
      </c>
    </row>
    <row r="922" spans="1:11">
      <c r="A922" s="137"/>
      <c r="B922" s="119"/>
      <c r="C922" s="119"/>
      <c r="D922" s="104" t="s">
        <v>1175</v>
      </c>
      <c r="E922" s="104" t="s">
        <v>1176</v>
      </c>
      <c r="F922" s="105" t="s">
        <v>2639</v>
      </c>
      <c r="G922" s="3" t="s">
        <v>12007</v>
      </c>
      <c r="H922" s="3" t="s">
        <v>12008</v>
      </c>
      <c r="I922" s="3" t="s">
        <v>3581</v>
      </c>
      <c r="J922" s="3" t="s">
        <v>12009</v>
      </c>
      <c r="K922" s="4" t="s">
        <v>12010</v>
      </c>
    </row>
    <row r="923" spans="1:11">
      <c r="A923" s="137"/>
      <c r="B923" s="119"/>
      <c r="C923" s="119" t="s">
        <v>1177</v>
      </c>
      <c r="D923" s="104" t="s">
        <v>1178</v>
      </c>
      <c r="E923" s="104" t="s">
        <v>1179</v>
      </c>
      <c r="F923" s="105" t="s">
        <v>2639</v>
      </c>
      <c r="G923" s="3" t="s">
        <v>12011</v>
      </c>
      <c r="H923" s="3" t="s">
        <v>12012</v>
      </c>
      <c r="I923" s="3" t="s">
        <v>3459</v>
      </c>
      <c r="J923" s="3" t="s">
        <v>12013</v>
      </c>
      <c r="K923" s="4" t="s">
        <v>12014</v>
      </c>
    </row>
    <row r="924" spans="1:11">
      <c r="A924" s="137"/>
      <c r="B924" s="119"/>
      <c r="C924" s="119"/>
      <c r="D924" s="104" t="s">
        <v>1180</v>
      </c>
      <c r="E924" s="104" t="s">
        <v>1181</v>
      </c>
      <c r="F924" s="105" t="s">
        <v>2640</v>
      </c>
      <c r="G924" s="3" t="s">
        <v>12015</v>
      </c>
      <c r="H924" s="3" t="s">
        <v>12016</v>
      </c>
      <c r="I924" s="3" t="s">
        <v>3453</v>
      </c>
      <c r="J924" s="3" t="s">
        <v>12017</v>
      </c>
      <c r="K924" s="4" t="s">
        <v>12018</v>
      </c>
    </row>
    <row r="925" spans="1:11">
      <c r="A925" s="137"/>
      <c r="B925" s="119"/>
      <c r="C925" s="119"/>
      <c r="D925" s="104" t="s">
        <v>1182</v>
      </c>
      <c r="E925" s="104" t="s">
        <v>1183</v>
      </c>
      <c r="F925" s="105" t="s">
        <v>2640</v>
      </c>
      <c r="G925" s="3" t="s">
        <v>12019</v>
      </c>
      <c r="H925" s="3" t="s">
        <v>12020</v>
      </c>
      <c r="I925" s="3" t="s">
        <v>3459</v>
      </c>
      <c r="J925" s="3" t="s">
        <v>12021</v>
      </c>
      <c r="K925" s="4" t="s">
        <v>12022</v>
      </c>
    </row>
    <row r="926" spans="1:11">
      <c r="A926" s="137"/>
      <c r="B926" s="119"/>
      <c r="C926" s="119"/>
      <c r="D926" s="104" t="s">
        <v>1184</v>
      </c>
      <c r="E926" s="104" t="s">
        <v>1185</v>
      </c>
      <c r="F926" s="105" t="s">
        <v>2639</v>
      </c>
      <c r="G926" s="3" t="s">
        <v>12023</v>
      </c>
      <c r="H926" s="3" t="s">
        <v>12024</v>
      </c>
      <c r="I926" s="3" t="s">
        <v>3459</v>
      </c>
      <c r="J926" s="3" t="s">
        <v>12025</v>
      </c>
      <c r="K926" s="4" t="s">
        <v>12026</v>
      </c>
    </row>
    <row r="927" spans="1:11">
      <c r="A927" s="137"/>
      <c r="B927" s="119"/>
      <c r="C927" s="119"/>
      <c r="D927" s="104" t="s">
        <v>1186</v>
      </c>
      <c r="E927" s="104" t="s">
        <v>1187</v>
      </c>
      <c r="F927" s="105" t="s">
        <v>2639</v>
      </c>
      <c r="G927" s="3" t="s">
        <v>9849</v>
      </c>
      <c r="H927" s="3" t="s">
        <v>12027</v>
      </c>
      <c r="I927" s="3" t="s">
        <v>3581</v>
      </c>
      <c r="J927" s="3" t="s">
        <v>12028</v>
      </c>
      <c r="K927" s="4" t="s">
        <v>12029</v>
      </c>
    </row>
    <row r="928" spans="1:11">
      <c r="A928" s="137"/>
      <c r="B928" s="119"/>
      <c r="C928" s="119" t="s">
        <v>1188</v>
      </c>
      <c r="D928" s="104" t="s">
        <v>1189</v>
      </c>
      <c r="E928" s="104" t="s">
        <v>1190</v>
      </c>
      <c r="F928" s="105" t="s">
        <v>2639</v>
      </c>
      <c r="G928" s="3" t="s">
        <v>12030</v>
      </c>
      <c r="H928" s="3" t="s">
        <v>12031</v>
      </c>
      <c r="I928" s="3" t="s">
        <v>3581</v>
      </c>
      <c r="J928" s="3" t="s">
        <v>12032</v>
      </c>
      <c r="K928" s="4" t="s">
        <v>12033</v>
      </c>
    </row>
    <row r="929" spans="1:11">
      <c r="A929" s="137"/>
      <c r="B929" s="119"/>
      <c r="C929" s="119"/>
      <c r="D929" s="104" t="s">
        <v>1191</v>
      </c>
      <c r="E929" s="104" t="s">
        <v>1192</v>
      </c>
      <c r="F929" s="105" t="s">
        <v>2640</v>
      </c>
      <c r="G929" s="3" t="s">
        <v>12034</v>
      </c>
      <c r="H929" s="3" t="s">
        <v>12035</v>
      </c>
      <c r="I929" s="3" t="s">
        <v>3453</v>
      </c>
      <c r="J929" s="3" t="s">
        <v>12036</v>
      </c>
      <c r="K929" s="4" t="s">
        <v>12037</v>
      </c>
    </row>
    <row r="930" spans="1:11">
      <c r="A930" s="137"/>
      <c r="B930" s="119"/>
      <c r="C930" s="119"/>
      <c r="D930" s="104" t="s">
        <v>1193</v>
      </c>
      <c r="E930" s="104" t="s">
        <v>1194</v>
      </c>
      <c r="F930" s="105" t="s">
        <v>2640</v>
      </c>
      <c r="G930" s="3" t="s">
        <v>12038</v>
      </c>
      <c r="H930" s="3" t="s">
        <v>12039</v>
      </c>
      <c r="I930" s="3" t="s">
        <v>3459</v>
      </c>
      <c r="J930" s="3" t="s">
        <v>12040</v>
      </c>
      <c r="K930" s="4" t="s">
        <v>12041</v>
      </c>
    </row>
    <row r="931" spans="1:11">
      <c r="A931" s="137"/>
      <c r="B931" s="119"/>
      <c r="C931" s="119"/>
      <c r="D931" s="104" t="s">
        <v>1195</v>
      </c>
      <c r="E931" s="104" t="s">
        <v>1196</v>
      </c>
      <c r="F931" s="105" t="s">
        <v>2639</v>
      </c>
      <c r="G931" s="3" t="s">
        <v>12042</v>
      </c>
      <c r="H931" s="3" t="s">
        <v>12043</v>
      </c>
      <c r="I931" s="3" t="s">
        <v>3581</v>
      </c>
      <c r="J931" s="3" t="s">
        <v>12044</v>
      </c>
      <c r="K931" s="4" t="s">
        <v>12045</v>
      </c>
    </row>
    <row r="932" spans="1:11">
      <c r="A932" s="137"/>
      <c r="B932" s="119"/>
      <c r="C932" s="119"/>
      <c r="D932" s="104" t="s">
        <v>1197</v>
      </c>
      <c r="E932" s="104" t="s">
        <v>1198</v>
      </c>
      <c r="F932" s="105" t="s">
        <v>2639</v>
      </c>
      <c r="G932" s="3" t="s">
        <v>12046</v>
      </c>
      <c r="H932" s="3" t="s">
        <v>12047</v>
      </c>
      <c r="I932" s="3" t="s">
        <v>3459</v>
      </c>
      <c r="J932" s="3" t="s">
        <v>12048</v>
      </c>
      <c r="K932" s="4" t="s">
        <v>12049</v>
      </c>
    </row>
    <row r="933" spans="1:11">
      <c r="A933" s="137"/>
      <c r="B933" s="119"/>
      <c r="C933" s="119" t="s">
        <v>1199</v>
      </c>
      <c r="D933" s="104" t="s">
        <v>1200</v>
      </c>
      <c r="E933" s="104" t="s">
        <v>1201</v>
      </c>
      <c r="F933" s="105" t="s">
        <v>2640</v>
      </c>
      <c r="G933" s="3" t="s">
        <v>11995</v>
      </c>
      <c r="H933" s="3" t="s">
        <v>12050</v>
      </c>
      <c r="I933" s="3" t="s">
        <v>3453</v>
      </c>
      <c r="J933" s="3" t="s">
        <v>12051</v>
      </c>
      <c r="K933" s="4" t="s">
        <v>12052</v>
      </c>
    </row>
    <row r="934" spans="1:11">
      <c r="A934" s="137"/>
      <c r="B934" s="119"/>
      <c r="C934" s="119"/>
      <c r="D934" s="104" t="s">
        <v>1202</v>
      </c>
      <c r="E934" s="104" t="s">
        <v>1203</v>
      </c>
      <c r="F934" s="105" t="s">
        <v>2640</v>
      </c>
      <c r="G934" s="3" t="s">
        <v>2979</v>
      </c>
      <c r="H934" s="3" t="s">
        <v>12053</v>
      </c>
      <c r="I934" s="3" t="s">
        <v>3453</v>
      </c>
      <c r="J934" s="3" t="s">
        <v>12054</v>
      </c>
      <c r="K934" s="4" t="s">
        <v>12055</v>
      </c>
    </row>
    <row r="935" spans="1:11">
      <c r="A935" s="137"/>
      <c r="B935" s="119"/>
      <c r="C935" s="119"/>
      <c r="D935" s="104" t="s">
        <v>1204</v>
      </c>
      <c r="E935" s="104" t="s">
        <v>1205</v>
      </c>
      <c r="F935" s="105" t="s">
        <v>2640</v>
      </c>
      <c r="G935" s="3" t="s">
        <v>12056</v>
      </c>
      <c r="H935" s="3" t="s">
        <v>12057</v>
      </c>
      <c r="I935" s="3" t="s">
        <v>3453</v>
      </c>
      <c r="J935" s="3" t="s">
        <v>12058</v>
      </c>
      <c r="K935" s="4" t="s">
        <v>12059</v>
      </c>
    </row>
    <row r="936" spans="1:11">
      <c r="A936" s="137"/>
      <c r="B936" s="119"/>
      <c r="C936" s="119"/>
      <c r="D936" s="104" t="s">
        <v>1206</v>
      </c>
      <c r="E936" s="104" t="s">
        <v>1207</v>
      </c>
      <c r="F936" s="105" t="s">
        <v>2640</v>
      </c>
      <c r="G936" s="3" t="s">
        <v>12060</v>
      </c>
      <c r="H936" s="3" t="s">
        <v>12061</v>
      </c>
      <c r="I936" s="3" t="s">
        <v>3453</v>
      </c>
      <c r="J936" s="3" t="s">
        <v>12062</v>
      </c>
      <c r="K936" s="4" t="s">
        <v>12063</v>
      </c>
    </row>
    <row r="937" spans="1:11">
      <c r="A937" s="137"/>
      <c r="B937" s="119"/>
      <c r="C937" s="119"/>
      <c r="D937" s="104" t="s">
        <v>1208</v>
      </c>
      <c r="E937" s="104" t="s">
        <v>1209</v>
      </c>
      <c r="F937" s="105" t="s">
        <v>2640</v>
      </c>
      <c r="G937" s="3" t="s">
        <v>11807</v>
      </c>
      <c r="H937" s="3" t="s">
        <v>12064</v>
      </c>
      <c r="I937" s="3" t="s">
        <v>3453</v>
      </c>
      <c r="J937" s="3" t="s">
        <v>12065</v>
      </c>
      <c r="K937" s="4" t="s">
        <v>12066</v>
      </c>
    </row>
    <row r="938" spans="1:11">
      <c r="A938" s="137"/>
      <c r="B938" s="119"/>
      <c r="C938" s="119" t="s">
        <v>1210</v>
      </c>
      <c r="D938" s="104" t="s">
        <v>1211</v>
      </c>
      <c r="E938" s="104" t="s">
        <v>1212</v>
      </c>
      <c r="F938" s="105" t="s">
        <v>2640</v>
      </c>
      <c r="G938" s="3" t="s">
        <v>12067</v>
      </c>
      <c r="H938" s="3" t="s">
        <v>12068</v>
      </c>
      <c r="I938" s="3" t="s">
        <v>3453</v>
      </c>
      <c r="J938" s="3" t="s">
        <v>12069</v>
      </c>
      <c r="K938" s="4" t="s">
        <v>12070</v>
      </c>
    </row>
    <row r="939" spans="1:11">
      <c r="A939" s="137"/>
      <c r="B939" s="119"/>
      <c r="C939" s="119"/>
      <c r="D939" s="104" t="s">
        <v>1213</v>
      </c>
      <c r="E939" s="104" t="s">
        <v>1214</v>
      </c>
      <c r="F939" s="105" t="s">
        <v>2640</v>
      </c>
      <c r="G939" s="3" t="s">
        <v>12071</v>
      </c>
      <c r="H939" s="3" t="s">
        <v>12072</v>
      </c>
      <c r="I939" s="3" t="s">
        <v>3453</v>
      </c>
      <c r="J939" s="3" t="s">
        <v>12073</v>
      </c>
      <c r="K939" s="4" t="s">
        <v>12074</v>
      </c>
    </row>
    <row r="940" spans="1:11">
      <c r="A940" s="137"/>
      <c r="B940" s="119"/>
      <c r="C940" s="119"/>
      <c r="D940" s="104" t="s">
        <v>1215</v>
      </c>
      <c r="E940" s="104" t="s">
        <v>1216</v>
      </c>
      <c r="F940" s="105" t="s">
        <v>2640</v>
      </c>
      <c r="G940" s="3" t="s">
        <v>12038</v>
      </c>
      <c r="H940" s="3" t="s">
        <v>12075</v>
      </c>
      <c r="I940" s="3" t="s">
        <v>3459</v>
      </c>
      <c r="J940" s="3" t="s">
        <v>12076</v>
      </c>
      <c r="K940" s="4" t="s">
        <v>12077</v>
      </c>
    </row>
    <row r="941" spans="1:11">
      <c r="A941" s="137"/>
      <c r="B941" s="119"/>
      <c r="C941" s="119"/>
      <c r="D941" s="104" t="s">
        <v>1217</v>
      </c>
      <c r="E941" s="104" t="s">
        <v>1218</v>
      </c>
      <c r="F941" s="105" t="s">
        <v>2639</v>
      </c>
      <c r="G941" s="3" t="s">
        <v>12078</v>
      </c>
      <c r="H941" s="3" t="s">
        <v>12079</v>
      </c>
      <c r="I941" s="3" t="s">
        <v>3459</v>
      </c>
      <c r="J941" s="3" t="s">
        <v>12080</v>
      </c>
      <c r="K941" s="4" t="s">
        <v>12081</v>
      </c>
    </row>
    <row r="942" spans="1:11">
      <c r="A942" s="137"/>
      <c r="B942" s="119"/>
      <c r="C942" s="119"/>
      <c r="D942" s="104" t="s">
        <v>1219</v>
      </c>
      <c r="E942" s="104" t="s">
        <v>1220</v>
      </c>
      <c r="F942" s="105" t="s">
        <v>2639</v>
      </c>
      <c r="G942" s="3" t="s">
        <v>12082</v>
      </c>
      <c r="H942" s="3" t="s">
        <v>12083</v>
      </c>
      <c r="I942" s="3" t="s">
        <v>3581</v>
      </c>
      <c r="J942" s="3" t="s">
        <v>12084</v>
      </c>
      <c r="K942" s="4" t="s">
        <v>12085</v>
      </c>
    </row>
    <row r="943" spans="1:11">
      <c r="A943" s="137"/>
      <c r="B943" s="119"/>
      <c r="C943" s="119" t="s">
        <v>1221</v>
      </c>
      <c r="D943" s="104" t="s">
        <v>1222</v>
      </c>
      <c r="E943" s="104" t="s">
        <v>1223</v>
      </c>
      <c r="F943" s="105" t="s">
        <v>2639</v>
      </c>
      <c r="G943" s="3" t="s">
        <v>12086</v>
      </c>
      <c r="H943" s="3" t="s">
        <v>12087</v>
      </c>
      <c r="I943" s="3" t="s">
        <v>3459</v>
      </c>
      <c r="J943" s="3" t="s">
        <v>12088</v>
      </c>
      <c r="K943" s="4" t="s">
        <v>12089</v>
      </c>
    </row>
    <row r="944" spans="1:11">
      <c r="A944" s="137"/>
      <c r="B944" s="119"/>
      <c r="C944" s="119"/>
      <c r="D944" s="104" t="s">
        <v>1224</v>
      </c>
      <c r="E944" s="104" t="s">
        <v>1225</v>
      </c>
      <c r="F944" s="105" t="s">
        <v>2640</v>
      </c>
      <c r="G944" s="3" t="s">
        <v>12090</v>
      </c>
      <c r="H944" s="3" t="s">
        <v>12091</v>
      </c>
      <c r="I944" s="3" t="s">
        <v>3453</v>
      </c>
      <c r="J944" s="3" t="s">
        <v>12092</v>
      </c>
      <c r="K944" s="4" t="s">
        <v>12093</v>
      </c>
    </row>
    <row r="945" spans="1:11">
      <c r="A945" s="137"/>
      <c r="B945" s="119"/>
      <c r="C945" s="119"/>
      <c r="D945" s="104" t="s">
        <v>1226</v>
      </c>
      <c r="E945" s="104" t="s">
        <v>1227</v>
      </c>
      <c r="F945" s="105" t="s">
        <v>2640</v>
      </c>
      <c r="G945" s="3" t="s">
        <v>11738</v>
      </c>
      <c r="H945" s="3" t="s">
        <v>12094</v>
      </c>
      <c r="I945" s="3" t="s">
        <v>3459</v>
      </c>
      <c r="J945" s="3" t="s">
        <v>12095</v>
      </c>
      <c r="K945" s="4" t="s">
        <v>12096</v>
      </c>
    </row>
    <row r="946" spans="1:11">
      <c r="A946" s="137"/>
      <c r="B946" s="119"/>
      <c r="C946" s="119"/>
      <c r="D946" s="104" t="s">
        <v>1228</v>
      </c>
      <c r="E946" s="104" t="s">
        <v>1229</v>
      </c>
      <c r="F946" s="105" t="s">
        <v>2639</v>
      </c>
      <c r="G946" s="3" t="s">
        <v>12097</v>
      </c>
      <c r="H946" s="3" t="s">
        <v>12098</v>
      </c>
      <c r="I946" s="3" t="s">
        <v>3581</v>
      </c>
      <c r="J946" s="3" t="s">
        <v>12099</v>
      </c>
      <c r="K946" s="4" t="s">
        <v>12100</v>
      </c>
    </row>
    <row r="947" spans="1:11">
      <c r="A947" s="137"/>
      <c r="B947" s="119"/>
      <c r="C947" s="119"/>
      <c r="D947" s="104" t="s">
        <v>1230</v>
      </c>
      <c r="E947" s="104" t="s">
        <v>1231</v>
      </c>
      <c r="F947" s="105" t="s">
        <v>2639</v>
      </c>
      <c r="G947" s="3" t="s">
        <v>12101</v>
      </c>
      <c r="H947" s="3" t="s">
        <v>12102</v>
      </c>
      <c r="I947" s="3" t="s">
        <v>3581</v>
      </c>
      <c r="J947" s="3" t="s">
        <v>12103</v>
      </c>
      <c r="K947" s="4" t="s">
        <v>12104</v>
      </c>
    </row>
    <row r="948" spans="1:11">
      <c r="A948" s="137"/>
      <c r="B948" s="119"/>
      <c r="C948" s="119" t="s">
        <v>1232</v>
      </c>
      <c r="D948" s="104" t="s">
        <v>1233</v>
      </c>
      <c r="E948" s="104" t="s">
        <v>1234</v>
      </c>
      <c r="F948" s="105" t="s">
        <v>2639</v>
      </c>
      <c r="G948" s="3" t="s">
        <v>12105</v>
      </c>
      <c r="H948" s="3" t="s">
        <v>12106</v>
      </c>
      <c r="I948" s="3" t="s">
        <v>3459</v>
      </c>
      <c r="J948" s="3" t="s">
        <v>12107</v>
      </c>
      <c r="K948" s="4" t="s">
        <v>12108</v>
      </c>
    </row>
    <row r="949" spans="1:11">
      <c r="A949" s="137"/>
      <c r="B949" s="119"/>
      <c r="C949" s="119"/>
      <c r="D949" s="104" t="s">
        <v>1235</v>
      </c>
      <c r="E949" s="104" t="s">
        <v>1236</v>
      </c>
      <c r="F949" s="105" t="s">
        <v>2640</v>
      </c>
      <c r="G949" s="3" t="s">
        <v>12109</v>
      </c>
      <c r="H949" s="3" t="s">
        <v>12110</v>
      </c>
      <c r="I949" s="3" t="s">
        <v>3453</v>
      </c>
      <c r="J949" s="3" t="s">
        <v>12111</v>
      </c>
      <c r="K949" s="4" t="s">
        <v>12112</v>
      </c>
    </row>
    <row r="950" spans="1:11">
      <c r="A950" s="137"/>
      <c r="B950" s="119"/>
      <c r="C950" s="119"/>
      <c r="D950" s="104" t="s">
        <v>1237</v>
      </c>
      <c r="E950" s="104" t="s">
        <v>1238</v>
      </c>
      <c r="F950" s="105" t="s">
        <v>2640</v>
      </c>
      <c r="G950" s="3" t="s">
        <v>12113</v>
      </c>
      <c r="H950" s="3" t="s">
        <v>12114</v>
      </c>
      <c r="I950" s="3" t="s">
        <v>3459</v>
      </c>
      <c r="J950" s="3" t="s">
        <v>12115</v>
      </c>
      <c r="K950" s="4" t="s">
        <v>12116</v>
      </c>
    </row>
    <row r="951" spans="1:11">
      <c r="A951" s="137"/>
      <c r="B951" s="119"/>
      <c r="C951" s="119"/>
      <c r="D951" s="104" t="s">
        <v>1239</v>
      </c>
      <c r="E951" s="104" t="s">
        <v>1240</v>
      </c>
      <c r="F951" s="105" t="s">
        <v>2639</v>
      </c>
      <c r="G951" s="3" t="s">
        <v>12117</v>
      </c>
      <c r="H951" s="3" t="s">
        <v>12118</v>
      </c>
      <c r="I951" s="3" t="s">
        <v>3459</v>
      </c>
      <c r="J951" s="3" t="s">
        <v>12119</v>
      </c>
      <c r="K951" s="4" t="s">
        <v>12120</v>
      </c>
    </row>
    <row r="952" spans="1:11">
      <c r="A952" s="137"/>
      <c r="B952" s="119"/>
      <c r="C952" s="119"/>
      <c r="D952" s="104" t="s">
        <v>1241</v>
      </c>
      <c r="E952" s="104" t="s">
        <v>1242</v>
      </c>
      <c r="F952" s="105" t="s">
        <v>2639</v>
      </c>
      <c r="G952" s="3" t="s">
        <v>12121</v>
      </c>
      <c r="H952" s="3" t="s">
        <v>12122</v>
      </c>
      <c r="I952" s="3" t="s">
        <v>3581</v>
      </c>
      <c r="J952" s="3" t="s">
        <v>12123</v>
      </c>
      <c r="K952" s="4" t="s">
        <v>12124</v>
      </c>
    </row>
    <row r="953" spans="1:11">
      <c r="A953" s="137"/>
      <c r="B953" s="119"/>
      <c r="C953" s="119" t="s">
        <v>1243</v>
      </c>
      <c r="D953" s="104" t="s">
        <v>1244</v>
      </c>
      <c r="E953" s="104" t="s">
        <v>1245</v>
      </c>
      <c r="F953" s="105" t="s">
        <v>2639</v>
      </c>
      <c r="G953" s="3" t="s">
        <v>12125</v>
      </c>
      <c r="H953" s="3" t="s">
        <v>12126</v>
      </c>
      <c r="I953" s="3" t="s">
        <v>3459</v>
      </c>
      <c r="J953" s="3" t="s">
        <v>12127</v>
      </c>
      <c r="K953" s="4" t="s">
        <v>12128</v>
      </c>
    </row>
    <row r="954" spans="1:11">
      <c r="A954" s="137"/>
      <c r="B954" s="119"/>
      <c r="C954" s="119"/>
      <c r="D954" s="104" t="s">
        <v>1246</v>
      </c>
      <c r="E954" s="104" t="s">
        <v>1247</v>
      </c>
      <c r="F954" s="105" t="s">
        <v>2639</v>
      </c>
      <c r="G954" s="3" t="s">
        <v>12129</v>
      </c>
      <c r="H954" s="3" t="s">
        <v>12130</v>
      </c>
      <c r="I954" s="3" t="s">
        <v>3453</v>
      </c>
      <c r="J954" s="3" t="s">
        <v>12131</v>
      </c>
      <c r="K954" s="4" t="s">
        <v>12132</v>
      </c>
    </row>
    <row r="955" spans="1:11">
      <c r="A955" s="137"/>
      <c r="B955" s="119"/>
      <c r="C955" s="119"/>
      <c r="D955" s="104" t="s">
        <v>1248</v>
      </c>
      <c r="E955" s="104" t="s">
        <v>1249</v>
      </c>
      <c r="F955" s="105" t="s">
        <v>2640</v>
      </c>
      <c r="G955" s="3" t="s">
        <v>11738</v>
      </c>
      <c r="H955" s="3" t="s">
        <v>12133</v>
      </c>
      <c r="I955" s="3" t="s">
        <v>3581</v>
      </c>
      <c r="J955" s="3" t="s">
        <v>12134</v>
      </c>
      <c r="K955" s="4" t="s">
        <v>12135</v>
      </c>
    </row>
    <row r="956" spans="1:11">
      <c r="A956" s="137"/>
      <c r="B956" s="119"/>
      <c r="C956" s="119"/>
      <c r="D956" s="104" t="s">
        <v>1250</v>
      </c>
      <c r="E956" s="104" t="s">
        <v>1251</v>
      </c>
      <c r="F956" s="105" t="s">
        <v>2640</v>
      </c>
      <c r="G956" s="3" t="s">
        <v>11742</v>
      </c>
      <c r="H956" s="3" t="s">
        <v>12136</v>
      </c>
      <c r="I956" s="3" t="s">
        <v>3459</v>
      </c>
      <c r="J956" s="3" t="s">
        <v>12137</v>
      </c>
      <c r="K956" s="4" t="s">
        <v>12138</v>
      </c>
    </row>
    <row r="957" spans="1:11">
      <c r="A957" s="137"/>
      <c r="B957" s="119"/>
      <c r="C957" s="119"/>
      <c r="D957" s="104" t="s">
        <v>1252</v>
      </c>
      <c r="E957" s="104" t="s">
        <v>1253</v>
      </c>
      <c r="F957" s="105" t="s">
        <v>2639</v>
      </c>
      <c r="G957" s="3" t="s">
        <v>11795</v>
      </c>
      <c r="H957" s="3" t="s">
        <v>12139</v>
      </c>
      <c r="I957" s="3" t="s">
        <v>3581</v>
      </c>
      <c r="J957" s="3" t="s">
        <v>12140</v>
      </c>
      <c r="K957" s="4" t="s">
        <v>12141</v>
      </c>
    </row>
    <row r="958" spans="1:11">
      <c r="A958" s="137"/>
      <c r="B958" s="119"/>
      <c r="C958" s="119" t="s">
        <v>1254</v>
      </c>
      <c r="D958" s="104" t="s">
        <v>743</v>
      </c>
      <c r="E958" s="104" t="s">
        <v>1255</v>
      </c>
      <c r="F958" s="105" t="s">
        <v>2640</v>
      </c>
      <c r="G958" s="3" t="s">
        <v>12142</v>
      </c>
      <c r="H958" s="3" t="s">
        <v>12143</v>
      </c>
      <c r="I958" s="3" t="s">
        <v>3453</v>
      </c>
      <c r="J958" s="3" t="s">
        <v>12144</v>
      </c>
      <c r="K958" s="4" t="s">
        <v>12145</v>
      </c>
    </row>
    <row r="959" spans="1:11">
      <c r="A959" s="137"/>
      <c r="B959" s="119"/>
      <c r="C959" s="119"/>
      <c r="D959" s="104" t="s">
        <v>1256</v>
      </c>
      <c r="E959" s="104" t="s">
        <v>1257</v>
      </c>
      <c r="F959" s="105" t="s">
        <v>2641</v>
      </c>
      <c r="G959" s="3" t="s">
        <v>12146</v>
      </c>
      <c r="H959" s="3" t="s">
        <v>12147</v>
      </c>
      <c r="I959" s="3" t="s">
        <v>3459</v>
      </c>
      <c r="J959" s="3" t="s">
        <v>6173</v>
      </c>
      <c r="K959" s="4" t="s">
        <v>12148</v>
      </c>
    </row>
    <row r="960" spans="1:11">
      <c r="A960" s="137"/>
      <c r="B960" s="119"/>
      <c r="C960" s="119"/>
      <c r="D960" s="104" t="s">
        <v>1248</v>
      </c>
      <c r="E960" s="104" t="s">
        <v>1258</v>
      </c>
      <c r="F960" s="105" t="s">
        <v>2641</v>
      </c>
      <c r="G960" s="3" t="s">
        <v>12149</v>
      </c>
      <c r="H960" s="3" t="s">
        <v>12150</v>
      </c>
      <c r="I960" s="3" t="s">
        <v>3459</v>
      </c>
      <c r="J960" s="3" t="s">
        <v>12151</v>
      </c>
      <c r="K960" s="4" t="s">
        <v>12152</v>
      </c>
    </row>
    <row r="961" spans="1:11">
      <c r="A961" s="137"/>
      <c r="B961" s="119"/>
      <c r="C961" s="119"/>
      <c r="D961" s="104" t="s">
        <v>1259</v>
      </c>
      <c r="E961" s="104" t="s">
        <v>1260</v>
      </c>
      <c r="F961" s="105" t="s">
        <v>2640</v>
      </c>
      <c r="G961" s="3" t="s">
        <v>12153</v>
      </c>
      <c r="H961" s="3" t="s">
        <v>12154</v>
      </c>
      <c r="I961" s="3" t="s">
        <v>3453</v>
      </c>
      <c r="J961" s="3" t="s">
        <v>12155</v>
      </c>
      <c r="K961" s="4" t="s">
        <v>12156</v>
      </c>
    </row>
    <row r="962" spans="1:11">
      <c r="A962" s="137"/>
      <c r="B962" s="119"/>
      <c r="C962" s="119"/>
      <c r="D962" s="104" t="s">
        <v>1261</v>
      </c>
      <c r="E962" s="104" t="s">
        <v>1262</v>
      </c>
      <c r="F962" s="105" t="s">
        <v>2640</v>
      </c>
      <c r="G962" s="3" t="s">
        <v>6130</v>
      </c>
      <c r="H962" s="3" t="s">
        <v>10996</v>
      </c>
      <c r="I962" s="3" t="s">
        <v>3453</v>
      </c>
      <c r="J962" s="3" t="s">
        <v>12157</v>
      </c>
      <c r="K962" s="4" t="s">
        <v>12158</v>
      </c>
    </row>
    <row r="963" spans="1:11">
      <c r="A963" s="137"/>
      <c r="B963" s="119"/>
      <c r="C963" s="119" t="s">
        <v>1263</v>
      </c>
      <c r="D963" s="104" t="s">
        <v>1264</v>
      </c>
      <c r="E963" s="104" t="s">
        <v>1265</v>
      </c>
      <c r="F963" s="105" t="s">
        <v>2640</v>
      </c>
      <c r="G963" s="3" t="s">
        <v>12159</v>
      </c>
      <c r="H963" s="3" t="s">
        <v>12160</v>
      </c>
      <c r="I963" s="3" t="s">
        <v>3453</v>
      </c>
      <c r="J963" s="3" t="s">
        <v>12161</v>
      </c>
      <c r="K963" s="4" t="s">
        <v>12162</v>
      </c>
    </row>
    <row r="964" spans="1:11">
      <c r="A964" s="137"/>
      <c r="B964" s="119"/>
      <c r="C964" s="119"/>
      <c r="D964" s="104" t="s">
        <v>1266</v>
      </c>
      <c r="E964" s="104" t="s">
        <v>1267</v>
      </c>
      <c r="F964" s="105" t="s">
        <v>2640</v>
      </c>
      <c r="G964" s="3" t="s">
        <v>12163</v>
      </c>
      <c r="H964" s="3" t="s">
        <v>12164</v>
      </c>
      <c r="I964" s="3" t="s">
        <v>3453</v>
      </c>
      <c r="J964" s="3" t="s">
        <v>12165</v>
      </c>
      <c r="K964" s="4" t="s">
        <v>12166</v>
      </c>
    </row>
    <row r="965" spans="1:11">
      <c r="A965" s="137"/>
      <c r="B965" s="119"/>
      <c r="C965" s="119"/>
      <c r="D965" s="104" t="s">
        <v>1268</v>
      </c>
      <c r="E965" s="104" t="s">
        <v>1269</v>
      </c>
      <c r="F965" s="105" t="s">
        <v>2640</v>
      </c>
      <c r="G965" s="3" t="s">
        <v>12167</v>
      </c>
      <c r="H965" s="3" t="s">
        <v>12168</v>
      </c>
      <c r="I965" s="3" t="s">
        <v>3459</v>
      </c>
      <c r="J965" s="3" t="s">
        <v>12169</v>
      </c>
      <c r="K965" s="4" t="s">
        <v>12170</v>
      </c>
    </row>
    <row r="966" spans="1:11">
      <c r="A966" s="137"/>
      <c r="B966" s="119"/>
      <c r="C966" s="119"/>
      <c r="D966" s="104" t="s">
        <v>1270</v>
      </c>
      <c r="E966" s="104" t="s">
        <v>1271</v>
      </c>
      <c r="F966" s="105" t="s">
        <v>2640</v>
      </c>
      <c r="G966" s="3" t="s">
        <v>12171</v>
      </c>
      <c r="H966" s="3" t="s">
        <v>12172</v>
      </c>
      <c r="I966" s="3" t="s">
        <v>3453</v>
      </c>
      <c r="J966" s="3" t="s">
        <v>12173</v>
      </c>
      <c r="K966" s="4" t="s">
        <v>12174</v>
      </c>
    </row>
    <row r="967" spans="1:11">
      <c r="A967" s="137"/>
      <c r="B967" s="119"/>
      <c r="C967" s="119"/>
      <c r="D967" s="104" t="s">
        <v>1272</v>
      </c>
      <c r="E967" s="104" t="s">
        <v>1273</v>
      </c>
      <c r="F967" s="105" t="s">
        <v>2640</v>
      </c>
      <c r="G967" s="3" t="s">
        <v>12175</v>
      </c>
      <c r="H967" s="3" t="s">
        <v>12176</v>
      </c>
      <c r="I967" s="3" t="s">
        <v>3453</v>
      </c>
      <c r="J967" s="22" t="s">
        <v>12177</v>
      </c>
      <c r="K967" s="141" t="s">
        <v>12178</v>
      </c>
    </row>
    <row r="968" spans="1:11">
      <c r="A968" s="137"/>
      <c r="B968" s="119"/>
      <c r="C968" s="119" t="s">
        <v>1274</v>
      </c>
      <c r="D968" s="104" t="s">
        <v>1275</v>
      </c>
      <c r="E968" s="104" t="s">
        <v>1276</v>
      </c>
      <c r="F968" s="105" t="s">
        <v>2640</v>
      </c>
      <c r="G968" s="3" t="s">
        <v>12179</v>
      </c>
      <c r="H968" s="3" t="s">
        <v>12180</v>
      </c>
      <c r="I968" s="3" t="s">
        <v>3459</v>
      </c>
      <c r="J968" s="22" t="s">
        <v>12181</v>
      </c>
      <c r="K968" s="141" t="s">
        <v>12182</v>
      </c>
    </row>
    <row r="969" spans="1:11">
      <c r="A969" s="137"/>
      <c r="B969" s="119"/>
      <c r="C969" s="119"/>
      <c r="D969" s="104" t="s">
        <v>1277</v>
      </c>
      <c r="E969" s="104" t="s">
        <v>1278</v>
      </c>
      <c r="F969" s="105" t="s">
        <v>2640</v>
      </c>
      <c r="G969" s="3" t="s">
        <v>12183</v>
      </c>
      <c r="H969" s="3" t="s">
        <v>12184</v>
      </c>
      <c r="I969" s="3" t="s">
        <v>3459</v>
      </c>
      <c r="J969" s="22" t="s">
        <v>12185</v>
      </c>
      <c r="K969" s="141" t="s">
        <v>12186</v>
      </c>
    </row>
    <row r="970" spans="1:11">
      <c r="A970" s="137"/>
      <c r="B970" s="119"/>
      <c r="C970" s="119"/>
      <c r="D970" s="104" t="s">
        <v>1279</v>
      </c>
      <c r="E970" s="104" t="s">
        <v>1280</v>
      </c>
      <c r="F970" s="105" t="s">
        <v>2640</v>
      </c>
      <c r="G970" s="3" t="s">
        <v>11706</v>
      </c>
      <c r="H970" s="3" t="s">
        <v>12187</v>
      </c>
      <c r="I970" s="3" t="s">
        <v>3459</v>
      </c>
      <c r="J970" s="22" t="s">
        <v>12188</v>
      </c>
      <c r="K970" s="141" t="s">
        <v>12189</v>
      </c>
    </row>
    <row r="971" spans="1:11">
      <c r="A971" s="137"/>
      <c r="B971" s="119"/>
      <c r="C971" s="119"/>
      <c r="D971" s="104" t="s">
        <v>1281</v>
      </c>
      <c r="E971" s="104" t="s">
        <v>1282</v>
      </c>
      <c r="F971" s="105" t="s">
        <v>2639</v>
      </c>
      <c r="G971" s="3" t="s">
        <v>12190</v>
      </c>
      <c r="H971" s="3" t="s">
        <v>12191</v>
      </c>
      <c r="I971" s="3" t="s">
        <v>3581</v>
      </c>
      <c r="J971" s="22" t="s">
        <v>12192</v>
      </c>
      <c r="K971" s="141" t="s">
        <v>12193</v>
      </c>
    </row>
    <row r="972" spans="1:11">
      <c r="A972" s="137"/>
      <c r="B972" s="119"/>
      <c r="C972" s="119"/>
      <c r="D972" s="104" t="s">
        <v>1283</v>
      </c>
      <c r="E972" s="104" t="s">
        <v>1284</v>
      </c>
      <c r="F972" s="105" t="s">
        <v>2639</v>
      </c>
      <c r="G972" s="3" t="s">
        <v>12194</v>
      </c>
      <c r="H972" s="3" t="s">
        <v>12195</v>
      </c>
      <c r="I972" s="3" t="s">
        <v>3459</v>
      </c>
      <c r="J972" s="22" t="s">
        <v>12196</v>
      </c>
      <c r="K972" s="141" t="s">
        <v>12197</v>
      </c>
    </row>
    <row r="973" spans="1:11">
      <c r="A973" s="137"/>
      <c r="B973" s="119"/>
      <c r="C973" s="119" t="s">
        <v>1285</v>
      </c>
      <c r="D973" s="104" t="s">
        <v>1233</v>
      </c>
      <c r="E973" s="104" t="s">
        <v>1286</v>
      </c>
      <c r="F973" s="105" t="s">
        <v>2639</v>
      </c>
      <c r="G973" s="3" t="s">
        <v>12198</v>
      </c>
      <c r="H973" s="3" t="s">
        <v>12199</v>
      </c>
      <c r="I973" s="3" t="s">
        <v>3459</v>
      </c>
      <c r="J973" s="22" t="s">
        <v>12200</v>
      </c>
      <c r="K973" s="141" t="s">
        <v>12201</v>
      </c>
    </row>
    <row r="974" spans="1:11">
      <c r="A974" s="137"/>
      <c r="B974" s="119"/>
      <c r="C974" s="119"/>
      <c r="D974" s="104" t="s">
        <v>1287</v>
      </c>
      <c r="E974" s="104" t="s">
        <v>1288</v>
      </c>
      <c r="F974" s="105" t="s">
        <v>2641</v>
      </c>
      <c r="G974" s="3" t="s">
        <v>12202</v>
      </c>
      <c r="H974" s="3" t="s">
        <v>12203</v>
      </c>
      <c r="I974" s="3" t="s">
        <v>3453</v>
      </c>
      <c r="J974" s="22" t="s">
        <v>12204</v>
      </c>
      <c r="K974" s="141" t="s">
        <v>12205</v>
      </c>
    </row>
    <row r="975" spans="1:11">
      <c r="A975" s="137"/>
      <c r="B975" s="119"/>
      <c r="C975" s="119"/>
      <c r="D975" s="104" t="s">
        <v>1289</v>
      </c>
      <c r="E975" s="104" t="s">
        <v>1290</v>
      </c>
      <c r="F975" s="105" t="s">
        <v>2641</v>
      </c>
      <c r="G975" s="3" t="s">
        <v>12206</v>
      </c>
      <c r="H975" s="3" t="s">
        <v>12207</v>
      </c>
      <c r="I975" s="3" t="s">
        <v>3459</v>
      </c>
      <c r="J975" s="22" t="s">
        <v>12208</v>
      </c>
      <c r="K975" s="141" t="s">
        <v>12209</v>
      </c>
    </row>
    <row r="976" spans="1:11">
      <c r="A976" s="137"/>
      <c r="B976" s="119"/>
      <c r="C976" s="119"/>
      <c r="D976" s="104" t="s">
        <v>1291</v>
      </c>
      <c r="E976" s="104" t="s">
        <v>1292</v>
      </c>
      <c r="F976" s="105" t="s">
        <v>2639</v>
      </c>
      <c r="G976" s="3" t="s">
        <v>12210</v>
      </c>
      <c r="H976" s="3" t="s">
        <v>12211</v>
      </c>
      <c r="I976" s="3" t="s">
        <v>3459</v>
      </c>
      <c r="J976" s="22" t="s">
        <v>12212</v>
      </c>
      <c r="K976" s="141" t="s">
        <v>12213</v>
      </c>
    </row>
    <row r="977" spans="1:11">
      <c r="A977" s="137"/>
      <c r="B977" s="119"/>
      <c r="C977" s="119"/>
      <c r="D977" s="104" t="s">
        <v>1293</v>
      </c>
      <c r="E977" s="104" t="s">
        <v>1294</v>
      </c>
      <c r="F977" s="105" t="s">
        <v>2639</v>
      </c>
      <c r="G977" s="3" t="s">
        <v>12214</v>
      </c>
      <c r="H977" s="3" t="s">
        <v>12215</v>
      </c>
      <c r="I977" s="3" t="s">
        <v>3581</v>
      </c>
      <c r="J977" s="22" t="s">
        <v>12216</v>
      </c>
      <c r="K977" s="141" t="s">
        <v>12217</v>
      </c>
    </row>
    <row r="978" spans="1:11">
      <c r="A978" s="137"/>
      <c r="B978" s="119"/>
      <c r="C978" s="119" t="s">
        <v>1295</v>
      </c>
      <c r="D978" s="104" t="s">
        <v>1296</v>
      </c>
      <c r="E978" s="104" t="s">
        <v>1297</v>
      </c>
      <c r="F978" s="105" t="s">
        <v>2639</v>
      </c>
      <c r="G978" s="3" t="s">
        <v>12218</v>
      </c>
      <c r="H978" s="3" t="s">
        <v>12219</v>
      </c>
      <c r="I978" s="3" t="s">
        <v>3581</v>
      </c>
      <c r="J978" s="22" t="s">
        <v>12220</v>
      </c>
      <c r="K978" s="141" t="s">
        <v>12221</v>
      </c>
    </row>
    <row r="979" spans="1:11">
      <c r="A979" s="137"/>
      <c r="B979" s="119"/>
      <c r="C979" s="119"/>
      <c r="D979" s="104" t="s">
        <v>1298</v>
      </c>
      <c r="E979" s="104" t="s">
        <v>1299</v>
      </c>
      <c r="F979" s="105" t="s">
        <v>2640</v>
      </c>
      <c r="G979" s="3" t="s">
        <v>12222</v>
      </c>
      <c r="H979" s="3" t="s">
        <v>12223</v>
      </c>
      <c r="I979" s="3" t="s">
        <v>3453</v>
      </c>
      <c r="J979" s="22" t="s">
        <v>12224</v>
      </c>
      <c r="K979" s="141" t="s">
        <v>12225</v>
      </c>
    </row>
    <row r="980" spans="1:11">
      <c r="A980" s="137"/>
      <c r="B980" s="119"/>
      <c r="C980" s="119"/>
      <c r="D980" s="104" t="s">
        <v>1300</v>
      </c>
      <c r="E980" s="104" t="s">
        <v>1301</v>
      </c>
      <c r="F980" s="105" t="s">
        <v>2639</v>
      </c>
      <c r="G980" s="3" t="s">
        <v>12226</v>
      </c>
      <c r="H980" s="3" t="s">
        <v>12227</v>
      </c>
      <c r="I980" s="3" t="s">
        <v>3581</v>
      </c>
      <c r="J980" s="22" t="s">
        <v>12228</v>
      </c>
      <c r="K980" s="141" t="s">
        <v>12229</v>
      </c>
    </row>
    <row r="981" spans="1:11">
      <c r="A981" s="137"/>
      <c r="B981" s="119"/>
      <c r="C981" s="119"/>
      <c r="D981" s="104" t="s">
        <v>1302</v>
      </c>
      <c r="E981" s="104" t="s">
        <v>1303</v>
      </c>
      <c r="F981" s="105" t="s">
        <v>2639</v>
      </c>
      <c r="G981" s="3" t="s">
        <v>11742</v>
      </c>
      <c r="H981" s="3" t="s">
        <v>12230</v>
      </c>
      <c r="I981" s="3" t="s">
        <v>3459</v>
      </c>
      <c r="J981" s="22" t="s">
        <v>12231</v>
      </c>
      <c r="K981" s="141" t="s">
        <v>12232</v>
      </c>
    </row>
    <row r="982" spans="1:11">
      <c r="A982" s="137"/>
      <c r="B982" s="119"/>
      <c r="C982" s="119"/>
      <c r="D982" s="104" t="s">
        <v>1304</v>
      </c>
      <c r="E982" s="104" t="s">
        <v>1305</v>
      </c>
      <c r="F982" s="105" t="s">
        <v>2639</v>
      </c>
      <c r="G982" s="3" t="s">
        <v>12233</v>
      </c>
      <c r="H982" s="3" t="s">
        <v>12234</v>
      </c>
      <c r="I982" s="3" t="s">
        <v>3581</v>
      </c>
      <c r="J982" s="22" t="s">
        <v>12235</v>
      </c>
      <c r="K982" s="141" t="s">
        <v>12236</v>
      </c>
    </row>
    <row r="983" spans="1:11">
      <c r="A983" s="137"/>
      <c r="B983" s="119"/>
      <c r="C983" s="119" t="s">
        <v>1306</v>
      </c>
      <c r="D983" s="104" t="s">
        <v>1307</v>
      </c>
      <c r="E983" s="104" t="s">
        <v>1308</v>
      </c>
      <c r="F983" s="105" t="s">
        <v>2640</v>
      </c>
      <c r="G983" s="3" t="s">
        <v>12237</v>
      </c>
      <c r="H983" s="3" t="s">
        <v>12238</v>
      </c>
      <c r="I983" s="3" t="s">
        <v>3459</v>
      </c>
      <c r="J983" s="22" t="s">
        <v>12239</v>
      </c>
      <c r="K983" s="141" t="s">
        <v>12240</v>
      </c>
    </row>
    <row r="984" spans="1:11">
      <c r="A984" s="137"/>
      <c r="B984" s="119"/>
      <c r="C984" s="119"/>
      <c r="D984" s="104" t="s">
        <v>1309</v>
      </c>
      <c r="E984" s="104" t="s">
        <v>1310</v>
      </c>
      <c r="F984" s="105" t="s">
        <v>2640</v>
      </c>
      <c r="G984" s="3" t="s">
        <v>12241</v>
      </c>
      <c r="H984" s="3" t="s">
        <v>12242</v>
      </c>
      <c r="I984" s="3" t="s">
        <v>3459</v>
      </c>
      <c r="J984" s="22" t="s">
        <v>12243</v>
      </c>
      <c r="K984" s="141" t="s">
        <v>12244</v>
      </c>
    </row>
    <row r="985" spans="1:11">
      <c r="A985" s="137"/>
      <c r="B985" s="119"/>
      <c r="C985" s="119"/>
      <c r="D985" s="104" t="s">
        <v>1311</v>
      </c>
      <c r="E985" s="104" t="s">
        <v>1312</v>
      </c>
      <c r="F985" s="105" t="s">
        <v>2639</v>
      </c>
      <c r="G985" s="3" t="s">
        <v>12245</v>
      </c>
      <c r="H985" s="3" t="s">
        <v>12246</v>
      </c>
      <c r="I985" s="3" t="s">
        <v>3581</v>
      </c>
      <c r="J985" s="22" t="s">
        <v>12247</v>
      </c>
      <c r="K985" s="141" t="s">
        <v>12248</v>
      </c>
    </row>
    <row r="986" spans="1:11">
      <c r="A986" s="137"/>
      <c r="B986" s="119"/>
      <c r="C986" s="119"/>
      <c r="D986" s="104" t="s">
        <v>1313</v>
      </c>
      <c r="E986" s="104" t="s">
        <v>1314</v>
      </c>
      <c r="F986" s="105" t="s">
        <v>2639</v>
      </c>
      <c r="G986" s="3" t="s">
        <v>12249</v>
      </c>
      <c r="H986" s="3" t="s">
        <v>12250</v>
      </c>
      <c r="I986" s="3" t="s">
        <v>3581</v>
      </c>
      <c r="J986" s="22" t="s">
        <v>12251</v>
      </c>
      <c r="K986" s="141" t="s">
        <v>12252</v>
      </c>
    </row>
    <row r="987" spans="1:11">
      <c r="A987" s="137"/>
      <c r="B987" s="119"/>
      <c r="C987" s="119"/>
      <c r="D987" s="104" t="s">
        <v>1315</v>
      </c>
      <c r="E987" s="104" t="s">
        <v>1316</v>
      </c>
      <c r="F987" s="105" t="s">
        <v>2641</v>
      </c>
      <c r="G987" s="3" t="s">
        <v>12253</v>
      </c>
      <c r="H987" s="3" t="s">
        <v>12254</v>
      </c>
      <c r="I987" s="3" t="s">
        <v>3459</v>
      </c>
      <c r="J987" s="22" t="s">
        <v>12255</v>
      </c>
      <c r="K987" s="141" t="s">
        <v>12256</v>
      </c>
    </row>
    <row r="988" spans="1:11">
      <c r="A988" s="137"/>
      <c r="B988" s="119"/>
      <c r="C988" s="119" t="s">
        <v>1317</v>
      </c>
      <c r="D988" s="104" t="s">
        <v>1318</v>
      </c>
      <c r="E988" s="104" t="s">
        <v>1319</v>
      </c>
      <c r="F988" s="105" t="s">
        <v>2641</v>
      </c>
      <c r="G988" s="3" t="s">
        <v>12257</v>
      </c>
      <c r="H988" s="3" t="s">
        <v>12258</v>
      </c>
      <c r="I988" s="3" t="s">
        <v>3459</v>
      </c>
      <c r="J988" s="22" t="s">
        <v>12259</v>
      </c>
      <c r="K988" s="141" t="s">
        <v>12260</v>
      </c>
    </row>
    <row r="989" spans="1:11">
      <c r="A989" s="137"/>
      <c r="B989" s="119"/>
      <c r="C989" s="119"/>
      <c r="D989" s="104" t="s">
        <v>1320</v>
      </c>
      <c r="E989" s="104" t="s">
        <v>1321</v>
      </c>
      <c r="F989" s="105" t="s">
        <v>2641</v>
      </c>
      <c r="G989" s="3" t="s">
        <v>12261</v>
      </c>
      <c r="H989" s="3" t="s">
        <v>12262</v>
      </c>
      <c r="I989" s="3" t="s">
        <v>3453</v>
      </c>
      <c r="J989" s="22" t="s">
        <v>12263</v>
      </c>
      <c r="K989" s="141" t="s">
        <v>12264</v>
      </c>
    </row>
    <row r="990" spans="1:11">
      <c r="A990" s="137"/>
      <c r="B990" s="119"/>
      <c r="C990" s="119"/>
      <c r="D990" s="104" t="s">
        <v>1322</v>
      </c>
      <c r="E990" s="104" t="s">
        <v>1323</v>
      </c>
      <c r="F990" s="105" t="s">
        <v>2641</v>
      </c>
      <c r="G990" s="3" t="s">
        <v>12265</v>
      </c>
      <c r="H990" s="3" t="s">
        <v>12266</v>
      </c>
      <c r="I990" s="3" t="s">
        <v>3459</v>
      </c>
      <c r="J990" s="22" t="s">
        <v>12267</v>
      </c>
      <c r="K990" s="141" t="s">
        <v>12268</v>
      </c>
    </row>
    <row r="991" spans="1:11">
      <c r="A991" s="137"/>
      <c r="B991" s="119"/>
      <c r="C991" s="119"/>
      <c r="D991" s="104" t="s">
        <v>1324</v>
      </c>
      <c r="E991" s="104" t="s">
        <v>1325</v>
      </c>
      <c r="F991" s="105" t="s">
        <v>2639</v>
      </c>
      <c r="G991" s="3" t="s">
        <v>12269</v>
      </c>
      <c r="H991" s="3" t="s">
        <v>12270</v>
      </c>
      <c r="I991" s="3" t="s">
        <v>3459</v>
      </c>
      <c r="J991" s="22" t="s">
        <v>12271</v>
      </c>
      <c r="K991" s="141" t="s">
        <v>12272</v>
      </c>
    </row>
    <row r="992" spans="1:11">
      <c r="A992" s="137"/>
      <c r="B992" s="119"/>
      <c r="C992" s="119"/>
      <c r="D992" s="104" t="s">
        <v>1326</v>
      </c>
      <c r="E992" s="104" t="s">
        <v>1327</v>
      </c>
      <c r="F992" s="105" t="s">
        <v>2639</v>
      </c>
      <c r="G992" s="3" t="s">
        <v>12273</v>
      </c>
      <c r="H992" s="3" t="s">
        <v>12274</v>
      </c>
      <c r="I992" s="3" t="s">
        <v>3581</v>
      </c>
      <c r="J992" s="22" t="s">
        <v>12275</v>
      </c>
      <c r="K992" s="141" t="s">
        <v>12276</v>
      </c>
    </row>
    <row r="993" spans="1:11">
      <c r="A993" s="137"/>
      <c r="B993" s="119"/>
      <c r="C993" s="119" t="s">
        <v>1328</v>
      </c>
      <c r="D993" s="104" t="s">
        <v>1329</v>
      </c>
      <c r="E993" s="104" t="s">
        <v>1330</v>
      </c>
      <c r="F993" s="105" t="s">
        <v>2639</v>
      </c>
      <c r="G993" s="3" t="s">
        <v>12277</v>
      </c>
      <c r="H993" s="3" t="s">
        <v>12278</v>
      </c>
      <c r="I993" s="3" t="s">
        <v>3459</v>
      </c>
      <c r="J993" s="22" t="s">
        <v>12279</v>
      </c>
      <c r="K993" s="141" t="s">
        <v>12280</v>
      </c>
    </row>
    <row r="994" spans="1:11">
      <c r="A994" s="137"/>
      <c r="B994" s="119"/>
      <c r="C994" s="119"/>
      <c r="D994" s="104" t="s">
        <v>1331</v>
      </c>
      <c r="E994" s="104" t="s">
        <v>1332</v>
      </c>
      <c r="F994" s="105" t="s">
        <v>2639</v>
      </c>
      <c r="G994" s="3" t="s">
        <v>12281</v>
      </c>
      <c r="H994" s="3" t="s">
        <v>12282</v>
      </c>
      <c r="I994" s="3" t="s">
        <v>3459</v>
      </c>
      <c r="J994" s="22" t="s">
        <v>12283</v>
      </c>
      <c r="K994" s="141" t="s">
        <v>12284</v>
      </c>
    </row>
    <row r="995" spans="1:11">
      <c r="A995" s="137"/>
      <c r="B995" s="119"/>
      <c r="C995" s="119"/>
      <c r="D995" s="104" t="s">
        <v>1248</v>
      </c>
      <c r="E995" s="104" t="s">
        <v>1333</v>
      </c>
      <c r="F995" s="105" t="s">
        <v>2639</v>
      </c>
      <c r="G995" s="3" t="s">
        <v>12285</v>
      </c>
      <c r="H995" s="3" t="s">
        <v>12286</v>
      </c>
      <c r="I995" s="3" t="s">
        <v>3459</v>
      </c>
      <c r="J995" s="22" t="s">
        <v>12287</v>
      </c>
      <c r="K995" s="141" t="s">
        <v>12288</v>
      </c>
    </row>
    <row r="996" spans="1:11">
      <c r="A996" s="137"/>
      <c r="B996" s="119"/>
      <c r="C996" s="119"/>
      <c r="D996" s="104" t="s">
        <v>1334</v>
      </c>
      <c r="E996" s="104" t="s">
        <v>1335</v>
      </c>
      <c r="F996" s="105" t="s">
        <v>2640</v>
      </c>
      <c r="G996" s="3" t="s">
        <v>12289</v>
      </c>
      <c r="H996" s="3" t="s">
        <v>12290</v>
      </c>
      <c r="I996" s="3" t="s">
        <v>3453</v>
      </c>
      <c r="J996" s="22" t="s">
        <v>12291</v>
      </c>
      <c r="K996" s="141" t="s">
        <v>12292</v>
      </c>
    </row>
    <row r="997" spans="1:11">
      <c r="A997" s="137"/>
      <c r="B997" s="119"/>
      <c r="C997" s="119"/>
      <c r="D997" s="104" t="s">
        <v>1252</v>
      </c>
      <c r="E997" s="104" t="s">
        <v>1336</v>
      </c>
      <c r="F997" s="105" t="s">
        <v>2639</v>
      </c>
      <c r="G997" s="3" t="s">
        <v>12293</v>
      </c>
      <c r="H997" s="3" t="s">
        <v>12294</v>
      </c>
      <c r="I997" s="3" t="s">
        <v>3581</v>
      </c>
      <c r="J997" s="22" t="s">
        <v>12295</v>
      </c>
      <c r="K997" s="141" t="s">
        <v>12296</v>
      </c>
    </row>
    <row r="998" spans="1:11">
      <c r="A998" s="137"/>
      <c r="B998" s="119"/>
      <c r="C998" s="119" t="s">
        <v>1337</v>
      </c>
      <c r="D998" s="104" t="s">
        <v>1338</v>
      </c>
      <c r="E998" s="104" t="s">
        <v>1339</v>
      </c>
      <c r="F998" s="105" t="s">
        <v>2639</v>
      </c>
      <c r="G998" s="3" t="s">
        <v>12297</v>
      </c>
      <c r="H998" s="3" t="s">
        <v>12298</v>
      </c>
      <c r="I998" s="3" t="s">
        <v>3459</v>
      </c>
      <c r="J998" s="22" t="s">
        <v>12299</v>
      </c>
      <c r="K998" s="141" t="s">
        <v>12300</v>
      </c>
    </row>
    <row r="999" spans="1:11">
      <c r="A999" s="137"/>
      <c r="B999" s="119"/>
      <c r="C999" s="119"/>
      <c r="D999" s="104" t="s">
        <v>1340</v>
      </c>
      <c r="E999" s="104" t="s">
        <v>1341</v>
      </c>
      <c r="F999" s="105" t="s">
        <v>2639</v>
      </c>
      <c r="G999" s="3" t="s">
        <v>12301</v>
      </c>
      <c r="H999" s="3" t="s">
        <v>12302</v>
      </c>
      <c r="I999" s="3" t="s">
        <v>3453</v>
      </c>
      <c r="J999" s="22" t="s">
        <v>12303</v>
      </c>
      <c r="K999" s="141" t="s">
        <v>12304</v>
      </c>
    </row>
    <row r="1000" spans="1:11">
      <c r="A1000" s="137"/>
      <c r="B1000" s="119"/>
      <c r="C1000" s="119"/>
      <c r="D1000" s="104" t="s">
        <v>1342</v>
      </c>
      <c r="E1000" s="104" t="s">
        <v>1343</v>
      </c>
      <c r="F1000" s="105" t="s">
        <v>2640</v>
      </c>
      <c r="G1000" s="3" t="s">
        <v>12305</v>
      </c>
      <c r="H1000" s="3" t="s">
        <v>12306</v>
      </c>
      <c r="I1000" s="3" t="s">
        <v>3581</v>
      </c>
      <c r="J1000" s="22" t="s">
        <v>12307</v>
      </c>
      <c r="K1000" s="141" t="s">
        <v>12308</v>
      </c>
    </row>
    <row r="1001" spans="1:11">
      <c r="A1001" s="137"/>
      <c r="B1001" s="119"/>
      <c r="C1001" s="119"/>
      <c r="D1001" s="104" t="s">
        <v>1344</v>
      </c>
      <c r="E1001" s="104" t="s">
        <v>1345</v>
      </c>
      <c r="F1001" s="105" t="s">
        <v>2640</v>
      </c>
      <c r="G1001" s="3" t="s">
        <v>12309</v>
      </c>
      <c r="H1001" s="3" t="s">
        <v>12310</v>
      </c>
      <c r="I1001" s="3" t="s">
        <v>3453</v>
      </c>
      <c r="J1001" s="22" t="s">
        <v>12311</v>
      </c>
      <c r="K1001" s="141" t="s">
        <v>12312</v>
      </c>
    </row>
    <row r="1002" spans="1:11">
      <c r="A1002" s="137"/>
      <c r="B1002" s="119"/>
      <c r="C1002" s="119"/>
      <c r="D1002" s="104" t="s">
        <v>1346</v>
      </c>
      <c r="E1002" s="104" t="s">
        <v>1347</v>
      </c>
      <c r="F1002" s="105" t="s">
        <v>2639</v>
      </c>
      <c r="G1002" s="3" t="s">
        <v>12313</v>
      </c>
      <c r="H1002" s="3" t="s">
        <v>12314</v>
      </c>
      <c r="I1002" s="3" t="s">
        <v>3581</v>
      </c>
      <c r="J1002" s="22" t="s">
        <v>12315</v>
      </c>
      <c r="K1002" s="141" t="s">
        <v>12316</v>
      </c>
    </row>
    <row r="1003" spans="1:11">
      <c r="A1003" s="137"/>
      <c r="B1003" s="119"/>
      <c r="C1003" s="119" t="s">
        <v>1348</v>
      </c>
      <c r="D1003" s="104" t="s">
        <v>1349</v>
      </c>
      <c r="E1003" s="104" t="s">
        <v>1350</v>
      </c>
      <c r="F1003" s="105" t="s">
        <v>2639</v>
      </c>
      <c r="G1003" s="3" t="s">
        <v>12317</v>
      </c>
      <c r="H1003" s="3" t="s">
        <v>12318</v>
      </c>
      <c r="I1003" s="3" t="s">
        <v>3581</v>
      </c>
      <c r="J1003" s="22" t="s">
        <v>12319</v>
      </c>
      <c r="K1003" s="141" t="s">
        <v>12320</v>
      </c>
    </row>
    <row r="1004" spans="1:11">
      <c r="A1004" s="137"/>
      <c r="B1004" s="119"/>
      <c r="C1004" s="119"/>
      <c r="D1004" s="104" t="s">
        <v>1351</v>
      </c>
      <c r="E1004" s="104" t="s">
        <v>1352</v>
      </c>
      <c r="F1004" s="105" t="s">
        <v>2639</v>
      </c>
      <c r="G1004" s="3" t="s">
        <v>12321</v>
      </c>
      <c r="H1004" s="3" t="s">
        <v>12322</v>
      </c>
      <c r="I1004" s="3" t="s">
        <v>3459</v>
      </c>
      <c r="J1004" s="22" t="s">
        <v>12323</v>
      </c>
      <c r="K1004" s="141" t="s">
        <v>12324</v>
      </c>
    </row>
    <row r="1005" spans="1:11">
      <c r="A1005" s="137"/>
      <c r="B1005" s="119"/>
      <c r="C1005" s="119"/>
      <c r="D1005" s="104" t="s">
        <v>1353</v>
      </c>
      <c r="E1005" s="104" t="s">
        <v>1354</v>
      </c>
      <c r="F1005" s="105" t="s">
        <v>2639</v>
      </c>
      <c r="G1005" s="3" t="s">
        <v>12325</v>
      </c>
      <c r="H1005" s="3" t="s">
        <v>12326</v>
      </c>
      <c r="I1005" s="3" t="s">
        <v>3459</v>
      </c>
      <c r="J1005" s="22" t="s">
        <v>12327</v>
      </c>
      <c r="K1005" s="141" t="s">
        <v>12328</v>
      </c>
    </row>
    <row r="1006" spans="1:11">
      <c r="A1006" s="137"/>
      <c r="B1006" s="119"/>
      <c r="C1006" s="119"/>
      <c r="D1006" s="104" t="s">
        <v>1239</v>
      </c>
      <c r="E1006" s="104" t="s">
        <v>1355</v>
      </c>
      <c r="F1006" s="105" t="s">
        <v>2639</v>
      </c>
      <c r="G1006" s="3" t="s">
        <v>12329</v>
      </c>
      <c r="H1006" s="3" t="s">
        <v>12330</v>
      </c>
      <c r="I1006" s="3" t="s">
        <v>3453</v>
      </c>
      <c r="J1006" s="22" t="s">
        <v>12331</v>
      </c>
      <c r="K1006" s="141" t="s">
        <v>12332</v>
      </c>
    </row>
    <row r="1007" spans="1:11">
      <c r="A1007" s="137"/>
      <c r="B1007" s="119"/>
      <c r="C1007" s="119"/>
      <c r="D1007" s="104" t="s">
        <v>1356</v>
      </c>
      <c r="E1007" s="104" t="s">
        <v>1357</v>
      </c>
      <c r="F1007" s="105" t="s">
        <v>2639</v>
      </c>
      <c r="G1007" s="3" t="s">
        <v>12333</v>
      </c>
      <c r="H1007" s="3" t="s">
        <v>12334</v>
      </c>
      <c r="I1007" s="3" t="s">
        <v>3459</v>
      </c>
      <c r="J1007" s="22" t="s">
        <v>12335</v>
      </c>
      <c r="K1007" s="141" t="s">
        <v>12336</v>
      </c>
    </row>
    <row r="1008" spans="1:11">
      <c r="A1008" s="137"/>
      <c r="B1008" s="119"/>
      <c r="C1008" s="119" t="s">
        <v>1358</v>
      </c>
      <c r="D1008" s="104" t="s">
        <v>1359</v>
      </c>
      <c r="E1008" s="104" t="s">
        <v>1360</v>
      </c>
      <c r="F1008" s="105" t="s">
        <v>2639</v>
      </c>
      <c r="G1008" s="3" t="s">
        <v>12337</v>
      </c>
      <c r="H1008" s="3" t="s">
        <v>12338</v>
      </c>
      <c r="I1008" s="3" t="s">
        <v>3459</v>
      </c>
      <c r="J1008" s="22" t="s">
        <v>12339</v>
      </c>
      <c r="K1008" s="141" t="s">
        <v>12340</v>
      </c>
    </row>
    <row r="1009" spans="1:11">
      <c r="A1009" s="137"/>
      <c r="B1009" s="119"/>
      <c r="C1009" s="119"/>
      <c r="D1009" s="104" t="s">
        <v>1361</v>
      </c>
      <c r="E1009" s="104" t="s">
        <v>1362</v>
      </c>
      <c r="F1009" s="105" t="s">
        <v>2639</v>
      </c>
      <c r="G1009" s="3" t="s">
        <v>12341</v>
      </c>
      <c r="H1009" s="3" t="s">
        <v>12342</v>
      </c>
      <c r="I1009" s="3" t="s">
        <v>3459</v>
      </c>
      <c r="J1009" s="22" t="s">
        <v>12343</v>
      </c>
      <c r="K1009" s="141" t="s">
        <v>12344</v>
      </c>
    </row>
    <row r="1010" spans="1:11">
      <c r="A1010" s="137"/>
      <c r="B1010" s="119"/>
      <c r="C1010" s="119"/>
      <c r="D1010" s="104" t="s">
        <v>1363</v>
      </c>
      <c r="E1010" s="104" t="s">
        <v>1364</v>
      </c>
      <c r="F1010" s="105" t="s">
        <v>2640</v>
      </c>
      <c r="G1010" s="3" t="s">
        <v>12345</v>
      </c>
      <c r="H1010" s="3" t="s">
        <v>12346</v>
      </c>
      <c r="I1010" s="3" t="s">
        <v>3581</v>
      </c>
      <c r="J1010" s="22" t="s">
        <v>12347</v>
      </c>
      <c r="K1010" s="141" t="s">
        <v>12348</v>
      </c>
    </row>
    <row r="1011" spans="1:11">
      <c r="A1011" s="137"/>
      <c r="B1011" s="119"/>
      <c r="C1011" s="119"/>
      <c r="D1011" s="104" t="s">
        <v>1365</v>
      </c>
      <c r="E1011" s="104" t="s">
        <v>1366</v>
      </c>
      <c r="F1011" s="105" t="s">
        <v>2639</v>
      </c>
      <c r="G1011" s="3" t="s">
        <v>12349</v>
      </c>
      <c r="H1011" s="3" t="s">
        <v>12350</v>
      </c>
      <c r="I1011" s="3" t="s">
        <v>3453</v>
      </c>
      <c r="J1011" s="22" t="s">
        <v>12351</v>
      </c>
      <c r="K1011" s="141" t="s">
        <v>12352</v>
      </c>
    </row>
    <row r="1012" spans="1:11">
      <c r="A1012" s="137"/>
      <c r="B1012" s="119"/>
      <c r="C1012" s="119"/>
      <c r="D1012" s="104" t="s">
        <v>1367</v>
      </c>
      <c r="E1012" s="104" t="s">
        <v>1368</v>
      </c>
      <c r="F1012" s="105" t="s">
        <v>2639</v>
      </c>
      <c r="G1012" s="3" t="s">
        <v>12353</v>
      </c>
      <c r="H1012" s="3" t="s">
        <v>12354</v>
      </c>
      <c r="I1012" s="3" t="s">
        <v>3581</v>
      </c>
      <c r="J1012" s="22" t="s">
        <v>12355</v>
      </c>
      <c r="K1012" s="141" t="s">
        <v>12356</v>
      </c>
    </row>
    <row r="1013" spans="1:11" s="157" customFormat="1" ht="18.75" customHeight="1">
      <c r="A1013" s="139"/>
      <c r="B1013" s="126" t="s">
        <v>347</v>
      </c>
      <c r="C1013" s="127" t="s">
        <v>1388</v>
      </c>
      <c r="D1013" s="128" t="s">
        <v>2194</v>
      </c>
      <c r="E1013" s="128" t="s">
        <v>2195</v>
      </c>
      <c r="F1013" s="128" t="s">
        <v>5135</v>
      </c>
      <c r="G1013" s="128" t="s">
        <v>1369</v>
      </c>
      <c r="H1013" s="128" t="s">
        <v>2196</v>
      </c>
      <c r="I1013" s="124" t="s">
        <v>2763</v>
      </c>
      <c r="J1013" s="128" t="s">
        <v>2197</v>
      </c>
      <c r="K1013" s="142" t="s">
        <v>2198</v>
      </c>
    </row>
    <row r="1014" spans="1:11">
      <c r="A1014" s="158" t="s">
        <v>12370</v>
      </c>
      <c r="B1014" s="39" t="s">
        <v>1370</v>
      </c>
      <c r="C1014" s="39" t="s">
        <v>2204</v>
      </c>
      <c r="D1014" s="109" t="s">
        <v>5214</v>
      </c>
      <c r="E1014" s="109" t="s">
        <v>5215</v>
      </c>
      <c r="F1014" s="3" t="s">
        <v>2639</v>
      </c>
      <c r="G1014" s="109" t="s">
        <v>5216</v>
      </c>
      <c r="H1014" s="109" t="s">
        <v>5217</v>
      </c>
      <c r="I1014" s="58" t="s">
        <v>3459</v>
      </c>
      <c r="J1014" s="109" t="s">
        <v>5218</v>
      </c>
      <c r="K1014" s="143" t="s">
        <v>5219</v>
      </c>
    </row>
    <row r="1015" spans="1:11">
      <c r="A1015" s="158"/>
      <c r="B1015" s="39"/>
      <c r="C1015" s="39"/>
      <c r="D1015" s="109" t="s">
        <v>5220</v>
      </c>
      <c r="E1015" s="109" t="s">
        <v>5221</v>
      </c>
      <c r="F1015" s="3" t="s">
        <v>2639</v>
      </c>
      <c r="G1015" s="109" t="s">
        <v>5222</v>
      </c>
      <c r="H1015" s="109" t="s">
        <v>5223</v>
      </c>
      <c r="I1015" s="58" t="s">
        <v>3453</v>
      </c>
      <c r="J1015" s="109" t="s">
        <v>2209</v>
      </c>
      <c r="K1015" s="143" t="s">
        <v>5224</v>
      </c>
    </row>
    <row r="1016" spans="1:11">
      <c r="A1016" s="158"/>
      <c r="B1016" s="39"/>
      <c r="C1016" s="39"/>
      <c r="D1016" s="109" t="s">
        <v>5225</v>
      </c>
      <c r="E1016" s="109" t="s">
        <v>2200</v>
      </c>
      <c r="F1016" s="3" t="s">
        <v>2639</v>
      </c>
      <c r="G1016" s="109" t="s">
        <v>2201</v>
      </c>
      <c r="H1016" s="109" t="s">
        <v>2202</v>
      </c>
      <c r="I1016" s="58" t="s">
        <v>3459</v>
      </c>
      <c r="J1016" s="109" t="s">
        <v>5226</v>
      </c>
      <c r="K1016" s="143" t="s">
        <v>5227</v>
      </c>
    </row>
    <row r="1017" spans="1:11">
      <c r="A1017" s="158"/>
      <c r="B1017" s="39"/>
      <c r="C1017" s="39"/>
      <c r="D1017" s="109" t="s">
        <v>5228</v>
      </c>
      <c r="E1017" s="109" t="s">
        <v>5229</v>
      </c>
      <c r="F1017" s="3" t="s">
        <v>2640</v>
      </c>
      <c r="G1017" s="109" t="s">
        <v>5230</v>
      </c>
      <c r="H1017" s="109" t="s">
        <v>5231</v>
      </c>
      <c r="I1017" s="58" t="s">
        <v>3453</v>
      </c>
      <c r="J1017" s="109" t="s">
        <v>5232</v>
      </c>
      <c r="K1017" s="143" t="s">
        <v>5233</v>
      </c>
    </row>
    <row r="1018" spans="1:11">
      <c r="A1018" s="158"/>
      <c r="B1018" s="39"/>
      <c r="C1018" s="39"/>
      <c r="D1018" s="109" t="s">
        <v>5234</v>
      </c>
      <c r="E1018" s="109" t="s">
        <v>5235</v>
      </c>
      <c r="F1018" s="3" t="s">
        <v>2641</v>
      </c>
      <c r="G1018" s="109" t="s">
        <v>5236</v>
      </c>
      <c r="H1018" s="109" t="s">
        <v>5237</v>
      </c>
      <c r="I1018" s="58" t="s">
        <v>3459</v>
      </c>
      <c r="J1018" s="109" t="s">
        <v>5238</v>
      </c>
      <c r="K1018" s="143" t="s">
        <v>5239</v>
      </c>
    </row>
    <row r="1019" spans="1:11">
      <c r="A1019" s="158"/>
      <c r="B1019" s="39"/>
      <c r="C1019" s="39" t="s">
        <v>2208</v>
      </c>
      <c r="D1019" s="109" t="s">
        <v>5240</v>
      </c>
      <c r="E1019" s="109" t="s">
        <v>5241</v>
      </c>
      <c r="F1019" s="3" t="s">
        <v>2639</v>
      </c>
      <c r="G1019" s="109" t="s">
        <v>5242</v>
      </c>
      <c r="H1019" s="109" t="s">
        <v>5243</v>
      </c>
      <c r="I1019" s="58" t="s">
        <v>3459</v>
      </c>
      <c r="J1019" s="109" t="s">
        <v>1996</v>
      </c>
      <c r="K1019" s="143" t="s">
        <v>5244</v>
      </c>
    </row>
    <row r="1020" spans="1:11">
      <c r="A1020" s="158"/>
      <c r="B1020" s="39"/>
      <c r="C1020" s="39"/>
      <c r="D1020" s="109" t="s">
        <v>5245</v>
      </c>
      <c r="E1020" s="109" t="s">
        <v>5246</v>
      </c>
      <c r="F1020" s="3" t="s">
        <v>2639</v>
      </c>
      <c r="G1020" s="109" t="s">
        <v>5247</v>
      </c>
      <c r="H1020" s="109" t="s">
        <v>4928</v>
      </c>
      <c r="I1020" s="58" t="s">
        <v>3453</v>
      </c>
      <c r="J1020" s="109" t="s">
        <v>5248</v>
      </c>
      <c r="K1020" s="143" t="s">
        <v>5249</v>
      </c>
    </row>
    <row r="1021" spans="1:11">
      <c r="A1021" s="158"/>
      <c r="B1021" s="39"/>
      <c r="C1021" s="39"/>
      <c r="D1021" s="109" t="s">
        <v>5250</v>
      </c>
      <c r="E1021" s="109" t="s">
        <v>5251</v>
      </c>
      <c r="F1021" s="3" t="s">
        <v>2640</v>
      </c>
      <c r="G1021" s="109" t="s">
        <v>5230</v>
      </c>
      <c r="H1021" s="109" t="s">
        <v>5252</v>
      </c>
      <c r="I1021" s="58" t="s">
        <v>3453</v>
      </c>
      <c r="J1021" s="109" t="s">
        <v>5253</v>
      </c>
      <c r="K1021" s="143" t="s">
        <v>5254</v>
      </c>
    </row>
    <row r="1022" spans="1:11">
      <c r="A1022" s="158"/>
      <c r="B1022" s="39"/>
      <c r="C1022" s="39"/>
      <c r="D1022" s="109" t="s">
        <v>2856</v>
      </c>
      <c r="E1022" s="109" t="s">
        <v>5255</v>
      </c>
      <c r="F1022" s="3" t="s">
        <v>2639</v>
      </c>
      <c r="G1022" s="109" t="s">
        <v>5256</v>
      </c>
      <c r="H1022" s="109" t="s">
        <v>5257</v>
      </c>
      <c r="I1022" s="58" t="s">
        <v>3459</v>
      </c>
      <c r="J1022" s="109" t="s">
        <v>2217</v>
      </c>
      <c r="K1022" s="143" t="s">
        <v>5258</v>
      </c>
    </row>
    <row r="1023" spans="1:11">
      <c r="A1023" s="158"/>
      <c r="B1023" s="39"/>
      <c r="C1023" s="39"/>
      <c r="D1023" s="109" t="s">
        <v>5259</v>
      </c>
      <c r="E1023" s="109" t="s">
        <v>5260</v>
      </c>
      <c r="F1023" s="3" t="s">
        <v>2641</v>
      </c>
      <c r="G1023" s="109" t="s">
        <v>3634</v>
      </c>
      <c r="H1023" s="109" t="s">
        <v>5261</v>
      </c>
      <c r="I1023" s="58" t="s">
        <v>3459</v>
      </c>
      <c r="J1023" s="109" t="s">
        <v>5262</v>
      </c>
      <c r="K1023" s="143" t="s">
        <v>5263</v>
      </c>
    </row>
    <row r="1024" spans="1:11">
      <c r="A1024" s="158"/>
      <c r="B1024" s="39"/>
      <c r="C1024" s="39" t="s">
        <v>1385</v>
      </c>
      <c r="D1024" s="109" t="s">
        <v>5264</v>
      </c>
      <c r="E1024" s="109" t="s">
        <v>5265</v>
      </c>
      <c r="F1024" s="3" t="s">
        <v>2639</v>
      </c>
      <c r="G1024" s="109" t="s">
        <v>5266</v>
      </c>
      <c r="H1024" s="109" t="s">
        <v>5267</v>
      </c>
      <c r="I1024" s="58" t="s">
        <v>3453</v>
      </c>
      <c r="J1024" s="109" t="s">
        <v>5268</v>
      </c>
      <c r="K1024" s="143" t="s">
        <v>5269</v>
      </c>
    </row>
    <row r="1025" spans="1:11">
      <c r="A1025" s="158"/>
      <c r="B1025" s="39"/>
      <c r="C1025" s="39"/>
      <c r="D1025" s="109" t="s">
        <v>5270</v>
      </c>
      <c r="E1025" s="109" t="s">
        <v>5271</v>
      </c>
      <c r="F1025" s="3" t="s">
        <v>2639</v>
      </c>
      <c r="G1025" s="109" t="s">
        <v>5272</v>
      </c>
      <c r="H1025" s="109" t="s">
        <v>5273</v>
      </c>
      <c r="I1025" s="58" t="s">
        <v>3459</v>
      </c>
      <c r="J1025" s="109" t="s">
        <v>5274</v>
      </c>
      <c r="K1025" s="143" t="s">
        <v>5275</v>
      </c>
    </row>
    <row r="1026" spans="1:11">
      <c r="A1026" s="158"/>
      <c r="B1026" s="39"/>
      <c r="C1026" s="39"/>
      <c r="D1026" s="109" t="s">
        <v>5276</v>
      </c>
      <c r="E1026" s="109" t="s">
        <v>5277</v>
      </c>
      <c r="F1026" s="3" t="s">
        <v>2640</v>
      </c>
      <c r="G1026" s="109" t="s">
        <v>5278</v>
      </c>
      <c r="H1026" s="109" t="s">
        <v>5279</v>
      </c>
      <c r="I1026" s="58" t="s">
        <v>3459</v>
      </c>
      <c r="J1026" s="109" t="s">
        <v>5280</v>
      </c>
      <c r="K1026" s="143" t="s">
        <v>5281</v>
      </c>
    </row>
    <row r="1027" spans="1:11">
      <c r="A1027" s="158"/>
      <c r="B1027" s="39"/>
      <c r="C1027" s="39"/>
      <c r="D1027" s="109" t="s">
        <v>5282</v>
      </c>
      <c r="E1027" s="109" t="s">
        <v>5283</v>
      </c>
      <c r="F1027" s="3" t="s">
        <v>2641</v>
      </c>
      <c r="G1027" s="109" t="s">
        <v>5284</v>
      </c>
      <c r="H1027" s="109" t="s">
        <v>5285</v>
      </c>
      <c r="I1027" s="58" t="s">
        <v>3453</v>
      </c>
      <c r="J1027" s="109" t="s">
        <v>5286</v>
      </c>
      <c r="K1027" s="143" t="s">
        <v>5287</v>
      </c>
    </row>
    <row r="1028" spans="1:11">
      <c r="A1028" s="158"/>
      <c r="B1028" s="39"/>
      <c r="C1028" s="39"/>
      <c r="D1028" s="109" t="s">
        <v>5288</v>
      </c>
      <c r="E1028" s="109" t="s">
        <v>5289</v>
      </c>
      <c r="F1028" s="3" t="s">
        <v>2639</v>
      </c>
      <c r="G1028" s="109" t="s">
        <v>5290</v>
      </c>
      <c r="H1028" s="109" t="s">
        <v>5291</v>
      </c>
      <c r="I1028" s="58" t="s">
        <v>3459</v>
      </c>
      <c r="J1028" s="109" t="s">
        <v>2221</v>
      </c>
      <c r="K1028" s="143" t="s">
        <v>5292</v>
      </c>
    </row>
    <row r="1029" spans="1:11">
      <c r="A1029" s="158"/>
      <c r="B1029" s="39"/>
      <c r="C1029" s="39" t="s">
        <v>1386</v>
      </c>
      <c r="D1029" s="109" t="s">
        <v>5293</v>
      </c>
      <c r="E1029" s="109" t="s">
        <v>5294</v>
      </c>
      <c r="F1029" s="3" t="s">
        <v>2639</v>
      </c>
      <c r="G1029" s="109" t="s">
        <v>5295</v>
      </c>
      <c r="H1029" s="109" t="s">
        <v>5296</v>
      </c>
      <c r="I1029" s="58" t="s">
        <v>3453</v>
      </c>
      <c r="J1029" s="109" t="s">
        <v>2214</v>
      </c>
      <c r="K1029" s="143" t="s">
        <v>5297</v>
      </c>
    </row>
    <row r="1030" spans="1:11">
      <c r="A1030" s="158"/>
      <c r="B1030" s="39"/>
      <c r="C1030" s="39"/>
      <c r="D1030" s="109" t="s">
        <v>5298</v>
      </c>
      <c r="E1030" s="109" t="s">
        <v>5299</v>
      </c>
      <c r="F1030" s="3" t="s">
        <v>2639</v>
      </c>
      <c r="G1030" s="109" t="s">
        <v>5300</v>
      </c>
      <c r="H1030" s="109" t="s">
        <v>5301</v>
      </c>
      <c r="I1030" s="58" t="s">
        <v>3459</v>
      </c>
      <c r="J1030" s="109" t="s">
        <v>5302</v>
      </c>
      <c r="K1030" s="143" t="s">
        <v>5303</v>
      </c>
    </row>
    <row r="1031" spans="1:11">
      <c r="A1031" s="158"/>
      <c r="B1031" s="39"/>
      <c r="C1031" s="39"/>
      <c r="D1031" s="109" t="s">
        <v>5304</v>
      </c>
      <c r="E1031" s="109" t="s">
        <v>5305</v>
      </c>
      <c r="F1031" s="3" t="s">
        <v>2640</v>
      </c>
      <c r="G1031" s="109" t="s">
        <v>5306</v>
      </c>
      <c r="H1031" s="109" t="s">
        <v>2212</v>
      </c>
      <c r="I1031" s="58" t="s">
        <v>3459</v>
      </c>
      <c r="J1031" s="109" t="s">
        <v>5307</v>
      </c>
      <c r="K1031" s="143" t="s">
        <v>5308</v>
      </c>
    </row>
    <row r="1032" spans="1:11">
      <c r="A1032" s="158"/>
      <c r="B1032" s="39"/>
      <c r="C1032" s="39"/>
      <c r="D1032" s="109" t="s">
        <v>5309</v>
      </c>
      <c r="E1032" s="109" t="s">
        <v>5310</v>
      </c>
      <c r="F1032" s="3" t="s">
        <v>2639</v>
      </c>
      <c r="G1032" s="109" t="s">
        <v>2211</v>
      </c>
      <c r="H1032" s="109" t="s">
        <v>5311</v>
      </c>
      <c r="I1032" s="58" t="s">
        <v>3459</v>
      </c>
      <c r="J1032" s="109" t="s">
        <v>5312</v>
      </c>
      <c r="K1032" s="143" t="s">
        <v>5313</v>
      </c>
    </row>
    <row r="1033" spans="1:11">
      <c r="A1033" s="158"/>
      <c r="B1033" s="39"/>
      <c r="C1033" s="39"/>
      <c r="D1033" s="109" t="s">
        <v>5314</v>
      </c>
      <c r="E1033" s="109" t="s">
        <v>5315</v>
      </c>
      <c r="F1033" s="3" t="s">
        <v>2640</v>
      </c>
      <c r="G1033" s="109" t="s">
        <v>5316</v>
      </c>
      <c r="H1033" s="109" t="s">
        <v>5317</v>
      </c>
      <c r="I1033" s="58" t="s">
        <v>3453</v>
      </c>
      <c r="J1033" s="109" t="s">
        <v>5318</v>
      </c>
      <c r="K1033" s="143" t="s">
        <v>5319</v>
      </c>
    </row>
    <row r="1034" spans="1:11">
      <c r="A1034" s="158"/>
      <c r="B1034" s="39"/>
      <c r="C1034" s="39" t="s">
        <v>1387</v>
      </c>
      <c r="D1034" s="109" t="s">
        <v>5320</v>
      </c>
      <c r="E1034" s="109" t="s">
        <v>5321</v>
      </c>
      <c r="F1034" s="3" t="s">
        <v>2639</v>
      </c>
      <c r="G1034" s="109" t="s">
        <v>5322</v>
      </c>
      <c r="H1034" s="109" t="s">
        <v>5323</v>
      </c>
      <c r="I1034" s="58" t="s">
        <v>3459</v>
      </c>
      <c r="J1034" s="109" t="s">
        <v>5324</v>
      </c>
      <c r="K1034" s="143" t="s">
        <v>5325</v>
      </c>
    </row>
    <row r="1035" spans="1:11">
      <c r="A1035" s="158"/>
      <c r="B1035" s="39"/>
      <c r="C1035" s="39"/>
      <c r="D1035" s="109" t="s">
        <v>5326</v>
      </c>
      <c r="E1035" s="109" t="s">
        <v>5327</v>
      </c>
      <c r="F1035" s="3" t="s">
        <v>2640</v>
      </c>
      <c r="G1035" s="109" t="s">
        <v>5328</v>
      </c>
      <c r="H1035" s="109" t="s">
        <v>5329</v>
      </c>
      <c r="I1035" s="58" t="s">
        <v>3453</v>
      </c>
      <c r="J1035" s="109" t="s">
        <v>5232</v>
      </c>
      <c r="K1035" s="143" t="s">
        <v>5330</v>
      </c>
    </row>
    <row r="1036" spans="1:11">
      <c r="A1036" s="158"/>
      <c r="B1036" s="39"/>
      <c r="C1036" s="39"/>
      <c r="D1036" s="109" t="s">
        <v>5331</v>
      </c>
      <c r="E1036" s="109" t="s">
        <v>5332</v>
      </c>
      <c r="F1036" s="3" t="s">
        <v>2641</v>
      </c>
      <c r="G1036" s="109" t="s">
        <v>2216</v>
      </c>
      <c r="H1036" s="109" t="s">
        <v>5333</v>
      </c>
      <c r="I1036" s="58" t="s">
        <v>3453</v>
      </c>
      <c r="J1036" s="109" t="s">
        <v>2218</v>
      </c>
      <c r="K1036" s="143" t="s">
        <v>5334</v>
      </c>
    </row>
    <row r="1037" spans="1:11">
      <c r="A1037" s="158"/>
      <c r="B1037" s="39"/>
      <c r="C1037" s="39"/>
      <c r="D1037" s="109" t="s">
        <v>5335</v>
      </c>
      <c r="E1037" s="109" t="s">
        <v>5336</v>
      </c>
      <c r="F1037" s="3" t="s">
        <v>2639</v>
      </c>
      <c r="G1037" s="109" t="s">
        <v>5337</v>
      </c>
      <c r="H1037" s="109" t="s">
        <v>5338</v>
      </c>
      <c r="I1037" s="58" t="s">
        <v>3459</v>
      </c>
      <c r="J1037" s="109" t="s">
        <v>5339</v>
      </c>
      <c r="K1037" s="143" t="s">
        <v>5340</v>
      </c>
    </row>
    <row r="1038" spans="1:11">
      <c r="A1038" s="158"/>
      <c r="B1038" s="39"/>
      <c r="C1038" s="39"/>
      <c r="D1038" s="109" t="s">
        <v>5341</v>
      </c>
      <c r="E1038" s="109" t="s">
        <v>5342</v>
      </c>
      <c r="F1038" s="3" t="s">
        <v>2640</v>
      </c>
      <c r="G1038" s="109" t="s">
        <v>5343</v>
      </c>
      <c r="H1038" s="109" t="s">
        <v>5344</v>
      </c>
      <c r="I1038" s="58" t="s">
        <v>3459</v>
      </c>
      <c r="J1038" s="109" t="s">
        <v>2237</v>
      </c>
      <c r="K1038" s="143" t="s">
        <v>5345</v>
      </c>
    </row>
    <row r="1039" spans="1:11">
      <c r="A1039" s="158"/>
      <c r="B1039" s="39" t="s">
        <v>1371</v>
      </c>
      <c r="C1039" s="39" t="s">
        <v>1389</v>
      </c>
      <c r="D1039" s="109" t="s">
        <v>5346</v>
      </c>
      <c r="E1039" s="109" t="s">
        <v>2223</v>
      </c>
      <c r="F1039" s="3" t="s">
        <v>2639</v>
      </c>
      <c r="G1039" s="109" t="s">
        <v>2213</v>
      </c>
      <c r="H1039" s="109" t="s">
        <v>5347</v>
      </c>
      <c r="I1039" s="58" t="s">
        <v>3453</v>
      </c>
      <c r="J1039" s="109" t="s">
        <v>5348</v>
      </c>
      <c r="K1039" s="143" t="s">
        <v>5349</v>
      </c>
    </row>
    <row r="1040" spans="1:11">
      <c r="A1040" s="158"/>
      <c r="B1040" s="39"/>
      <c r="C1040" s="39"/>
      <c r="D1040" s="109" t="s">
        <v>5350</v>
      </c>
      <c r="E1040" s="109" t="s">
        <v>5351</v>
      </c>
      <c r="F1040" s="3" t="s">
        <v>2639</v>
      </c>
      <c r="G1040" s="109" t="s">
        <v>5352</v>
      </c>
      <c r="H1040" s="109" t="s">
        <v>5353</v>
      </c>
      <c r="I1040" s="58" t="s">
        <v>3459</v>
      </c>
      <c r="J1040" s="109" t="s">
        <v>5354</v>
      </c>
      <c r="K1040" s="143" t="s">
        <v>5355</v>
      </c>
    </row>
    <row r="1041" spans="1:11">
      <c r="A1041" s="158"/>
      <c r="B1041" s="39"/>
      <c r="C1041" s="39"/>
      <c r="D1041" s="109" t="s">
        <v>5356</v>
      </c>
      <c r="E1041" s="109" t="s">
        <v>5357</v>
      </c>
      <c r="F1041" s="3" t="s">
        <v>2640</v>
      </c>
      <c r="G1041" s="109" t="s">
        <v>2215</v>
      </c>
      <c r="H1041" s="109" t="s">
        <v>5358</v>
      </c>
      <c r="I1041" s="58" t="s">
        <v>3453</v>
      </c>
      <c r="J1041" s="109" t="s">
        <v>5359</v>
      </c>
      <c r="K1041" s="143" t="s">
        <v>5360</v>
      </c>
    </row>
    <row r="1042" spans="1:11">
      <c r="A1042" s="158"/>
      <c r="B1042" s="39"/>
      <c r="C1042" s="39"/>
      <c r="D1042" s="109" t="s">
        <v>5361</v>
      </c>
      <c r="E1042" s="109" t="s">
        <v>5362</v>
      </c>
      <c r="F1042" s="3" t="s">
        <v>2641</v>
      </c>
      <c r="G1042" s="109" t="s">
        <v>5363</v>
      </c>
      <c r="H1042" s="109" t="s">
        <v>5364</v>
      </c>
      <c r="I1042" s="58" t="s">
        <v>3459</v>
      </c>
      <c r="J1042" s="109" t="s">
        <v>5365</v>
      </c>
      <c r="K1042" s="143" t="s">
        <v>5366</v>
      </c>
    </row>
    <row r="1043" spans="1:11">
      <c r="A1043" s="158"/>
      <c r="B1043" s="39"/>
      <c r="C1043" s="39"/>
      <c r="D1043" s="109" t="s">
        <v>5367</v>
      </c>
      <c r="E1043" s="109" t="s">
        <v>5368</v>
      </c>
      <c r="F1043" s="3" t="s">
        <v>2640</v>
      </c>
      <c r="G1043" s="109" t="s">
        <v>5343</v>
      </c>
      <c r="H1043" s="109" t="s">
        <v>3591</v>
      </c>
      <c r="I1043" s="58" t="s">
        <v>3459</v>
      </c>
      <c r="J1043" s="109" t="s">
        <v>5369</v>
      </c>
      <c r="K1043" s="143" t="s">
        <v>5370</v>
      </c>
    </row>
    <row r="1044" spans="1:11">
      <c r="A1044" s="158"/>
      <c r="B1044" s="39"/>
      <c r="C1044" s="39" t="s">
        <v>1390</v>
      </c>
      <c r="D1044" s="109" t="s">
        <v>5430</v>
      </c>
      <c r="E1044" s="109" t="s">
        <v>5431</v>
      </c>
      <c r="F1044" s="3" t="s">
        <v>2641</v>
      </c>
      <c r="G1044" s="109" t="s">
        <v>5432</v>
      </c>
      <c r="H1044" s="109" t="s">
        <v>5433</v>
      </c>
      <c r="I1044" s="58" t="s">
        <v>3453</v>
      </c>
      <c r="J1044" s="109" t="s">
        <v>5434</v>
      </c>
      <c r="K1044" s="143" t="s">
        <v>5435</v>
      </c>
    </row>
    <row r="1045" spans="1:11">
      <c r="A1045" s="158"/>
      <c r="B1045" s="39"/>
      <c r="C1045" s="39"/>
      <c r="D1045" s="109" t="s">
        <v>5372</v>
      </c>
      <c r="E1045" s="109" t="s">
        <v>5436</v>
      </c>
      <c r="F1045" s="3" t="s">
        <v>2639</v>
      </c>
      <c r="G1045" s="109" t="s">
        <v>5437</v>
      </c>
      <c r="H1045" s="109" t="s">
        <v>5438</v>
      </c>
      <c r="I1045" s="58" t="s">
        <v>3459</v>
      </c>
      <c r="J1045" s="109" t="s">
        <v>5439</v>
      </c>
      <c r="K1045" s="143" t="s">
        <v>5440</v>
      </c>
    </row>
    <row r="1046" spans="1:11">
      <c r="A1046" s="158"/>
      <c r="B1046" s="39"/>
      <c r="C1046" s="39"/>
      <c r="D1046" s="109" t="s">
        <v>5441</v>
      </c>
      <c r="E1046" s="109" t="s">
        <v>5442</v>
      </c>
      <c r="F1046" s="3" t="s">
        <v>2640</v>
      </c>
      <c r="G1046" s="109" t="s">
        <v>5443</v>
      </c>
      <c r="H1046" s="109" t="s">
        <v>5444</v>
      </c>
      <c r="I1046" s="58" t="s">
        <v>3459</v>
      </c>
      <c r="J1046" s="109" t="s">
        <v>5445</v>
      </c>
      <c r="K1046" s="143" t="s">
        <v>5446</v>
      </c>
    </row>
    <row r="1047" spans="1:11">
      <c r="A1047" s="158"/>
      <c r="B1047" s="39"/>
      <c r="C1047" s="39"/>
      <c r="D1047" s="109" t="s">
        <v>5447</v>
      </c>
      <c r="E1047" s="109" t="s">
        <v>5448</v>
      </c>
      <c r="F1047" s="3" t="s">
        <v>2640</v>
      </c>
      <c r="G1047" s="109" t="s">
        <v>5449</v>
      </c>
      <c r="H1047" s="109" t="s">
        <v>5450</v>
      </c>
      <c r="I1047" s="58" t="s">
        <v>3453</v>
      </c>
      <c r="J1047" s="109" t="s">
        <v>5451</v>
      </c>
      <c r="K1047" s="143" t="s">
        <v>5452</v>
      </c>
    </row>
    <row r="1048" spans="1:11">
      <c r="A1048" s="158"/>
      <c r="B1048" s="39"/>
      <c r="C1048" s="39"/>
      <c r="D1048" s="109" t="s">
        <v>5453</v>
      </c>
      <c r="E1048" s="109" t="s">
        <v>5454</v>
      </c>
      <c r="F1048" s="3" t="s">
        <v>2639</v>
      </c>
      <c r="G1048" s="109" t="s">
        <v>5455</v>
      </c>
      <c r="H1048" s="109" t="s">
        <v>5456</v>
      </c>
      <c r="I1048" s="58" t="s">
        <v>3459</v>
      </c>
      <c r="J1048" s="109" t="s">
        <v>5457</v>
      </c>
      <c r="K1048" s="143" t="s">
        <v>5458</v>
      </c>
    </row>
    <row r="1049" spans="1:11">
      <c r="A1049" s="158"/>
      <c r="B1049" s="39"/>
      <c r="C1049" s="39" t="s">
        <v>1391</v>
      </c>
      <c r="D1049" s="109" t="s">
        <v>5459</v>
      </c>
      <c r="E1049" s="109" t="s">
        <v>5460</v>
      </c>
      <c r="F1049" s="3" t="s">
        <v>2639</v>
      </c>
      <c r="G1049" s="109" t="s">
        <v>5461</v>
      </c>
      <c r="H1049" s="109" t="s">
        <v>5462</v>
      </c>
      <c r="I1049" s="58" t="s">
        <v>3459</v>
      </c>
      <c r="J1049" s="109" t="s">
        <v>5463</v>
      </c>
      <c r="K1049" s="143" t="s">
        <v>5464</v>
      </c>
    </row>
    <row r="1050" spans="1:11">
      <c r="A1050" s="158"/>
      <c r="B1050" s="39"/>
      <c r="C1050" s="39"/>
      <c r="D1050" s="109" t="s">
        <v>5465</v>
      </c>
      <c r="E1050" s="109" t="s">
        <v>5466</v>
      </c>
      <c r="F1050" s="3" t="s">
        <v>2640</v>
      </c>
      <c r="G1050" s="109" t="s">
        <v>5467</v>
      </c>
      <c r="H1050" s="109" t="s">
        <v>5468</v>
      </c>
      <c r="I1050" s="58" t="s">
        <v>3453</v>
      </c>
      <c r="J1050" s="109" t="s">
        <v>5469</v>
      </c>
      <c r="K1050" s="143" t="s">
        <v>5470</v>
      </c>
    </row>
    <row r="1051" spans="1:11">
      <c r="A1051" s="158"/>
      <c r="B1051" s="39"/>
      <c r="C1051" s="39"/>
      <c r="D1051" s="109" t="s">
        <v>5471</v>
      </c>
      <c r="E1051" s="109" t="s">
        <v>5472</v>
      </c>
      <c r="F1051" s="3" t="s">
        <v>2640</v>
      </c>
      <c r="G1051" s="109" t="s">
        <v>5473</v>
      </c>
      <c r="H1051" s="109" t="s">
        <v>5474</v>
      </c>
      <c r="I1051" s="58" t="s">
        <v>3459</v>
      </c>
      <c r="J1051" s="109" t="s">
        <v>5475</v>
      </c>
      <c r="K1051" s="143" t="s">
        <v>5476</v>
      </c>
    </row>
    <row r="1052" spans="1:11">
      <c r="A1052" s="158"/>
      <c r="B1052" s="39"/>
      <c r="C1052" s="39"/>
      <c r="D1052" s="109" t="s">
        <v>5477</v>
      </c>
      <c r="E1052" s="109" t="s">
        <v>5478</v>
      </c>
      <c r="F1052" s="3" t="s">
        <v>2641</v>
      </c>
      <c r="G1052" s="109" t="s">
        <v>5479</v>
      </c>
      <c r="H1052" s="109" t="s">
        <v>5480</v>
      </c>
      <c r="I1052" s="58" t="s">
        <v>3453</v>
      </c>
      <c r="J1052" s="109" t="s">
        <v>5481</v>
      </c>
      <c r="K1052" s="143" t="s">
        <v>5482</v>
      </c>
    </row>
    <row r="1053" spans="1:11">
      <c r="A1053" s="158"/>
      <c r="B1053" s="39"/>
      <c r="C1053" s="39"/>
      <c r="D1053" s="109" t="s">
        <v>5483</v>
      </c>
      <c r="E1053" s="109" t="s">
        <v>5484</v>
      </c>
      <c r="F1053" s="3" t="s">
        <v>2639</v>
      </c>
      <c r="G1053" s="109" t="s">
        <v>5485</v>
      </c>
      <c r="H1053" s="109" t="s">
        <v>5486</v>
      </c>
      <c r="I1053" s="58" t="s">
        <v>3459</v>
      </c>
      <c r="J1053" s="109" t="s">
        <v>5487</v>
      </c>
      <c r="K1053" s="143" t="s">
        <v>5488</v>
      </c>
    </row>
    <row r="1054" spans="1:11">
      <c r="A1054" s="158"/>
      <c r="B1054" s="39"/>
      <c r="C1054" s="39" t="s">
        <v>1392</v>
      </c>
      <c r="D1054" s="109" t="s">
        <v>5374</v>
      </c>
      <c r="E1054" s="109" t="s">
        <v>5375</v>
      </c>
      <c r="F1054" s="3" t="s">
        <v>2639</v>
      </c>
      <c r="G1054" s="109" t="s">
        <v>2228</v>
      </c>
      <c r="H1054" s="109" t="s">
        <v>5376</v>
      </c>
      <c r="I1054" s="58" t="s">
        <v>3459</v>
      </c>
      <c r="J1054" s="109" t="s">
        <v>5377</v>
      </c>
      <c r="K1054" s="143" t="s">
        <v>5378</v>
      </c>
    </row>
    <row r="1055" spans="1:11">
      <c r="A1055" s="158"/>
      <c r="B1055" s="39"/>
      <c r="C1055" s="39"/>
      <c r="D1055" s="109" t="s">
        <v>5379</v>
      </c>
      <c r="E1055" s="109" t="s">
        <v>5380</v>
      </c>
      <c r="F1055" s="3" t="s">
        <v>2639</v>
      </c>
      <c r="G1055" s="109" t="s">
        <v>5381</v>
      </c>
      <c r="H1055" s="109" t="s">
        <v>5382</v>
      </c>
      <c r="I1055" s="58" t="s">
        <v>3581</v>
      </c>
      <c r="J1055" s="109" t="s">
        <v>5383</v>
      </c>
      <c r="K1055" s="143" t="s">
        <v>5384</v>
      </c>
    </row>
    <row r="1056" spans="1:11">
      <c r="A1056" s="158"/>
      <c r="B1056" s="39"/>
      <c r="C1056" s="39"/>
      <c r="D1056" s="109" t="s">
        <v>5385</v>
      </c>
      <c r="E1056" s="109" t="s">
        <v>5386</v>
      </c>
      <c r="F1056" s="3" t="s">
        <v>2640</v>
      </c>
      <c r="G1056" s="109" t="s">
        <v>5387</v>
      </c>
      <c r="H1056" s="109" t="s">
        <v>5388</v>
      </c>
      <c r="I1056" s="58" t="s">
        <v>3459</v>
      </c>
      <c r="J1056" s="109" t="s">
        <v>5389</v>
      </c>
      <c r="K1056" s="143" t="s">
        <v>5390</v>
      </c>
    </row>
    <row r="1057" spans="1:11">
      <c r="A1057" s="158"/>
      <c r="B1057" s="39"/>
      <c r="C1057" s="39"/>
      <c r="D1057" s="109" t="s">
        <v>5391</v>
      </c>
      <c r="E1057" s="109" t="s">
        <v>5392</v>
      </c>
      <c r="F1057" s="3" t="s">
        <v>2641</v>
      </c>
      <c r="G1057" s="109" t="s">
        <v>2215</v>
      </c>
      <c r="H1057" s="109" t="s">
        <v>5393</v>
      </c>
      <c r="I1057" s="58" t="s">
        <v>3459</v>
      </c>
      <c r="J1057" s="109" t="s">
        <v>5394</v>
      </c>
      <c r="K1057" s="143" t="s">
        <v>5395</v>
      </c>
    </row>
    <row r="1058" spans="1:11">
      <c r="A1058" s="158"/>
      <c r="B1058" s="39"/>
      <c r="C1058" s="39"/>
      <c r="D1058" s="109" t="s">
        <v>5396</v>
      </c>
      <c r="E1058" s="109" t="s">
        <v>5397</v>
      </c>
      <c r="F1058" s="3" t="s">
        <v>2640</v>
      </c>
      <c r="G1058" s="109" t="s">
        <v>5398</v>
      </c>
      <c r="H1058" s="109" t="s">
        <v>5399</v>
      </c>
      <c r="I1058" s="58" t="s">
        <v>3453</v>
      </c>
      <c r="J1058" s="109" t="s">
        <v>5400</v>
      </c>
      <c r="K1058" s="143" t="s">
        <v>5401</v>
      </c>
    </row>
    <row r="1059" spans="1:11">
      <c r="A1059" s="158"/>
      <c r="B1059" s="39"/>
      <c r="C1059" s="39" t="s">
        <v>1393</v>
      </c>
      <c r="D1059" s="109" t="s">
        <v>5402</v>
      </c>
      <c r="E1059" s="109" t="s">
        <v>5403</v>
      </c>
      <c r="F1059" s="3" t="s">
        <v>2640</v>
      </c>
      <c r="G1059" s="109" t="s">
        <v>5404</v>
      </c>
      <c r="H1059" s="109" t="s">
        <v>5405</v>
      </c>
      <c r="I1059" s="58" t="s">
        <v>3453</v>
      </c>
      <c r="J1059" s="109" t="s">
        <v>5406</v>
      </c>
      <c r="K1059" s="143" t="s">
        <v>5407</v>
      </c>
    </row>
    <row r="1060" spans="1:11">
      <c r="A1060" s="158"/>
      <c r="B1060" s="39"/>
      <c r="C1060" s="39"/>
      <c r="D1060" s="109" t="s">
        <v>5408</v>
      </c>
      <c r="E1060" s="109" t="s">
        <v>5409</v>
      </c>
      <c r="F1060" s="3" t="s">
        <v>2641</v>
      </c>
      <c r="G1060" s="109" t="s">
        <v>5410</v>
      </c>
      <c r="H1060" s="109" t="s">
        <v>5411</v>
      </c>
      <c r="I1060" s="58" t="s">
        <v>3453</v>
      </c>
      <c r="J1060" s="109" t="s">
        <v>5412</v>
      </c>
      <c r="K1060" s="143" t="s">
        <v>5413</v>
      </c>
    </row>
    <row r="1061" spans="1:11">
      <c r="A1061" s="158"/>
      <c r="B1061" s="39"/>
      <c r="C1061" s="39"/>
      <c r="D1061" s="109" t="s">
        <v>5414</v>
      </c>
      <c r="E1061" s="109" t="s">
        <v>5415</v>
      </c>
      <c r="F1061" s="3" t="s">
        <v>2640</v>
      </c>
      <c r="G1061" s="109" t="s">
        <v>5416</v>
      </c>
      <c r="H1061" s="109" t="s">
        <v>5417</v>
      </c>
      <c r="I1061" s="58" t="s">
        <v>3459</v>
      </c>
      <c r="J1061" s="109" t="s">
        <v>2199</v>
      </c>
      <c r="K1061" s="143" t="s">
        <v>5418</v>
      </c>
    </row>
    <row r="1062" spans="1:11">
      <c r="A1062" s="158"/>
      <c r="B1062" s="39"/>
      <c r="C1062" s="39"/>
      <c r="D1062" s="109" t="s">
        <v>5419</v>
      </c>
      <c r="E1062" s="109" t="s">
        <v>5420</v>
      </c>
      <c r="F1062" s="3" t="s">
        <v>2639</v>
      </c>
      <c r="G1062" s="109" t="s">
        <v>5421</v>
      </c>
      <c r="H1062" s="109" t="s">
        <v>5422</v>
      </c>
      <c r="I1062" s="58" t="s">
        <v>3459</v>
      </c>
      <c r="J1062" s="109" t="s">
        <v>5423</v>
      </c>
      <c r="K1062" s="143" t="s">
        <v>5424</v>
      </c>
    </row>
    <row r="1063" spans="1:11">
      <c r="A1063" s="158"/>
      <c r="B1063" s="39"/>
      <c r="C1063" s="39"/>
      <c r="D1063" s="109" t="s">
        <v>5425</v>
      </c>
      <c r="E1063" s="109" t="s">
        <v>5426</v>
      </c>
      <c r="F1063" s="3" t="s">
        <v>2639</v>
      </c>
      <c r="G1063" s="109" t="s">
        <v>5427</v>
      </c>
      <c r="H1063" s="109" t="s">
        <v>5428</v>
      </c>
      <c r="I1063" s="58" t="s">
        <v>3581</v>
      </c>
      <c r="J1063" s="109" t="s">
        <v>2236</v>
      </c>
      <c r="K1063" s="143" t="s">
        <v>5429</v>
      </c>
    </row>
    <row r="1064" spans="1:11">
      <c r="A1064" s="158"/>
      <c r="B1064" s="39" t="s">
        <v>1372</v>
      </c>
      <c r="C1064" s="39" t="s">
        <v>1394</v>
      </c>
      <c r="D1064" s="109" t="s">
        <v>5489</v>
      </c>
      <c r="E1064" s="109" t="s">
        <v>5490</v>
      </c>
      <c r="F1064" s="3" t="s">
        <v>2639</v>
      </c>
      <c r="G1064" s="109" t="s">
        <v>5491</v>
      </c>
      <c r="H1064" s="109" t="s">
        <v>2233</v>
      </c>
      <c r="I1064" s="58" t="s">
        <v>3459</v>
      </c>
      <c r="J1064" s="109" t="s">
        <v>5492</v>
      </c>
      <c r="K1064" s="143" t="s">
        <v>5493</v>
      </c>
    </row>
    <row r="1065" spans="1:11">
      <c r="A1065" s="158"/>
      <c r="B1065" s="39"/>
      <c r="C1065" s="39"/>
      <c r="D1065" s="109" t="s">
        <v>2234</v>
      </c>
      <c r="E1065" s="109" t="s">
        <v>5494</v>
      </c>
      <c r="F1065" s="3" t="s">
        <v>2640</v>
      </c>
      <c r="G1065" s="109" t="s">
        <v>5495</v>
      </c>
      <c r="H1065" s="109" t="s">
        <v>3337</v>
      </c>
      <c r="I1065" s="58" t="s">
        <v>3453</v>
      </c>
      <c r="J1065" s="109" t="s">
        <v>5496</v>
      </c>
      <c r="K1065" s="143" t="s">
        <v>5497</v>
      </c>
    </row>
    <row r="1066" spans="1:11">
      <c r="A1066" s="158"/>
      <c r="B1066" s="39"/>
      <c r="C1066" s="39"/>
      <c r="D1066" s="109" t="s">
        <v>5498</v>
      </c>
      <c r="E1066" s="109" t="s">
        <v>5499</v>
      </c>
      <c r="F1066" s="3" t="s">
        <v>2639</v>
      </c>
      <c r="G1066" s="109" t="s">
        <v>5500</v>
      </c>
      <c r="H1066" s="109" t="s">
        <v>5501</v>
      </c>
      <c r="I1066" s="58" t="s">
        <v>3459</v>
      </c>
      <c r="J1066" s="109" t="s">
        <v>5502</v>
      </c>
      <c r="K1066" s="143" t="s">
        <v>5503</v>
      </c>
    </row>
    <row r="1067" spans="1:11">
      <c r="A1067" s="158"/>
      <c r="B1067" s="39"/>
      <c r="C1067" s="39"/>
      <c r="D1067" s="109" t="s">
        <v>5504</v>
      </c>
      <c r="E1067" s="109" t="s">
        <v>5505</v>
      </c>
      <c r="F1067" s="3" t="s">
        <v>2641</v>
      </c>
      <c r="G1067" s="109" t="s">
        <v>5506</v>
      </c>
      <c r="H1067" s="109" t="s">
        <v>5507</v>
      </c>
      <c r="I1067" s="58" t="s">
        <v>3453</v>
      </c>
      <c r="J1067" s="109" t="s">
        <v>5508</v>
      </c>
      <c r="K1067" s="143" t="s">
        <v>5509</v>
      </c>
    </row>
    <row r="1068" spans="1:11">
      <c r="A1068" s="158"/>
      <c r="B1068" s="39"/>
      <c r="C1068" s="39"/>
      <c r="D1068" s="109" t="s">
        <v>5510</v>
      </c>
      <c r="E1068" s="109" t="s">
        <v>5511</v>
      </c>
      <c r="F1068" s="3" t="s">
        <v>2640</v>
      </c>
      <c r="G1068" s="109" t="s">
        <v>5512</v>
      </c>
      <c r="H1068" s="109" t="s">
        <v>5388</v>
      </c>
      <c r="I1068" s="58" t="s">
        <v>3459</v>
      </c>
      <c r="J1068" s="109" t="s">
        <v>5513</v>
      </c>
      <c r="K1068" s="143" t="s">
        <v>5514</v>
      </c>
    </row>
    <row r="1069" spans="1:11">
      <c r="A1069" s="158"/>
      <c r="B1069" s="39"/>
      <c r="C1069" s="39" t="s">
        <v>1395</v>
      </c>
      <c r="D1069" s="109" t="s">
        <v>5136</v>
      </c>
      <c r="E1069" s="109" t="s">
        <v>5515</v>
      </c>
      <c r="F1069" s="3" t="s">
        <v>2639</v>
      </c>
      <c r="G1069" s="109" t="s">
        <v>5516</v>
      </c>
      <c r="H1069" s="109" t="s">
        <v>5517</v>
      </c>
      <c r="I1069" s="58" t="s">
        <v>3453</v>
      </c>
      <c r="J1069" s="109" t="s">
        <v>5518</v>
      </c>
      <c r="K1069" s="143" t="s">
        <v>5519</v>
      </c>
    </row>
    <row r="1070" spans="1:11">
      <c r="A1070" s="158"/>
      <c r="B1070" s="39"/>
      <c r="C1070" s="39"/>
      <c r="D1070" s="109" t="s">
        <v>5520</v>
      </c>
      <c r="E1070" s="109" t="s">
        <v>5521</v>
      </c>
      <c r="F1070" s="3" t="s">
        <v>2639</v>
      </c>
      <c r="G1070" s="109" t="s">
        <v>5522</v>
      </c>
      <c r="H1070" s="109" t="s">
        <v>5523</v>
      </c>
      <c r="I1070" s="58" t="s">
        <v>3459</v>
      </c>
      <c r="J1070" s="109" t="s">
        <v>5524</v>
      </c>
      <c r="K1070" s="143" t="s">
        <v>5525</v>
      </c>
    </row>
    <row r="1071" spans="1:11">
      <c r="A1071" s="158"/>
      <c r="B1071" s="39"/>
      <c r="C1071" s="39"/>
      <c r="D1071" s="109" t="s">
        <v>4595</v>
      </c>
      <c r="E1071" s="109" t="s">
        <v>5526</v>
      </c>
      <c r="F1071" s="3" t="s">
        <v>2640</v>
      </c>
      <c r="G1071" s="109" t="s">
        <v>2215</v>
      </c>
      <c r="H1071" s="109" t="s">
        <v>5527</v>
      </c>
      <c r="I1071" s="58" t="s">
        <v>3459</v>
      </c>
      <c r="J1071" s="109" t="s">
        <v>5528</v>
      </c>
      <c r="K1071" s="143" t="s">
        <v>5529</v>
      </c>
    </row>
    <row r="1072" spans="1:11">
      <c r="A1072" s="158"/>
      <c r="B1072" s="39"/>
      <c r="C1072" s="39"/>
      <c r="D1072" s="109" t="s">
        <v>5530</v>
      </c>
      <c r="E1072" s="109" t="s">
        <v>5531</v>
      </c>
      <c r="F1072" s="3" t="s">
        <v>2641</v>
      </c>
      <c r="G1072" s="109" t="s">
        <v>2995</v>
      </c>
      <c r="H1072" s="109" t="s">
        <v>2235</v>
      </c>
      <c r="I1072" s="58" t="s">
        <v>3459</v>
      </c>
      <c r="J1072" s="109" t="s">
        <v>5532</v>
      </c>
      <c r="K1072" s="143" t="s">
        <v>5533</v>
      </c>
    </row>
    <row r="1073" spans="1:11">
      <c r="A1073" s="158"/>
      <c r="B1073" s="39"/>
      <c r="C1073" s="39"/>
      <c r="D1073" s="109" t="s">
        <v>5534</v>
      </c>
      <c r="E1073" s="109" t="s">
        <v>5535</v>
      </c>
      <c r="F1073" s="3" t="s">
        <v>2640</v>
      </c>
      <c r="G1073" s="109" t="s">
        <v>3037</v>
      </c>
      <c r="H1073" s="109" t="s">
        <v>5536</v>
      </c>
      <c r="I1073" s="58" t="s">
        <v>3581</v>
      </c>
      <c r="J1073" s="109" t="s">
        <v>5537</v>
      </c>
      <c r="K1073" s="143" t="s">
        <v>5538</v>
      </c>
    </row>
    <row r="1074" spans="1:11">
      <c r="A1074" s="158"/>
      <c r="B1074" s="39"/>
      <c r="C1074" s="39" t="s">
        <v>1396</v>
      </c>
      <c r="D1074" s="109" t="s">
        <v>5539</v>
      </c>
      <c r="E1074" s="109" t="s">
        <v>5540</v>
      </c>
      <c r="F1074" s="3" t="s">
        <v>2639</v>
      </c>
      <c r="G1074" s="109" t="s">
        <v>2244</v>
      </c>
      <c r="H1074" s="109" t="s">
        <v>5541</v>
      </c>
      <c r="I1074" s="58" t="s">
        <v>3459</v>
      </c>
      <c r="J1074" s="109" t="s">
        <v>5542</v>
      </c>
      <c r="K1074" s="143" t="s">
        <v>5543</v>
      </c>
    </row>
    <row r="1075" spans="1:11">
      <c r="A1075" s="158"/>
      <c r="B1075" s="39"/>
      <c r="C1075" s="39"/>
      <c r="D1075" s="109" t="s">
        <v>5544</v>
      </c>
      <c r="E1075" s="109" t="s">
        <v>5545</v>
      </c>
      <c r="F1075" s="3" t="s">
        <v>2639</v>
      </c>
      <c r="G1075" s="109" t="s">
        <v>5546</v>
      </c>
      <c r="H1075" s="109" t="s">
        <v>5547</v>
      </c>
      <c r="I1075" s="58" t="s">
        <v>3453</v>
      </c>
      <c r="J1075" s="109" t="s">
        <v>5548</v>
      </c>
      <c r="K1075" s="143" t="s">
        <v>5549</v>
      </c>
    </row>
    <row r="1076" spans="1:11">
      <c r="A1076" s="158"/>
      <c r="B1076" s="39"/>
      <c r="C1076" s="39"/>
      <c r="D1076" s="109" t="s">
        <v>5550</v>
      </c>
      <c r="E1076" s="109" t="s">
        <v>5551</v>
      </c>
      <c r="F1076" s="3" t="s">
        <v>2640</v>
      </c>
      <c r="G1076" s="109" t="s">
        <v>5552</v>
      </c>
      <c r="H1076" s="109" t="s">
        <v>5553</v>
      </c>
      <c r="I1076" s="58" t="s">
        <v>3459</v>
      </c>
      <c r="J1076" s="109" t="s">
        <v>5554</v>
      </c>
      <c r="K1076" s="143" t="s">
        <v>5555</v>
      </c>
    </row>
    <row r="1077" spans="1:11">
      <c r="A1077" s="158"/>
      <c r="B1077" s="39"/>
      <c r="C1077" s="39"/>
      <c r="D1077" s="109" t="s">
        <v>5556</v>
      </c>
      <c r="E1077" s="109" t="s">
        <v>5557</v>
      </c>
      <c r="F1077" s="3" t="s">
        <v>2639</v>
      </c>
      <c r="G1077" s="109" t="s">
        <v>5558</v>
      </c>
      <c r="H1077" s="109" t="s">
        <v>5559</v>
      </c>
      <c r="I1077" s="58" t="s">
        <v>3453</v>
      </c>
      <c r="J1077" s="109" t="s">
        <v>5560</v>
      </c>
      <c r="K1077" s="143" t="s">
        <v>5561</v>
      </c>
    </row>
    <row r="1078" spans="1:11">
      <c r="A1078" s="158"/>
      <c r="B1078" s="39"/>
      <c r="C1078" s="39"/>
      <c r="D1078" s="109" t="s">
        <v>5562</v>
      </c>
      <c r="E1078" s="109" t="s">
        <v>5563</v>
      </c>
      <c r="F1078" s="3" t="s">
        <v>2641</v>
      </c>
      <c r="G1078" s="109" t="s">
        <v>5564</v>
      </c>
      <c r="H1078" s="109" t="s">
        <v>3141</v>
      </c>
      <c r="I1078" s="58" t="s">
        <v>3459</v>
      </c>
      <c r="J1078" s="109" t="s">
        <v>5565</v>
      </c>
      <c r="K1078" s="143" t="s">
        <v>5566</v>
      </c>
    </row>
    <row r="1079" spans="1:11">
      <c r="A1079" s="158"/>
      <c r="B1079" s="39"/>
      <c r="C1079" s="39" t="s">
        <v>1397</v>
      </c>
      <c r="D1079" s="109" t="s">
        <v>5567</v>
      </c>
      <c r="E1079" s="109" t="s">
        <v>5568</v>
      </c>
      <c r="F1079" s="3" t="s">
        <v>2639</v>
      </c>
      <c r="G1079" s="109" t="s">
        <v>5569</v>
      </c>
      <c r="H1079" s="109" t="s">
        <v>5570</v>
      </c>
      <c r="I1079" s="58" t="s">
        <v>3453</v>
      </c>
      <c r="J1079" s="109" t="s">
        <v>5571</v>
      </c>
      <c r="K1079" s="143" t="s">
        <v>5572</v>
      </c>
    </row>
    <row r="1080" spans="1:11">
      <c r="A1080" s="158"/>
      <c r="B1080" s="39"/>
      <c r="C1080" s="39"/>
      <c r="D1080" s="109" t="s">
        <v>5573</v>
      </c>
      <c r="E1080" s="109" t="s">
        <v>5574</v>
      </c>
      <c r="F1080" s="3" t="s">
        <v>2639</v>
      </c>
      <c r="G1080" s="109" t="s">
        <v>5575</v>
      </c>
      <c r="H1080" s="109" t="s">
        <v>5576</v>
      </c>
      <c r="I1080" s="58" t="s">
        <v>3459</v>
      </c>
      <c r="J1080" s="109" t="s">
        <v>5577</v>
      </c>
      <c r="K1080" s="143" t="s">
        <v>5578</v>
      </c>
    </row>
    <row r="1081" spans="1:11">
      <c r="A1081" s="158"/>
      <c r="B1081" s="39"/>
      <c r="C1081" s="39"/>
      <c r="D1081" s="109" t="s">
        <v>5579</v>
      </c>
      <c r="E1081" s="109" t="s">
        <v>5580</v>
      </c>
      <c r="F1081" s="3" t="s">
        <v>2639</v>
      </c>
      <c r="G1081" s="109" t="s">
        <v>5581</v>
      </c>
      <c r="H1081" s="109" t="s">
        <v>5582</v>
      </c>
      <c r="I1081" s="58" t="s">
        <v>3459</v>
      </c>
      <c r="J1081" s="109" t="s">
        <v>5583</v>
      </c>
      <c r="K1081" s="143" t="s">
        <v>5584</v>
      </c>
    </row>
    <row r="1082" spans="1:11">
      <c r="A1082" s="158"/>
      <c r="B1082" s="39"/>
      <c r="C1082" s="39"/>
      <c r="D1082" s="109" t="s">
        <v>5585</v>
      </c>
      <c r="E1082" s="109" t="s">
        <v>5586</v>
      </c>
      <c r="F1082" s="3" t="s">
        <v>2640</v>
      </c>
      <c r="G1082" s="109" t="s">
        <v>2215</v>
      </c>
      <c r="H1082" s="109" t="s">
        <v>5553</v>
      </c>
      <c r="I1082" s="58" t="s">
        <v>3453</v>
      </c>
      <c r="J1082" s="109" t="s">
        <v>5587</v>
      </c>
      <c r="K1082" s="143" t="s">
        <v>5588</v>
      </c>
    </row>
    <row r="1083" spans="1:11">
      <c r="A1083" s="158"/>
      <c r="B1083" s="39"/>
      <c r="C1083" s="39"/>
      <c r="D1083" s="109" t="s">
        <v>5589</v>
      </c>
      <c r="E1083" s="109" t="s">
        <v>5590</v>
      </c>
      <c r="F1083" s="3" t="s">
        <v>2641</v>
      </c>
      <c r="G1083" s="109" t="s">
        <v>5591</v>
      </c>
      <c r="H1083" s="109" t="s">
        <v>5592</v>
      </c>
      <c r="I1083" s="58" t="s">
        <v>3453</v>
      </c>
      <c r="J1083" s="109" t="s">
        <v>5593</v>
      </c>
      <c r="K1083" s="143" t="s">
        <v>5594</v>
      </c>
    </row>
    <row r="1084" spans="1:11">
      <c r="A1084" s="158"/>
      <c r="B1084" s="39"/>
      <c r="C1084" s="39" t="s">
        <v>1398</v>
      </c>
      <c r="D1084" s="109" t="s">
        <v>2238</v>
      </c>
      <c r="E1084" s="109" t="s">
        <v>5595</v>
      </c>
      <c r="F1084" s="3" t="s">
        <v>2639</v>
      </c>
      <c r="G1084" s="109" t="s">
        <v>5596</v>
      </c>
      <c r="H1084" s="109" t="s">
        <v>5597</v>
      </c>
      <c r="I1084" s="58" t="s">
        <v>3459</v>
      </c>
      <c r="J1084" s="109" t="s">
        <v>5598</v>
      </c>
      <c r="K1084" s="143" t="s">
        <v>5599</v>
      </c>
    </row>
    <row r="1085" spans="1:11">
      <c r="A1085" s="158"/>
      <c r="B1085" s="39"/>
      <c r="C1085" s="39"/>
      <c r="D1085" s="109" t="s">
        <v>5600</v>
      </c>
      <c r="E1085" s="109" t="s">
        <v>5601</v>
      </c>
      <c r="F1085" s="3" t="s">
        <v>2639</v>
      </c>
      <c r="G1085" s="109" t="s">
        <v>5602</v>
      </c>
      <c r="H1085" s="109" t="s">
        <v>5603</v>
      </c>
      <c r="I1085" s="58" t="s">
        <v>3453</v>
      </c>
      <c r="J1085" s="109" t="s">
        <v>5604</v>
      </c>
      <c r="K1085" s="143" t="s">
        <v>5605</v>
      </c>
    </row>
    <row r="1086" spans="1:11">
      <c r="A1086" s="158"/>
      <c r="B1086" s="39"/>
      <c r="C1086" s="39"/>
      <c r="D1086" s="109" t="s">
        <v>5606</v>
      </c>
      <c r="E1086" s="109" t="s">
        <v>5607</v>
      </c>
      <c r="F1086" s="3" t="s">
        <v>2640</v>
      </c>
      <c r="G1086" s="109" t="s">
        <v>5608</v>
      </c>
      <c r="H1086" s="109" t="s">
        <v>5609</v>
      </c>
      <c r="I1086" s="58" t="s">
        <v>3453</v>
      </c>
      <c r="J1086" s="109" t="s">
        <v>5610</v>
      </c>
      <c r="K1086" s="143" t="s">
        <v>5611</v>
      </c>
    </row>
    <row r="1087" spans="1:11">
      <c r="A1087" s="158"/>
      <c r="B1087" s="39"/>
      <c r="C1087" s="39"/>
      <c r="D1087" s="109" t="s">
        <v>2241</v>
      </c>
      <c r="E1087" s="109" t="s">
        <v>5612</v>
      </c>
      <c r="F1087" s="3" t="s">
        <v>2640</v>
      </c>
      <c r="G1087" s="109" t="s">
        <v>3392</v>
      </c>
      <c r="H1087" s="109" t="s">
        <v>5613</v>
      </c>
      <c r="I1087" s="58" t="s">
        <v>3459</v>
      </c>
      <c r="J1087" s="109" t="s">
        <v>5614</v>
      </c>
      <c r="K1087" s="143" t="s">
        <v>5615</v>
      </c>
    </row>
    <row r="1088" spans="1:11">
      <c r="A1088" s="158"/>
      <c r="B1088" s="39"/>
      <c r="C1088" s="39"/>
      <c r="D1088" s="109" t="s">
        <v>5616</v>
      </c>
      <c r="E1088" s="109" t="s">
        <v>5617</v>
      </c>
      <c r="F1088" s="3" t="s">
        <v>2639</v>
      </c>
      <c r="G1088" s="109" t="s">
        <v>5618</v>
      </c>
      <c r="H1088" s="109" t="s">
        <v>5619</v>
      </c>
      <c r="I1088" s="58" t="s">
        <v>3581</v>
      </c>
      <c r="J1088" s="109" t="s">
        <v>4929</v>
      </c>
      <c r="K1088" s="143" t="s">
        <v>5620</v>
      </c>
    </row>
    <row r="1089" spans="1:11">
      <c r="A1089" s="158"/>
      <c r="B1089" s="39" t="s">
        <v>1373</v>
      </c>
      <c r="C1089" s="39" t="s">
        <v>1399</v>
      </c>
      <c r="D1089" s="109" t="s">
        <v>5621</v>
      </c>
      <c r="E1089" s="109" t="s">
        <v>5622</v>
      </c>
      <c r="F1089" s="3" t="s">
        <v>2639</v>
      </c>
      <c r="G1089" s="109" t="s">
        <v>5623</v>
      </c>
      <c r="H1089" s="109" t="s">
        <v>2692</v>
      </c>
      <c r="I1089" s="58" t="s">
        <v>3459</v>
      </c>
      <c r="J1089" s="109" t="s">
        <v>5624</v>
      </c>
      <c r="K1089" s="143" t="s">
        <v>5625</v>
      </c>
    </row>
    <row r="1090" spans="1:11">
      <c r="A1090" s="158"/>
      <c r="B1090" s="39"/>
      <c r="C1090" s="39"/>
      <c r="D1090" s="109" t="s">
        <v>5626</v>
      </c>
      <c r="E1090" s="109" t="s">
        <v>5627</v>
      </c>
      <c r="F1090" s="3" t="s">
        <v>2640</v>
      </c>
      <c r="G1090" s="109" t="s">
        <v>5628</v>
      </c>
      <c r="H1090" s="109" t="s">
        <v>4319</v>
      </c>
      <c r="I1090" s="58" t="s">
        <v>3453</v>
      </c>
      <c r="J1090" s="109" t="s">
        <v>5629</v>
      </c>
      <c r="K1090" s="143" t="s">
        <v>5630</v>
      </c>
    </row>
    <row r="1091" spans="1:11">
      <c r="A1091" s="158"/>
      <c r="B1091" s="39"/>
      <c r="C1091" s="39"/>
      <c r="D1091" s="109" t="s">
        <v>5631</v>
      </c>
      <c r="E1091" s="109" t="s">
        <v>5632</v>
      </c>
      <c r="F1091" s="3" t="s">
        <v>2639</v>
      </c>
      <c r="G1091" s="109" t="s">
        <v>5633</v>
      </c>
      <c r="H1091" s="109" t="s">
        <v>5634</v>
      </c>
      <c r="I1091" s="58" t="s">
        <v>3459</v>
      </c>
      <c r="J1091" s="109" t="s">
        <v>5635</v>
      </c>
      <c r="K1091" s="143" t="s">
        <v>5636</v>
      </c>
    </row>
    <row r="1092" spans="1:11">
      <c r="A1092" s="158"/>
      <c r="B1092" s="39"/>
      <c r="C1092" s="39"/>
      <c r="D1092" s="109" t="s">
        <v>2203</v>
      </c>
      <c r="E1092" s="109" t="s">
        <v>5637</v>
      </c>
      <c r="F1092" s="3" t="s">
        <v>2639</v>
      </c>
      <c r="G1092" s="109" t="s">
        <v>5638</v>
      </c>
      <c r="H1092" s="109" t="s">
        <v>5639</v>
      </c>
      <c r="I1092" s="58" t="s">
        <v>3453</v>
      </c>
      <c r="J1092" s="109" t="s">
        <v>5640</v>
      </c>
      <c r="K1092" s="143" t="s">
        <v>5641</v>
      </c>
    </row>
    <row r="1093" spans="1:11">
      <c r="A1093" s="158"/>
      <c r="B1093" s="39"/>
      <c r="C1093" s="39"/>
      <c r="D1093" s="109" t="s">
        <v>5642</v>
      </c>
      <c r="E1093" s="109" t="s">
        <v>5643</v>
      </c>
      <c r="F1093" s="3" t="s">
        <v>2640</v>
      </c>
      <c r="G1093" s="109" t="s">
        <v>5596</v>
      </c>
      <c r="H1093" s="109" t="s">
        <v>5644</v>
      </c>
      <c r="I1093" s="58" t="s">
        <v>3459</v>
      </c>
      <c r="J1093" s="109" t="s">
        <v>5645</v>
      </c>
      <c r="K1093" s="143" t="s">
        <v>5646</v>
      </c>
    </row>
    <row r="1094" spans="1:11">
      <c r="A1094" s="158"/>
      <c r="B1094" s="39"/>
      <c r="C1094" s="39" t="s">
        <v>1400</v>
      </c>
      <c r="D1094" s="109" t="s">
        <v>5647</v>
      </c>
      <c r="E1094" s="109" t="s">
        <v>5648</v>
      </c>
      <c r="F1094" s="3" t="s">
        <v>2639</v>
      </c>
      <c r="G1094" s="109" t="s">
        <v>5649</v>
      </c>
      <c r="H1094" s="109" t="s">
        <v>5650</v>
      </c>
      <c r="I1094" s="58" t="s">
        <v>3453</v>
      </c>
      <c r="J1094" s="109" t="s">
        <v>5651</v>
      </c>
      <c r="K1094" s="143" t="s">
        <v>5652</v>
      </c>
    </row>
    <row r="1095" spans="1:11">
      <c r="A1095" s="158"/>
      <c r="B1095" s="39"/>
      <c r="C1095" s="39"/>
      <c r="D1095" s="109" t="s">
        <v>5653</v>
      </c>
      <c r="E1095" s="109" t="s">
        <v>5654</v>
      </c>
      <c r="F1095" s="3" t="s">
        <v>2639</v>
      </c>
      <c r="G1095" s="109" t="s">
        <v>5655</v>
      </c>
      <c r="H1095" s="109" t="s">
        <v>5656</v>
      </c>
      <c r="I1095" s="58" t="s">
        <v>3459</v>
      </c>
      <c r="J1095" s="109" t="s">
        <v>5657</v>
      </c>
      <c r="K1095" s="143" t="s">
        <v>5658</v>
      </c>
    </row>
    <row r="1096" spans="1:11">
      <c r="A1096" s="158"/>
      <c r="B1096" s="39"/>
      <c r="C1096" s="39"/>
      <c r="D1096" s="109" t="s">
        <v>5659</v>
      </c>
      <c r="E1096" s="109" t="s">
        <v>5660</v>
      </c>
      <c r="F1096" s="3" t="s">
        <v>2640</v>
      </c>
      <c r="G1096" s="109" t="s">
        <v>5661</v>
      </c>
      <c r="H1096" s="109" t="s">
        <v>5662</v>
      </c>
      <c r="I1096" s="58" t="s">
        <v>3453</v>
      </c>
      <c r="J1096" s="109" t="s">
        <v>5663</v>
      </c>
      <c r="K1096" s="143" t="s">
        <v>5664</v>
      </c>
    </row>
    <row r="1097" spans="1:11">
      <c r="A1097" s="158"/>
      <c r="B1097" s="39"/>
      <c r="C1097" s="39"/>
      <c r="D1097" s="109" t="s">
        <v>5665</v>
      </c>
      <c r="E1097" s="109" t="s">
        <v>5666</v>
      </c>
      <c r="F1097" s="3" t="s">
        <v>2641</v>
      </c>
      <c r="G1097" s="109" t="s">
        <v>5667</v>
      </c>
      <c r="H1097" s="109" t="s">
        <v>5668</v>
      </c>
      <c r="I1097" s="58" t="s">
        <v>3459</v>
      </c>
      <c r="J1097" s="109" t="s">
        <v>5669</v>
      </c>
      <c r="K1097" s="143" t="s">
        <v>5670</v>
      </c>
    </row>
    <row r="1098" spans="1:11">
      <c r="A1098" s="158"/>
      <c r="B1098" s="39"/>
      <c r="C1098" s="39"/>
      <c r="D1098" s="109" t="s">
        <v>5671</v>
      </c>
      <c r="E1098" s="109" t="s">
        <v>5672</v>
      </c>
      <c r="F1098" s="3" t="s">
        <v>2640</v>
      </c>
      <c r="G1098" s="109" t="s">
        <v>5673</v>
      </c>
      <c r="H1098" s="109" t="s">
        <v>5674</v>
      </c>
      <c r="I1098" s="58" t="s">
        <v>3459</v>
      </c>
      <c r="J1098" s="109" t="s">
        <v>5675</v>
      </c>
      <c r="K1098" s="143" t="s">
        <v>5676</v>
      </c>
    </row>
    <row r="1099" spans="1:11">
      <c r="A1099" s="158"/>
      <c r="B1099" s="39"/>
      <c r="C1099" s="39" t="s">
        <v>1401</v>
      </c>
      <c r="D1099" s="109" t="s">
        <v>5677</v>
      </c>
      <c r="E1099" s="109" t="s">
        <v>5678</v>
      </c>
      <c r="F1099" s="3" t="s">
        <v>2639</v>
      </c>
      <c r="G1099" s="109" t="s">
        <v>5679</v>
      </c>
      <c r="H1099" s="109" t="s">
        <v>5680</v>
      </c>
      <c r="I1099" s="58" t="s">
        <v>3453</v>
      </c>
      <c r="J1099" s="109" t="s">
        <v>5681</v>
      </c>
      <c r="K1099" s="143" t="s">
        <v>5682</v>
      </c>
    </row>
    <row r="1100" spans="1:11">
      <c r="A1100" s="158"/>
      <c r="B1100" s="39"/>
      <c r="C1100" s="39"/>
      <c r="D1100" s="109" t="s">
        <v>5683</v>
      </c>
      <c r="E1100" s="109" t="s">
        <v>5684</v>
      </c>
      <c r="F1100" s="3" t="s">
        <v>2639</v>
      </c>
      <c r="G1100" s="109" t="s">
        <v>5685</v>
      </c>
      <c r="H1100" s="109" t="s">
        <v>5686</v>
      </c>
      <c r="I1100" s="58" t="s">
        <v>3453</v>
      </c>
      <c r="J1100" s="109" t="s">
        <v>5687</v>
      </c>
      <c r="K1100" s="143" t="s">
        <v>5688</v>
      </c>
    </row>
    <row r="1101" spans="1:11">
      <c r="A1101" s="158"/>
      <c r="B1101" s="39"/>
      <c r="C1101" s="39"/>
      <c r="D1101" s="109" t="s">
        <v>5689</v>
      </c>
      <c r="E1101" s="109" t="s">
        <v>5690</v>
      </c>
      <c r="F1101" s="3" t="s">
        <v>2640</v>
      </c>
      <c r="G1101" s="109" t="s">
        <v>5591</v>
      </c>
      <c r="H1101" s="109" t="s">
        <v>5691</v>
      </c>
      <c r="I1101" s="58" t="s">
        <v>3459</v>
      </c>
      <c r="J1101" s="109" t="s">
        <v>5692</v>
      </c>
      <c r="K1101" s="143" t="s">
        <v>5693</v>
      </c>
    </row>
    <row r="1102" spans="1:11">
      <c r="A1102" s="158"/>
      <c r="B1102" s="39"/>
      <c r="C1102" s="39"/>
      <c r="D1102" s="109" t="s">
        <v>5694</v>
      </c>
      <c r="E1102" s="109" t="s">
        <v>5695</v>
      </c>
      <c r="F1102" s="3" t="s">
        <v>2639</v>
      </c>
      <c r="G1102" s="109" t="s">
        <v>5696</v>
      </c>
      <c r="H1102" s="109" t="s">
        <v>5697</v>
      </c>
      <c r="I1102" s="58" t="s">
        <v>3453</v>
      </c>
      <c r="J1102" s="109" t="s">
        <v>5698</v>
      </c>
      <c r="K1102" s="143" t="s">
        <v>5699</v>
      </c>
    </row>
    <row r="1103" spans="1:11">
      <c r="A1103" s="158"/>
      <c r="B1103" s="39"/>
      <c r="C1103" s="39"/>
      <c r="D1103" s="109" t="s">
        <v>5700</v>
      </c>
      <c r="E1103" s="109" t="s">
        <v>5701</v>
      </c>
      <c r="F1103" s="3" t="s">
        <v>2640</v>
      </c>
      <c r="G1103" s="109" t="s">
        <v>5702</v>
      </c>
      <c r="H1103" s="109" t="s">
        <v>5703</v>
      </c>
      <c r="I1103" s="58" t="s">
        <v>3459</v>
      </c>
      <c r="J1103" s="109" t="s">
        <v>5704</v>
      </c>
      <c r="K1103" s="143" t="s">
        <v>5705</v>
      </c>
    </row>
    <row r="1104" spans="1:11">
      <c r="A1104" s="158"/>
      <c r="B1104" s="39"/>
      <c r="C1104" s="39" t="s">
        <v>1402</v>
      </c>
      <c r="D1104" s="109" t="s">
        <v>5706</v>
      </c>
      <c r="E1104" s="109" t="s">
        <v>5707</v>
      </c>
      <c r="F1104" s="3" t="s">
        <v>2639</v>
      </c>
      <c r="G1104" s="109" t="s">
        <v>5708</v>
      </c>
      <c r="H1104" s="109" t="s">
        <v>5709</v>
      </c>
      <c r="I1104" s="58" t="s">
        <v>3453</v>
      </c>
      <c r="J1104" s="109" t="s">
        <v>5710</v>
      </c>
      <c r="K1104" s="143" t="s">
        <v>5711</v>
      </c>
    </row>
    <row r="1105" spans="1:11">
      <c r="A1105" s="158"/>
      <c r="B1105" s="39"/>
      <c r="C1105" s="39"/>
      <c r="D1105" s="109" t="s">
        <v>5712</v>
      </c>
      <c r="E1105" s="109" t="s">
        <v>5713</v>
      </c>
      <c r="F1105" s="3" t="s">
        <v>2639</v>
      </c>
      <c r="G1105" s="109" t="s">
        <v>5714</v>
      </c>
      <c r="H1105" s="109" t="s">
        <v>5715</v>
      </c>
      <c r="I1105" s="58" t="s">
        <v>3459</v>
      </c>
      <c r="J1105" s="109" t="s">
        <v>5307</v>
      </c>
      <c r="K1105" s="143" t="s">
        <v>5716</v>
      </c>
    </row>
    <row r="1106" spans="1:11">
      <c r="A1106" s="158"/>
      <c r="B1106" s="39"/>
      <c r="C1106" s="39"/>
      <c r="D1106" s="109" t="s">
        <v>5717</v>
      </c>
      <c r="E1106" s="109" t="s">
        <v>5718</v>
      </c>
      <c r="F1106" s="3" t="s">
        <v>2639</v>
      </c>
      <c r="G1106" s="109" t="s">
        <v>5719</v>
      </c>
      <c r="H1106" s="109" t="s">
        <v>3516</v>
      </c>
      <c r="I1106" s="58" t="s">
        <v>3459</v>
      </c>
      <c r="J1106" s="109" t="s">
        <v>5720</v>
      </c>
      <c r="K1106" s="143" t="s">
        <v>5721</v>
      </c>
    </row>
    <row r="1107" spans="1:11">
      <c r="A1107" s="158"/>
      <c r="B1107" s="39"/>
      <c r="C1107" s="39"/>
      <c r="D1107" s="109" t="s">
        <v>5722</v>
      </c>
      <c r="E1107" s="109" t="s">
        <v>5723</v>
      </c>
      <c r="F1107" s="3" t="s">
        <v>2640</v>
      </c>
      <c r="G1107" s="109" t="s">
        <v>5724</v>
      </c>
      <c r="H1107" s="109" t="s">
        <v>5725</v>
      </c>
      <c r="I1107" s="58" t="s">
        <v>3453</v>
      </c>
      <c r="J1107" s="109" t="s">
        <v>5726</v>
      </c>
      <c r="K1107" s="143" t="s">
        <v>5727</v>
      </c>
    </row>
    <row r="1108" spans="1:11">
      <c r="A1108" s="158"/>
      <c r="B1108" s="39"/>
      <c r="C1108" s="39"/>
      <c r="D1108" s="109" t="s">
        <v>5728</v>
      </c>
      <c r="E1108" s="109" t="s">
        <v>5729</v>
      </c>
      <c r="F1108" s="3" t="s">
        <v>2639</v>
      </c>
      <c r="G1108" s="109" t="s">
        <v>5730</v>
      </c>
      <c r="H1108" s="109" t="s">
        <v>5731</v>
      </c>
      <c r="I1108" s="58" t="s">
        <v>3459</v>
      </c>
      <c r="J1108" s="109" t="s">
        <v>5732</v>
      </c>
      <c r="K1108" s="143" t="s">
        <v>5733</v>
      </c>
    </row>
    <row r="1109" spans="1:11">
      <c r="A1109" s="158"/>
      <c r="B1109" s="39"/>
      <c r="C1109" s="39" t="s">
        <v>1403</v>
      </c>
      <c r="D1109" s="109" t="s">
        <v>5734</v>
      </c>
      <c r="E1109" s="109" t="s">
        <v>5735</v>
      </c>
      <c r="F1109" s="3" t="s">
        <v>2639</v>
      </c>
      <c r="G1109" s="109" t="s">
        <v>5708</v>
      </c>
      <c r="H1109" s="109" t="s">
        <v>3950</v>
      </c>
      <c r="I1109" s="58" t="s">
        <v>3453</v>
      </c>
      <c r="J1109" s="109" t="s">
        <v>5736</v>
      </c>
      <c r="K1109" s="143" t="s">
        <v>5737</v>
      </c>
    </row>
    <row r="1110" spans="1:11">
      <c r="A1110" s="158"/>
      <c r="B1110" s="39"/>
      <c r="C1110" s="39"/>
      <c r="D1110" s="109" t="s">
        <v>5738</v>
      </c>
      <c r="E1110" s="109" t="s">
        <v>5739</v>
      </c>
      <c r="F1110" s="3" t="s">
        <v>2639</v>
      </c>
      <c r="G1110" s="109" t="s">
        <v>5740</v>
      </c>
      <c r="H1110" s="109" t="s">
        <v>5741</v>
      </c>
      <c r="I1110" s="58" t="s">
        <v>3459</v>
      </c>
      <c r="J1110" s="109" t="s">
        <v>5742</v>
      </c>
      <c r="K1110" s="143" t="s">
        <v>5743</v>
      </c>
    </row>
    <row r="1111" spans="1:11">
      <c r="A1111" s="158"/>
      <c r="B1111" s="39"/>
      <c r="C1111" s="39"/>
      <c r="D1111" s="109" t="s">
        <v>5744</v>
      </c>
      <c r="E1111" s="109" t="s">
        <v>5745</v>
      </c>
      <c r="F1111" s="3" t="s">
        <v>2640</v>
      </c>
      <c r="G1111" s="109" t="s">
        <v>5746</v>
      </c>
      <c r="H1111" s="109" t="s">
        <v>5747</v>
      </c>
      <c r="I1111" s="58" t="s">
        <v>3453</v>
      </c>
      <c r="J1111" s="109" t="s">
        <v>5748</v>
      </c>
      <c r="K1111" s="143" t="s">
        <v>5749</v>
      </c>
    </row>
    <row r="1112" spans="1:11">
      <c r="A1112" s="158"/>
      <c r="B1112" s="39"/>
      <c r="C1112" s="39"/>
      <c r="D1112" s="109" t="s">
        <v>4260</v>
      </c>
      <c r="E1112" s="109" t="s">
        <v>5750</v>
      </c>
      <c r="F1112" s="3" t="s">
        <v>2639</v>
      </c>
      <c r="G1112" s="109" t="s">
        <v>5751</v>
      </c>
      <c r="H1112" s="109" t="s">
        <v>5752</v>
      </c>
      <c r="I1112" s="58" t="s">
        <v>3459</v>
      </c>
      <c r="J1112" s="109" t="s">
        <v>2873</v>
      </c>
      <c r="K1112" s="143" t="s">
        <v>5753</v>
      </c>
    </row>
    <row r="1113" spans="1:11">
      <c r="A1113" s="158"/>
      <c r="B1113" s="39"/>
      <c r="C1113" s="39"/>
      <c r="D1113" s="109" t="s">
        <v>3489</v>
      </c>
      <c r="E1113" s="109" t="s">
        <v>5754</v>
      </c>
      <c r="F1113" s="3" t="s">
        <v>2639</v>
      </c>
      <c r="G1113" s="109" t="s">
        <v>5755</v>
      </c>
      <c r="H1113" s="109" t="s">
        <v>5756</v>
      </c>
      <c r="I1113" s="58" t="s">
        <v>3453</v>
      </c>
      <c r="J1113" s="109" t="s">
        <v>5757</v>
      </c>
      <c r="K1113" s="143" t="s">
        <v>5758</v>
      </c>
    </row>
    <row r="1114" spans="1:11">
      <c r="A1114" s="158"/>
      <c r="B1114" s="39" t="s">
        <v>1374</v>
      </c>
      <c r="C1114" s="39" t="s">
        <v>1404</v>
      </c>
      <c r="D1114" s="109" t="s">
        <v>5759</v>
      </c>
      <c r="E1114" s="109" t="s">
        <v>5760</v>
      </c>
      <c r="F1114" s="3" t="s">
        <v>2639</v>
      </c>
      <c r="G1114" s="109" t="s">
        <v>5761</v>
      </c>
      <c r="H1114" s="109" t="s">
        <v>5762</v>
      </c>
      <c r="I1114" s="58" t="s">
        <v>3453</v>
      </c>
      <c r="J1114" s="109" t="s">
        <v>5763</v>
      </c>
      <c r="K1114" s="143" t="s">
        <v>5764</v>
      </c>
    </row>
    <row r="1115" spans="1:11">
      <c r="A1115" s="158"/>
      <c r="B1115" s="39"/>
      <c r="C1115" s="39"/>
      <c r="D1115" s="109" t="s">
        <v>5765</v>
      </c>
      <c r="E1115" s="109" t="s">
        <v>5766</v>
      </c>
      <c r="F1115" s="3" t="s">
        <v>2640</v>
      </c>
      <c r="G1115" s="109" t="s">
        <v>5767</v>
      </c>
      <c r="H1115" s="109" t="s">
        <v>5768</v>
      </c>
      <c r="I1115" s="58" t="s">
        <v>3453</v>
      </c>
      <c r="J1115" s="109" t="s">
        <v>5769</v>
      </c>
      <c r="K1115" s="143" t="s">
        <v>5770</v>
      </c>
    </row>
    <row r="1116" spans="1:11">
      <c r="A1116" s="158"/>
      <c r="B1116" s="39"/>
      <c r="C1116" s="39"/>
      <c r="D1116" s="109" t="s">
        <v>5771</v>
      </c>
      <c r="E1116" s="109" t="s">
        <v>5772</v>
      </c>
      <c r="F1116" s="3" t="s">
        <v>2639</v>
      </c>
      <c r="G1116" s="109" t="s">
        <v>5773</v>
      </c>
      <c r="H1116" s="109" t="s">
        <v>5774</v>
      </c>
      <c r="I1116" s="58" t="s">
        <v>3453</v>
      </c>
      <c r="J1116" s="109" t="s">
        <v>5775</v>
      </c>
      <c r="K1116" s="143" t="s">
        <v>5776</v>
      </c>
    </row>
    <row r="1117" spans="1:11">
      <c r="A1117" s="158"/>
      <c r="B1117" s="39"/>
      <c r="C1117" s="39"/>
      <c r="D1117" s="109" t="s">
        <v>5777</v>
      </c>
      <c r="E1117" s="109" t="s">
        <v>5778</v>
      </c>
      <c r="F1117" s="3" t="s">
        <v>2641</v>
      </c>
      <c r="G1117" s="109" t="s">
        <v>5779</v>
      </c>
      <c r="H1117" s="109" t="s">
        <v>5780</v>
      </c>
      <c r="I1117" s="58" t="s">
        <v>3459</v>
      </c>
      <c r="J1117" s="109" t="s">
        <v>5781</v>
      </c>
      <c r="K1117" s="143" t="s">
        <v>5782</v>
      </c>
    </row>
    <row r="1118" spans="1:11">
      <c r="A1118" s="158"/>
      <c r="B1118" s="39"/>
      <c r="C1118" s="39"/>
      <c r="D1118" s="109" t="s">
        <v>4282</v>
      </c>
      <c r="E1118" s="109" t="s">
        <v>5783</v>
      </c>
      <c r="F1118" s="3" t="s">
        <v>2640</v>
      </c>
      <c r="G1118" s="109" t="s">
        <v>5784</v>
      </c>
      <c r="H1118" s="109" t="s">
        <v>5785</v>
      </c>
      <c r="I1118" s="58" t="s">
        <v>3459</v>
      </c>
      <c r="J1118" s="109" t="s">
        <v>5786</v>
      </c>
      <c r="K1118" s="143" t="s">
        <v>5787</v>
      </c>
    </row>
    <row r="1119" spans="1:11">
      <c r="A1119" s="158"/>
      <c r="B1119" s="39"/>
      <c r="C1119" s="39" t="s">
        <v>1405</v>
      </c>
      <c r="D1119" s="109" t="s">
        <v>5788</v>
      </c>
      <c r="E1119" s="109" t="s">
        <v>5789</v>
      </c>
      <c r="F1119" s="3" t="s">
        <v>2639</v>
      </c>
      <c r="G1119" s="109" t="s">
        <v>5790</v>
      </c>
      <c r="H1119" s="109" t="s">
        <v>5791</v>
      </c>
      <c r="I1119" s="58" t="s">
        <v>3453</v>
      </c>
      <c r="J1119" s="109" t="s">
        <v>5792</v>
      </c>
      <c r="K1119" s="143" t="s">
        <v>5793</v>
      </c>
    </row>
    <row r="1120" spans="1:11">
      <c r="A1120" s="158"/>
      <c r="B1120" s="39"/>
      <c r="C1120" s="39"/>
      <c r="D1120" s="109" t="s">
        <v>5794</v>
      </c>
      <c r="E1120" s="109" t="s">
        <v>5795</v>
      </c>
      <c r="F1120" s="3" t="s">
        <v>2639</v>
      </c>
      <c r="G1120" s="109" t="s">
        <v>5796</v>
      </c>
      <c r="H1120" s="109" t="s">
        <v>4043</v>
      </c>
      <c r="I1120" s="58" t="s">
        <v>3453</v>
      </c>
      <c r="J1120" s="109" t="s">
        <v>5797</v>
      </c>
      <c r="K1120" s="143" t="s">
        <v>5798</v>
      </c>
    </row>
    <row r="1121" spans="1:11">
      <c r="A1121" s="158"/>
      <c r="B1121" s="39"/>
      <c r="C1121" s="39"/>
      <c r="D1121" s="109" t="s">
        <v>5799</v>
      </c>
      <c r="E1121" s="109" t="s">
        <v>5800</v>
      </c>
      <c r="F1121" s="3" t="s">
        <v>2641</v>
      </c>
      <c r="G1121" s="109" t="s">
        <v>5801</v>
      </c>
      <c r="H1121" s="109" t="s">
        <v>5802</v>
      </c>
      <c r="I1121" s="58" t="s">
        <v>3459</v>
      </c>
      <c r="J1121" s="109" t="s">
        <v>5803</v>
      </c>
      <c r="K1121" s="143" t="s">
        <v>5804</v>
      </c>
    </row>
    <row r="1122" spans="1:11">
      <c r="A1122" s="158"/>
      <c r="B1122" s="39"/>
      <c r="C1122" s="39"/>
      <c r="D1122" s="109" t="s">
        <v>5805</v>
      </c>
      <c r="E1122" s="109" t="s">
        <v>5806</v>
      </c>
      <c r="F1122" s="3" t="s">
        <v>2639</v>
      </c>
      <c r="G1122" s="109" t="s">
        <v>5807</v>
      </c>
      <c r="H1122" s="109" t="s">
        <v>5808</v>
      </c>
      <c r="I1122" s="58" t="s">
        <v>3453</v>
      </c>
      <c r="J1122" s="109" t="s">
        <v>5809</v>
      </c>
      <c r="K1122" s="143" t="s">
        <v>5810</v>
      </c>
    </row>
    <row r="1123" spans="1:11">
      <c r="A1123" s="158"/>
      <c r="B1123" s="39"/>
      <c r="C1123" s="39"/>
      <c r="D1123" s="109" t="s">
        <v>5811</v>
      </c>
      <c r="E1123" s="109" t="s">
        <v>5812</v>
      </c>
      <c r="F1123" s="3" t="s">
        <v>2640</v>
      </c>
      <c r="G1123" s="109" t="s">
        <v>5813</v>
      </c>
      <c r="H1123" s="109" t="s">
        <v>5814</v>
      </c>
      <c r="I1123" s="58" t="s">
        <v>3459</v>
      </c>
      <c r="J1123" s="109" t="s">
        <v>5815</v>
      </c>
      <c r="K1123" s="143" t="s">
        <v>5816</v>
      </c>
    </row>
    <row r="1124" spans="1:11">
      <c r="A1124" s="158"/>
      <c r="B1124" s="39"/>
      <c r="C1124" s="39" t="s">
        <v>1406</v>
      </c>
      <c r="D1124" s="109" t="s">
        <v>5817</v>
      </c>
      <c r="E1124" s="109" t="s">
        <v>5818</v>
      </c>
      <c r="F1124" s="3" t="s">
        <v>2639</v>
      </c>
      <c r="G1124" s="109" t="s">
        <v>5819</v>
      </c>
      <c r="H1124" s="109" t="s">
        <v>5820</v>
      </c>
      <c r="I1124" s="58" t="s">
        <v>3453</v>
      </c>
      <c r="J1124" s="109" t="s">
        <v>5821</v>
      </c>
      <c r="K1124" s="143" t="s">
        <v>5822</v>
      </c>
    </row>
    <row r="1125" spans="1:11">
      <c r="A1125" s="158"/>
      <c r="B1125" s="39"/>
      <c r="C1125" s="39"/>
      <c r="D1125" s="109" t="s">
        <v>5823</v>
      </c>
      <c r="E1125" s="109" t="s">
        <v>5824</v>
      </c>
      <c r="F1125" s="3" t="s">
        <v>2639</v>
      </c>
      <c r="G1125" s="109" t="s">
        <v>5825</v>
      </c>
      <c r="H1125" s="109" t="s">
        <v>5826</v>
      </c>
      <c r="I1125" s="58" t="s">
        <v>3453</v>
      </c>
      <c r="J1125" s="109" t="s">
        <v>5827</v>
      </c>
      <c r="K1125" s="143" t="s">
        <v>5828</v>
      </c>
    </row>
    <row r="1126" spans="1:11">
      <c r="A1126" s="158"/>
      <c r="B1126" s="39"/>
      <c r="C1126" s="39"/>
      <c r="D1126" s="109" t="s">
        <v>5829</v>
      </c>
      <c r="E1126" s="109" t="s">
        <v>5830</v>
      </c>
      <c r="F1126" s="3" t="s">
        <v>2641</v>
      </c>
      <c r="G1126" s="109" t="s">
        <v>5831</v>
      </c>
      <c r="H1126" s="109" t="s">
        <v>5832</v>
      </c>
      <c r="I1126" s="58" t="s">
        <v>3453</v>
      </c>
      <c r="J1126" s="109" t="s">
        <v>5833</v>
      </c>
      <c r="K1126" s="143" t="s">
        <v>5834</v>
      </c>
    </row>
    <row r="1127" spans="1:11">
      <c r="A1127" s="158"/>
      <c r="B1127" s="39"/>
      <c r="C1127" s="39"/>
      <c r="D1127" s="109" t="s">
        <v>5835</v>
      </c>
      <c r="E1127" s="109" t="s">
        <v>5836</v>
      </c>
      <c r="F1127" s="3" t="s">
        <v>2639</v>
      </c>
      <c r="G1127" s="109" t="s">
        <v>5837</v>
      </c>
      <c r="H1127" s="109" t="s">
        <v>5838</v>
      </c>
      <c r="I1127" s="58" t="s">
        <v>3459</v>
      </c>
      <c r="J1127" s="109" t="s">
        <v>5839</v>
      </c>
      <c r="K1127" s="143" t="s">
        <v>5840</v>
      </c>
    </row>
    <row r="1128" spans="1:11">
      <c r="A1128" s="158"/>
      <c r="B1128" s="39"/>
      <c r="C1128" s="39"/>
      <c r="D1128" s="109" t="s">
        <v>3853</v>
      </c>
      <c r="E1128" s="109" t="s">
        <v>5841</v>
      </c>
      <c r="F1128" s="3" t="s">
        <v>2640</v>
      </c>
      <c r="G1128" s="109" t="s">
        <v>5842</v>
      </c>
      <c r="H1128" s="109" t="s">
        <v>5843</v>
      </c>
      <c r="I1128" s="58" t="s">
        <v>3459</v>
      </c>
      <c r="J1128" s="109" t="s">
        <v>5844</v>
      </c>
      <c r="K1128" s="143" t="s">
        <v>5845</v>
      </c>
    </row>
    <row r="1129" spans="1:11">
      <c r="A1129" s="158"/>
      <c r="B1129" s="39"/>
      <c r="C1129" s="39" t="s">
        <v>1407</v>
      </c>
      <c r="D1129" s="109" t="s">
        <v>5846</v>
      </c>
      <c r="E1129" s="109" t="s">
        <v>5847</v>
      </c>
      <c r="F1129" s="3" t="s">
        <v>2639</v>
      </c>
      <c r="G1129" s="109" t="s">
        <v>5848</v>
      </c>
      <c r="H1129" s="109" t="s">
        <v>5849</v>
      </c>
      <c r="I1129" s="58" t="s">
        <v>3453</v>
      </c>
      <c r="J1129" s="109" t="s">
        <v>5850</v>
      </c>
      <c r="K1129" s="143" t="s">
        <v>5851</v>
      </c>
    </row>
    <row r="1130" spans="1:11">
      <c r="A1130" s="158"/>
      <c r="B1130" s="39"/>
      <c r="C1130" s="39"/>
      <c r="D1130" s="109" t="s">
        <v>5702</v>
      </c>
      <c r="E1130" s="109" t="s">
        <v>5852</v>
      </c>
      <c r="F1130" s="3" t="s">
        <v>2639</v>
      </c>
      <c r="G1130" s="109" t="s">
        <v>5853</v>
      </c>
      <c r="H1130" s="109" t="s">
        <v>5854</v>
      </c>
      <c r="I1130" s="58" t="s">
        <v>3453</v>
      </c>
      <c r="J1130" s="109" t="s">
        <v>5855</v>
      </c>
      <c r="K1130" s="143" t="s">
        <v>5856</v>
      </c>
    </row>
    <row r="1131" spans="1:11">
      <c r="A1131" s="158"/>
      <c r="B1131" s="39"/>
      <c r="C1131" s="39"/>
      <c r="D1131" s="109" t="s">
        <v>5857</v>
      </c>
      <c r="E1131" s="109" t="s">
        <v>5858</v>
      </c>
      <c r="F1131" s="3" t="s">
        <v>2639</v>
      </c>
      <c r="G1131" s="109" t="s">
        <v>5859</v>
      </c>
      <c r="H1131" s="109" t="s">
        <v>3141</v>
      </c>
      <c r="I1131" s="58" t="s">
        <v>3453</v>
      </c>
      <c r="J1131" s="109" t="s">
        <v>5860</v>
      </c>
      <c r="K1131" s="143" t="s">
        <v>5861</v>
      </c>
    </row>
    <row r="1132" spans="1:11">
      <c r="A1132" s="158"/>
      <c r="B1132" s="39"/>
      <c r="C1132" s="39"/>
      <c r="D1132" s="109" t="s">
        <v>5862</v>
      </c>
      <c r="E1132" s="109" t="s">
        <v>5863</v>
      </c>
      <c r="F1132" s="3" t="s">
        <v>2640</v>
      </c>
      <c r="G1132" s="109" t="s">
        <v>5864</v>
      </c>
      <c r="H1132" s="109" t="s">
        <v>5865</v>
      </c>
      <c r="I1132" s="58" t="s">
        <v>3453</v>
      </c>
      <c r="J1132" s="109" t="s">
        <v>5866</v>
      </c>
      <c r="K1132" s="143" t="s">
        <v>5867</v>
      </c>
    </row>
    <row r="1133" spans="1:11">
      <c r="A1133" s="158"/>
      <c r="B1133" s="39"/>
      <c r="C1133" s="39"/>
      <c r="D1133" s="109" t="s">
        <v>5868</v>
      </c>
      <c r="E1133" s="109" t="s">
        <v>5869</v>
      </c>
      <c r="F1133" s="3" t="s">
        <v>2640</v>
      </c>
      <c r="G1133" s="109" t="s">
        <v>5870</v>
      </c>
      <c r="H1133" s="109" t="s">
        <v>5871</v>
      </c>
      <c r="I1133" s="58" t="s">
        <v>3459</v>
      </c>
      <c r="J1133" s="109" t="s">
        <v>5872</v>
      </c>
      <c r="K1133" s="143" t="s">
        <v>5873</v>
      </c>
    </row>
    <row r="1134" spans="1:11">
      <c r="A1134" s="158"/>
      <c r="B1134" s="39"/>
      <c r="C1134" s="39" t="s">
        <v>1408</v>
      </c>
      <c r="D1134" s="109" t="s">
        <v>5874</v>
      </c>
      <c r="E1134" s="109" t="s">
        <v>5875</v>
      </c>
      <c r="F1134" s="3" t="s">
        <v>2639</v>
      </c>
      <c r="G1134" s="109" t="s">
        <v>5876</v>
      </c>
      <c r="H1134" s="109" t="s">
        <v>5877</v>
      </c>
      <c r="I1134" s="58" t="s">
        <v>3459</v>
      </c>
      <c r="J1134" s="109" t="s">
        <v>5878</v>
      </c>
      <c r="K1134" s="143" t="s">
        <v>5879</v>
      </c>
    </row>
    <row r="1135" spans="1:11">
      <c r="A1135" s="158"/>
      <c r="B1135" s="39"/>
      <c r="C1135" s="39"/>
      <c r="D1135" s="109" t="s">
        <v>5880</v>
      </c>
      <c r="E1135" s="109" t="s">
        <v>5881</v>
      </c>
      <c r="F1135" s="3" t="s">
        <v>2640</v>
      </c>
      <c r="G1135" s="109" t="s">
        <v>5882</v>
      </c>
      <c r="H1135" s="109" t="s">
        <v>5883</v>
      </c>
      <c r="I1135" s="58" t="s">
        <v>3453</v>
      </c>
      <c r="J1135" s="109" t="s">
        <v>5884</v>
      </c>
      <c r="K1135" s="143" t="s">
        <v>5885</v>
      </c>
    </row>
    <row r="1136" spans="1:11">
      <c r="A1136" s="158"/>
      <c r="B1136" s="39"/>
      <c r="C1136" s="39"/>
      <c r="D1136" s="109" t="s">
        <v>5886</v>
      </c>
      <c r="E1136" s="109" t="s">
        <v>5887</v>
      </c>
      <c r="F1136" s="3" t="s">
        <v>2639</v>
      </c>
      <c r="G1136" s="109" t="s">
        <v>5888</v>
      </c>
      <c r="H1136" s="109" t="s">
        <v>5889</v>
      </c>
      <c r="I1136" s="58" t="s">
        <v>3459</v>
      </c>
      <c r="J1136" s="109" t="s">
        <v>5890</v>
      </c>
      <c r="K1136" s="143" t="s">
        <v>5891</v>
      </c>
    </row>
    <row r="1137" spans="1:11">
      <c r="A1137" s="158"/>
      <c r="B1137" s="39"/>
      <c r="C1137" s="39"/>
      <c r="D1137" s="109" t="s">
        <v>5892</v>
      </c>
      <c r="E1137" s="109" t="s">
        <v>5893</v>
      </c>
      <c r="F1137" s="3" t="s">
        <v>2640</v>
      </c>
      <c r="G1137" s="109" t="s">
        <v>5894</v>
      </c>
      <c r="H1137" s="109" t="s">
        <v>5895</v>
      </c>
      <c r="I1137" s="58" t="s">
        <v>3453</v>
      </c>
      <c r="J1137" s="109" t="s">
        <v>5896</v>
      </c>
      <c r="K1137" s="143" t="s">
        <v>5897</v>
      </c>
    </row>
    <row r="1138" spans="1:11">
      <c r="A1138" s="158"/>
      <c r="B1138" s="39"/>
      <c r="C1138" s="39"/>
      <c r="D1138" s="109" t="s">
        <v>5898</v>
      </c>
      <c r="E1138" s="109" t="s">
        <v>5899</v>
      </c>
      <c r="F1138" s="3" t="s">
        <v>2639</v>
      </c>
      <c r="G1138" s="109" t="s">
        <v>5900</v>
      </c>
      <c r="H1138" s="109" t="s">
        <v>5901</v>
      </c>
      <c r="I1138" s="58" t="s">
        <v>3459</v>
      </c>
      <c r="J1138" s="109" t="s">
        <v>5902</v>
      </c>
      <c r="K1138" s="143" t="s">
        <v>5903</v>
      </c>
    </row>
    <row r="1139" spans="1:11">
      <c r="A1139" s="158"/>
      <c r="B1139" s="39" t="s">
        <v>1375</v>
      </c>
      <c r="C1139" s="39" t="s">
        <v>1409</v>
      </c>
      <c r="D1139" s="109" t="s">
        <v>5904</v>
      </c>
      <c r="E1139" s="109" t="s">
        <v>5905</v>
      </c>
      <c r="F1139" s="3" t="s">
        <v>2639</v>
      </c>
      <c r="G1139" s="109" t="s">
        <v>5906</v>
      </c>
      <c r="H1139" s="109" t="s">
        <v>5907</v>
      </c>
      <c r="I1139" s="58" t="s">
        <v>3453</v>
      </c>
      <c r="J1139" s="109" t="s">
        <v>5704</v>
      </c>
      <c r="K1139" s="143" t="s">
        <v>5908</v>
      </c>
    </row>
    <row r="1140" spans="1:11">
      <c r="A1140" s="158"/>
      <c r="B1140" s="39"/>
      <c r="C1140" s="39"/>
      <c r="D1140" s="109" t="s">
        <v>5909</v>
      </c>
      <c r="E1140" s="109" t="s">
        <v>5910</v>
      </c>
      <c r="F1140" s="3" t="s">
        <v>2639</v>
      </c>
      <c r="G1140" s="109" t="s">
        <v>5911</v>
      </c>
      <c r="H1140" s="109" t="s">
        <v>5912</v>
      </c>
      <c r="I1140" s="58" t="s">
        <v>3453</v>
      </c>
      <c r="J1140" s="109" t="s">
        <v>5913</v>
      </c>
      <c r="K1140" s="143" t="s">
        <v>5914</v>
      </c>
    </row>
    <row r="1141" spans="1:11">
      <c r="A1141" s="158"/>
      <c r="B1141" s="39"/>
      <c r="C1141" s="39"/>
      <c r="D1141" s="109" t="s">
        <v>5915</v>
      </c>
      <c r="E1141" s="109" t="s">
        <v>5916</v>
      </c>
      <c r="F1141" s="3" t="s">
        <v>2640</v>
      </c>
      <c r="G1141" s="109" t="s">
        <v>5917</v>
      </c>
      <c r="H1141" s="109" t="s">
        <v>5918</v>
      </c>
      <c r="I1141" s="58" t="s">
        <v>3459</v>
      </c>
      <c r="J1141" s="109" t="s">
        <v>5919</v>
      </c>
      <c r="K1141" s="143" t="s">
        <v>5920</v>
      </c>
    </row>
    <row r="1142" spans="1:11">
      <c r="A1142" s="158"/>
      <c r="B1142" s="39"/>
      <c r="C1142" s="39"/>
      <c r="D1142" s="109" t="s">
        <v>5921</v>
      </c>
      <c r="E1142" s="109" t="s">
        <v>5922</v>
      </c>
      <c r="F1142" s="3" t="s">
        <v>2641</v>
      </c>
      <c r="G1142" s="109" t="s">
        <v>5923</v>
      </c>
      <c r="H1142" s="109" t="s">
        <v>3141</v>
      </c>
      <c r="I1142" s="58" t="s">
        <v>3453</v>
      </c>
      <c r="J1142" s="109" t="s">
        <v>5924</v>
      </c>
      <c r="K1142" s="143" t="s">
        <v>5925</v>
      </c>
    </row>
    <row r="1143" spans="1:11">
      <c r="A1143" s="158"/>
      <c r="B1143" s="39"/>
      <c r="C1143" s="39"/>
      <c r="D1143" s="109" t="s">
        <v>5926</v>
      </c>
      <c r="E1143" s="109" t="s">
        <v>5927</v>
      </c>
      <c r="F1143" s="3" t="s">
        <v>2640</v>
      </c>
      <c r="G1143" s="109" t="s">
        <v>5928</v>
      </c>
      <c r="H1143" s="109" t="s">
        <v>5929</v>
      </c>
      <c r="I1143" s="58" t="s">
        <v>3459</v>
      </c>
      <c r="J1143" s="109" t="s">
        <v>5930</v>
      </c>
      <c r="K1143" s="143" t="s">
        <v>5931</v>
      </c>
    </row>
    <row r="1144" spans="1:11">
      <c r="A1144" s="158"/>
      <c r="B1144" s="39"/>
      <c r="C1144" s="39" t="s">
        <v>1410</v>
      </c>
      <c r="D1144" s="109" t="s">
        <v>5932</v>
      </c>
      <c r="E1144" s="109" t="s">
        <v>5933</v>
      </c>
      <c r="F1144" s="3" t="s">
        <v>2639</v>
      </c>
      <c r="G1144" s="109" t="s">
        <v>5934</v>
      </c>
      <c r="H1144" s="109" t="s">
        <v>5935</v>
      </c>
      <c r="I1144" s="58" t="s">
        <v>3453</v>
      </c>
      <c r="J1144" s="109" t="s">
        <v>5936</v>
      </c>
      <c r="K1144" s="143" t="s">
        <v>5937</v>
      </c>
    </row>
    <row r="1145" spans="1:11">
      <c r="A1145" s="158"/>
      <c r="B1145" s="39"/>
      <c r="C1145" s="39"/>
      <c r="D1145" s="109" t="s">
        <v>5938</v>
      </c>
      <c r="E1145" s="109" t="s">
        <v>5939</v>
      </c>
      <c r="F1145" s="3" t="s">
        <v>2640</v>
      </c>
      <c r="G1145" s="109" t="s">
        <v>5940</v>
      </c>
      <c r="H1145" s="109" t="s">
        <v>5941</v>
      </c>
      <c r="I1145" s="58" t="s">
        <v>3453</v>
      </c>
      <c r="J1145" s="109" t="s">
        <v>5942</v>
      </c>
      <c r="K1145" s="143" t="s">
        <v>5943</v>
      </c>
    </row>
    <row r="1146" spans="1:11">
      <c r="A1146" s="158"/>
      <c r="B1146" s="39"/>
      <c r="C1146" s="39"/>
      <c r="D1146" s="109" t="s">
        <v>5944</v>
      </c>
      <c r="E1146" s="109" t="s">
        <v>5945</v>
      </c>
      <c r="F1146" s="3" t="s">
        <v>2639</v>
      </c>
      <c r="G1146" s="109" t="s">
        <v>5934</v>
      </c>
      <c r="H1146" s="109" t="s">
        <v>5946</v>
      </c>
      <c r="I1146" s="58" t="s">
        <v>3459</v>
      </c>
      <c r="J1146" s="109" t="s">
        <v>5947</v>
      </c>
      <c r="K1146" s="143" t="s">
        <v>5948</v>
      </c>
    </row>
    <row r="1147" spans="1:11">
      <c r="A1147" s="158"/>
      <c r="B1147" s="39"/>
      <c r="C1147" s="39"/>
      <c r="D1147" s="109" t="s">
        <v>5949</v>
      </c>
      <c r="E1147" s="109" t="s">
        <v>5950</v>
      </c>
      <c r="F1147" s="3" t="s">
        <v>2641</v>
      </c>
      <c r="G1147" s="109" t="s">
        <v>5951</v>
      </c>
      <c r="H1147" s="109" t="s">
        <v>5952</v>
      </c>
      <c r="I1147" s="58" t="s">
        <v>3453</v>
      </c>
      <c r="J1147" s="109" t="s">
        <v>5953</v>
      </c>
      <c r="K1147" s="143" t="s">
        <v>5954</v>
      </c>
    </row>
    <row r="1148" spans="1:11">
      <c r="A1148" s="158"/>
      <c r="B1148" s="39"/>
      <c r="C1148" s="39"/>
      <c r="D1148" s="109" t="s">
        <v>5955</v>
      </c>
      <c r="E1148" s="109" t="s">
        <v>5956</v>
      </c>
      <c r="F1148" s="3" t="s">
        <v>2640</v>
      </c>
      <c r="G1148" s="109" t="s">
        <v>5864</v>
      </c>
      <c r="H1148" s="109" t="s">
        <v>5957</v>
      </c>
      <c r="I1148" s="58" t="s">
        <v>3453</v>
      </c>
      <c r="J1148" s="109" t="s">
        <v>5958</v>
      </c>
      <c r="K1148" s="143" t="s">
        <v>5959</v>
      </c>
    </row>
    <row r="1149" spans="1:11">
      <c r="A1149" s="158"/>
      <c r="B1149" s="39"/>
      <c r="C1149" s="39" t="s">
        <v>1411</v>
      </c>
      <c r="D1149" s="109" t="s">
        <v>5960</v>
      </c>
      <c r="E1149" s="109" t="s">
        <v>5961</v>
      </c>
      <c r="F1149" s="3" t="s">
        <v>2639</v>
      </c>
      <c r="G1149" s="109" t="s">
        <v>5962</v>
      </c>
      <c r="H1149" s="109" t="s">
        <v>5963</v>
      </c>
      <c r="I1149" s="58" t="s">
        <v>3453</v>
      </c>
      <c r="J1149" s="109" t="s">
        <v>5964</v>
      </c>
      <c r="K1149" s="143" t="s">
        <v>5965</v>
      </c>
    </row>
    <row r="1150" spans="1:11">
      <c r="A1150" s="158"/>
      <c r="B1150" s="39"/>
      <c r="C1150" s="39"/>
      <c r="D1150" s="109" t="s">
        <v>5966</v>
      </c>
      <c r="E1150" s="109" t="s">
        <v>5967</v>
      </c>
      <c r="F1150" s="3" t="s">
        <v>2639</v>
      </c>
      <c r="G1150" s="109" t="s">
        <v>5962</v>
      </c>
      <c r="H1150" s="109" t="s">
        <v>5968</v>
      </c>
      <c r="I1150" s="58" t="s">
        <v>3453</v>
      </c>
      <c r="J1150" s="109" t="s">
        <v>5704</v>
      </c>
      <c r="K1150" s="143" t="s">
        <v>5969</v>
      </c>
    </row>
    <row r="1151" spans="1:11">
      <c r="A1151" s="158"/>
      <c r="B1151" s="39"/>
      <c r="C1151" s="39"/>
      <c r="D1151" s="109" t="s">
        <v>5921</v>
      </c>
      <c r="E1151" s="109" t="s">
        <v>5970</v>
      </c>
      <c r="F1151" s="3" t="s">
        <v>2639</v>
      </c>
      <c r="G1151" s="109" t="s">
        <v>5971</v>
      </c>
      <c r="H1151" s="109" t="s">
        <v>5832</v>
      </c>
      <c r="I1151" s="58" t="s">
        <v>3453</v>
      </c>
      <c r="J1151" s="109" t="s">
        <v>5972</v>
      </c>
      <c r="K1151" s="143" t="s">
        <v>5973</v>
      </c>
    </row>
    <row r="1152" spans="1:11">
      <c r="A1152" s="158"/>
      <c r="B1152" s="39"/>
      <c r="C1152" s="39"/>
      <c r="D1152" s="109" t="s">
        <v>5974</v>
      </c>
      <c r="E1152" s="109" t="s">
        <v>5975</v>
      </c>
      <c r="F1152" s="3" t="s">
        <v>2640</v>
      </c>
      <c r="G1152" s="109" t="s">
        <v>5976</v>
      </c>
      <c r="H1152" s="109" t="s">
        <v>5977</v>
      </c>
      <c r="I1152" s="58" t="s">
        <v>3459</v>
      </c>
      <c r="J1152" s="109" t="s">
        <v>5978</v>
      </c>
      <c r="K1152" s="143" t="s">
        <v>5979</v>
      </c>
    </row>
    <row r="1153" spans="1:11">
      <c r="A1153" s="158"/>
      <c r="B1153" s="39"/>
      <c r="C1153" s="39"/>
      <c r="D1153" s="109" t="s">
        <v>5980</v>
      </c>
      <c r="E1153" s="109" t="s">
        <v>5981</v>
      </c>
      <c r="F1153" s="3" t="s">
        <v>2639</v>
      </c>
      <c r="G1153" s="109" t="s">
        <v>5962</v>
      </c>
      <c r="H1153" s="109" t="s">
        <v>3827</v>
      </c>
      <c r="I1153" s="58" t="s">
        <v>3459</v>
      </c>
      <c r="J1153" s="109" t="s">
        <v>5982</v>
      </c>
      <c r="K1153" s="143" t="s">
        <v>5983</v>
      </c>
    </row>
    <row r="1154" spans="1:11">
      <c r="A1154" s="158"/>
      <c r="B1154" s="39"/>
      <c r="C1154" s="39" t="s">
        <v>1412</v>
      </c>
      <c r="D1154" s="109" t="s">
        <v>5984</v>
      </c>
      <c r="E1154" s="109" t="s">
        <v>5985</v>
      </c>
      <c r="F1154" s="3" t="s">
        <v>2639</v>
      </c>
      <c r="G1154" s="109" t="s">
        <v>5986</v>
      </c>
      <c r="H1154" s="109" t="s">
        <v>5987</v>
      </c>
      <c r="I1154" s="58" t="s">
        <v>3453</v>
      </c>
      <c r="J1154" s="109" t="s">
        <v>5988</v>
      </c>
      <c r="K1154" s="143" t="s">
        <v>5989</v>
      </c>
    </row>
    <row r="1155" spans="1:11">
      <c r="A1155" s="158"/>
      <c r="B1155" s="39"/>
      <c r="C1155" s="39"/>
      <c r="D1155" s="109" t="s">
        <v>5990</v>
      </c>
      <c r="E1155" s="109" t="s">
        <v>5991</v>
      </c>
      <c r="F1155" s="3" t="s">
        <v>2640</v>
      </c>
      <c r="G1155" s="109" t="s">
        <v>5992</v>
      </c>
      <c r="H1155" s="109" t="s">
        <v>5993</v>
      </c>
      <c r="I1155" s="58" t="s">
        <v>3453</v>
      </c>
      <c r="J1155" s="109" t="s">
        <v>5994</v>
      </c>
      <c r="K1155" s="143" t="s">
        <v>5995</v>
      </c>
    </row>
    <row r="1156" spans="1:11">
      <c r="A1156" s="158"/>
      <c r="B1156" s="39"/>
      <c r="C1156" s="39"/>
      <c r="D1156" s="109" t="s">
        <v>5996</v>
      </c>
      <c r="E1156" s="109" t="s">
        <v>5997</v>
      </c>
      <c r="F1156" s="3" t="s">
        <v>2639</v>
      </c>
      <c r="G1156" s="109" t="s">
        <v>5998</v>
      </c>
      <c r="H1156" s="109" t="s">
        <v>3539</v>
      </c>
      <c r="I1156" s="58" t="s">
        <v>3453</v>
      </c>
      <c r="J1156" s="109" t="s">
        <v>5698</v>
      </c>
      <c r="K1156" s="143" t="s">
        <v>5999</v>
      </c>
    </row>
    <row r="1157" spans="1:11">
      <c r="A1157" s="158"/>
      <c r="B1157" s="39"/>
      <c r="C1157" s="39"/>
      <c r="D1157" s="109" t="s">
        <v>6000</v>
      </c>
      <c r="E1157" s="109" t="s">
        <v>6001</v>
      </c>
      <c r="F1157" s="3" t="s">
        <v>2641</v>
      </c>
      <c r="G1157" s="109" t="s">
        <v>6002</v>
      </c>
      <c r="H1157" s="109" t="s">
        <v>6003</v>
      </c>
      <c r="I1157" s="58" t="s">
        <v>3453</v>
      </c>
      <c r="J1157" s="109" t="s">
        <v>6004</v>
      </c>
      <c r="K1157" s="143" t="s">
        <v>6005</v>
      </c>
    </row>
    <row r="1158" spans="1:11">
      <c r="A1158" s="158"/>
      <c r="B1158" s="39"/>
      <c r="C1158" s="39"/>
      <c r="D1158" s="109" t="s">
        <v>6006</v>
      </c>
      <c r="E1158" s="109" t="s">
        <v>6007</v>
      </c>
      <c r="F1158" s="3" t="s">
        <v>2639</v>
      </c>
      <c r="G1158" s="109" t="s">
        <v>3410</v>
      </c>
      <c r="H1158" s="109" t="s">
        <v>6008</v>
      </c>
      <c r="I1158" s="58" t="s">
        <v>3459</v>
      </c>
      <c r="J1158" s="109" t="s">
        <v>6009</v>
      </c>
      <c r="K1158" s="143" t="s">
        <v>6010</v>
      </c>
    </row>
    <row r="1159" spans="1:11">
      <c r="A1159" s="158"/>
      <c r="B1159" s="39" t="s">
        <v>1376</v>
      </c>
      <c r="C1159" s="39" t="s">
        <v>1413</v>
      </c>
      <c r="D1159" s="109" t="s">
        <v>5984</v>
      </c>
      <c r="E1159" s="109" t="s">
        <v>5985</v>
      </c>
      <c r="F1159" s="3" t="s">
        <v>2639</v>
      </c>
      <c r="G1159" s="109" t="s">
        <v>5986</v>
      </c>
      <c r="H1159" s="109" t="s">
        <v>5987</v>
      </c>
      <c r="I1159" s="58" t="s">
        <v>3453</v>
      </c>
      <c r="J1159" s="109" t="s">
        <v>5988</v>
      </c>
      <c r="K1159" s="143" t="s">
        <v>5989</v>
      </c>
    </row>
    <row r="1160" spans="1:11">
      <c r="A1160" s="158"/>
      <c r="B1160" s="39"/>
      <c r="C1160" s="39"/>
      <c r="D1160" s="109" t="s">
        <v>5990</v>
      </c>
      <c r="E1160" s="109" t="s">
        <v>5991</v>
      </c>
      <c r="F1160" s="3" t="s">
        <v>2640</v>
      </c>
      <c r="G1160" s="109" t="s">
        <v>5992</v>
      </c>
      <c r="H1160" s="109" t="s">
        <v>5993</v>
      </c>
      <c r="I1160" s="58" t="s">
        <v>3453</v>
      </c>
      <c r="J1160" s="109" t="s">
        <v>5994</v>
      </c>
      <c r="K1160" s="143" t="s">
        <v>5995</v>
      </c>
    </row>
    <row r="1161" spans="1:11">
      <c r="A1161" s="158"/>
      <c r="B1161" s="39"/>
      <c r="C1161" s="39"/>
      <c r="D1161" s="109" t="s">
        <v>5996</v>
      </c>
      <c r="E1161" s="109" t="s">
        <v>5997</v>
      </c>
      <c r="F1161" s="3" t="s">
        <v>2639</v>
      </c>
      <c r="G1161" s="109" t="s">
        <v>5998</v>
      </c>
      <c r="H1161" s="109" t="s">
        <v>3539</v>
      </c>
      <c r="I1161" s="58" t="s">
        <v>3453</v>
      </c>
      <c r="J1161" s="109" t="s">
        <v>5698</v>
      </c>
      <c r="K1161" s="143" t="s">
        <v>5999</v>
      </c>
    </row>
    <row r="1162" spans="1:11">
      <c r="A1162" s="158"/>
      <c r="B1162" s="39"/>
      <c r="C1162" s="39"/>
      <c r="D1162" s="109" t="s">
        <v>6000</v>
      </c>
      <c r="E1162" s="109" t="s">
        <v>6001</v>
      </c>
      <c r="F1162" s="3" t="s">
        <v>2641</v>
      </c>
      <c r="G1162" s="109" t="s">
        <v>6002</v>
      </c>
      <c r="H1162" s="109" t="s">
        <v>6003</v>
      </c>
      <c r="I1162" s="58" t="s">
        <v>3453</v>
      </c>
      <c r="J1162" s="109" t="s">
        <v>6004</v>
      </c>
      <c r="K1162" s="143" t="s">
        <v>6005</v>
      </c>
    </row>
    <row r="1163" spans="1:11">
      <c r="A1163" s="158"/>
      <c r="B1163" s="39"/>
      <c r="C1163" s="39"/>
      <c r="D1163" s="109" t="s">
        <v>6006</v>
      </c>
      <c r="E1163" s="109" t="s">
        <v>6007</v>
      </c>
      <c r="F1163" s="3" t="s">
        <v>2639</v>
      </c>
      <c r="G1163" s="109" t="s">
        <v>3410</v>
      </c>
      <c r="H1163" s="109" t="s">
        <v>6008</v>
      </c>
      <c r="I1163" s="58" t="s">
        <v>3459</v>
      </c>
      <c r="J1163" s="109" t="s">
        <v>6009</v>
      </c>
      <c r="K1163" s="143" t="s">
        <v>6010</v>
      </c>
    </row>
    <row r="1164" spans="1:11">
      <c r="A1164" s="158"/>
      <c r="B1164" s="39"/>
      <c r="C1164" s="39" t="s">
        <v>1414</v>
      </c>
      <c r="D1164" s="109" t="s">
        <v>6011</v>
      </c>
      <c r="E1164" s="109" t="s">
        <v>6012</v>
      </c>
      <c r="F1164" s="3" t="s">
        <v>2639</v>
      </c>
      <c r="G1164" s="109" t="s">
        <v>6013</v>
      </c>
      <c r="H1164" s="109" t="s">
        <v>6014</v>
      </c>
      <c r="I1164" s="58" t="s">
        <v>3459</v>
      </c>
      <c r="J1164" s="109" t="s">
        <v>6015</v>
      </c>
      <c r="K1164" s="143" t="s">
        <v>6016</v>
      </c>
    </row>
    <row r="1165" spans="1:11">
      <c r="A1165" s="158"/>
      <c r="B1165" s="39"/>
      <c r="C1165" s="39"/>
      <c r="D1165" s="109" t="s">
        <v>6017</v>
      </c>
      <c r="E1165" s="109" t="s">
        <v>6018</v>
      </c>
      <c r="F1165" s="3" t="s">
        <v>2639</v>
      </c>
      <c r="G1165" s="109" t="s">
        <v>6019</v>
      </c>
      <c r="H1165" s="109" t="s">
        <v>6020</v>
      </c>
      <c r="I1165" s="58" t="s">
        <v>3453</v>
      </c>
      <c r="J1165" s="109" t="s">
        <v>6021</v>
      </c>
      <c r="K1165" s="143" t="s">
        <v>6022</v>
      </c>
    </row>
    <row r="1166" spans="1:11">
      <c r="A1166" s="158"/>
      <c r="B1166" s="39"/>
      <c r="C1166" s="39"/>
      <c r="D1166" s="109" t="s">
        <v>6023</v>
      </c>
      <c r="E1166" s="109" t="s">
        <v>6024</v>
      </c>
      <c r="F1166" s="3" t="s">
        <v>2639</v>
      </c>
      <c r="G1166" s="109" t="s">
        <v>6025</v>
      </c>
      <c r="H1166" s="109" t="s">
        <v>6026</v>
      </c>
      <c r="I1166" s="58" t="s">
        <v>3459</v>
      </c>
      <c r="J1166" s="109" t="s">
        <v>6027</v>
      </c>
      <c r="K1166" s="143" t="s">
        <v>6028</v>
      </c>
    </row>
    <row r="1167" spans="1:11">
      <c r="A1167" s="158"/>
      <c r="B1167" s="39"/>
      <c r="C1167" s="39"/>
      <c r="D1167" s="101" t="s">
        <v>12357</v>
      </c>
      <c r="E1167" s="101" t="s">
        <v>12358</v>
      </c>
      <c r="F1167" s="121" t="s">
        <v>2641</v>
      </c>
      <c r="G1167" s="109" t="s">
        <v>12359</v>
      </c>
      <c r="H1167" s="109" t="s">
        <v>12360</v>
      </c>
      <c r="I1167" s="58" t="s">
        <v>3453</v>
      </c>
      <c r="J1167" s="109" t="s">
        <v>12361</v>
      </c>
      <c r="K1167" s="143" t="s">
        <v>12362</v>
      </c>
    </row>
    <row r="1168" spans="1:11">
      <c r="A1168" s="158"/>
      <c r="B1168" s="39"/>
      <c r="C1168" s="39"/>
      <c r="D1168" s="101" t="s">
        <v>12363</v>
      </c>
      <c r="E1168" s="101" t="s">
        <v>12364</v>
      </c>
      <c r="F1168" s="121" t="s">
        <v>2641</v>
      </c>
      <c r="G1168" s="109" t="s">
        <v>12365</v>
      </c>
      <c r="H1168" s="109" t="s">
        <v>12366</v>
      </c>
      <c r="I1168" s="58" t="s">
        <v>3459</v>
      </c>
      <c r="J1168" s="109" t="s">
        <v>12367</v>
      </c>
      <c r="K1168" s="143" t="s">
        <v>12368</v>
      </c>
    </row>
    <row r="1169" spans="1:11">
      <c r="A1169" s="158"/>
      <c r="B1169" s="39"/>
      <c r="C1169" s="39" t="s">
        <v>1415</v>
      </c>
      <c r="D1169" s="109" t="s">
        <v>6029</v>
      </c>
      <c r="E1169" s="109" t="s">
        <v>6030</v>
      </c>
      <c r="F1169" s="3" t="s">
        <v>2639</v>
      </c>
      <c r="G1169" s="109" t="s">
        <v>6031</v>
      </c>
      <c r="H1169" s="109" t="s">
        <v>6032</v>
      </c>
      <c r="I1169" s="58" t="s">
        <v>3453</v>
      </c>
      <c r="J1169" s="109" t="s">
        <v>6033</v>
      </c>
      <c r="K1169" s="143" t="s">
        <v>6034</v>
      </c>
    </row>
    <row r="1170" spans="1:11">
      <c r="A1170" s="158"/>
      <c r="B1170" s="39"/>
      <c r="C1170" s="39"/>
      <c r="D1170" s="109" t="s">
        <v>6035</v>
      </c>
      <c r="E1170" s="109" t="s">
        <v>6036</v>
      </c>
      <c r="F1170" s="3" t="s">
        <v>2639</v>
      </c>
      <c r="G1170" s="109" t="s">
        <v>6037</v>
      </c>
      <c r="H1170" s="109" t="s">
        <v>6038</v>
      </c>
      <c r="I1170" s="58" t="s">
        <v>3453</v>
      </c>
      <c r="J1170" s="109" t="s">
        <v>6039</v>
      </c>
      <c r="K1170" s="143" t="s">
        <v>6040</v>
      </c>
    </row>
    <row r="1171" spans="1:11">
      <c r="A1171" s="158"/>
      <c r="B1171" s="39"/>
      <c r="C1171" s="39"/>
      <c r="D1171" s="109" t="s">
        <v>6041</v>
      </c>
      <c r="E1171" s="109" t="s">
        <v>6042</v>
      </c>
      <c r="F1171" s="3" t="s">
        <v>2640</v>
      </c>
      <c r="G1171" s="109" t="s">
        <v>3282</v>
      </c>
      <c r="H1171" s="109" t="s">
        <v>6043</v>
      </c>
      <c r="I1171" s="58" t="s">
        <v>3459</v>
      </c>
      <c r="J1171" s="109" t="s">
        <v>6044</v>
      </c>
      <c r="K1171" s="143" t="s">
        <v>6045</v>
      </c>
    </row>
    <row r="1172" spans="1:11">
      <c r="A1172" s="158"/>
      <c r="B1172" s="39"/>
      <c r="C1172" s="39"/>
      <c r="D1172" s="109" t="s">
        <v>6046</v>
      </c>
      <c r="E1172" s="109" t="s">
        <v>6047</v>
      </c>
      <c r="F1172" s="3" t="s">
        <v>2639</v>
      </c>
      <c r="G1172" s="109" t="s">
        <v>3410</v>
      </c>
      <c r="H1172" s="109" t="s">
        <v>3334</v>
      </c>
      <c r="I1172" s="58" t="s">
        <v>3453</v>
      </c>
      <c r="J1172" s="109" t="s">
        <v>6048</v>
      </c>
      <c r="K1172" s="143" t="s">
        <v>6049</v>
      </c>
    </row>
    <row r="1173" spans="1:11">
      <c r="A1173" s="158"/>
      <c r="B1173" s="39"/>
      <c r="C1173" s="39"/>
      <c r="D1173" s="109" t="s">
        <v>6050</v>
      </c>
      <c r="E1173" s="109" t="s">
        <v>6051</v>
      </c>
      <c r="F1173" s="3" t="s">
        <v>2640</v>
      </c>
      <c r="G1173" s="109" t="s">
        <v>5928</v>
      </c>
      <c r="H1173" s="109" t="s">
        <v>5785</v>
      </c>
      <c r="I1173" s="58" t="s">
        <v>3459</v>
      </c>
      <c r="J1173" s="109" t="s">
        <v>6052</v>
      </c>
      <c r="K1173" s="143" t="s">
        <v>6053</v>
      </c>
    </row>
    <row r="1174" spans="1:11">
      <c r="A1174" s="158"/>
      <c r="B1174" s="39"/>
      <c r="C1174" s="39" t="s">
        <v>1416</v>
      </c>
      <c r="D1174" s="109" t="s">
        <v>6159</v>
      </c>
      <c r="E1174" s="109" t="s">
        <v>6160</v>
      </c>
      <c r="F1174" s="3" t="s">
        <v>2639</v>
      </c>
      <c r="G1174" s="109" t="s">
        <v>5222</v>
      </c>
      <c r="H1174" s="109" t="s">
        <v>6161</v>
      </c>
      <c r="I1174" s="58" t="s">
        <v>3453</v>
      </c>
      <c r="J1174" s="109" t="s">
        <v>6162</v>
      </c>
      <c r="K1174" s="143" t="s">
        <v>6163</v>
      </c>
    </row>
    <row r="1175" spans="1:11">
      <c r="A1175" s="158"/>
      <c r="B1175" s="39"/>
      <c r="C1175" s="39"/>
      <c r="D1175" s="109" t="s">
        <v>6164</v>
      </c>
      <c r="E1175" s="109" t="s">
        <v>6165</v>
      </c>
      <c r="F1175" s="3" t="s">
        <v>2639</v>
      </c>
      <c r="G1175" s="109" t="s">
        <v>6166</v>
      </c>
      <c r="H1175" s="109" t="s">
        <v>6167</v>
      </c>
      <c r="I1175" s="58" t="s">
        <v>3459</v>
      </c>
      <c r="J1175" s="109" t="s">
        <v>6168</v>
      </c>
      <c r="K1175" s="143" t="s">
        <v>6169</v>
      </c>
    </row>
    <row r="1176" spans="1:11">
      <c r="A1176" s="158"/>
      <c r="B1176" s="39"/>
      <c r="C1176" s="39"/>
      <c r="D1176" s="109" t="s">
        <v>6170</v>
      </c>
      <c r="E1176" s="109" t="s">
        <v>6171</v>
      </c>
      <c r="F1176" s="3" t="s">
        <v>2640</v>
      </c>
      <c r="G1176" s="109" t="s">
        <v>6172</v>
      </c>
      <c r="H1176" s="109" t="s">
        <v>6173</v>
      </c>
      <c r="I1176" s="58" t="s">
        <v>3453</v>
      </c>
      <c r="J1176" s="109" t="s">
        <v>6174</v>
      </c>
      <c r="K1176" s="143" t="s">
        <v>6175</v>
      </c>
    </row>
    <row r="1177" spans="1:11">
      <c r="A1177" s="158"/>
      <c r="B1177" s="39"/>
      <c r="C1177" s="39"/>
      <c r="D1177" s="109" t="s">
        <v>6176</v>
      </c>
      <c r="E1177" s="109" t="s">
        <v>6177</v>
      </c>
      <c r="F1177" s="3" t="s">
        <v>2639</v>
      </c>
      <c r="G1177" s="109" t="s">
        <v>6178</v>
      </c>
      <c r="H1177" s="109" t="s">
        <v>6179</v>
      </c>
      <c r="I1177" s="58" t="s">
        <v>3459</v>
      </c>
      <c r="J1177" s="109" t="s">
        <v>6180</v>
      </c>
      <c r="K1177" s="143" t="s">
        <v>6181</v>
      </c>
    </row>
    <row r="1178" spans="1:11">
      <c r="A1178" s="158"/>
      <c r="B1178" s="39"/>
      <c r="C1178" s="39"/>
      <c r="D1178" s="109" t="s">
        <v>6182</v>
      </c>
      <c r="E1178" s="109" t="s">
        <v>6183</v>
      </c>
      <c r="F1178" s="3" t="s">
        <v>2639</v>
      </c>
      <c r="G1178" s="109" t="s">
        <v>6184</v>
      </c>
      <c r="H1178" s="109" t="s">
        <v>6185</v>
      </c>
      <c r="I1178" s="58" t="s">
        <v>3459</v>
      </c>
      <c r="J1178" s="109" t="s">
        <v>6186</v>
      </c>
      <c r="K1178" s="143" t="s">
        <v>6187</v>
      </c>
    </row>
    <row r="1179" spans="1:11">
      <c r="A1179" s="158"/>
      <c r="B1179" s="39"/>
      <c r="C1179" s="39" t="s">
        <v>1417</v>
      </c>
      <c r="D1179" s="109" t="s">
        <v>6188</v>
      </c>
      <c r="E1179" s="109" t="s">
        <v>6189</v>
      </c>
      <c r="F1179" s="3" t="s">
        <v>2639</v>
      </c>
      <c r="G1179" s="109" t="s">
        <v>6190</v>
      </c>
      <c r="H1179" s="109" t="s">
        <v>3539</v>
      </c>
      <c r="I1179" s="58" t="s">
        <v>3453</v>
      </c>
      <c r="J1179" s="109" t="s">
        <v>6021</v>
      </c>
      <c r="K1179" s="143" t="s">
        <v>6191</v>
      </c>
    </row>
    <row r="1180" spans="1:11">
      <c r="A1180" s="158"/>
      <c r="B1180" s="39"/>
      <c r="C1180" s="39"/>
      <c r="D1180" s="109" t="s">
        <v>6192</v>
      </c>
      <c r="E1180" s="109" t="s">
        <v>6193</v>
      </c>
      <c r="F1180" s="3" t="s">
        <v>2639</v>
      </c>
      <c r="G1180" s="109" t="s">
        <v>5998</v>
      </c>
      <c r="H1180" s="109" t="s">
        <v>6194</v>
      </c>
      <c r="I1180" s="58" t="s">
        <v>3453</v>
      </c>
      <c r="J1180" s="109" t="s">
        <v>6195</v>
      </c>
      <c r="K1180" s="143" t="s">
        <v>6196</v>
      </c>
    </row>
    <row r="1181" spans="1:11">
      <c r="A1181" s="158"/>
      <c r="B1181" s="39"/>
      <c r="C1181" s="39"/>
      <c r="D1181" s="109" t="s">
        <v>6197</v>
      </c>
      <c r="E1181" s="109" t="s">
        <v>6198</v>
      </c>
      <c r="F1181" s="3" t="s">
        <v>2639</v>
      </c>
      <c r="G1181" s="109" t="s">
        <v>6199</v>
      </c>
      <c r="H1181" s="109" t="s">
        <v>6200</v>
      </c>
      <c r="I1181" s="58" t="s">
        <v>3453</v>
      </c>
      <c r="J1181" s="109" t="s">
        <v>6201</v>
      </c>
      <c r="K1181" s="143" t="s">
        <v>6202</v>
      </c>
    </row>
    <row r="1182" spans="1:11">
      <c r="A1182" s="158"/>
      <c r="B1182" s="39"/>
      <c r="C1182" s="39"/>
      <c r="D1182" s="109" t="s">
        <v>6203</v>
      </c>
      <c r="E1182" s="109" t="s">
        <v>6204</v>
      </c>
      <c r="F1182" s="3" t="s">
        <v>2640</v>
      </c>
      <c r="G1182" s="109" t="s">
        <v>6205</v>
      </c>
      <c r="H1182" s="109" t="s">
        <v>6206</v>
      </c>
      <c r="I1182" s="58" t="s">
        <v>3459</v>
      </c>
      <c r="J1182" s="109" t="s">
        <v>6207</v>
      </c>
      <c r="K1182" s="143" t="s">
        <v>6208</v>
      </c>
    </row>
    <row r="1183" spans="1:11">
      <c r="A1183" s="158"/>
      <c r="B1183" s="39"/>
      <c r="C1183" s="39"/>
      <c r="D1183" s="109" t="s">
        <v>6209</v>
      </c>
      <c r="E1183" s="109" t="s">
        <v>6210</v>
      </c>
      <c r="F1183" s="3" t="s">
        <v>2640</v>
      </c>
      <c r="G1183" s="109" t="s">
        <v>6211</v>
      </c>
      <c r="H1183" s="109" t="s">
        <v>6212</v>
      </c>
      <c r="I1183" s="58" t="s">
        <v>3459</v>
      </c>
      <c r="J1183" s="109" t="s">
        <v>6213</v>
      </c>
      <c r="K1183" s="143" t="s">
        <v>6214</v>
      </c>
    </row>
    <row r="1184" spans="1:11">
      <c r="A1184" s="158"/>
      <c r="B1184" s="39" t="s">
        <v>1377</v>
      </c>
      <c r="C1184" s="39" t="s">
        <v>1418</v>
      </c>
      <c r="D1184" s="109" t="s">
        <v>6215</v>
      </c>
      <c r="E1184" s="109" t="s">
        <v>6216</v>
      </c>
      <c r="F1184" s="3" t="s">
        <v>2639</v>
      </c>
      <c r="G1184" s="109" t="s">
        <v>6031</v>
      </c>
      <c r="H1184" s="109" t="s">
        <v>6032</v>
      </c>
      <c r="I1184" s="58" t="s">
        <v>3453</v>
      </c>
      <c r="J1184" s="109" t="s">
        <v>6217</v>
      </c>
      <c r="K1184" s="143" t="s">
        <v>6034</v>
      </c>
    </row>
    <row r="1185" spans="1:11">
      <c r="A1185" s="158"/>
      <c r="B1185" s="39"/>
      <c r="C1185" s="39"/>
      <c r="D1185" s="109" t="s">
        <v>6035</v>
      </c>
      <c r="E1185" s="109" t="s">
        <v>6218</v>
      </c>
      <c r="F1185" s="3" t="s">
        <v>2639</v>
      </c>
      <c r="G1185" s="109" t="s">
        <v>6219</v>
      </c>
      <c r="H1185" s="109" t="s">
        <v>6038</v>
      </c>
      <c r="I1185" s="58" t="s">
        <v>3453</v>
      </c>
      <c r="J1185" s="109" t="s">
        <v>6220</v>
      </c>
      <c r="K1185" s="143" t="s">
        <v>6221</v>
      </c>
    </row>
    <row r="1186" spans="1:11">
      <c r="A1186" s="158"/>
      <c r="B1186" s="39"/>
      <c r="C1186" s="39"/>
      <c r="D1186" s="109" t="s">
        <v>6041</v>
      </c>
      <c r="E1186" s="109" t="s">
        <v>6222</v>
      </c>
      <c r="F1186" s="3" t="s">
        <v>2640</v>
      </c>
      <c r="G1186" s="109" t="s">
        <v>3282</v>
      </c>
      <c r="H1186" s="109" t="s">
        <v>6043</v>
      </c>
      <c r="I1186" s="58" t="s">
        <v>3453</v>
      </c>
      <c r="J1186" s="109" t="s">
        <v>6223</v>
      </c>
      <c r="K1186" s="143" t="s">
        <v>6224</v>
      </c>
    </row>
    <row r="1187" spans="1:11">
      <c r="A1187" s="158"/>
      <c r="B1187" s="39"/>
      <c r="C1187" s="39"/>
      <c r="D1187" s="109" t="s">
        <v>6046</v>
      </c>
      <c r="E1187" s="109" t="s">
        <v>6225</v>
      </c>
      <c r="F1187" s="3" t="s">
        <v>2639</v>
      </c>
      <c r="G1187" s="109" t="s">
        <v>3410</v>
      </c>
      <c r="H1187" s="109" t="s">
        <v>3334</v>
      </c>
      <c r="I1187" s="58" t="s">
        <v>3453</v>
      </c>
      <c r="J1187" s="109" t="s">
        <v>6226</v>
      </c>
      <c r="K1187" s="143" t="s">
        <v>6227</v>
      </c>
    </row>
    <row r="1188" spans="1:11">
      <c r="A1188" s="158"/>
      <c r="B1188" s="39"/>
      <c r="C1188" s="39"/>
      <c r="D1188" s="109" t="s">
        <v>6050</v>
      </c>
      <c r="E1188" s="109" t="s">
        <v>6051</v>
      </c>
      <c r="F1188" s="3" t="s">
        <v>2640</v>
      </c>
      <c r="G1188" s="109" t="s">
        <v>5928</v>
      </c>
      <c r="H1188" s="109" t="s">
        <v>5785</v>
      </c>
      <c r="I1188" s="58" t="s">
        <v>3459</v>
      </c>
      <c r="J1188" s="109" t="s">
        <v>6228</v>
      </c>
      <c r="K1188" s="143" t="s">
        <v>6229</v>
      </c>
    </row>
    <row r="1189" spans="1:11">
      <c r="A1189" s="158"/>
      <c r="B1189" s="39"/>
      <c r="C1189" s="39" t="s">
        <v>1419</v>
      </c>
      <c r="D1189" s="109" t="s">
        <v>6054</v>
      </c>
      <c r="E1189" s="109" t="s">
        <v>6055</v>
      </c>
      <c r="F1189" s="3" t="s">
        <v>2639</v>
      </c>
      <c r="G1189" s="109" t="s">
        <v>4208</v>
      </c>
      <c r="H1189" s="109" t="s">
        <v>6056</v>
      </c>
      <c r="I1189" s="58" t="s">
        <v>3453</v>
      </c>
      <c r="J1189" s="109" t="s">
        <v>6057</v>
      </c>
      <c r="K1189" s="143" t="s">
        <v>6058</v>
      </c>
    </row>
    <row r="1190" spans="1:11">
      <c r="A1190" s="158"/>
      <c r="B1190" s="39"/>
      <c r="C1190" s="39"/>
      <c r="D1190" s="109" t="s">
        <v>6059</v>
      </c>
      <c r="E1190" s="109" t="s">
        <v>6060</v>
      </c>
      <c r="F1190" s="3" t="s">
        <v>2639</v>
      </c>
      <c r="G1190" s="109" t="s">
        <v>6061</v>
      </c>
      <c r="H1190" s="109" t="s">
        <v>6062</v>
      </c>
      <c r="I1190" s="58" t="s">
        <v>3459</v>
      </c>
      <c r="J1190" s="109" t="s">
        <v>6063</v>
      </c>
      <c r="K1190" s="143" t="s">
        <v>6064</v>
      </c>
    </row>
    <row r="1191" spans="1:11">
      <c r="A1191" s="158"/>
      <c r="B1191" s="39"/>
      <c r="C1191" s="39"/>
      <c r="D1191" s="109" t="s">
        <v>6065</v>
      </c>
      <c r="E1191" s="109" t="s">
        <v>6066</v>
      </c>
      <c r="F1191" s="3" t="s">
        <v>2640</v>
      </c>
      <c r="G1191" s="109" t="s">
        <v>6067</v>
      </c>
      <c r="H1191" s="109" t="s">
        <v>6068</v>
      </c>
      <c r="I1191" s="58" t="s">
        <v>3459</v>
      </c>
      <c r="J1191" s="109" t="s">
        <v>6069</v>
      </c>
      <c r="K1191" s="143" t="s">
        <v>6070</v>
      </c>
    </row>
    <row r="1192" spans="1:11">
      <c r="A1192" s="158"/>
      <c r="B1192" s="39"/>
      <c r="C1192" s="39"/>
      <c r="D1192" s="109" t="s">
        <v>6071</v>
      </c>
      <c r="E1192" s="109" t="s">
        <v>6072</v>
      </c>
      <c r="F1192" s="3" t="s">
        <v>2639</v>
      </c>
      <c r="G1192" s="109" t="s">
        <v>6073</v>
      </c>
      <c r="H1192" s="109" t="s">
        <v>5704</v>
      </c>
      <c r="I1192" s="58" t="s">
        <v>3453</v>
      </c>
      <c r="J1192" s="109" t="s">
        <v>6074</v>
      </c>
      <c r="K1192" s="143" t="s">
        <v>6075</v>
      </c>
    </row>
    <row r="1193" spans="1:11">
      <c r="A1193" s="158"/>
      <c r="B1193" s="39"/>
      <c r="C1193" s="39"/>
      <c r="D1193" s="109" t="s">
        <v>6076</v>
      </c>
      <c r="E1193" s="109" t="s">
        <v>6077</v>
      </c>
      <c r="F1193" s="3" t="s">
        <v>2640</v>
      </c>
      <c r="G1193" s="109" t="s">
        <v>5928</v>
      </c>
      <c r="H1193" s="109" t="s">
        <v>6078</v>
      </c>
      <c r="I1193" s="58" t="s">
        <v>3459</v>
      </c>
      <c r="J1193" s="109" t="s">
        <v>6079</v>
      </c>
      <c r="K1193" s="143" t="s">
        <v>6080</v>
      </c>
    </row>
    <row r="1194" spans="1:11">
      <c r="A1194" s="158"/>
      <c r="B1194" s="39"/>
      <c r="C1194" s="39" t="s">
        <v>1420</v>
      </c>
      <c r="D1194" s="109" t="s">
        <v>6081</v>
      </c>
      <c r="E1194" s="109" t="s">
        <v>6082</v>
      </c>
      <c r="F1194" s="3" t="s">
        <v>2639</v>
      </c>
      <c r="G1194" s="109" t="s">
        <v>6083</v>
      </c>
      <c r="H1194" s="109" t="s">
        <v>6084</v>
      </c>
      <c r="I1194" s="58" t="s">
        <v>3453</v>
      </c>
      <c r="J1194" s="109" t="s">
        <v>6085</v>
      </c>
      <c r="K1194" s="143" t="s">
        <v>6086</v>
      </c>
    </row>
    <row r="1195" spans="1:11">
      <c r="A1195" s="158"/>
      <c r="B1195" s="39"/>
      <c r="C1195" s="39"/>
      <c r="D1195" s="109" t="s">
        <v>6087</v>
      </c>
      <c r="E1195" s="109" t="s">
        <v>6088</v>
      </c>
      <c r="F1195" s="3" t="s">
        <v>2640</v>
      </c>
      <c r="G1195" s="109" t="s">
        <v>6089</v>
      </c>
      <c r="H1195" s="109" t="s">
        <v>6090</v>
      </c>
      <c r="I1195" s="58" t="s">
        <v>3459</v>
      </c>
      <c r="J1195" s="109" t="s">
        <v>6091</v>
      </c>
      <c r="K1195" s="143" t="s">
        <v>6092</v>
      </c>
    </row>
    <row r="1196" spans="1:11">
      <c r="A1196" s="158"/>
      <c r="B1196" s="39"/>
      <c r="C1196" s="39"/>
      <c r="D1196" s="109" t="s">
        <v>6093</v>
      </c>
      <c r="E1196" s="109" t="s">
        <v>6094</v>
      </c>
      <c r="F1196" s="3" t="s">
        <v>2639</v>
      </c>
      <c r="G1196" s="109" t="s">
        <v>6095</v>
      </c>
      <c r="H1196" s="109" t="s">
        <v>6096</v>
      </c>
      <c r="I1196" s="58" t="s">
        <v>3459</v>
      </c>
      <c r="J1196" s="109" t="s">
        <v>6097</v>
      </c>
      <c r="K1196" s="143" t="s">
        <v>6098</v>
      </c>
    </row>
    <row r="1197" spans="1:11">
      <c r="A1197" s="158"/>
      <c r="B1197" s="39"/>
      <c r="C1197" s="39"/>
      <c r="D1197" s="109" t="s">
        <v>6099</v>
      </c>
      <c r="E1197" s="109" t="s">
        <v>6100</v>
      </c>
      <c r="F1197" s="3" t="s">
        <v>2640</v>
      </c>
      <c r="G1197" s="109" t="s">
        <v>6101</v>
      </c>
      <c r="H1197" s="109" t="s">
        <v>6102</v>
      </c>
      <c r="I1197" s="58" t="s">
        <v>3459</v>
      </c>
      <c r="J1197" s="109" t="s">
        <v>6103</v>
      </c>
      <c r="K1197" s="143" t="s">
        <v>6104</v>
      </c>
    </row>
    <row r="1198" spans="1:11">
      <c r="A1198" s="158"/>
      <c r="B1198" s="39"/>
      <c r="C1198" s="39"/>
      <c r="D1198" s="109" t="s">
        <v>6105</v>
      </c>
      <c r="E1198" s="109" t="s">
        <v>6106</v>
      </c>
      <c r="F1198" s="3" t="s">
        <v>2640</v>
      </c>
      <c r="G1198" s="109" t="s">
        <v>6107</v>
      </c>
      <c r="H1198" s="109" t="s">
        <v>6108</v>
      </c>
      <c r="I1198" s="58" t="s">
        <v>3459</v>
      </c>
      <c r="J1198" s="109" t="s">
        <v>6109</v>
      </c>
      <c r="K1198" s="143" t="s">
        <v>6110</v>
      </c>
    </row>
    <row r="1199" spans="1:11">
      <c r="A1199" s="158"/>
      <c r="B1199" s="39"/>
      <c r="C1199" s="39" t="s">
        <v>1421</v>
      </c>
      <c r="D1199" s="109" t="s">
        <v>6029</v>
      </c>
      <c r="E1199" s="109" t="s">
        <v>6111</v>
      </c>
      <c r="F1199" s="3" t="s">
        <v>2639</v>
      </c>
      <c r="G1199" s="109" t="s">
        <v>6112</v>
      </c>
      <c r="H1199" s="109" t="s">
        <v>6032</v>
      </c>
      <c r="I1199" s="58" t="s">
        <v>3453</v>
      </c>
      <c r="J1199" s="109" t="s">
        <v>6113</v>
      </c>
      <c r="K1199" s="143" t="s">
        <v>6114</v>
      </c>
    </row>
    <row r="1200" spans="1:11">
      <c r="A1200" s="158"/>
      <c r="B1200" s="39"/>
      <c r="C1200" s="39"/>
      <c r="D1200" s="109" t="s">
        <v>6115</v>
      </c>
      <c r="E1200" s="109" t="s">
        <v>6116</v>
      </c>
      <c r="F1200" s="3" t="s">
        <v>2639</v>
      </c>
      <c r="G1200" s="109" t="s">
        <v>6117</v>
      </c>
      <c r="H1200" s="109" t="s">
        <v>6118</v>
      </c>
      <c r="I1200" s="58" t="s">
        <v>3453</v>
      </c>
      <c r="J1200" s="109" t="s">
        <v>6119</v>
      </c>
      <c r="K1200" s="143" t="s">
        <v>6120</v>
      </c>
    </row>
    <row r="1201" spans="1:11">
      <c r="A1201" s="158"/>
      <c r="B1201" s="39"/>
      <c r="C1201" s="39"/>
      <c r="D1201" s="109" t="s">
        <v>6054</v>
      </c>
      <c r="E1201" s="109" t="s">
        <v>6121</v>
      </c>
      <c r="F1201" s="3" t="s">
        <v>2640</v>
      </c>
      <c r="G1201" s="109" t="s">
        <v>6122</v>
      </c>
      <c r="H1201" s="109" t="s">
        <v>6123</v>
      </c>
      <c r="I1201" s="58" t="s">
        <v>3453</v>
      </c>
      <c r="J1201" s="109" t="s">
        <v>6124</v>
      </c>
      <c r="K1201" s="143" t="s">
        <v>6125</v>
      </c>
    </row>
    <row r="1202" spans="1:11">
      <c r="A1202" s="158"/>
      <c r="B1202" s="39"/>
      <c r="C1202" s="39"/>
      <c r="D1202" s="109" t="s">
        <v>5777</v>
      </c>
      <c r="E1202" s="109" t="s">
        <v>6126</v>
      </c>
      <c r="F1202" s="3" t="s">
        <v>2639</v>
      </c>
      <c r="G1202" s="109" t="s">
        <v>4208</v>
      </c>
      <c r="H1202" s="109" t="s">
        <v>1987</v>
      </c>
      <c r="I1202" s="58" t="s">
        <v>3459</v>
      </c>
      <c r="J1202" s="109" t="s">
        <v>6127</v>
      </c>
      <c r="K1202" s="143" t="s">
        <v>6128</v>
      </c>
    </row>
    <row r="1203" spans="1:11">
      <c r="A1203" s="158"/>
      <c r="B1203" s="39"/>
      <c r="C1203" s="39"/>
      <c r="D1203" s="109" t="s">
        <v>3594</v>
      </c>
      <c r="E1203" s="109" t="s">
        <v>6129</v>
      </c>
      <c r="F1203" s="3" t="s">
        <v>2640</v>
      </c>
      <c r="G1203" s="109" t="s">
        <v>6130</v>
      </c>
      <c r="H1203" s="109" t="s">
        <v>6131</v>
      </c>
      <c r="I1203" s="58" t="s">
        <v>3459</v>
      </c>
      <c r="J1203" s="109" t="s">
        <v>6132</v>
      </c>
      <c r="K1203" s="143" t="s">
        <v>6133</v>
      </c>
    </row>
    <row r="1204" spans="1:11">
      <c r="A1204" s="158"/>
      <c r="B1204" s="39"/>
      <c r="C1204" s="39" t="s">
        <v>1422</v>
      </c>
      <c r="D1204" s="109" t="s">
        <v>6134</v>
      </c>
      <c r="E1204" s="109" t="s">
        <v>6135</v>
      </c>
      <c r="F1204" s="3" t="s">
        <v>2639</v>
      </c>
      <c r="G1204" s="109" t="s">
        <v>6136</v>
      </c>
      <c r="H1204" s="109" t="s">
        <v>6137</v>
      </c>
      <c r="I1204" s="58" t="s">
        <v>3453</v>
      </c>
      <c r="J1204" s="109" t="s">
        <v>6138</v>
      </c>
      <c r="K1204" s="143" t="s">
        <v>6139</v>
      </c>
    </row>
    <row r="1205" spans="1:11">
      <c r="A1205" s="158"/>
      <c r="B1205" s="39"/>
      <c r="C1205" s="39"/>
      <c r="D1205" s="109" t="s">
        <v>6140</v>
      </c>
      <c r="E1205" s="109" t="s">
        <v>6141</v>
      </c>
      <c r="F1205" s="3" t="s">
        <v>2639</v>
      </c>
      <c r="G1205" s="109" t="s">
        <v>6142</v>
      </c>
      <c r="H1205" s="109" t="s">
        <v>6143</v>
      </c>
      <c r="I1205" s="58" t="s">
        <v>3459</v>
      </c>
      <c r="J1205" s="109" t="s">
        <v>6144</v>
      </c>
      <c r="K1205" s="143" t="s">
        <v>6145</v>
      </c>
    </row>
    <row r="1206" spans="1:11">
      <c r="A1206" s="158"/>
      <c r="B1206" s="39"/>
      <c r="C1206" s="39"/>
      <c r="D1206" s="109" t="s">
        <v>6065</v>
      </c>
      <c r="E1206" s="109" t="s">
        <v>6146</v>
      </c>
      <c r="F1206" s="3" t="s">
        <v>2640</v>
      </c>
      <c r="G1206" s="109" t="s">
        <v>3160</v>
      </c>
      <c r="H1206" s="109" t="s">
        <v>6147</v>
      </c>
      <c r="I1206" s="58" t="s">
        <v>3459</v>
      </c>
      <c r="J1206" s="109" t="s">
        <v>6056</v>
      </c>
      <c r="K1206" s="143" t="s">
        <v>6070</v>
      </c>
    </row>
    <row r="1207" spans="1:11">
      <c r="A1207" s="158"/>
      <c r="B1207" s="39"/>
      <c r="C1207" s="39"/>
      <c r="D1207" s="109" t="s">
        <v>6148</v>
      </c>
      <c r="E1207" s="109" t="s">
        <v>6149</v>
      </c>
      <c r="F1207" s="3" t="s">
        <v>2640</v>
      </c>
      <c r="G1207" s="109" t="s">
        <v>6150</v>
      </c>
      <c r="H1207" s="109" t="s">
        <v>6151</v>
      </c>
      <c r="I1207" s="58" t="s">
        <v>3453</v>
      </c>
      <c r="J1207" s="109" t="s">
        <v>6152</v>
      </c>
      <c r="K1207" s="143" t="s">
        <v>6153</v>
      </c>
    </row>
    <row r="1208" spans="1:11">
      <c r="A1208" s="158"/>
      <c r="B1208" s="39"/>
      <c r="C1208" s="39"/>
      <c r="D1208" s="109" t="s">
        <v>6154</v>
      </c>
      <c r="E1208" s="109" t="s">
        <v>6155</v>
      </c>
      <c r="F1208" s="3" t="s">
        <v>2639</v>
      </c>
      <c r="G1208" s="109" t="s">
        <v>6061</v>
      </c>
      <c r="H1208" s="109" t="s">
        <v>6156</v>
      </c>
      <c r="I1208" s="58" t="s">
        <v>3459</v>
      </c>
      <c r="J1208" s="109" t="s">
        <v>6157</v>
      </c>
      <c r="K1208" s="143" t="s">
        <v>6158</v>
      </c>
    </row>
    <row r="1209" spans="1:11">
      <c r="A1209" s="158"/>
      <c r="B1209" s="39" t="s">
        <v>1378</v>
      </c>
      <c r="C1209" s="39" t="s">
        <v>1423</v>
      </c>
      <c r="D1209" s="109" t="s">
        <v>6231</v>
      </c>
      <c r="E1209" s="109" t="s">
        <v>6232</v>
      </c>
      <c r="F1209" s="3" t="s">
        <v>2639</v>
      </c>
      <c r="G1209" s="109" t="s">
        <v>6112</v>
      </c>
      <c r="H1209" s="109" t="s">
        <v>6233</v>
      </c>
      <c r="I1209" s="58" t="s">
        <v>3453</v>
      </c>
      <c r="J1209" s="109" t="s">
        <v>6234</v>
      </c>
      <c r="K1209" s="143" t="s">
        <v>6235</v>
      </c>
    </row>
    <row r="1210" spans="1:11">
      <c r="A1210" s="158"/>
      <c r="B1210" s="39"/>
      <c r="C1210" s="39"/>
      <c r="D1210" s="109" t="s">
        <v>6236</v>
      </c>
      <c r="E1210" s="109" t="s">
        <v>6237</v>
      </c>
      <c r="F1210" s="3" t="s">
        <v>2639</v>
      </c>
      <c r="G1210" s="109" t="s">
        <v>6238</v>
      </c>
      <c r="H1210" s="109" t="s">
        <v>6239</v>
      </c>
      <c r="I1210" s="58" t="s">
        <v>3453</v>
      </c>
      <c r="J1210" s="109" t="s">
        <v>6240</v>
      </c>
      <c r="K1210" s="143" t="s">
        <v>6241</v>
      </c>
    </row>
    <row r="1211" spans="1:11">
      <c r="A1211" s="158"/>
      <c r="B1211" s="39"/>
      <c r="C1211" s="39"/>
      <c r="D1211" s="109" t="s">
        <v>6242</v>
      </c>
      <c r="E1211" s="109" t="s">
        <v>6243</v>
      </c>
      <c r="F1211" s="3" t="s">
        <v>2639</v>
      </c>
      <c r="G1211" s="109" t="s">
        <v>6244</v>
      </c>
      <c r="H1211" s="109" t="s">
        <v>6245</v>
      </c>
      <c r="I1211" s="58" t="s">
        <v>3459</v>
      </c>
      <c r="J1211" s="109" t="s">
        <v>6246</v>
      </c>
      <c r="K1211" s="143" t="s">
        <v>6247</v>
      </c>
    </row>
    <row r="1212" spans="1:11">
      <c r="A1212" s="158"/>
      <c r="B1212" s="39"/>
      <c r="C1212" s="39"/>
      <c r="D1212" s="109" t="s">
        <v>6248</v>
      </c>
      <c r="E1212" s="109" t="s">
        <v>6249</v>
      </c>
      <c r="F1212" s="3" t="s">
        <v>2639</v>
      </c>
      <c r="G1212" s="109" t="s">
        <v>6250</v>
      </c>
      <c r="H1212" s="109" t="s">
        <v>6251</v>
      </c>
      <c r="I1212" s="58" t="s">
        <v>3459</v>
      </c>
      <c r="J1212" s="109" t="s">
        <v>6252</v>
      </c>
      <c r="K1212" s="143" t="s">
        <v>6253</v>
      </c>
    </row>
    <row r="1213" spans="1:11">
      <c r="A1213" s="158"/>
      <c r="B1213" s="39"/>
      <c r="C1213" s="39"/>
      <c r="D1213" s="109" t="s">
        <v>6254</v>
      </c>
      <c r="E1213" s="109" t="s">
        <v>6255</v>
      </c>
      <c r="F1213" s="3" t="s">
        <v>2641</v>
      </c>
      <c r="G1213" s="109" t="s">
        <v>6256</v>
      </c>
      <c r="H1213" s="109" t="s">
        <v>5785</v>
      </c>
      <c r="I1213" s="58" t="s">
        <v>3459</v>
      </c>
      <c r="J1213" s="109" t="s">
        <v>6257</v>
      </c>
      <c r="K1213" s="143" t="s">
        <v>6258</v>
      </c>
    </row>
    <row r="1214" spans="1:11">
      <c r="A1214" s="158"/>
      <c r="B1214" s="39"/>
      <c r="C1214" s="39" t="s">
        <v>1419</v>
      </c>
      <c r="D1214" s="109" t="s">
        <v>6259</v>
      </c>
      <c r="E1214" s="109" t="s">
        <v>6260</v>
      </c>
      <c r="F1214" s="3" t="s">
        <v>2639</v>
      </c>
      <c r="G1214" s="109" t="s">
        <v>6261</v>
      </c>
      <c r="H1214" s="109" t="s">
        <v>6084</v>
      </c>
      <c r="I1214" s="58" t="s">
        <v>3453</v>
      </c>
      <c r="J1214" s="109" t="s">
        <v>6262</v>
      </c>
      <c r="K1214" s="143" t="s">
        <v>6263</v>
      </c>
    </row>
    <row r="1215" spans="1:11">
      <c r="A1215" s="158"/>
      <c r="B1215" s="39"/>
      <c r="C1215" s="39"/>
      <c r="D1215" s="109" t="s">
        <v>6264</v>
      </c>
      <c r="E1215" s="109" t="s">
        <v>6265</v>
      </c>
      <c r="F1215" s="3" t="s">
        <v>2640</v>
      </c>
      <c r="G1215" s="109" t="s">
        <v>2240</v>
      </c>
      <c r="H1215" s="109" t="s">
        <v>6266</v>
      </c>
      <c r="I1215" s="58" t="s">
        <v>3453</v>
      </c>
      <c r="J1215" s="109" t="s">
        <v>6267</v>
      </c>
      <c r="K1215" s="143" t="s">
        <v>6268</v>
      </c>
    </row>
    <row r="1216" spans="1:11">
      <c r="A1216" s="158"/>
      <c r="B1216" s="39"/>
      <c r="C1216" s="39"/>
      <c r="D1216" s="109" t="s">
        <v>6269</v>
      </c>
      <c r="E1216" s="109" t="s">
        <v>6270</v>
      </c>
      <c r="F1216" s="3" t="s">
        <v>2641</v>
      </c>
      <c r="G1216" s="109" t="s">
        <v>3029</v>
      </c>
      <c r="H1216" s="109" t="s">
        <v>1915</v>
      </c>
      <c r="I1216" s="58" t="s">
        <v>3459</v>
      </c>
      <c r="J1216" s="109" t="s">
        <v>6271</v>
      </c>
      <c r="K1216" s="143" t="s">
        <v>6272</v>
      </c>
    </row>
    <row r="1217" spans="1:11">
      <c r="A1217" s="158"/>
      <c r="B1217" s="39"/>
      <c r="C1217" s="39"/>
      <c r="D1217" s="109" t="s">
        <v>6273</v>
      </c>
      <c r="E1217" s="109" t="s">
        <v>6274</v>
      </c>
      <c r="F1217" s="3" t="s">
        <v>2640</v>
      </c>
      <c r="G1217" s="109" t="s">
        <v>3178</v>
      </c>
      <c r="H1217" s="109" t="s">
        <v>5785</v>
      </c>
      <c r="I1217" s="58" t="s">
        <v>3459</v>
      </c>
      <c r="J1217" s="109" t="s">
        <v>6275</v>
      </c>
      <c r="K1217" s="143" t="s">
        <v>6276</v>
      </c>
    </row>
    <row r="1218" spans="1:11">
      <c r="A1218" s="158"/>
      <c r="B1218" s="39"/>
      <c r="C1218" s="39"/>
      <c r="D1218" s="109" t="s">
        <v>6277</v>
      </c>
      <c r="E1218" s="109" t="s">
        <v>6278</v>
      </c>
      <c r="F1218" s="3" t="s">
        <v>2639</v>
      </c>
      <c r="G1218" s="109" t="s">
        <v>6279</v>
      </c>
      <c r="H1218" s="109" t="s">
        <v>6280</v>
      </c>
      <c r="I1218" s="58" t="s">
        <v>3459</v>
      </c>
      <c r="J1218" s="109" t="s">
        <v>6281</v>
      </c>
      <c r="K1218" s="143" t="s">
        <v>6282</v>
      </c>
    </row>
    <row r="1219" spans="1:11">
      <c r="A1219" s="158"/>
      <c r="B1219" s="39"/>
      <c r="C1219" s="39" t="s">
        <v>1424</v>
      </c>
      <c r="D1219" s="109" t="s">
        <v>6283</v>
      </c>
      <c r="E1219" s="109" t="s">
        <v>6284</v>
      </c>
      <c r="F1219" s="3" t="s">
        <v>2641</v>
      </c>
      <c r="G1219" s="109" t="s">
        <v>6285</v>
      </c>
      <c r="H1219" s="109" t="s">
        <v>6286</v>
      </c>
      <c r="I1219" s="58" t="s">
        <v>3453</v>
      </c>
      <c r="J1219" s="109" t="s">
        <v>6287</v>
      </c>
      <c r="K1219" s="143" t="s">
        <v>6288</v>
      </c>
    </row>
    <row r="1220" spans="1:11">
      <c r="A1220" s="158"/>
      <c r="B1220" s="39"/>
      <c r="C1220" s="39"/>
      <c r="D1220" s="109" t="s">
        <v>6289</v>
      </c>
      <c r="E1220" s="109" t="s">
        <v>6290</v>
      </c>
      <c r="F1220" s="3" t="s">
        <v>2640</v>
      </c>
      <c r="G1220" s="109" t="s">
        <v>3807</v>
      </c>
      <c r="H1220" s="109" t="s">
        <v>6291</v>
      </c>
      <c r="I1220" s="58" t="s">
        <v>3459</v>
      </c>
      <c r="J1220" s="109" t="s">
        <v>6292</v>
      </c>
      <c r="K1220" s="143" t="s">
        <v>6293</v>
      </c>
    </row>
    <row r="1221" spans="1:11">
      <c r="A1221" s="158"/>
      <c r="B1221" s="39"/>
      <c r="C1221" s="39"/>
      <c r="D1221" s="109" t="s">
        <v>6294</v>
      </c>
      <c r="E1221" s="109" t="s">
        <v>6295</v>
      </c>
      <c r="F1221" s="3" t="s">
        <v>2639</v>
      </c>
      <c r="G1221" s="109" t="s">
        <v>5917</v>
      </c>
      <c r="H1221" s="109" t="s">
        <v>5762</v>
      </c>
      <c r="I1221" s="58" t="s">
        <v>3453</v>
      </c>
      <c r="J1221" s="109" t="s">
        <v>6296</v>
      </c>
      <c r="K1221" s="143" t="s">
        <v>6297</v>
      </c>
    </row>
    <row r="1222" spans="1:11">
      <c r="A1222" s="158"/>
      <c r="B1222" s="39"/>
      <c r="C1222" s="39"/>
      <c r="D1222" s="109" t="s">
        <v>6298</v>
      </c>
      <c r="E1222" s="109" t="s">
        <v>6299</v>
      </c>
      <c r="F1222" s="3" t="s">
        <v>2641</v>
      </c>
      <c r="G1222" s="109" t="s">
        <v>6300</v>
      </c>
      <c r="H1222" s="109" t="s">
        <v>6301</v>
      </c>
      <c r="I1222" s="58" t="s">
        <v>3459</v>
      </c>
      <c r="J1222" s="109" t="s">
        <v>6302</v>
      </c>
      <c r="K1222" s="143" t="s">
        <v>6303</v>
      </c>
    </row>
    <row r="1223" spans="1:11">
      <c r="A1223" s="158"/>
      <c r="B1223" s="39"/>
      <c r="C1223" s="39"/>
      <c r="D1223" s="109" t="s">
        <v>6304</v>
      </c>
      <c r="E1223" s="109" t="s">
        <v>6305</v>
      </c>
      <c r="F1223" s="3" t="s">
        <v>2640</v>
      </c>
      <c r="G1223" s="109" t="s">
        <v>6306</v>
      </c>
      <c r="H1223" s="109" t="s">
        <v>6307</v>
      </c>
      <c r="I1223" s="58" t="s">
        <v>3459</v>
      </c>
      <c r="J1223" s="109" t="s">
        <v>6308</v>
      </c>
      <c r="K1223" s="143" t="s">
        <v>6309</v>
      </c>
    </row>
    <row r="1224" spans="1:11">
      <c r="A1224" s="158"/>
      <c r="B1224" s="39"/>
      <c r="C1224" s="39" t="s">
        <v>1425</v>
      </c>
      <c r="D1224" s="109" t="s">
        <v>6310</v>
      </c>
      <c r="E1224" s="109" t="s">
        <v>6311</v>
      </c>
      <c r="F1224" s="3" t="s">
        <v>2639</v>
      </c>
      <c r="G1224" s="109" t="s">
        <v>6230</v>
      </c>
      <c r="H1224" s="109" t="s">
        <v>6312</v>
      </c>
      <c r="I1224" s="58" t="s">
        <v>3453</v>
      </c>
      <c r="J1224" s="109" t="s">
        <v>6313</v>
      </c>
      <c r="K1224" s="143" t="s">
        <v>6314</v>
      </c>
    </row>
    <row r="1225" spans="1:11">
      <c r="A1225" s="158"/>
      <c r="B1225" s="39"/>
      <c r="C1225" s="39"/>
      <c r="D1225" s="109" t="s">
        <v>6315</v>
      </c>
      <c r="E1225" s="109" t="s">
        <v>6316</v>
      </c>
      <c r="F1225" s="3" t="s">
        <v>2639</v>
      </c>
      <c r="G1225" s="109" t="s">
        <v>6317</v>
      </c>
      <c r="H1225" s="109" t="s">
        <v>6318</v>
      </c>
      <c r="I1225" s="58" t="s">
        <v>3453</v>
      </c>
      <c r="J1225" s="109" t="s">
        <v>6319</v>
      </c>
      <c r="K1225" s="143" t="s">
        <v>6320</v>
      </c>
    </row>
    <row r="1226" spans="1:11">
      <c r="A1226" s="158"/>
      <c r="B1226" s="39"/>
      <c r="C1226" s="39"/>
      <c r="D1226" s="109" t="s">
        <v>6321</v>
      </c>
      <c r="E1226" s="109" t="s">
        <v>6322</v>
      </c>
      <c r="F1226" s="3" t="s">
        <v>2640</v>
      </c>
      <c r="G1226" s="109" t="s">
        <v>6323</v>
      </c>
      <c r="H1226" s="109" t="s">
        <v>6324</v>
      </c>
      <c r="I1226" s="58" t="s">
        <v>3459</v>
      </c>
      <c r="J1226" s="109" t="s">
        <v>6325</v>
      </c>
      <c r="K1226" s="143" t="s">
        <v>6326</v>
      </c>
    </row>
    <row r="1227" spans="1:11">
      <c r="A1227" s="158"/>
      <c r="B1227" s="39"/>
      <c r="C1227" s="39"/>
      <c r="D1227" s="109" t="s">
        <v>6327</v>
      </c>
      <c r="E1227" s="109" t="s">
        <v>6328</v>
      </c>
      <c r="F1227" s="3" t="s">
        <v>2639</v>
      </c>
      <c r="G1227" s="109" t="s">
        <v>6329</v>
      </c>
      <c r="H1227" s="109" t="s">
        <v>4522</v>
      </c>
      <c r="I1227" s="58" t="s">
        <v>3581</v>
      </c>
      <c r="J1227" s="109" t="s">
        <v>6330</v>
      </c>
      <c r="K1227" s="143" t="s">
        <v>6331</v>
      </c>
    </row>
    <row r="1228" spans="1:11">
      <c r="A1228" s="158"/>
      <c r="B1228" s="39"/>
      <c r="C1228" s="39"/>
      <c r="D1228" s="109" t="s">
        <v>6332</v>
      </c>
      <c r="E1228" s="109" t="s">
        <v>6333</v>
      </c>
      <c r="F1228" s="3" t="s">
        <v>2639</v>
      </c>
      <c r="G1228" s="109" t="s">
        <v>6334</v>
      </c>
      <c r="H1228" s="109" t="s">
        <v>6335</v>
      </c>
      <c r="I1228" s="58" t="s">
        <v>3459</v>
      </c>
      <c r="J1228" s="109" t="s">
        <v>6336</v>
      </c>
      <c r="K1228" s="143" t="s">
        <v>6337</v>
      </c>
    </row>
    <row r="1229" spans="1:11">
      <c r="A1229" s="158"/>
      <c r="B1229" s="39"/>
      <c r="C1229" s="39" t="s">
        <v>1426</v>
      </c>
      <c r="D1229" s="109" t="s">
        <v>6338</v>
      </c>
      <c r="E1229" s="109" t="s">
        <v>6339</v>
      </c>
      <c r="F1229" s="3" t="s">
        <v>2640</v>
      </c>
      <c r="G1229" s="109" t="s">
        <v>2921</v>
      </c>
      <c r="H1229" s="109" t="s">
        <v>2229</v>
      </c>
      <c r="I1229" s="58" t="s">
        <v>3453</v>
      </c>
      <c r="J1229" s="109" t="s">
        <v>6340</v>
      </c>
      <c r="K1229" s="143" t="s">
        <v>6341</v>
      </c>
    </row>
    <row r="1230" spans="1:11">
      <c r="A1230" s="158"/>
      <c r="B1230" s="39"/>
      <c r="C1230" s="39"/>
      <c r="D1230" s="109" t="s">
        <v>6342</v>
      </c>
      <c r="E1230" s="109" t="s">
        <v>6343</v>
      </c>
      <c r="F1230" s="3" t="s">
        <v>2640</v>
      </c>
      <c r="G1230" s="109" t="s">
        <v>6344</v>
      </c>
      <c r="H1230" s="109" t="s">
        <v>6345</v>
      </c>
      <c r="I1230" s="58" t="s">
        <v>3453</v>
      </c>
      <c r="J1230" s="109" t="s">
        <v>6346</v>
      </c>
      <c r="K1230" s="143" t="s">
        <v>6347</v>
      </c>
    </row>
    <row r="1231" spans="1:11">
      <c r="A1231" s="158"/>
      <c r="B1231" s="39"/>
      <c r="C1231" s="39"/>
      <c r="D1231" s="109" t="s">
        <v>3079</v>
      </c>
      <c r="E1231" s="109" t="s">
        <v>6348</v>
      </c>
      <c r="F1231" s="3" t="s">
        <v>2641</v>
      </c>
      <c r="G1231" s="109" t="s">
        <v>3160</v>
      </c>
      <c r="H1231" s="109" t="s">
        <v>2229</v>
      </c>
      <c r="I1231" s="58" t="s">
        <v>3459</v>
      </c>
      <c r="J1231" s="109" t="s">
        <v>6349</v>
      </c>
      <c r="K1231" s="143" t="s">
        <v>6350</v>
      </c>
    </row>
    <row r="1232" spans="1:11">
      <c r="A1232" s="158"/>
      <c r="B1232" s="39"/>
      <c r="C1232" s="39"/>
      <c r="D1232" s="109" t="s">
        <v>6351</v>
      </c>
      <c r="E1232" s="109" t="s">
        <v>6352</v>
      </c>
      <c r="F1232" s="3" t="s">
        <v>2639</v>
      </c>
      <c r="G1232" s="109" t="s">
        <v>6353</v>
      </c>
      <c r="H1232" s="109" t="s">
        <v>6354</v>
      </c>
      <c r="I1232" s="58" t="s">
        <v>3459</v>
      </c>
      <c r="J1232" s="109" t="s">
        <v>6355</v>
      </c>
      <c r="K1232" s="143" t="s">
        <v>6356</v>
      </c>
    </row>
    <row r="1233" spans="1:11">
      <c r="A1233" s="158"/>
      <c r="B1233" s="39"/>
      <c r="C1233" s="39"/>
      <c r="D1233" s="109" t="s">
        <v>6357</v>
      </c>
      <c r="E1233" s="109" t="s">
        <v>6358</v>
      </c>
      <c r="F1233" s="3" t="s">
        <v>2639</v>
      </c>
      <c r="G1233" s="109" t="s">
        <v>6359</v>
      </c>
      <c r="H1233" s="109" t="s">
        <v>6360</v>
      </c>
      <c r="I1233" s="58" t="s">
        <v>3459</v>
      </c>
      <c r="J1233" s="109" t="s">
        <v>6361</v>
      </c>
      <c r="K1233" s="143"/>
    </row>
    <row r="1234" spans="1:11">
      <c r="A1234" s="158"/>
      <c r="B1234" s="39" t="s">
        <v>1379</v>
      </c>
      <c r="C1234" s="39" t="s">
        <v>1427</v>
      </c>
      <c r="D1234" s="109" t="s">
        <v>6362</v>
      </c>
      <c r="E1234" s="109" t="s">
        <v>6363</v>
      </c>
      <c r="F1234" s="3" t="s">
        <v>2639</v>
      </c>
      <c r="G1234" s="109" t="s">
        <v>5094</v>
      </c>
      <c r="H1234" s="109" t="s">
        <v>6364</v>
      </c>
      <c r="I1234" s="58" t="s">
        <v>3459</v>
      </c>
      <c r="J1234" s="109" t="s">
        <v>6365</v>
      </c>
      <c r="K1234" s="143" t="s">
        <v>6366</v>
      </c>
    </row>
    <row r="1235" spans="1:11">
      <c r="A1235" s="158"/>
      <c r="B1235" s="39"/>
      <c r="C1235" s="39"/>
      <c r="D1235" s="109" t="s">
        <v>6367</v>
      </c>
      <c r="E1235" s="109" t="s">
        <v>6368</v>
      </c>
      <c r="F1235" s="3" t="s">
        <v>2640</v>
      </c>
      <c r="G1235" s="109" t="s">
        <v>6369</v>
      </c>
      <c r="H1235" s="109" t="s">
        <v>6370</v>
      </c>
      <c r="I1235" s="58" t="s">
        <v>3453</v>
      </c>
      <c r="J1235" s="109" t="s">
        <v>2232</v>
      </c>
      <c r="K1235" s="143" t="s">
        <v>6371</v>
      </c>
    </row>
    <row r="1236" spans="1:11">
      <c r="A1236" s="158"/>
      <c r="B1236" s="39"/>
      <c r="C1236" s="39"/>
      <c r="D1236" s="109" t="s">
        <v>6372</v>
      </c>
      <c r="E1236" s="109" t="s">
        <v>6373</v>
      </c>
      <c r="F1236" s="3" t="s">
        <v>2639</v>
      </c>
      <c r="G1236" s="109" t="s">
        <v>2742</v>
      </c>
      <c r="H1236" s="109" t="s">
        <v>3000</v>
      </c>
      <c r="I1236" s="58" t="s">
        <v>3459</v>
      </c>
      <c r="J1236" s="109" t="s">
        <v>6374</v>
      </c>
      <c r="K1236" s="143" t="s">
        <v>6375</v>
      </c>
    </row>
    <row r="1237" spans="1:11">
      <c r="A1237" s="158"/>
      <c r="B1237" s="39"/>
      <c r="C1237" s="39"/>
      <c r="D1237" s="109" t="s">
        <v>6376</v>
      </c>
      <c r="E1237" s="109" t="s">
        <v>6377</v>
      </c>
      <c r="F1237" s="3" t="s">
        <v>2639</v>
      </c>
      <c r="G1237" s="109" t="s">
        <v>6378</v>
      </c>
      <c r="H1237" s="109" t="s">
        <v>6379</v>
      </c>
      <c r="I1237" s="58" t="s">
        <v>3459</v>
      </c>
      <c r="J1237" s="109" t="s">
        <v>6380</v>
      </c>
      <c r="K1237" s="143" t="s">
        <v>6381</v>
      </c>
    </row>
    <row r="1238" spans="1:11">
      <c r="A1238" s="158"/>
      <c r="B1238" s="39"/>
      <c r="C1238" s="39"/>
      <c r="D1238" s="109" t="s">
        <v>6382</v>
      </c>
      <c r="E1238" s="109" t="s">
        <v>6383</v>
      </c>
      <c r="F1238" s="3" t="s">
        <v>2641</v>
      </c>
      <c r="G1238" s="109" t="s">
        <v>6384</v>
      </c>
      <c r="H1238" s="109" t="s">
        <v>6385</v>
      </c>
      <c r="I1238" s="58" t="s">
        <v>3453</v>
      </c>
      <c r="J1238" s="109" t="s">
        <v>6386</v>
      </c>
      <c r="K1238" s="143" t="s">
        <v>6387</v>
      </c>
    </row>
    <row r="1239" spans="1:11">
      <c r="A1239" s="158"/>
      <c r="B1239" s="39"/>
      <c r="C1239" s="39" t="s">
        <v>1428</v>
      </c>
      <c r="D1239" s="109" t="s">
        <v>6388</v>
      </c>
      <c r="E1239" s="109" t="s">
        <v>6389</v>
      </c>
      <c r="F1239" s="3" t="s">
        <v>2640</v>
      </c>
      <c r="G1239" s="109" t="s">
        <v>2213</v>
      </c>
      <c r="H1239" s="109" t="s">
        <v>2229</v>
      </c>
      <c r="I1239" s="58" t="s">
        <v>3453</v>
      </c>
      <c r="J1239" s="109" t="s">
        <v>5406</v>
      </c>
      <c r="K1239" s="143" t="s">
        <v>6390</v>
      </c>
    </row>
    <row r="1240" spans="1:11">
      <c r="A1240" s="158"/>
      <c r="B1240" s="39"/>
      <c r="C1240" s="39"/>
      <c r="D1240" s="109" t="s">
        <v>6391</v>
      </c>
      <c r="E1240" s="109" t="s">
        <v>6392</v>
      </c>
      <c r="F1240" s="3" t="s">
        <v>2639</v>
      </c>
      <c r="G1240" s="109" t="s">
        <v>6393</v>
      </c>
      <c r="H1240" s="109" t="s">
        <v>6394</v>
      </c>
      <c r="I1240" s="58" t="s">
        <v>3459</v>
      </c>
      <c r="J1240" s="109" t="s">
        <v>6395</v>
      </c>
      <c r="K1240" s="143" t="s">
        <v>6396</v>
      </c>
    </row>
    <row r="1241" spans="1:11">
      <c r="A1241" s="158"/>
      <c r="B1241" s="39"/>
      <c r="C1241" s="39"/>
      <c r="D1241" s="109" t="s">
        <v>6397</v>
      </c>
      <c r="E1241" s="109" t="s">
        <v>6398</v>
      </c>
      <c r="F1241" s="3" t="s">
        <v>2640</v>
      </c>
      <c r="G1241" s="109" t="s">
        <v>6399</v>
      </c>
      <c r="H1241" s="109" t="s">
        <v>6400</v>
      </c>
      <c r="I1241" s="58" t="s">
        <v>3453</v>
      </c>
      <c r="J1241" s="109" t="s">
        <v>6401</v>
      </c>
      <c r="K1241" s="143" t="s">
        <v>6402</v>
      </c>
    </row>
    <row r="1242" spans="1:11">
      <c r="A1242" s="158"/>
      <c r="B1242" s="39"/>
      <c r="C1242" s="39"/>
      <c r="D1242" s="109" t="s">
        <v>6403</v>
      </c>
      <c r="E1242" s="109" t="s">
        <v>6404</v>
      </c>
      <c r="F1242" s="3" t="s">
        <v>2641</v>
      </c>
      <c r="G1242" s="109" t="s">
        <v>6405</v>
      </c>
      <c r="H1242" s="109" t="s">
        <v>6406</v>
      </c>
      <c r="I1242" s="58" t="s">
        <v>3459</v>
      </c>
      <c r="J1242" s="109" t="s">
        <v>6407</v>
      </c>
      <c r="K1242" s="143" t="s">
        <v>6408</v>
      </c>
    </row>
    <row r="1243" spans="1:11">
      <c r="A1243" s="158"/>
      <c r="B1243" s="39"/>
      <c r="C1243" s="39"/>
      <c r="D1243" s="109" t="s">
        <v>6409</v>
      </c>
      <c r="E1243" s="109" t="s">
        <v>6410</v>
      </c>
      <c r="F1243" s="3" t="s">
        <v>2639</v>
      </c>
      <c r="G1243" s="109" t="s">
        <v>6411</v>
      </c>
      <c r="H1243" s="109" t="s">
        <v>6412</v>
      </c>
      <c r="I1243" s="58" t="s">
        <v>3459</v>
      </c>
      <c r="J1243" s="109" t="s">
        <v>6413</v>
      </c>
      <c r="K1243" s="143" t="s">
        <v>6414</v>
      </c>
    </row>
    <row r="1244" spans="1:11">
      <c r="A1244" s="158"/>
      <c r="B1244" s="39"/>
      <c r="C1244" s="39" t="s">
        <v>1429</v>
      </c>
      <c r="D1244" s="109" t="s">
        <v>6415</v>
      </c>
      <c r="E1244" s="109" t="s">
        <v>6416</v>
      </c>
      <c r="F1244" s="3" t="s">
        <v>2639</v>
      </c>
      <c r="G1244" s="109" t="s">
        <v>6417</v>
      </c>
      <c r="H1244" s="109" t="s">
        <v>6418</v>
      </c>
      <c r="I1244" s="58" t="s">
        <v>3459</v>
      </c>
      <c r="J1244" s="109" t="s">
        <v>6419</v>
      </c>
      <c r="K1244" s="143" t="s">
        <v>6420</v>
      </c>
    </row>
    <row r="1245" spans="1:11">
      <c r="A1245" s="158"/>
      <c r="B1245" s="39"/>
      <c r="C1245" s="39"/>
      <c r="D1245" s="109" t="s">
        <v>6421</v>
      </c>
      <c r="E1245" s="109" t="s">
        <v>6422</v>
      </c>
      <c r="F1245" s="3" t="s">
        <v>2640</v>
      </c>
      <c r="G1245" s="109" t="s">
        <v>6423</v>
      </c>
      <c r="H1245" s="109" t="s">
        <v>6424</v>
      </c>
      <c r="I1245" s="58" t="s">
        <v>3459</v>
      </c>
      <c r="J1245" s="109" t="s">
        <v>6425</v>
      </c>
      <c r="K1245" s="143" t="s">
        <v>6426</v>
      </c>
    </row>
    <row r="1246" spans="1:11">
      <c r="A1246" s="158"/>
      <c r="B1246" s="39"/>
      <c r="C1246" s="39"/>
      <c r="D1246" s="109" t="s">
        <v>6427</v>
      </c>
      <c r="E1246" s="109" t="s">
        <v>6428</v>
      </c>
      <c r="F1246" s="3" t="s">
        <v>2639</v>
      </c>
      <c r="G1246" s="109" t="s">
        <v>6429</v>
      </c>
      <c r="H1246" s="109" t="s">
        <v>6430</v>
      </c>
      <c r="I1246" s="58" t="s">
        <v>3581</v>
      </c>
      <c r="J1246" s="109" t="s">
        <v>6431</v>
      </c>
      <c r="K1246" s="143" t="s">
        <v>6432</v>
      </c>
    </row>
    <row r="1247" spans="1:11">
      <c r="A1247" s="158"/>
      <c r="B1247" s="39"/>
      <c r="C1247" s="39"/>
      <c r="D1247" s="109" t="s">
        <v>6433</v>
      </c>
      <c r="E1247" s="109" t="s">
        <v>6434</v>
      </c>
      <c r="F1247" s="3" t="s">
        <v>2640</v>
      </c>
      <c r="G1247" s="109" t="s">
        <v>6435</v>
      </c>
      <c r="H1247" s="109" t="s">
        <v>6436</v>
      </c>
      <c r="I1247" s="58" t="s">
        <v>3453</v>
      </c>
      <c r="J1247" s="109" t="s">
        <v>6437</v>
      </c>
      <c r="K1247" s="143" t="s">
        <v>6438</v>
      </c>
    </row>
    <row r="1248" spans="1:11">
      <c r="A1248" s="158"/>
      <c r="B1248" s="39"/>
      <c r="C1248" s="39"/>
      <c r="D1248" s="109" t="s">
        <v>6439</v>
      </c>
      <c r="E1248" s="109" t="s">
        <v>6440</v>
      </c>
      <c r="F1248" s="3" t="s">
        <v>2639</v>
      </c>
      <c r="G1248" s="109" t="s">
        <v>6441</v>
      </c>
      <c r="H1248" s="109" t="s">
        <v>6442</v>
      </c>
      <c r="I1248" s="58" t="s">
        <v>3459</v>
      </c>
      <c r="J1248" s="109" t="s">
        <v>6443</v>
      </c>
      <c r="K1248" s="143" t="s">
        <v>6444</v>
      </c>
    </row>
    <row r="1249" spans="1:11">
      <c r="A1249" s="158"/>
      <c r="B1249" s="39"/>
      <c r="C1249" s="39" t="s">
        <v>1430</v>
      </c>
      <c r="D1249" s="109" t="s">
        <v>6445</v>
      </c>
      <c r="E1249" s="109" t="s">
        <v>6446</v>
      </c>
      <c r="F1249" s="3" t="s">
        <v>2639</v>
      </c>
      <c r="G1249" s="109" t="s">
        <v>6447</v>
      </c>
      <c r="H1249" s="109" t="s">
        <v>6448</v>
      </c>
      <c r="I1249" s="58" t="s">
        <v>3453</v>
      </c>
      <c r="J1249" s="109" t="s">
        <v>6449</v>
      </c>
      <c r="K1249" s="143" t="s">
        <v>6450</v>
      </c>
    </row>
    <row r="1250" spans="1:11">
      <c r="A1250" s="158"/>
      <c r="B1250" s="39"/>
      <c r="C1250" s="39"/>
      <c r="D1250" s="109" t="s">
        <v>6451</v>
      </c>
      <c r="E1250" s="109" t="s">
        <v>6452</v>
      </c>
      <c r="F1250" s="3" t="s">
        <v>2640</v>
      </c>
      <c r="G1250" s="109" t="s">
        <v>6453</v>
      </c>
      <c r="H1250" s="109" t="s">
        <v>6454</v>
      </c>
      <c r="I1250" s="58" t="s">
        <v>3453</v>
      </c>
      <c r="J1250" s="109" t="s">
        <v>6455</v>
      </c>
      <c r="K1250" s="143" t="s">
        <v>6456</v>
      </c>
    </row>
    <row r="1251" spans="1:11">
      <c r="A1251" s="158"/>
      <c r="B1251" s="39"/>
      <c r="C1251" s="39"/>
      <c r="D1251" s="109" t="s">
        <v>6457</v>
      </c>
      <c r="E1251" s="109" t="s">
        <v>6458</v>
      </c>
      <c r="F1251" s="3" t="s">
        <v>2640</v>
      </c>
      <c r="G1251" s="109" t="s">
        <v>6459</v>
      </c>
      <c r="H1251" s="109" t="s">
        <v>6460</v>
      </c>
      <c r="I1251" s="58" t="s">
        <v>3459</v>
      </c>
      <c r="J1251" s="109" t="s">
        <v>6461</v>
      </c>
      <c r="K1251" s="143" t="s">
        <v>6462</v>
      </c>
    </row>
    <row r="1252" spans="1:11">
      <c r="A1252" s="158"/>
      <c r="B1252" s="39"/>
      <c r="C1252" s="39"/>
      <c r="D1252" s="109" t="s">
        <v>6463</v>
      </c>
      <c r="E1252" s="109" t="s">
        <v>6464</v>
      </c>
      <c r="F1252" s="3" t="s">
        <v>2641</v>
      </c>
      <c r="G1252" s="109" t="s">
        <v>6465</v>
      </c>
      <c r="H1252" s="109" t="s">
        <v>6466</v>
      </c>
      <c r="I1252" s="58" t="s">
        <v>3453</v>
      </c>
      <c r="J1252" s="109" t="s">
        <v>6467</v>
      </c>
      <c r="K1252" s="143" t="s">
        <v>6468</v>
      </c>
    </row>
    <row r="1253" spans="1:11">
      <c r="A1253" s="158"/>
      <c r="B1253" s="39"/>
      <c r="C1253" s="39"/>
      <c r="D1253" s="109" t="s">
        <v>6469</v>
      </c>
      <c r="E1253" s="109" t="s">
        <v>6470</v>
      </c>
      <c r="F1253" s="3" t="s">
        <v>2639</v>
      </c>
      <c r="G1253" s="109" t="s">
        <v>2774</v>
      </c>
      <c r="H1253" s="109" t="s">
        <v>6471</v>
      </c>
      <c r="I1253" s="58" t="s">
        <v>3459</v>
      </c>
      <c r="J1253" s="109" t="s">
        <v>6472</v>
      </c>
      <c r="K1253" s="143" t="s">
        <v>6473</v>
      </c>
    </row>
    <row r="1254" spans="1:11">
      <c r="A1254" s="158"/>
      <c r="B1254" s="39"/>
      <c r="C1254" s="39" t="s">
        <v>1431</v>
      </c>
      <c r="D1254" s="109" t="s">
        <v>6474</v>
      </c>
      <c r="E1254" s="109" t="s">
        <v>6475</v>
      </c>
      <c r="F1254" s="3" t="s">
        <v>2639</v>
      </c>
      <c r="G1254" s="109" t="s">
        <v>6476</v>
      </c>
      <c r="H1254" s="109" t="s">
        <v>6477</v>
      </c>
      <c r="I1254" s="58" t="s">
        <v>3459</v>
      </c>
      <c r="J1254" s="109" t="s">
        <v>6478</v>
      </c>
      <c r="K1254" s="143" t="s">
        <v>6479</v>
      </c>
    </row>
    <row r="1255" spans="1:11">
      <c r="A1255" s="158"/>
      <c r="B1255" s="39"/>
      <c r="C1255" s="39"/>
      <c r="D1255" s="109" t="s">
        <v>6480</v>
      </c>
      <c r="E1255" s="109" t="s">
        <v>6481</v>
      </c>
      <c r="F1255" s="3" t="s">
        <v>2640</v>
      </c>
      <c r="G1255" s="109" t="s">
        <v>6482</v>
      </c>
      <c r="H1255" s="109" t="s">
        <v>6483</v>
      </c>
      <c r="I1255" s="58" t="s">
        <v>3453</v>
      </c>
      <c r="J1255" s="109" t="s">
        <v>6484</v>
      </c>
      <c r="K1255" s="143" t="s">
        <v>6485</v>
      </c>
    </row>
    <row r="1256" spans="1:11">
      <c r="A1256" s="158"/>
      <c r="B1256" s="39"/>
      <c r="C1256" s="39"/>
      <c r="D1256" s="109" t="s">
        <v>2734</v>
      </c>
      <c r="E1256" s="109" t="s">
        <v>6486</v>
      </c>
      <c r="F1256" s="3" t="s">
        <v>2640</v>
      </c>
      <c r="G1256" s="109" t="s">
        <v>6487</v>
      </c>
      <c r="H1256" s="109" t="s">
        <v>6488</v>
      </c>
      <c r="I1256" s="58" t="s">
        <v>3459</v>
      </c>
      <c r="J1256" s="109" t="s">
        <v>6489</v>
      </c>
      <c r="K1256" s="143" t="s">
        <v>6490</v>
      </c>
    </row>
    <row r="1257" spans="1:11">
      <c r="A1257" s="158"/>
      <c r="B1257" s="39"/>
      <c r="C1257" s="39"/>
      <c r="D1257" s="109" t="s">
        <v>6491</v>
      </c>
      <c r="E1257" s="109" t="s">
        <v>6492</v>
      </c>
      <c r="F1257" s="3" t="s">
        <v>2641</v>
      </c>
      <c r="G1257" s="109" t="s">
        <v>2902</v>
      </c>
      <c r="H1257" s="109" t="s">
        <v>6493</v>
      </c>
      <c r="I1257" s="58" t="s">
        <v>3459</v>
      </c>
      <c r="J1257" s="109" t="s">
        <v>2227</v>
      </c>
      <c r="K1257" s="143" t="s">
        <v>6494</v>
      </c>
    </row>
    <row r="1258" spans="1:11">
      <c r="A1258" s="158"/>
      <c r="B1258" s="39"/>
      <c r="C1258" s="39"/>
      <c r="D1258" s="109" t="s">
        <v>6495</v>
      </c>
      <c r="E1258" s="109" t="s">
        <v>6496</v>
      </c>
      <c r="F1258" s="3" t="s">
        <v>2639</v>
      </c>
      <c r="G1258" s="109" t="s">
        <v>6497</v>
      </c>
      <c r="H1258" s="109" t="s">
        <v>6498</v>
      </c>
      <c r="I1258" s="58" t="s">
        <v>3581</v>
      </c>
      <c r="J1258" s="109" t="s">
        <v>6425</v>
      </c>
      <c r="K1258" s="143" t="s">
        <v>6499</v>
      </c>
    </row>
    <row r="1259" spans="1:11">
      <c r="A1259" s="158"/>
      <c r="B1259" s="39" t="s">
        <v>1380</v>
      </c>
      <c r="C1259" s="39" t="s">
        <v>1432</v>
      </c>
      <c r="D1259" s="109" t="s">
        <v>6500</v>
      </c>
      <c r="E1259" s="109" t="s">
        <v>6501</v>
      </c>
      <c r="F1259" s="3" t="s">
        <v>2640</v>
      </c>
      <c r="G1259" s="109" t="s">
        <v>3374</v>
      </c>
      <c r="H1259" s="109" t="s">
        <v>6502</v>
      </c>
      <c r="I1259" s="58" t="s">
        <v>3459</v>
      </c>
      <c r="J1259" s="109" t="s">
        <v>6503</v>
      </c>
      <c r="K1259" s="143" t="s">
        <v>6504</v>
      </c>
    </row>
    <row r="1260" spans="1:11">
      <c r="A1260" s="158"/>
      <c r="B1260" s="39"/>
      <c r="C1260" s="39"/>
      <c r="D1260" s="109" t="s">
        <v>6505</v>
      </c>
      <c r="E1260" s="109" t="s">
        <v>6506</v>
      </c>
      <c r="F1260" s="3" t="s">
        <v>2640</v>
      </c>
      <c r="G1260" s="109" t="s">
        <v>6507</v>
      </c>
      <c r="H1260" s="109" t="s">
        <v>2224</v>
      </c>
      <c r="I1260" s="58" t="s">
        <v>3453</v>
      </c>
      <c r="J1260" s="109" t="s">
        <v>6508</v>
      </c>
      <c r="K1260" s="143" t="s">
        <v>6509</v>
      </c>
    </row>
    <row r="1261" spans="1:11">
      <c r="A1261" s="158"/>
      <c r="B1261" s="39"/>
      <c r="C1261" s="39"/>
      <c r="D1261" s="109" t="s">
        <v>6510</v>
      </c>
      <c r="E1261" s="109" t="s">
        <v>6511</v>
      </c>
      <c r="F1261" s="3" t="s">
        <v>2639</v>
      </c>
      <c r="G1261" s="109" t="s">
        <v>6512</v>
      </c>
      <c r="H1261" s="109" t="s">
        <v>6513</v>
      </c>
      <c r="I1261" s="58" t="s">
        <v>3459</v>
      </c>
      <c r="J1261" s="109" t="s">
        <v>2076</v>
      </c>
      <c r="K1261" s="143" t="s">
        <v>6514</v>
      </c>
    </row>
    <row r="1262" spans="1:11">
      <c r="A1262" s="158"/>
      <c r="B1262" s="39"/>
      <c r="C1262" s="39"/>
      <c r="D1262" s="109" t="s">
        <v>6515</v>
      </c>
      <c r="E1262" s="109" t="s">
        <v>6516</v>
      </c>
      <c r="F1262" s="3" t="s">
        <v>2641</v>
      </c>
      <c r="G1262" s="109" t="s">
        <v>6517</v>
      </c>
      <c r="H1262" s="109" t="s">
        <v>6518</v>
      </c>
      <c r="I1262" s="58" t="s">
        <v>3459</v>
      </c>
      <c r="J1262" s="109" t="s">
        <v>6519</v>
      </c>
      <c r="K1262" s="143" t="s">
        <v>6520</v>
      </c>
    </row>
    <row r="1263" spans="1:11">
      <c r="A1263" s="158"/>
      <c r="B1263" s="39"/>
      <c r="C1263" s="39"/>
      <c r="D1263" s="109" t="s">
        <v>6521</v>
      </c>
      <c r="E1263" s="109" t="s">
        <v>6522</v>
      </c>
      <c r="F1263" s="3" t="s">
        <v>2640</v>
      </c>
      <c r="G1263" s="109" t="s">
        <v>6523</v>
      </c>
      <c r="H1263" s="109" t="s">
        <v>6524</v>
      </c>
      <c r="I1263" s="58" t="s">
        <v>3453</v>
      </c>
      <c r="J1263" s="109" t="s">
        <v>6525</v>
      </c>
      <c r="K1263" s="143" t="s">
        <v>6526</v>
      </c>
    </row>
    <row r="1264" spans="1:11">
      <c r="A1264" s="158"/>
      <c r="B1264" s="39"/>
      <c r="C1264" s="39" t="s">
        <v>1433</v>
      </c>
      <c r="D1264" s="109" t="s">
        <v>6527</v>
      </c>
      <c r="E1264" s="109" t="s">
        <v>6528</v>
      </c>
      <c r="F1264" s="3" t="s">
        <v>2640</v>
      </c>
      <c r="G1264" s="109" t="s">
        <v>3410</v>
      </c>
      <c r="H1264" s="109" t="s">
        <v>6529</v>
      </c>
      <c r="I1264" s="58" t="s">
        <v>3453</v>
      </c>
      <c r="J1264" s="109" t="s">
        <v>6530</v>
      </c>
      <c r="K1264" s="143" t="s">
        <v>6531</v>
      </c>
    </row>
    <row r="1265" spans="1:11">
      <c r="A1265" s="158"/>
      <c r="B1265" s="39"/>
      <c r="C1265" s="39"/>
      <c r="D1265" s="109" t="s">
        <v>6532</v>
      </c>
      <c r="E1265" s="109" t="s">
        <v>6533</v>
      </c>
      <c r="F1265" s="3" t="s">
        <v>2640</v>
      </c>
      <c r="G1265" s="109" t="s">
        <v>6534</v>
      </c>
      <c r="H1265" s="109" t="s">
        <v>6535</v>
      </c>
      <c r="I1265" s="58" t="s">
        <v>3459</v>
      </c>
      <c r="J1265" s="109" t="s">
        <v>6536</v>
      </c>
      <c r="K1265" s="143" t="s">
        <v>6537</v>
      </c>
    </row>
    <row r="1266" spans="1:11">
      <c r="A1266" s="158"/>
      <c r="B1266" s="39"/>
      <c r="C1266" s="39"/>
      <c r="D1266" s="109" t="s">
        <v>6538</v>
      </c>
      <c r="E1266" s="109" t="s">
        <v>6539</v>
      </c>
      <c r="F1266" s="3" t="s">
        <v>2639</v>
      </c>
      <c r="G1266" s="109" t="s">
        <v>6540</v>
      </c>
      <c r="H1266" s="109" t="s">
        <v>6541</v>
      </c>
      <c r="I1266" s="58" t="s">
        <v>3581</v>
      </c>
      <c r="J1266" s="109" t="s">
        <v>6542</v>
      </c>
      <c r="K1266" s="143" t="s">
        <v>6543</v>
      </c>
    </row>
    <row r="1267" spans="1:11">
      <c r="A1267" s="158"/>
      <c r="B1267" s="39"/>
      <c r="C1267" s="39"/>
      <c r="D1267" s="109" t="s">
        <v>6544</v>
      </c>
      <c r="E1267" s="109" t="s">
        <v>6545</v>
      </c>
      <c r="F1267" s="3" t="s">
        <v>2639</v>
      </c>
      <c r="G1267" s="109" t="s">
        <v>6546</v>
      </c>
      <c r="H1267" s="109" t="s">
        <v>6547</v>
      </c>
      <c r="I1267" s="58" t="s">
        <v>3459</v>
      </c>
      <c r="J1267" s="109" t="s">
        <v>6548</v>
      </c>
      <c r="K1267" s="143" t="s">
        <v>6549</v>
      </c>
    </row>
    <row r="1268" spans="1:11">
      <c r="A1268" s="158"/>
      <c r="B1268" s="39"/>
      <c r="C1268" s="39"/>
      <c r="D1268" s="109" t="s">
        <v>6550</v>
      </c>
      <c r="E1268" s="109" t="s">
        <v>6551</v>
      </c>
      <c r="F1268" s="3" t="s">
        <v>2641</v>
      </c>
      <c r="G1268" s="109" t="s">
        <v>6552</v>
      </c>
      <c r="H1268" s="109" t="s">
        <v>5237</v>
      </c>
      <c r="I1268" s="58" t="s">
        <v>3459</v>
      </c>
      <c r="J1268" s="109" t="s">
        <v>2210</v>
      </c>
      <c r="K1268" s="143" t="s">
        <v>6553</v>
      </c>
    </row>
    <row r="1269" spans="1:11">
      <c r="A1269" s="158"/>
      <c r="B1269" s="39"/>
      <c r="C1269" s="39" t="s">
        <v>1434</v>
      </c>
      <c r="D1269" s="109" t="s">
        <v>6554</v>
      </c>
      <c r="E1269" s="109" t="s">
        <v>6555</v>
      </c>
      <c r="F1269" s="3" t="s">
        <v>2639</v>
      </c>
      <c r="G1269" s="109" t="s">
        <v>6556</v>
      </c>
      <c r="H1269" s="109" t="s">
        <v>6557</v>
      </c>
      <c r="I1269" s="58" t="s">
        <v>3459</v>
      </c>
      <c r="J1269" s="109" t="s">
        <v>6558</v>
      </c>
      <c r="K1269" s="143" t="s">
        <v>6559</v>
      </c>
    </row>
    <row r="1270" spans="1:11">
      <c r="A1270" s="158"/>
      <c r="B1270" s="39"/>
      <c r="C1270" s="39"/>
      <c r="D1270" s="109" t="s">
        <v>6560</v>
      </c>
      <c r="E1270" s="109" t="s">
        <v>6561</v>
      </c>
      <c r="F1270" s="3" t="s">
        <v>2640</v>
      </c>
      <c r="G1270" s="109" t="s">
        <v>6562</v>
      </c>
      <c r="H1270" s="109" t="s">
        <v>6563</v>
      </c>
      <c r="I1270" s="58" t="s">
        <v>3459</v>
      </c>
      <c r="J1270" s="109" t="s">
        <v>6564</v>
      </c>
      <c r="K1270" s="143" t="s">
        <v>6565</v>
      </c>
    </row>
    <row r="1271" spans="1:11">
      <c r="A1271" s="158"/>
      <c r="B1271" s="39"/>
      <c r="C1271" s="39"/>
      <c r="D1271" s="109" t="s">
        <v>6566</v>
      </c>
      <c r="E1271" s="109" t="s">
        <v>6567</v>
      </c>
      <c r="F1271" s="3" t="s">
        <v>2640</v>
      </c>
      <c r="G1271" s="109" t="s">
        <v>6568</v>
      </c>
      <c r="H1271" s="109" t="s">
        <v>6569</v>
      </c>
      <c r="I1271" s="58" t="s">
        <v>3453</v>
      </c>
      <c r="J1271" s="109" t="s">
        <v>6570</v>
      </c>
      <c r="K1271" s="143" t="s">
        <v>6571</v>
      </c>
    </row>
    <row r="1272" spans="1:11">
      <c r="A1272" s="158"/>
      <c r="B1272" s="39"/>
      <c r="C1272" s="39"/>
      <c r="D1272" s="109" t="s">
        <v>6572</v>
      </c>
      <c r="E1272" s="109" t="s">
        <v>6573</v>
      </c>
      <c r="F1272" s="3" t="s">
        <v>2641</v>
      </c>
      <c r="G1272" s="109" t="s">
        <v>6574</v>
      </c>
      <c r="H1272" s="109" t="s">
        <v>6575</v>
      </c>
      <c r="I1272" s="58" t="s">
        <v>3459</v>
      </c>
      <c r="J1272" s="109" t="s">
        <v>2225</v>
      </c>
      <c r="K1272" s="143" t="s">
        <v>6576</v>
      </c>
    </row>
    <row r="1273" spans="1:11">
      <c r="A1273" s="158"/>
      <c r="B1273" s="39"/>
      <c r="C1273" s="39"/>
      <c r="D1273" s="109" t="s">
        <v>6577</v>
      </c>
      <c r="E1273" s="109" t="s">
        <v>6578</v>
      </c>
      <c r="F1273" s="3" t="s">
        <v>2640</v>
      </c>
      <c r="G1273" s="109" t="s">
        <v>6579</v>
      </c>
      <c r="H1273" s="109" t="s">
        <v>6580</v>
      </c>
      <c r="I1273" s="58" t="s">
        <v>3459</v>
      </c>
      <c r="J1273" s="109" t="s">
        <v>6581</v>
      </c>
      <c r="K1273" s="143" t="s">
        <v>6582</v>
      </c>
    </row>
    <row r="1274" spans="1:11">
      <c r="A1274" s="158"/>
      <c r="B1274" s="39"/>
      <c r="C1274" s="39" t="s">
        <v>1435</v>
      </c>
      <c r="D1274" s="109" t="s">
        <v>6583</v>
      </c>
      <c r="E1274" s="109" t="s">
        <v>6584</v>
      </c>
      <c r="F1274" s="3" t="s">
        <v>2640</v>
      </c>
      <c r="G1274" s="109" t="s">
        <v>6476</v>
      </c>
      <c r="H1274" s="109" t="s">
        <v>2236</v>
      </c>
      <c r="I1274" s="58" t="s">
        <v>3453</v>
      </c>
      <c r="J1274" s="109" t="s">
        <v>6585</v>
      </c>
      <c r="K1274" s="143" t="s">
        <v>6586</v>
      </c>
    </row>
    <row r="1275" spans="1:11">
      <c r="A1275" s="158"/>
      <c r="B1275" s="39"/>
      <c r="C1275" s="39"/>
      <c r="D1275" s="109" t="s">
        <v>6587</v>
      </c>
      <c r="E1275" s="109" t="s">
        <v>6588</v>
      </c>
      <c r="F1275" s="3" t="s">
        <v>2641</v>
      </c>
      <c r="G1275" s="109" t="s">
        <v>6589</v>
      </c>
      <c r="H1275" s="109" t="s">
        <v>6590</v>
      </c>
      <c r="I1275" s="58" t="s">
        <v>3459</v>
      </c>
      <c r="J1275" s="109" t="s">
        <v>6591</v>
      </c>
      <c r="K1275" s="143" t="s">
        <v>6592</v>
      </c>
    </row>
    <row r="1276" spans="1:11">
      <c r="A1276" s="158"/>
      <c r="B1276" s="39"/>
      <c r="C1276" s="39"/>
      <c r="D1276" s="109" t="s">
        <v>2239</v>
      </c>
      <c r="E1276" s="109" t="s">
        <v>6593</v>
      </c>
      <c r="F1276" s="3" t="s">
        <v>2640</v>
      </c>
      <c r="G1276" s="109" t="s">
        <v>6594</v>
      </c>
      <c r="H1276" s="109" t="s">
        <v>6595</v>
      </c>
      <c r="I1276" s="58" t="s">
        <v>3459</v>
      </c>
      <c r="J1276" s="109" t="s">
        <v>6596</v>
      </c>
      <c r="K1276" s="143" t="s">
        <v>6597</v>
      </c>
    </row>
    <row r="1277" spans="1:11">
      <c r="A1277" s="158"/>
      <c r="B1277" s="39"/>
      <c r="C1277" s="39"/>
      <c r="D1277" s="109" t="s">
        <v>6598</v>
      </c>
      <c r="E1277" s="109" t="s">
        <v>6599</v>
      </c>
      <c r="F1277" s="3" t="s">
        <v>2639</v>
      </c>
      <c r="G1277" s="109" t="s">
        <v>6600</v>
      </c>
      <c r="H1277" s="109" t="s">
        <v>6601</v>
      </c>
      <c r="I1277" s="58" t="s">
        <v>3581</v>
      </c>
      <c r="J1277" s="109" t="s">
        <v>6602</v>
      </c>
      <c r="K1277" s="143" t="s">
        <v>6603</v>
      </c>
    </row>
    <row r="1278" spans="1:11">
      <c r="A1278" s="158"/>
      <c r="B1278" s="39"/>
      <c r="C1278" s="39"/>
      <c r="D1278" s="109" t="s">
        <v>6604</v>
      </c>
      <c r="E1278" s="109" t="s">
        <v>6605</v>
      </c>
      <c r="F1278" s="3" t="s">
        <v>2640</v>
      </c>
      <c r="G1278" s="109" t="s">
        <v>6606</v>
      </c>
      <c r="H1278" s="109" t="s">
        <v>6607</v>
      </c>
      <c r="I1278" s="58" t="s">
        <v>3459</v>
      </c>
      <c r="J1278" s="109" t="s">
        <v>6608</v>
      </c>
      <c r="K1278" s="143" t="s">
        <v>6609</v>
      </c>
    </row>
    <row r="1279" spans="1:11">
      <c r="A1279" s="158"/>
      <c r="B1279" s="39"/>
      <c r="C1279" s="39" t="s">
        <v>1436</v>
      </c>
      <c r="D1279" s="109" t="s">
        <v>5960</v>
      </c>
      <c r="E1279" s="109" t="s">
        <v>6610</v>
      </c>
      <c r="F1279" s="3" t="s">
        <v>2640</v>
      </c>
      <c r="G1279" s="109" t="s">
        <v>3029</v>
      </c>
      <c r="H1279" s="109" t="s">
        <v>6611</v>
      </c>
      <c r="I1279" s="58" t="s">
        <v>3453</v>
      </c>
      <c r="J1279" s="109" t="s">
        <v>6612</v>
      </c>
      <c r="K1279" s="143" t="s">
        <v>6613</v>
      </c>
    </row>
    <row r="1280" spans="1:11">
      <c r="A1280" s="158"/>
      <c r="B1280" s="39"/>
      <c r="C1280" s="39"/>
      <c r="D1280" s="109" t="s">
        <v>6614</v>
      </c>
      <c r="E1280" s="109" t="s">
        <v>6615</v>
      </c>
      <c r="F1280" s="3" t="s">
        <v>2641</v>
      </c>
      <c r="G1280" s="109" t="s">
        <v>6616</v>
      </c>
      <c r="H1280" s="109" t="s">
        <v>6617</v>
      </c>
      <c r="I1280" s="58" t="s">
        <v>3459</v>
      </c>
      <c r="J1280" s="109" t="s">
        <v>6618</v>
      </c>
      <c r="K1280" s="143" t="s">
        <v>6619</v>
      </c>
    </row>
    <row r="1281" spans="1:11">
      <c r="A1281" s="158"/>
      <c r="B1281" s="39"/>
      <c r="C1281" s="39"/>
      <c r="D1281" s="109" t="s">
        <v>6620</v>
      </c>
      <c r="E1281" s="109" t="s">
        <v>6621</v>
      </c>
      <c r="F1281" s="3" t="s">
        <v>2640</v>
      </c>
      <c r="G1281" s="109" t="s">
        <v>6622</v>
      </c>
      <c r="H1281" s="109" t="s">
        <v>6623</v>
      </c>
      <c r="I1281" s="58" t="s">
        <v>3459</v>
      </c>
      <c r="J1281" s="109" t="s">
        <v>6624</v>
      </c>
      <c r="K1281" s="143" t="s">
        <v>6625</v>
      </c>
    </row>
    <row r="1282" spans="1:11">
      <c r="A1282" s="158"/>
      <c r="B1282" s="39"/>
      <c r="C1282" s="39"/>
      <c r="D1282" s="109" t="s">
        <v>6626</v>
      </c>
      <c r="E1282" s="109" t="s">
        <v>6627</v>
      </c>
      <c r="F1282" s="3" t="s">
        <v>2639</v>
      </c>
      <c r="G1282" s="109" t="s">
        <v>6628</v>
      </c>
      <c r="H1282" s="109" t="s">
        <v>6629</v>
      </c>
      <c r="I1282" s="58" t="s">
        <v>3581</v>
      </c>
      <c r="J1282" s="109" t="s">
        <v>6575</v>
      </c>
      <c r="K1282" s="143" t="s">
        <v>6630</v>
      </c>
    </row>
    <row r="1283" spans="1:11">
      <c r="A1283" s="158"/>
      <c r="B1283" s="39"/>
      <c r="C1283" s="39"/>
      <c r="D1283" s="109" t="s">
        <v>6631</v>
      </c>
      <c r="E1283" s="109" t="s">
        <v>6632</v>
      </c>
      <c r="F1283" s="3" t="s">
        <v>2640</v>
      </c>
      <c r="G1283" s="109" t="s">
        <v>6633</v>
      </c>
      <c r="H1283" s="109" t="s">
        <v>6634</v>
      </c>
      <c r="I1283" s="58" t="s">
        <v>3459</v>
      </c>
      <c r="J1283" s="109" t="s">
        <v>6635</v>
      </c>
      <c r="K1283" s="143" t="s">
        <v>6636</v>
      </c>
    </row>
    <row r="1284" spans="1:11">
      <c r="A1284" s="158"/>
      <c r="B1284" s="39" t="s">
        <v>1381</v>
      </c>
      <c r="C1284" s="39" t="s">
        <v>1437</v>
      </c>
      <c r="D1284" s="109" t="s">
        <v>7029</v>
      </c>
      <c r="E1284" s="109" t="s">
        <v>6637</v>
      </c>
      <c r="F1284" s="3" t="s">
        <v>2639</v>
      </c>
      <c r="G1284" s="109" t="s">
        <v>6638</v>
      </c>
      <c r="H1284" s="109" t="s">
        <v>6639</v>
      </c>
      <c r="I1284" s="58" t="s">
        <v>3453</v>
      </c>
      <c r="J1284" s="109" t="s">
        <v>6640</v>
      </c>
      <c r="K1284" s="143" t="s">
        <v>6641</v>
      </c>
    </row>
    <row r="1285" spans="1:11">
      <c r="A1285" s="158"/>
      <c r="B1285" s="39"/>
      <c r="C1285" s="39"/>
      <c r="D1285" s="109" t="s">
        <v>5938</v>
      </c>
      <c r="E1285" s="109" t="s">
        <v>6642</v>
      </c>
      <c r="F1285" s="3" t="s">
        <v>2640</v>
      </c>
      <c r="G1285" s="109" t="s">
        <v>2006</v>
      </c>
      <c r="H1285" s="109" t="s">
        <v>6643</v>
      </c>
      <c r="I1285" s="58" t="s">
        <v>3459</v>
      </c>
      <c r="J1285" s="109" t="s">
        <v>6644</v>
      </c>
      <c r="K1285" s="143" t="s">
        <v>2998</v>
      </c>
    </row>
    <row r="1286" spans="1:11">
      <c r="A1286" s="158"/>
      <c r="B1286" s="39"/>
      <c r="C1286" s="39"/>
      <c r="D1286" s="109" t="s">
        <v>5944</v>
      </c>
      <c r="E1286" s="109" t="s">
        <v>6645</v>
      </c>
      <c r="F1286" s="3" t="s">
        <v>2639</v>
      </c>
      <c r="G1286" s="109" t="s">
        <v>6646</v>
      </c>
      <c r="H1286" s="109" t="s">
        <v>6647</v>
      </c>
      <c r="I1286" s="58" t="s">
        <v>3459</v>
      </c>
      <c r="J1286" s="109" t="s">
        <v>6648</v>
      </c>
      <c r="K1286" s="143" t="s">
        <v>6649</v>
      </c>
    </row>
    <row r="1287" spans="1:11">
      <c r="A1287" s="158"/>
      <c r="B1287" s="39"/>
      <c r="C1287" s="39"/>
      <c r="D1287" s="109" t="s">
        <v>7030</v>
      </c>
      <c r="E1287" s="109" t="s">
        <v>6650</v>
      </c>
      <c r="F1287" s="3" t="s">
        <v>2641</v>
      </c>
      <c r="G1287" s="109" t="s">
        <v>6651</v>
      </c>
      <c r="H1287" s="109" t="s">
        <v>6652</v>
      </c>
      <c r="I1287" s="58" t="s">
        <v>3453</v>
      </c>
      <c r="J1287" s="109" t="s">
        <v>6653</v>
      </c>
      <c r="K1287" s="143" t="s">
        <v>6654</v>
      </c>
    </row>
    <row r="1288" spans="1:11">
      <c r="A1288" s="158"/>
      <c r="B1288" s="39"/>
      <c r="C1288" s="39"/>
      <c r="D1288" s="109" t="s">
        <v>7031</v>
      </c>
      <c r="E1288" s="109" t="s">
        <v>6655</v>
      </c>
      <c r="F1288" s="3" t="s">
        <v>2640</v>
      </c>
      <c r="G1288" s="109" t="s">
        <v>6656</v>
      </c>
      <c r="H1288" s="109" t="s">
        <v>6657</v>
      </c>
      <c r="I1288" s="58" t="s">
        <v>3459</v>
      </c>
      <c r="J1288" s="109" t="s">
        <v>6658</v>
      </c>
      <c r="K1288" s="143" t="s">
        <v>6659</v>
      </c>
    </row>
    <row r="1289" spans="1:11">
      <c r="A1289" s="158"/>
      <c r="B1289" s="39"/>
      <c r="C1289" s="39" t="s">
        <v>1438</v>
      </c>
      <c r="D1289" s="109" t="s">
        <v>7032</v>
      </c>
      <c r="E1289" s="109" t="s">
        <v>6660</v>
      </c>
      <c r="F1289" s="3" t="s">
        <v>2640</v>
      </c>
      <c r="G1289" s="109" t="s">
        <v>6230</v>
      </c>
      <c r="H1289" s="109" t="s">
        <v>6661</v>
      </c>
      <c r="I1289" s="58" t="s">
        <v>3459</v>
      </c>
      <c r="J1289" s="109" t="s">
        <v>6662</v>
      </c>
      <c r="K1289" s="143" t="s">
        <v>6663</v>
      </c>
    </row>
    <row r="1290" spans="1:11">
      <c r="A1290" s="158"/>
      <c r="B1290" s="39"/>
      <c r="C1290" s="39"/>
      <c r="D1290" s="109" t="s">
        <v>7033</v>
      </c>
      <c r="E1290" s="109" t="s">
        <v>6664</v>
      </c>
      <c r="F1290" s="3" t="s">
        <v>2641</v>
      </c>
      <c r="G1290" s="109" t="s">
        <v>6665</v>
      </c>
      <c r="H1290" s="109" t="s">
        <v>6666</v>
      </c>
      <c r="I1290" s="58" t="s">
        <v>3453</v>
      </c>
      <c r="J1290" s="109" t="s">
        <v>6667</v>
      </c>
      <c r="K1290" s="143" t="s">
        <v>6668</v>
      </c>
    </row>
    <row r="1291" spans="1:11">
      <c r="A1291" s="158"/>
      <c r="B1291" s="39"/>
      <c r="C1291" s="39"/>
      <c r="D1291" s="109" t="s">
        <v>7034</v>
      </c>
      <c r="E1291" s="109" t="s">
        <v>6669</v>
      </c>
      <c r="F1291" s="3" t="s">
        <v>2640</v>
      </c>
      <c r="G1291" s="109" t="s">
        <v>6670</v>
      </c>
      <c r="H1291" s="109" t="s">
        <v>6671</v>
      </c>
      <c r="I1291" s="58" t="s">
        <v>3453</v>
      </c>
      <c r="J1291" s="109" t="s">
        <v>6672</v>
      </c>
      <c r="K1291" s="143" t="s">
        <v>6673</v>
      </c>
    </row>
    <row r="1292" spans="1:11">
      <c r="A1292" s="158"/>
      <c r="B1292" s="39"/>
      <c r="C1292" s="39"/>
      <c r="D1292" s="109" t="s">
        <v>7035</v>
      </c>
      <c r="E1292" s="109" t="s">
        <v>6674</v>
      </c>
      <c r="F1292" s="3" t="s">
        <v>2640</v>
      </c>
      <c r="G1292" s="109" t="s">
        <v>6675</v>
      </c>
      <c r="H1292" s="109" t="s">
        <v>6676</v>
      </c>
      <c r="I1292" s="58" t="s">
        <v>3459</v>
      </c>
      <c r="J1292" s="109" t="s">
        <v>6677</v>
      </c>
      <c r="K1292" s="143" t="s">
        <v>6678</v>
      </c>
    </row>
    <row r="1293" spans="1:11">
      <c r="A1293" s="158"/>
      <c r="B1293" s="39"/>
      <c r="C1293" s="39"/>
      <c r="D1293" s="109" t="s">
        <v>7036</v>
      </c>
      <c r="E1293" s="109" t="s">
        <v>6679</v>
      </c>
      <c r="F1293" s="3" t="s">
        <v>2639</v>
      </c>
      <c r="G1293" s="109" t="s">
        <v>6680</v>
      </c>
      <c r="H1293" s="109" t="s">
        <v>6681</v>
      </c>
      <c r="I1293" s="58" t="s">
        <v>3581</v>
      </c>
      <c r="J1293" s="109" t="s">
        <v>6682</v>
      </c>
      <c r="K1293" s="143" t="s">
        <v>6683</v>
      </c>
    </row>
    <row r="1294" spans="1:11">
      <c r="A1294" s="158"/>
      <c r="B1294" s="39"/>
      <c r="C1294" s="39" t="s">
        <v>1439</v>
      </c>
      <c r="D1294" s="109" t="s">
        <v>7037</v>
      </c>
      <c r="E1294" s="109" t="s">
        <v>6684</v>
      </c>
      <c r="F1294" s="3" t="s">
        <v>2640</v>
      </c>
      <c r="G1294" s="109" t="s">
        <v>6685</v>
      </c>
      <c r="H1294" s="109" t="s">
        <v>2122</v>
      </c>
      <c r="I1294" s="58" t="s">
        <v>3453</v>
      </c>
      <c r="J1294" s="109" t="s">
        <v>6686</v>
      </c>
      <c r="K1294" s="143" t="s">
        <v>6687</v>
      </c>
    </row>
    <row r="1295" spans="1:11">
      <c r="A1295" s="158"/>
      <c r="B1295" s="39"/>
      <c r="C1295" s="39"/>
      <c r="D1295" s="109" t="s">
        <v>7038</v>
      </c>
      <c r="E1295" s="109" t="s">
        <v>6688</v>
      </c>
      <c r="F1295" s="3" t="s">
        <v>2640</v>
      </c>
      <c r="G1295" s="109" t="s">
        <v>5110</v>
      </c>
      <c r="H1295" s="109" t="s">
        <v>6689</v>
      </c>
      <c r="I1295" s="58" t="s">
        <v>3459</v>
      </c>
      <c r="J1295" s="109" t="s">
        <v>6690</v>
      </c>
      <c r="K1295" s="143" t="s">
        <v>6691</v>
      </c>
    </row>
    <row r="1296" spans="1:11">
      <c r="A1296" s="158"/>
      <c r="B1296" s="39"/>
      <c r="C1296" s="39"/>
      <c r="D1296" s="109" t="s">
        <v>7051</v>
      </c>
      <c r="E1296" s="109" t="s">
        <v>6692</v>
      </c>
      <c r="F1296" s="3" t="s">
        <v>2639</v>
      </c>
      <c r="G1296" s="109" t="s">
        <v>6693</v>
      </c>
      <c r="H1296" s="109" t="s">
        <v>6694</v>
      </c>
      <c r="I1296" s="58" t="s">
        <v>3459</v>
      </c>
      <c r="J1296" s="109" t="s">
        <v>6695</v>
      </c>
      <c r="K1296" s="143" t="s">
        <v>6696</v>
      </c>
    </row>
    <row r="1297" spans="1:11">
      <c r="A1297" s="158"/>
      <c r="B1297" s="39"/>
      <c r="C1297" s="39"/>
      <c r="D1297" s="109" t="s">
        <v>7039</v>
      </c>
      <c r="E1297" s="109" t="s">
        <v>6697</v>
      </c>
      <c r="F1297" s="3" t="s">
        <v>2641</v>
      </c>
      <c r="G1297" s="109" t="s">
        <v>6698</v>
      </c>
      <c r="H1297" s="109" t="s">
        <v>6699</v>
      </c>
      <c r="I1297" s="58" t="s">
        <v>3453</v>
      </c>
      <c r="J1297" s="109" t="s">
        <v>6700</v>
      </c>
      <c r="K1297" s="143" t="s">
        <v>6701</v>
      </c>
    </row>
    <row r="1298" spans="1:11">
      <c r="A1298" s="158"/>
      <c r="B1298" s="39"/>
      <c r="C1298" s="39"/>
      <c r="D1298" s="109" t="s">
        <v>7040</v>
      </c>
      <c r="E1298" s="109" t="s">
        <v>6702</v>
      </c>
      <c r="F1298" s="3" t="s">
        <v>2640</v>
      </c>
      <c r="G1298" s="109" t="s">
        <v>6703</v>
      </c>
      <c r="H1298" s="109" t="s">
        <v>6704</v>
      </c>
      <c r="I1298" s="58" t="s">
        <v>3581</v>
      </c>
      <c r="J1298" s="109" t="s">
        <v>6705</v>
      </c>
      <c r="K1298" s="143" t="s">
        <v>6706</v>
      </c>
    </row>
    <row r="1299" spans="1:11">
      <c r="A1299" s="158"/>
      <c r="B1299" s="39"/>
      <c r="C1299" s="39" t="s">
        <v>1440</v>
      </c>
      <c r="D1299" s="109" t="s">
        <v>7041</v>
      </c>
      <c r="E1299" s="109" t="s">
        <v>6707</v>
      </c>
      <c r="F1299" s="3" t="s">
        <v>2639</v>
      </c>
      <c r="G1299" s="109" t="s">
        <v>6638</v>
      </c>
      <c r="H1299" s="109" t="s">
        <v>6708</v>
      </c>
      <c r="I1299" s="58" t="s">
        <v>3459</v>
      </c>
      <c r="J1299" s="109" t="s">
        <v>6709</v>
      </c>
      <c r="K1299" s="143" t="s">
        <v>6710</v>
      </c>
    </row>
    <row r="1300" spans="1:11">
      <c r="A1300" s="158"/>
      <c r="B1300" s="39"/>
      <c r="C1300" s="39"/>
      <c r="D1300" s="109" t="s">
        <v>7042</v>
      </c>
      <c r="E1300" s="109" t="s">
        <v>6711</v>
      </c>
      <c r="F1300" s="3" t="s">
        <v>2640</v>
      </c>
      <c r="G1300" s="109" t="s">
        <v>6638</v>
      </c>
      <c r="H1300" s="109" t="s">
        <v>6712</v>
      </c>
      <c r="I1300" s="58" t="s">
        <v>3453</v>
      </c>
      <c r="J1300" s="109" t="s">
        <v>6713</v>
      </c>
      <c r="K1300" s="143" t="s">
        <v>6714</v>
      </c>
    </row>
    <row r="1301" spans="1:11">
      <c r="A1301" s="158"/>
      <c r="B1301" s="39"/>
      <c r="C1301" s="39"/>
      <c r="D1301" s="109" t="s">
        <v>7043</v>
      </c>
      <c r="E1301" s="109" t="s">
        <v>6715</v>
      </c>
      <c r="F1301" s="3" t="s">
        <v>2640</v>
      </c>
      <c r="G1301" s="109" t="s">
        <v>6716</v>
      </c>
      <c r="H1301" s="109" t="s">
        <v>6717</v>
      </c>
      <c r="I1301" s="58" t="s">
        <v>3459</v>
      </c>
      <c r="J1301" s="109" t="s">
        <v>4450</v>
      </c>
      <c r="K1301" s="143" t="s">
        <v>6718</v>
      </c>
    </row>
    <row r="1302" spans="1:11">
      <c r="A1302" s="158"/>
      <c r="B1302" s="39"/>
      <c r="C1302" s="39"/>
      <c r="D1302" s="109" t="s">
        <v>7044</v>
      </c>
      <c r="E1302" s="109" t="s">
        <v>6719</v>
      </c>
      <c r="F1302" s="3" t="s">
        <v>2640</v>
      </c>
      <c r="G1302" s="109" t="s">
        <v>6638</v>
      </c>
      <c r="H1302" s="109" t="s">
        <v>6720</v>
      </c>
      <c r="I1302" s="58" t="s">
        <v>3453</v>
      </c>
      <c r="J1302" s="109" t="s">
        <v>6721</v>
      </c>
      <c r="K1302" s="143" t="s">
        <v>6722</v>
      </c>
    </row>
    <row r="1303" spans="1:11">
      <c r="A1303" s="158"/>
      <c r="B1303" s="39"/>
      <c r="C1303" s="39"/>
      <c r="D1303" s="109" t="s">
        <v>7045</v>
      </c>
      <c r="E1303" s="109" t="s">
        <v>6723</v>
      </c>
      <c r="F1303" s="3" t="s">
        <v>2639</v>
      </c>
      <c r="G1303" s="109" t="s">
        <v>6724</v>
      </c>
      <c r="H1303" s="109" t="s">
        <v>6725</v>
      </c>
      <c r="I1303" s="58" t="s">
        <v>3459</v>
      </c>
      <c r="J1303" s="109" t="s">
        <v>6726</v>
      </c>
      <c r="K1303" s="143" t="s">
        <v>6727</v>
      </c>
    </row>
    <row r="1304" spans="1:11">
      <c r="A1304" s="158"/>
      <c r="B1304" s="39"/>
      <c r="C1304" s="39" t="s">
        <v>1441</v>
      </c>
      <c r="D1304" s="109" t="s">
        <v>7046</v>
      </c>
      <c r="E1304" s="109" t="s">
        <v>6728</v>
      </c>
      <c r="F1304" s="3" t="s">
        <v>2639</v>
      </c>
      <c r="G1304" s="109" t="s">
        <v>6638</v>
      </c>
      <c r="H1304" s="109" t="s">
        <v>6729</v>
      </c>
      <c r="I1304" s="58" t="s">
        <v>3459</v>
      </c>
      <c r="J1304" s="109" t="s">
        <v>6730</v>
      </c>
      <c r="K1304" s="143" t="s">
        <v>6731</v>
      </c>
    </row>
    <row r="1305" spans="1:11">
      <c r="A1305" s="158"/>
      <c r="B1305" s="39"/>
      <c r="C1305" s="39"/>
      <c r="D1305" s="109" t="s">
        <v>7047</v>
      </c>
      <c r="E1305" s="109" t="s">
        <v>6732</v>
      </c>
      <c r="F1305" s="3" t="s">
        <v>2640</v>
      </c>
      <c r="G1305" s="109" t="s">
        <v>6733</v>
      </c>
      <c r="H1305" s="109" t="s">
        <v>6734</v>
      </c>
      <c r="I1305" s="58" t="s">
        <v>3453</v>
      </c>
      <c r="J1305" s="109" t="s">
        <v>6735</v>
      </c>
      <c r="K1305" s="143" t="s">
        <v>6736</v>
      </c>
    </row>
    <row r="1306" spans="1:11">
      <c r="A1306" s="158"/>
      <c r="B1306" s="39"/>
      <c r="C1306" s="39"/>
      <c r="D1306" s="109" t="s">
        <v>7048</v>
      </c>
      <c r="E1306" s="109" t="s">
        <v>6737</v>
      </c>
      <c r="F1306" s="3" t="s">
        <v>2640</v>
      </c>
      <c r="G1306" s="109" t="s">
        <v>6638</v>
      </c>
      <c r="H1306" s="109" t="s">
        <v>6738</v>
      </c>
      <c r="I1306" s="58" t="s">
        <v>3459</v>
      </c>
      <c r="J1306" s="109" t="s">
        <v>6739</v>
      </c>
      <c r="K1306" s="143" t="s">
        <v>6740</v>
      </c>
    </row>
    <row r="1307" spans="1:11">
      <c r="A1307" s="158"/>
      <c r="B1307" s="39"/>
      <c r="C1307" s="39"/>
      <c r="D1307" s="109" t="s">
        <v>7049</v>
      </c>
      <c r="E1307" s="109" t="s">
        <v>6741</v>
      </c>
      <c r="F1307" s="3" t="s">
        <v>2640</v>
      </c>
      <c r="G1307" s="109" t="s">
        <v>6742</v>
      </c>
      <c r="H1307" s="109" t="s">
        <v>6743</v>
      </c>
      <c r="I1307" s="58" t="s">
        <v>3453</v>
      </c>
      <c r="J1307" s="109" t="s">
        <v>6744</v>
      </c>
      <c r="K1307" s="143" t="s">
        <v>6745</v>
      </c>
    </row>
    <row r="1308" spans="1:11">
      <c r="A1308" s="158"/>
      <c r="B1308" s="39"/>
      <c r="C1308" s="39"/>
      <c r="D1308" s="109" t="s">
        <v>7050</v>
      </c>
      <c r="E1308" s="109" t="s">
        <v>6746</v>
      </c>
      <c r="F1308" s="3" t="s">
        <v>2640</v>
      </c>
      <c r="G1308" s="109" t="s">
        <v>6747</v>
      </c>
      <c r="H1308" s="109" t="s">
        <v>6748</v>
      </c>
      <c r="I1308" s="58" t="s">
        <v>3459</v>
      </c>
      <c r="J1308" s="109" t="s">
        <v>3141</v>
      </c>
      <c r="K1308" s="143" t="s">
        <v>6749</v>
      </c>
    </row>
    <row r="1309" spans="1:11">
      <c r="A1309" s="158"/>
      <c r="B1309" s="39" t="s">
        <v>1382</v>
      </c>
      <c r="C1309" s="39" t="s">
        <v>1442</v>
      </c>
      <c r="D1309" s="109" t="s">
        <v>6751</v>
      </c>
      <c r="E1309" s="109" t="s">
        <v>6752</v>
      </c>
      <c r="F1309" s="3" t="s">
        <v>2639</v>
      </c>
      <c r="G1309" s="109" t="s">
        <v>6753</v>
      </c>
      <c r="H1309" s="109" t="s">
        <v>6754</v>
      </c>
      <c r="I1309" s="58" t="s">
        <v>3459</v>
      </c>
      <c r="J1309" s="109" t="s">
        <v>6755</v>
      </c>
      <c r="K1309" s="143" t="s">
        <v>6756</v>
      </c>
    </row>
    <row r="1310" spans="1:11">
      <c r="A1310" s="158"/>
      <c r="B1310" s="39"/>
      <c r="C1310" s="39"/>
      <c r="D1310" s="109" t="s">
        <v>6757</v>
      </c>
      <c r="E1310" s="109" t="s">
        <v>6758</v>
      </c>
      <c r="F1310" s="3" t="s">
        <v>2639</v>
      </c>
      <c r="G1310" s="109" t="s">
        <v>6759</v>
      </c>
      <c r="H1310" s="109" t="s">
        <v>5656</v>
      </c>
      <c r="I1310" s="58" t="s">
        <v>3459</v>
      </c>
      <c r="J1310" s="109" t="s">
        <v>6760</v>
      </c>
      <c r="K1310" s="143" t="s">
        <v>6761</v>
      </c>
    </row>
    <row r="1311" spans="1:11">
      <c r="A1311" s="158"/>
      <c r="B1311" s="39"/>
      <c r="C1311" s="39"/>
      <c r="D1311" s="109" t="s">
        <v>6762</v>
      </c>
      <c r="E1311" s="109" t="s">
        <v>6763</v>
      </c>
      <c r="F1311" s="3" t="s">
        <v>2641</v>
      </c>
      <c r="G1311" s="109" t="s">
        <v>6764</v>
      </c>
      <c r="H1311" s="109" t="s">
        <v>4319</v>
      </c>
      <c r="I1311" s="58" t="s">
        <v>3453</v>
      </c>
      <c r="J1311" s="109" t="s">
        <v>6765</v>
      </c>
      <c r="K1311" s="143" t="s">
        <v>6766</v>
      </c>
    </row>
    <row r="1312" spans="1:11">
      <c r="A1312" s="158"/>
      <c r="B1312" s="39"/>
      <c r="C1312" s="39"/>
      <c r="D1312" s="109" t="s">
        <v>6767</v>
      </c>
      <c r="E1312" s="109" t="s">
        <v>6768</v>
      </c>
      <c r="F1312" s="3" t="s">
        <v>2640</v>
      </c>
      <c r="G1312" s="109" t="s">
        <v>6769</v>
      </c>
      <c r="H1312" s="109" t="s">
        <v>4043</v>
      </c>
      <c r="I1312" s="58" t="s">
        <v>3581</v>
      </c>
      <c r="J1312" s="109" t="s">
        <v>6770</v>
      </c>
      <c r="K1312" s="143" t="s">
        <v>6771</v>
      </c>
    </row>
    <row r="1313" spans="1:11">
      <c r="A1313" s="158"/>
      <c r="B1313" s="39"/>
      <c r="C1313" s="39"/>
      <c r="D1313" s="109" t="s">
        <v>6772</v>
      </c>
      <c r="E1313" s="109" t="s">
        <v>6773</v>
      </c>
      <c r="F1313" s="3" t="s">
        <v>2640</v>
      </c>
      <c r="G1313" s="109" t="s">
        <v>6774</v>
      </c>
      <c r="H1313" s="109" t="s">
        <v>6775</v>
      </c>
      <c r="I1313" s="58" t="s">
        <v>3459</v>
      </c>
      <c r="J1313" s="109" t="s">
        <v>6776</v>
      </c>
      <c r="K1313" s="143" t="s">
        <v>6777</v>
      </c>
    </row>
    <row r="1314" spans="1:11">
      <c r="A1314" s="158"/>
      <c r="B1314" s="39"/>
      <c r="C1314" s="39" t="s">
        <v>1443</v>
      </c>
      <c r="D1314" s="109" t="s">
        <v>6778</v>
      </c>
      <c r="E1314" s="109" t="s">
        <v>6779</v>
      </c>
      <c r="F1314" s="3" t="s">
        <v>2639</v>
      </c>
      <c r="G1314" s="109" t="s">
        <v>6780</v>
      </c>
      <c r="H1314" s="109" t="s">
        <v>6781</v>
      </c>
      <c r="I1314" s="58" t="s">
        <v>3459</v>
      </c>
      <c r="J1314" s="109" t="s">
        <v>6782</v>
      </c>
      <c r="K1314" s="143" t="s">
        <v>6783</v>
      </c>
    </row>
    <row r="1315" spans="1:11">
      <c r="A1315" s="158"/>
      <c r="B1315" s="39"/>
      <c r="C1315" s="39"/>
      <c r="D1315" s="109" t="s">
        <v>6784</v>
      </c>
      <c r="E1315" s="109" t="s">
        <v>6785</v>
      </c>
      <c r="F1315" s="3" t="s">
        <v>2641</v>
      </c>
      <c r="G1315" s="109" t="s">
        <v>6786</v>
      </c>
      <c r="H1315" s="109" t="s">
        <v>6787</v>
      </c>
      <c r="I1315" s="58" t="s">
        <v>3459</v>
      </c>
      <c r="J1315" s="109" t="s">
        <v>6788</v>
      </c>
      <c r="K1315" s="143" t="s">
        <v>6789</v>
      </c>
    </row>
    <row r="1316" spans="1:11">
      <c r="A1316" s="158"/>
      <c r="B1316" s="39"/>
      <c r="C1316" s="39"/>
      <c r="D1316" s="109" t="s">
        <v>6790</v>
      </c>
      <c r="E1316" s="109" t="s">
        <v>6791</v>
      </c>
      <c r="F1316" s="3" t="s">
        <v>2640</v>
      </c>
      <c r="G1316" s="109" t="s">
        <v>5500</v>
      </c>
      <c r="H1316" s="109" t="s">
        <v>6792</v>
      </c>
      <c r="I1316" s="58" t="s">
        <v>3453</v>
      </c>
      <c r="J1316" s="109" t="s">
        <v>6793</v>
      </c>
      <c r="K1316" s="143" t="s">
        <v>6794</v>
      </c>
    </row>
    <row r="1317" spans="1:11">
      <c r="A1317" s="158"/>
      <c r="B1317" s="39"/>
      <c r="C1317" s="39"/>
      <c r="D1317" s="109" t="s">
        <v>6795</v>
      </c>
      <c r="E1317" s="109" t="s">
        <v>6796</v>
      </c>
      <c r="F1317" s="3" t="s">
        <v>2639</v>
      </c>
      <c r="G1317" s="109" t="s">
        <v>6797</v>
      </c>
      <c r="H1317" s="109" t="s">
        <v>6798</v>
      </c>
      <c r="I1317" s="58" t="s">
        <v>3581</v>
      </c>
      <c r="J1317" s="109" t="s">
        <v>6799</v>
      </c>
      <c r="K1317" s="143" t="s">
        <v>6800</v>
      </c>
    </row>
    <row r="1318" spans="1:11">
      <c r="A1318" s="158"/>
      <c r="B1318" s="39"/>
      <c r="C1318" s="39"/>
      <c r="D1318" s="109" t="s">
        <v>6801</v>
      </c>
      <c r="E1318" s="109" t="s">
        <v>6802</v>
      </c>
      <c r="F1318" s="3" t="s">
        <v>2640</v>
      </c>
      <c r="G1318" s="109" t="s">
        <v>6803</v>
      </c>
      <c r="H1318" s="109" t="s">
        <v>6804</v>
      </c>
      <c r="I1318" s="58" t="s">
        <v>3453</v>
      </c>
      <c r="J1318" s="109" t="s">
        <v>6805</v>
      </c>
      <c r="K1318" s="143" t="s">
        <v>6806</v>
      </c>
    </row>
    <row r="1319" spans="1:11">
      <c r="A1319" s="158"/>
      <c r="B1319" s="39"/>
      <c r="C1319" s="39" t="s">
        <v>1444</v>
      </c>
      <c r="D1319" s="109" t="s">
        <v>6807</v>
      </c>
      <c r="E1319" s="109" t="s">
        <v>6808</v>
      </c>
      <c r="F1319" s="3" t="s">
        <v>2640</v>
      </c>
      <c r="G1319" s="109" t="s">
        <v>6809</v>
      </c>
      <c r="H1319" s="109" t="s">
        <v>6810</v>
      </c>
      <c r="I1319" s="58" t="s">
        <v>3453</v>
      </c>
      <c r="J1319" s="109" t="s">
        <v>6811</v>
      </c>
      <c r="K1319" s="143" t="s">
        <v>6812</v>
      </c>
    </row>
    <row r="1320" spans="1:11">
      <c r="A1320" s="158"/>
      <c r="B1320" s="39"/>
      <c r="C1320" s="39"/>
      <c r="D1320" s="109" t="s">
        <v>6813</v>
      </c>
      <c r="E1320" s="109" t="s">
        <v>6814</v>
      </c>
      <c r="F1320" s="3" t="s">
        <v>2639</v>
      </c>
      <c r="G1320" s="109" t="s">
        <v>6815</v>
      </c>
      <c r="H1320" s="109" t="s">
        <v>6816</v>
      </c>
      <c r="I1320" s="58" t="s">
        <v>3459</v>
      </c>
      <c r="J1320" s="109" t="s">
        <v>6817</v>
      </c>
      <c r="K1320" s="143" t="s">
        <v>6818</v>
      </c>
    </row>
    <row r="1321" spans="1:11">
      <c r="A1321" s="158"/>
      <c r="B1321" s="39"/>
      <c r="C1321" s="39"/>
      <c r="D1321" s="109" t="s">
        <v>6819</v>
      </c>
      <c r="E1321" s="109" t="s">
        <v>6820</v>
      </c>
      <c r="F1321" s="3" t="s">
        <v>2639</v>
      </c>
      <c r="G1321" s="109" t="s">
        <v>6821</v>
      </c>
      <c r="H1321" s="109" t="s">
        <v>6822</v>
      </c>
      <c r="I1321" s="58" t="s">
        <v>3581</v>
      </c>
      <c r="J1321" s="109" t="s">
        <v>6823</v>
      </c>
      <c r="K1321" s="143" t="s">
        <v>6824</v>
      </c>
    </row>
    <row r="1322" spans="1:11">
      <c r="A1322" s="158"/>
      <c r="B1322" s="39"/>
      <c r="C1322" s="39"/>
      <c r="D1322" s="109" t="s">
        <v>6825</v>
      </c>
      <c r="E1322" s="109" t="s">
        <v>6826</v>
      </c>
      <c r="F1322" s="3" t="s">
        <v>2640</v>
      </c>
      <c r="G1322" s="109" t="s">
        <v>6827</v>
      </c>
      <c r="H1322" s="109" t="s">
        <v>6828</v>
      </c>
      <c r="I1322" s="58" t="s">
        <v>3453</v>
      </c>
      <c r="J1322" s="109" t="s">
        <v>6829</v>
      </c>
      <c r="K1322" s="143" t="s">
        <v>6830</v>
      </c>
    </row>
    <row r="1323" spans="1:11">
      <c r="A1323" s="158"/>
      <c r="B1323" s="39"/>
      <c r="C1323" s="39"/>
      <c r="D1323" s="109" t="s">
        <v>6831</v>
      </c>
      <c r="E1323" s="109" t="s">
        <v>6832</v>
      </c>
      <c r="F1323" s="3" t="s">
        <v>2641</v>
      </c>
      <c r="G1323" s="109" t="s">
        <v>6833</v>
      </c>
      <c r="H1323" s="109" t="s">
        <v>6834</v>
      </c>
      <c r="I1323" s="58" t="s">
        <v>3459</v>
      </c>
      <c r="J1323" s="109" t="s">
        <v>6835</v>
      </c>
      <c r="K1323" s="143" t="s">
        <v>6836</v>
      </c>
    </row>
    <row r="1324" spans="1:11">
      <c r="A1324" s="158"/>
      <c r="B1324" s="39"/>
      <c r="C1324" s="39" t="s">
        <v>1445</v>
      </c>
      <c r="D1324" s="109" t="s">
        <v>6837</v>
      </c>
      <c r="E1324" s="109" t="s">
        <v>6838</v>
      </c>
      <c r="F1324" s="3" t="s">
        <v>2639</v>
      </c>
      <c r="G1324" s="109" t="s">
        <v>6839</v>
      </c>
      <c r="H1324" s="109" t="s">
        <v>6840</v>
      </c>
      <c r="I1324" s="58" t="s">
        <v>3459</v>
      </c>
      <c r="J1324" s="109" t="s">
        <v>6841</v>
      </c>
      <c r="K1324" s="143" t="s">
        <v>6842</v>
      </c>
    </row>
    <row r="1325" spans="1:11">
      <c r="A1325" s="158"/>
      <c r="B1325" s="39"/>
      <c r="C1325" s="39"/>
      <c r="D1325" s="109" t="s">
        <v>6843</v>
      </c>
      <c r="E1325" s="109" t="s">
        <v>6844</v>
      </c>
      <c r="F1325" s="3" t="s">
        <v>2639</v>
      </c>
      <c r="G1325" s="109" t="s">
        <v>6845</v>
      </c>
      <c r="H1325" s="109" t="s">
        <v>6846</v>
      </c>
      <c r="I1325" s="58" t="s">
        <v>3453</v>
      </c>
      <c r="J1325" s="109" t="s">
        <v>6847</v>
      </c>
      <c r="K1325" s="143" t="s">
        <v>6848</v>
      </c>
    </row>
    <row r="1326" spans="1:11">
      <c r="A1326" s="158"/>
      <c r="B1326" s="39"/>
      <c r="C1326" s="39"/>
      <c r="D1326" s="109" t="s">
        <v>6849</v>
      </c>
      <c r="E1326" s="109" t="s">
        <v>6850</v>
      </c>
      <c r="F1326" s="3" t="s">
        <v>2640</v>
      </c>
      <c r="G1326" s="109" t="s">
        <v>6851</v>
      </c>
      <c r="H1326" s="109" t="s">
        <v>6852</v>
      </c>
      <c r="I1326" s="58" t="s">
        <v>3459</v>
      </c>
      <c r="J1326" s="109" t="s">
        <v>6853</v>
      </c>
      <c r="K1326" s="143" t="s">
        <v>6854</v>
      </c>
    </row>
    <row r="1327" spans="1:11">
      <c r="A1327" s="158"/>
      <c r="B1327" s="39"/>
      <c r="C1327" s="39"/>
      <c r="D1327" s="109" t="s">
        <v>6855</v>
      </c>
      <c r="E1327" s="109" t="s">
        <v>6856</v>
      </c>
      <c r="F1327" s="3" t="s">
        <v>2640</v>
      </c>
      <c r="G1327" s="109" t="s">
        <v>6857</v>
      </c>
      <c r="H1327" s="109" t="s">
        <v>6858</v>
      </c>
      <c r="I1327" s="58" t="s">
        <v>3453</v>
      </c>
      <c r="J1327" s="109" t="s">
        <v>6859</v>
      </c>
      <c r="K1327" s="143" t="s">
        <v>6860</v>
      </c>
    </row>
    <row r="1328" spans="1:11">
      <c r="A1328" s="158"/>
      <c r="B1328" s="39"/>
      <c r="C1328" s="39"/>
      <c r="D1328" s="109" t="s">
        <v>6861</v>
      </c>
      <c r="E1328" s="109" t="s">
        <v>6862</v>
      </c>
      <c r="F1328" s="3" t="s">
        <v>2641</v>
      </c>
      <c r="G1328" s="109" t="s">
        <v>5500</v>
      </c>
      <c r="H1328" s="109" t="s">
        <v>6863</v>
      </c>
      <c r="I1328" s="58" t="s">
        <v>3459</v>
      </c>
      <c r="J1328" s="109" t="s">
        <v>6864</v>
      </c>
      <c r="K1328" s="143" t="s">
        <v>6865</v>
      </c>
    </row>
    <row r="1329" spans="1:11">
      <c r="A1329" s="158"/>
      <c r="B1329" s="39"/>
      <c r="C1329" s="39" t="s">
        <v>1446</v>
      </c>
      <c r="D1329" s="109" t="s">
        <v>6866</v>
      </c>
      <c r="E1329" s="109" t="s">
        <v>6867</v>
      </c>
      <c r="F1329" s="3" t="s">
        <v>2639</v>
      </c>
      <c r="G1329" s="109" t="s">
        <v>6868</v>
      </c>
      <c r="H1329" s="109" t="s">
        <v>2210</v>
      </c>
      <c r="I1329" s="58" t="s">
        <v>3459</v>
      </c>
      <c r="J1329" s="109" t="s">
        <v>6869</v>
      </c>
      <c r="K1329" s="143" t="s">
        <v>6870</v>
      </c>
    </row>
    <row r="1330" spans="1:11">
      <c r="A1330" s="158"/>
      <c r="B1330" s="39"/>
      <c r="C1330" s="39"/>
      <c r="D1330" s="109" t="s">
        <v>6871</v>
      </c>
      <c r="E1330" s="109" t="s">
        <v>6872</v>
      </c>
      <c r="F1330" s="3" t="s">
        <v>2639</v>
      </c>
      <c r="G1330" s="109" t="s">
        <v>6827</v>
      </c>
      <c r="H1330" s="109" t="s">
        <v>6873</v>
      </c>
      <c r="I1330" s="58" t="s">
        <v>3459</v>
      </c>
      <c r="J1330" s="109" t="s">
        <v>6874</v>
      </c>
      <c r="K1330" s="143" t="s">
        <v>6875</v>
      </c>
    </row>
    <row r="1331" spans="1:11">
      <c r="A1331" s="158"/>
      <c r="B1331" s="39"/>
      <c r="C1331" s="39"/>
      <c r="D1331" s="109" t="s">
        <v>6876</v>
      </c>
      <c r="E1331" s="109" t="s">
        <v>6877</v>
      </c>
      <c r="F1331" s="3" t="s">
        <v>2640</v>
      </c>
      <c r="G1331" s="109" t="s">
        <v>6786</v>
      </c>
      <c r="H1331" s="109" t="s">
        <v>6878</v>
      </c>
      <c r="I1331" s="58" t="s">
        <v>3453</v>
      </c>
      <c r="J1331" s="109" t="s">
        <v>6879</v>
      </c>
      <c r="K1331" s="143" t="s">
        <v>6880</v>
      </c>
    </row>
    <row r="1332" spans="1:11">
      <c r="A1332" s="158"/>
      <c r="B1332" s="39"/>
      <c r="C1332" s="39"/>
      <c r="D1332" s="109" t="s">
        <v>6881</v>
      </c>
      <c r="E1332" s="109" t="s">
        <v>6882</v>
      </c>
      <c r="F1332" s="3" t="s">
        <v>2639</v>
      </c>
      <c r="G1332" s="109" t="s">
        <v>6883</v>
      </c>
      <c r="H1332" s="109" t="s">
        <v>2168</v>
      </c>
      <c r="I1332" s="58" t="s">
        <v>3581</v>
      </c>
      <c r="J1332" s="109" t="s">
        <v>6884</v>
      </c>
      <c r="K1332" s="143" t="s">
        <v>6885</v>
      </c>
    </row>
    <row r="1333" spans="1:11">
      <c r="A1333" s="158"/>
      <c r="B1333" s="39"/>
      <c r="C1333" s="39"/>
      <c r="D1333" s="109" t="s">
        <v>6886</v>
      </c>
      <c r="E1333" s="109" t="s">
        <v>6887</v>
      </c>
      <c r="F1333" s="3" t="s">
        <v>2641</v>
      </c>
      <c r="G1333" s="109" t="s">
        <v>6888</v>
      </c>
      <c r="H1333" s="109" t="s">
        <v>6889</v>
      </c>
      <c r="I1333" s="58" t="s">
        <v>3459</v>
      </c>
      <c r="J1333" s="109" t="s">
        <v>6890</v>
      </c>
      <c r="K1333" s="143" t="s">
        <v>6891</v>
      </c>
    </row>
    <row r="1334" spans="1:11">
      <c r="A1334" s="158"/>
      <c r="B1334" s="39" t="s">
        <v>1383</v>
      </c>
      <c r="C1334" s="39" t="s">
        <v>1447</v>
      </c>
      <c r="D1334" s="109" t="s">
        <v>6892</v>
      </c>
      <c r="E1334" s="109" t="s">
        <v>6893</v>
      </c>
      <c r="F1334" s="3" t="s">
        <v>2639</v>
      </c>
      <c r="G1334" s="109" t="s">
        <v>6894</v>
      </c>
      <c r="H1334" s="109" t="s">
        <v>6895</v>
      </c>
      <c r="I1334" s="58" t="s">
        <v>3459</v>
      </c>
      <c r="J1334" s="109" t="s">
        <v>6896</v>
      </c>
      <c r="K1334" s="143" t="s">
        <v>6897</v>
      </c>
    </row>
    <row r="1335" spans="1:11">
      <c r="A1335" s="158"/>
      <c r="B1335" s="39"/>
      <c r="C1335" s="39"/>
      <c r="D1335" s="109" t="s">
        <v>2902</v>
      </c>
      <c r="E1335" s="109" t="s">
        <v>6898</v>
      </c>
      <c r="F1335" s="3" t="s">
        <v>2640</v>
      </c>
      <c r="G1335" s="109" t="s">
        <v>6899</v>
      </c>
      <c r="H1335" s="109" t="s">
        <v>3556</v>
      </c>
      <c r="I1335" s="58" t="s">
        <v>3453</v>
      </c>
      <c r="J1335" s="109" t="s">
        <v>6900</v>
      </c>
      <c r="K1335" s="143" t="s">
        <v>6901</v>
      </c>
    </row>
    <row r="1336" spans="1:11">
      <c r="A1336" s="158"/>
      <c r="B1336" s="39"/>
      <c r="C1336" s="39"/>
      <c r="D1336" s="109" t="s">
        <v>6902</v>
      </c>
      <c r="E1336" s="109" t="s">
        <v>6903</v>
      </c>
      <c r="F1336" s="3" t="s">
        <v>2639</v>
      </c>
      <c r="G1336" s="109" t="s">
        <v>6904</v>
      </c>
      <c r="H1336" s="109" t="s">
        <v>6905</v>
      </c>
      <c r="I1336" s="58" t="s">
        <v>3459</v>
      </c>
      <c r="J1336" s="109" t="s">
        <v>6906</v>
      </c>
      <c r="K1336" s="143" t="s">
        <v>6907</v>
      </c>
    </row>
    <row r="1337" spans="1:11">
      <c r="A1337" s="158"/>
      <c r="B1337" s="39"/>
      <c r="C1337" s="39"/>
      <c r="D1337" s="109" t="s">
        <v>6908</v>
      </c>
      <c r="E1337" s="109" t="s">
        <v>6909</v>
      </c>
      <c r="F1337" s="3" t="s">
        <v>2640</v>
      </c>
      <c r="G1337" s="109" t="s">
        <v>6910</v>
      </c>
      <c r="H1337" s="109" t="s">
        <v>6911</v>
      </c>
      <c r="I1337" s="58" t="s">
        <v>3459</v>
      </c>
      <c r="J1337" s="109" t="s">
        <v>6912</v>
      </c>
      <c r="K1337" s="143" t="s">
        <v>6913</v>
      </c>
    </row>
    <row r="1338" spans="1:11">
      <c r="A1338" s="158"/>
      <c r="B1338" s="39"/>
      <c r="C1338" s="39"/>
      <c r="D1338" s="109" t="s">
        <v>6914</v>
      </c>
      <c r="E1338" s="109" t="s">
        <v>6915</v>
      </c>
      <c r="F1338" s="3" t="s">
        <v>2641</v>
      </c>
      <c r="G1338" s="109" t="s">
        <v>6916</v>
      </c>
      <c r="H1338" s="109" t="s">
        <v>6864</v>
      </c>
      <c r="I1338" s="58" t="s">
        <v>3453</v>
      </c>
      <c r="J1338" s="109" t="s">
        <v>6917</v>
      </c>
      <c r="K1338" s="143" t="s">
        <v>6918</v>
      </c>
    </row>
    <row r="1339" spans="1:11">
      <c r="A1339" s="158"/>
      <c r="B1339" s="39"/>
      <c r="C1339" s="39" t="s">
        <v>1448</v>
      </c>
      <c r="D1339" s="109" t="s">
        <v>6919</v>
      </c>
      <c r="E1339" s="109" t="s">
        <v>6920</v>
      </c>
      <c r="F1339" s="3" t="s">
        <v>2639</v>
      </c>
      <c r="G1339" s="109" t="s">
        <v>6921</v>
      </c>
      <c r="H1339" s="109" t="s">
        <v>6922</v>
      </c>
      <c r="I1339" s="58" t="s">
        <v>3581</v>
      </c>
      <c r="J1339" s="109" t="s">
        <v>6923</v>
      </c>
      <c r="K1339" s="143" t="s">
        <v>6924</v>
      </c>
    </row>
    <row r="1340" spans="1:11">
      <c r="A1340" s="158"/>
      <c r="B1340" s="39"/>
      <c r="C1340" s="39"/>
      <c r="D1340" s="109" t="s">
        <v>6925</v>
      </c>
      <c r="E1340" s="109" t="s">
        <v>6926</v>
      </c>
      <c r="F1340" s="3" t="s">
        <v>2639</v>
      </c>
      <c r="G1340" s="109" t="s">
        <v>6927</v>
      </c>
      <c r="H1340" s="109" t="s">
        <v>6928</v>
      </c>
      <c r="I1340" s="58" t="s">
        <v>3581</v>
      </c>
      <c r="J1340" s="109" t="s">
        <v>6929</v>
      </c>
      <c r="K1340" s="143" t="s">
        <v>6930</v>
      </c>
    </row>
    <row r="1341" spans="1:11">
      <c r="A1341" s="158"/>
      <c r="B1341" s="39"/>
      <c r="C1341" s="39"/>
      <c r="D1341" s="109" t="s">
        <v>6931</v>
      </c>
      <c r="E1341" s="109" t="s">
        <v>6932</v>
      </c>
      <c r="F1341" s="3" t="s">
        <v>2640</v>
      </c>
      <c r="G1341" s="109" t="s">
        <v>6933</v>
      </c>
      <c r="H1341" s="109" t="s">
        <v>6934</v>
      </c>
      <c r="I1341" s="58" t="s">
        <v>3459</v>
      </c>
      <c r="J1341" s="109" t="s">
        <v>6935</v>
      </c>
      <c r="K1341" s="143" t="s">
        <v>6936</v>
      </c>
    </row>
    <row r="1342" spans="1:11">
      <c r="A1342" s="158"/>
      <c r="B1342" s="39"/>
      <c r="C1342" s="39"/>
      <c r="D1342" s="109" t="s">
        <v>5156</v>
      </c>
      <c r="E1342" s="109" t="s">
        <v>6937</v>
      </c>
      <c r="F1342" s="3" t="s">
        <v>2639</v>
      </c>
      <c r="G1342" s="109" t="s">
        <v>6938</v>
      </c>
      <c r="H1342" s="109" t="s">
        <v>2487</v>
      </c>
      <c r="I1342" s="58" t="s">
        <v>3581</v>
      </c>
      <c r="J1342" s="109" t="s">
        <v>6939</v>
      </c>
      <c r="K1342" s="143" t="s">
        <v>6940</v>
      </c>
    </row>
    <row r="1343" spans="1:11">
      <c r="A1343" s="158"/>
      <c r="B1343" s="39"/>
      <c r="C1343" s="39"/>
      <c r="D1343" s="109" t="s">
        <v>6750</v>
      </c>
      <c r="E1343" s="109" t="s">
        <v>6941</v>
      </c>
      <c r="F1343" s="3" t="s">
        <v>2641</v>
      </c>
      <c r="G1343" s="109" t="s">
        <v>6942</v>
      </c>
      <c r="H1343" s="109" t="s">
        <v>6943</v>
      </c>
      <c r="I1343" s="58" t="s">
        <v>3459</v>
      </c>
      <c r="J1343" s="109" t="s">
        <v>6944</v>
      </c>
      <c r="K1343" s="143" t="s">
        <v>6945</v>
      </c>
    </row>
    <row r="1344" spans="1:11">
      <c r="A1344" s="158"/>
      <c r="B1344" s="39"/>
      <c r="C1344" s="39" t="s">
        <v>1449</v>
      </c>
      <c r="D1344" s="109" t="s">
        <v>6946</v>
      </c>
      <c r="E1344" s="109" t="s">
        <v>6947</v>
      </c>
      <c r="F1344" s="3" t="s">
        <v>2639</v>
      </c>
      <c r="G1344" s="109" t="s">
        <v>6948</v>
      </c>
      <c r="H1344" s="109" t="s">
        <v>6949</v>
      </c>
      <c r="I1344" s="58" t="s">
        <v>3459</v>
      </c>
      <c r="J1344" s="109" t="s">
        <v>6950</v>
      </c>
      <c r="K1344" s="143" t="s">
        <v>6951</v>
      </c>
    </row>
    <row r="1345" spans="1:11">
      <c r="A1345" s="158"/>
      <c r="B1345" s="39"/>
      <c r="C1345" s="39"/>
      <c r="D1345" s="109" t="s">
        <v>6952</v>
      </c>
      <c r="E1345" s="109" t="s">
        <v>6953</v>
      </c>
      <c r="F1345" s="3" t="s">
        <v>2640</v>
      </c>
      <c r="G1345" s="109" t="s">
        <v>6954</v>
      </c>
      <c r="H1345" s="109" t="s">
        <v>6955</v>
      </c>
      <c r="I1345" s="58" t="s">
        <v>3459</v>
      </c>
      <c r="J1345" s="109" t="s">
        <v>6956</v>
      </c>
      <c r="K1345" s="143" t="s">
        <v>6957</v>
      </c>
    </row>
    <row r="1346" spans="1:11">
      <c r="A1346" s="158"/>
      <c r="B1346" s="39"/>
      <c r="C1346" s="39"/>
      <c r="D1346" s="109" t="s">
        <v>6958</v>
      </c>
      <c r="E1346" s="109" t="s">
        <v>6959</v>
      </c>
      <c r="F1346" s="3" t="s">
        <v>2641</v>
      </c>
      <c r="G1346" s="109" t="s">
        <v>6960</v>
      </c>
      <c r="H1346" s="109" t="s">
        <v>6961</v>
      </c>
      <c r="I1346" s="58" t="s">
        <v>3453</v>
      </c>
      <c r="J1346" s="109" t="s">
        <v>6962</v>
      </c>
      <c r="K1346" s="143" t="s">
        <v>6963</v>
      </c>
    </row>
    <row r="1347" spans="1:11">
      <c r="A1347" s="158"/>
      <c r="B1347" s="39"/>
      <c r="C1347" s="39"/>
      <c r="D1347" s="109" t="s">
        <v>6964</v>
      </c>
      <c r="E1347" s="109" t="s">
        <v>6965</v>
      </c>
      <c r="F1347" s="3" t="s">
        <v>2640</v>
      </c>
      <c r="G1347" s="109" t="s">
        <v>6966</v>
      </c>
      <c r="H1347" s="109" t="s">
        <v>6967</v>
      </c>
      <c r="I1347" s="58" t="s">
        <v>3453</v>
      </c>
      <c r="J1347" s="109" t="s">
        <v>6968</v>
      </c>
      <c r="K1347" s="143" t="s">
        <v>6969</v>
      </c>
    </row>
    <row r="1348" spans="1:11">
      <c r="A1348" s="158"/>
      <c r="B1348" s="39"/>
      <c r="C1348" s="39"/>
      <c r="D1348" s="109" t="s">
        <v>6970</v>
      </c>
      <c r="E1348" s="109" t="s">
        <v>6971</v>
      </c>
      <c r="F1348" s="3" t="s">
        <v>2641</v>
      </c>
      <c r="G1348" s="109" t="s">
        <v>6972</v>
      </c>
      <c r="H1348" s="109" t="s">
        <v>6973</v>
      </c>
      <c r="I1348" s="58" t="s">
        <v>3459</v>
      </c>
      <c r="J1348" s="109" t="s">
        <v>6974</v>
      </c>
      <c r="K1348" s="143" t="s">
        <v>6975</v>
      </c>
    </row>
    <row r="1349" spans="1:11">
      <c r="A1349" s="158"/>
      <c r="B1349" s="39"/>
      <c r="C1349" s="39" t="s">
        <v>1450</v>
      </c>
      <c r="D1349" s="109" t="s">
        <v>6976</v>
      </c>
      <c r="E1349" s="109" t="s">
        <v>6977</v>
      </c>
      <c r="F1349" s="3" t="s">
        <v>2640</v>
      </c>
      <c r="G1349" s="109" t="s">
        <v>6507</v>
      </c>
      <c r="H1349" s="109" t="s">
        <v>6978</v>
      </c>
      <c r="I1349" s="58" t="s">
        <v>3453</v>
      </c>
      <c r="J1349" s="109" t="s">
        <v>6979</v>
      </c>
      <c r="K1349" s="143" t="s">
        <v>6980</v>
      </c>
    </row>
    <row r="1350" spans="1:11">
      <c r="A1350" s="158"/>
      <c r="B1350" s="39"/>
      <c r="C1350" s="39"/>
      <c r="D1350" s="109" t="s">
        <v>6981</v>
      </c>
      <c r="E1350" s="109" t="s">
        <v>6982</v>
      </c>
      <c r="F1350" s="3" t="s">
        <v>2640</v>
      </c>
      <c r="G1350" s="109" t="s">
        <v>6983</v>
      </c>
      <c r="H1350" s="109" t="s">
        <v>6984</v>
      </c>
      <c r="I1350" s="58" t="s">
        <v>3453</v>
      </c>
      <c r="J1350" s="109" t="s">
        <v>6985</v>
      </c>
      <c r="K1350" s="143" t="s">
        <v>6986</v>
      </c>
    </row>
    <row r="1351" spans="1:11">
      <c r="A1351" s="158"/>
      <c r="B1351" s="39"/>
      <c r="C1351" s="39"/>
      <c r="D1351" s="109" t="s">
        <v>5373</v>
      </c>
      <c r="E1351" s="109" t="s">
        <v>6987</v>
      </c>
      <c r="F1351" s="3" t="s">
        <v>2641</v>
      </c>
      <c r="G1351" s="109" t="s">
        <v>6988</v>
      </c>
      <c r="H1351" s="109" t="s">
        <v>6989</v>
      </c>
      <c r="I1351" s="58" t="s">
        <v>3459</v>
      </c>
      <c r="J1351" s="109" t="s">
        <v>6990</v>
      </c>
      <c r="K1351" s="143" t="s">
        <v>6991</v>
      </c>
    </row>
    <row r="1352" spans="1:11">
      <c r="A1352" s="158"/>
      <c r="B1352" s="39"/>
      <c r="C1352" s="39"/>
      <c r="D1352" s="109" t="s">
        <v>5371</v>
      </c>
      <c r="E1352" s="109" t="s">
        <v>6992</v>
      </c>
      <c r="F1352" s="3" t="s">
        <v>2639</v>
      </c>
      <c r="G1352" s="109" t="s">
        <v>2213</v>
      </c>
      <c r="H1352" s="109" t="s">
        <v>6993</v>
      </c>
      <c r="I1352" s="58" t="s">
        <v>3459</v>
      </c>
      <c r="J1352" s="109" t="s">
        <v>6994</v>
      </c>
      <c r="K1352" s="143" t="s">
        <v>6995</v>
      </c>
    </row>
    <row r="1353" spans="1:11">
      <c r="A1353" s="158"/>
      <c r="B1353" s="39"/>
      <c r="C1353" s="39"/>
      <c r="D1353" s="109" t="s">
        <v>2203</v>
      </c>
      <c r="E1353" s="109" t="s">
        <v>6996</v>
      </c>
      <c r="F1353" s="3" t="s">
        <v>2640</v>
      </c>
      <c r="G1353" s="109" t="s">
        <v>5230</v>
      </c>
      <c r="H1353" s="109" t="s">
        <v>2206</v>
      </c>
      <c r="I1353" s="58" t="s">
        <v>3459</v>
      </c>
      <c r="J1353" s="109" t="s">
        <v>6997</v>
      </c>
      <c r="K1353" s="143" t="s">
        <v>6998</v>
      </c>
    </row>
    <row r="1354" spans="1:11">
      <c r="A1354" s="158"/>
      <c r="B1354" s="39"/>
      <c r="C1354" s="39" t="s">
        <v>1451</v>
      </c>
      <c r="D1354" s="109" t="s">
        <v>6999</v>
      </c>
      <c r="E1354" s="109" t="s">
        <v>7000</v>
      </c>
      <c r="F1354" s="3" t="s">
        <v>2639</v>
      </c>
      <c r="G1354" s="109" t="s">
        <v>7001</v>
      </c>
      <c r="H1354" s="109" t="s">
        <v>7002</v>
      </c>
      <c r="I1354" s="58" t="s">
        <v>3581</v>
      </c>
      <c r="J1354" s="109" t="s">
        <v>7003</v>
      </c>
      <c r="K1354" s="143" t="s">
        <v>7004</v>
      </c>
    </row>
    <row r="1355" spans="1:11">
      <c r="A1355" s="158"/>
      <c r="B1355" s="39"/>
      <c r="C1355" s="39"/>
      <c r="D1355" s="109" t="s">
        <v>7005</v>
      </c>
      <c r="E1355" s="109" t="s">
        <v>7006</v>
      </c>
      <c r="F1355" s="3" t="s">
        <v>2640</v>
      </c>
      <c r="G1355" s="109" t="s">
        <v>7007</v>
      </c>
      <c r="H1355" s="109" t="s">
        <v>7008</v>
      </c>
      <c r="I1355" s="58" t="s">
        <v>3459</v>
      </c>
      <c r="J1355" s="109" t="s">
        <v>7009</v>
      </c>
      <c r="K1355" s="143" t="s">
        <v>7010</v>
      </c>
    </row>
    <row r="1356" spans="1:11">
      <c r="A1356" s="158"/>
      <c r="B1356" s="39"/>
      <c r="C1356" s="39"/>
      <c r="D1356" s="109" t="s">
        <v>7011</v>
      </c>
      <c r="E1356" s="109" t="s">
        <v>7012</v>
      </c>
      <c r="F1356" s="3" t="s">
        <v>2640</v>
      </c>
      <c r="G1356" s="109" t="s">
        <v>7013</v>
      </c>
      <c r="H1356" s="109" t="s">
        <v>7014</v>
      </c>
      <c r="I1356" s="58" t="s">
        <v>3581</v>
      </c>
      <c r="J1356" s="109" t="s">
        <v>7015</v>
      </c>
      <c r="K1356" s="143" t="s">
        <v>7016</v>
      </c>
    </row>
    <row r="1357" spans="1:11">
      <c r="A1357" s="158"/>
      <c r="B1357" s="39"/>
      <c r="C1357" s="39"/>
      <c r="D1357" s="109" t="s">
        <v>7017</v>
      </c>
      <c r="E1357" s="109" t="s">
        <v>7018</v>
      </c>
      <c r="F1357" s="3" t="s">
        <v>2641</v>
      </c>
      <c r="G1357" s="109" t="s">
        <v>7019</v>
      </c>
      <c r="H1357" s="109" t="s">
        <v>7020</v>
      </c>
      <c r="I1357" s="58" t="s">
        <v>3459</v>
      </c>
      <c r="J1357" s="109" t="s">
        <v>7021</v>
      </c>
      <c r="K1357" s="143" t="s">
        <v>7022</v>
      </c>
    </row>
    <row r="1358" spans="1:11">
      <c r="A1358" s="158"/>
      <c r="B1358" s="39"/>
      <c r="C1358" s="39"/>
      <c r="D1358" s="109" t="s">
        <v>7023</v>
      </c>
      <c r="E1358" s="109" t="s">
        <v>7024</v>
      </c>
      <c r="F1358" s="3" t="s">
        <v>2640</v>
      </c>
      <c r="G1358" s="109" t="s">
        <v>7025</v>
      </c>
      <c r="H1358" s="109" t="s">
        <v>7026</v>
      </c>
      <c r="I1358" s="58" t="s">
        <v>3453</v>
      </c>
      <c r="J1358" s="109" t="s">
        <v>7027</v>
      </c>
      <c r="K1358" s="143" t="s">
        <v>7028</v>
      </c>
    </row>
    <row r="1359" spans="1:11">
      <c r="A1359" s="158"/>
      <c r="B1359" s="39" t="s">
        <v>1384</v>
      </c>
      <c r="C1359" s="39" t="s">
        <v>1452</v>
      </c>
      <c r="D1359" s="109" t="s">
        <v>7052</v>
      </c>
      <c r="E1359" s="109" t="s">
        <v>7053</v>
      </c>
      <c r="F1359" s="3" t="s">
        <v>2639</v>
      </c>
      <c r="G1359" s="109" t="s">
        <v>7054</v>
      </c>
      <c r="H1359" s="109" t="s">
        <v>7055</v>
      </c>
      <c r="I1359" s="58" t="s">
        <v>3459</v>
      </c>
      <c r="J1359" s="109" t="s">
        <v>5307</v>
      </c>
      <c r="K1359" s="144" t="s">
        <v>7056</v>
      </c>
    </row>
    <row r="1360" spans="1:11">
      <c r="A1360" s="158"/>
      <c r="B1360" s="39"/>
      <c r="C1360" s="39"/>
      <c r="D1360" s="109" t="s">
        <v>7057</v>
      </c>
      <c r="E1360" s="109" t="s">
        <v>7058</v>
      </c>
      <c r="F1360" s="3" t="s">
        <v>2639</v>
      </c>
      <c r="G1360" s="109" t="s">
        <v>6219</v>
      </c>
      <c r="H1360" s="109" t="s">
        <v>7059</v>
      </c>
      <c r="I1360" s="58" t="s">
        <v>3459</v>
      </c>
      <c r="J1360" s="109" t="s">
        <v>7060</v>
      </c>
      <c r="K1360" s="144" t="s">
        <v>7061</v>
      </c>
    </row>
    <row r="1361" spans="1:11">
      <c r="A1361" s="158"/>
      <c r="B1361" s="39"/>
      <c r="C1361" s="39"/>
      <c r="D1361" s="109" t="s">
        <v>7062</v>
      </c>
      <c r="E1361" s="109" t="s">
        <v>7063</v>
      </c>
      <c r="F1361" s="3" t="s">
        <v>2640</v>
      </c>
      <c r="G1361" s="109" t="s">
        <v>7064</v>
      </c>
      <c r="H1361" s="109" t="s">
        <v>7065</v>
      </c>
      <c r="I1361" s="58" t="s">
        <v>3453</v>
      </c>
      <c r="J1361" s="109" t="s">
        <v>4319</v>
      </c>
      <c r="K1361" s="144" t="s">
        <v>7066</v>
      </c>
    </row>
    <row r="1362" spans="1:11">
      <c r="A1362" s="158"/>
      <c r="B1362" s="39"/>
      <c r="C1362" s="39"/>
      <c r="D1362" s="109" t="s">
        <v>7067</v>
      </c>
      <c r="E1362" s="109" t="s">
        <v>7068</v>
      </c>
      <c r="F1362" s="3" t="s">
        <v>2639</v>
      </c>
      <c r="G1362" s="109" t="s">
        <v>7069</v>
      </c>
      <c r="H1362" s="109" t="s">
        <v>7070</v>
      </c>
      <c r="I1362" s="58" t="s">
        <v>3459</v>
      </c>
      <c r="J1362" s="109" t="s">
        <v>7071</v>
      </c>
      <c r="K1362" s="144" t="s">
        <v>7072</v>
      </c>
    </row>
    <row r="1363" spans="1:11">
      <c r="A1363" s="158"/>
      <c r="B1363" s="39"/>
      <c r="C1363" s="39"/>
      <c r="D1363" s="109" t="s">
        <v>7073</v>
      </c>
      <c r="E1363" s="109" t="s">
        <v>7074</v>
      </c>
      <c r="F1363" s="3" t="s">
        <v>2639</v>
      </c>
      <c r="G1363" s="109" t="s">
        <v>7075</v>
      </c>
      <c r="H1363" s="109" t="s">
        <v>3283</v>
      </c>
      <c r="I1363" s="58" t="s">
        <v>3581</v>
      </c>
      <c r="J1363" s="109" t="s">
        <v>4784</v>
      </c>
      <c r="K1363" s="144" t="s">
        <v>7076</v>
      </c>
    </row>
    <row r="1364" spans="1:11">
      <c r="A1364" s="158"/>
      <c r="B1364" s="39"/>
      <c r="C1364" s="40" t="s">
        <v>7077</v>
      </c>
      <c r="D1364" s="109" t="s">
        <v>7078</v>
      </c>
      <c r="E1364" s="109" t="s">
        <v>7079</v>
      </c>
      <c r="F1364" s="3" t="s">
        <v>2639</v>
      </c>
      <c r="G1364" s="109" t="s">
        <v>7080</v>
      </c>
      <c r="H1364" s="109" t="s">
        <v>3486</v>
      </c>
      <c r="I1364" s="58" t="s">
        <v>3459</v>
      </c>
      <c r="J1364" s="109" t="s">
        <v>7081</v>
      </c>
      <c r="K1364" s="143" t="s">
        <v>7082</v>
      </c>
    </row>
    <row r="1365" spans="1:11">
      <c r="A1365" s="158"/>
      <c r="B1365" s="39"/>
      <c r="C1365" s="41"/>
      <c r="D1365" s="109" t="s">
        <v>7083</v>
      </c>
      <c r="E1365" s="109" t="s">
        <v>7084</v>
      </c>
      <c r="F1365" s="3" t="s">
        <v>2639</v>
      </c>
      <c r="G1365" s="109" t="s">
        <v>2215</v>
      </c>
      <c r="H1365" s="109" t="s">
        <v>7085</v>
      </c>
      <c r="I1365" s="58" t="s">
        <v>3459</v>
      </c>
      <c r="J1365" s="109" t="s">
        <v>7086</v>
      </c>
      <c r="K1365" s="143" t="s">
        <v>7087</v>
      </c>
    </row>
    <row r="1366" spans="1:11">
      <c r="A1366" s="158"/>
      <c r="B1366" s="39"/>
      <c r="C1366" s="41"/>
      <c r="D1366" s="109" t="s">
        <v>7088</v>
      </c>
      <c r="E1366" s="109" t="s">
        <v>7089</v>
      </c>
      <c r="F1366" s="3" t="s">
        <v>2640</v>
      </c>
      <c r="G1366" s="109" t="s">
        <v>2006</v>
      </c>
      <c r="H1366" s="109" t="s">
        <v>6643</v>
      </c>
      <c r="I1366" s="58" t="s">
        <v>3453</v>
      </c>
      <c r="J1366" s="109" t="s">
        <v>7090</v>
      </c>
      <c r="K1366" s="143" t="s">
        <v>7091</v>
      </c>
    </row>
    <row r="1367" spans="1:11">
      <c r="A1367" s="158"/>
      <c r="B1367" s="39"/>
      <c r="C1367" s="41"/>
      <c r="D1367" s="109" t="s">
        <v>7092</v>
      </c>
      <c r="E1367" s="109" t="s">
        <v>7093</v>
      </c>
      <c r="F1367" s="3" t="s">
        <v>2639</v>
      </c>
      <c r="G1367" s="109" t="s">
        <v>7094</v>
      </c>
      <c r="H1367" s="109" t="s">
        <v>7095</v>
      </c>
      <c r="I1367" s="58" t="s">
        <v>3581</v>
      </c>
      <c r="J1367" s="109" t="s">
        <v>7096</v>
      </c>
      <c r="K1367" s="143" t="s">
        <v>7097</v>
      </c>
    </row>
    <row r="1368" spans="1:11">
      <c r="A1368" s="158"/>
      <c r="B1368" s="39"/>
      <c r="C1368" s="42"/>
      <c r="D1368" s="109" t="s">
        <v>7098</v>
      </c>
      <c r="E1368" s="109" t="s">
        <v>7099</v>
      </c>
      <c r="F1368" s="3" t="s">
        <v>2640</v>
      </c>
      <c r="G1368" s="109" t="s">
        <v>7100</v>
      </c>
      <c r="H1368" s="109" t="s">
        <v>7101</v>
      </c>
      <c r="I1368" s="58" t="s">
        <v>3459</v>
      </c>
      <c r="J1368" s="109" t="s">
        <v>7102</v>
      </c>
      <c r="K1368" s="143" t="s">
        <v>7103</v>
      </c>
    </row>
    <row r="1369" spans="1:11">
      <c r="A1369" s="158"/>
      <c r="B1369" s="39"/>
      <c r="C1369" s="40" t="s">
        <v>1453</v>
      </c>
      <c r="D1369" s="109" t="s">
        <v>7104</v>
      </c>
      <c r="E1369" s="109" t="s">
        <v>7105</v>
      </c>
      <c r="F1369" s="3" t="s">
        <v>2639</v>
      </c>
      <c r="G1369" s="109" t="s">
        <v>7106</v>
      </c>
      <c r="H1369" s="109" t="s">
        <v>7107</v>
      </c>
      <c r="I1369" s="58" t="s">
        <v>3459</v>
      </c>
      <c r="J1369" s="109" t="s">
        <v>7108</v>
      </c>
      <c r="K1369" s="143" t="s">
        <v>7109</v>
      </c>
    </row>
    <row r="1370" spans="1:11">
      <c r="A1370" s="158"/>
      <c r="B1370" s="39"/>
      <c r="C1370" s="41"/>
      <c r="D1370" s="109" t="s">
        <v>7110</v>
      </c>
      <c r="E1370" s="109" t="s">
        <v>7111</v>
      </c>
      <c r="F1370" s="3" t="s">
        <v>2639</v>
      </c>
      <c r="G1370" s="109" t="s">
        <v>2914</v>
      </c>
      <c r="H1370" s="109" t="s">
        <v>3874</v>
      </c>
      <c r="I1370" s="58" t="s">
        <v>3459</v>
      </c>
      <c r="J1370" s="109" t="s">
        <v>7112</v>
      </c>
      <c r="K1370" s="143" t="s">
        <v>7113</v>
      </c>
    </row>
    <row r="1371" spans="1:11">
      <c r="A1371" s="158"/>
      <c r="B1371" s="39"/>
      <c r="C1371" s="41"/>
      <c r="D1371" s="109" t="s">
        <v>7114</v>
      </c>
      <c r="E1371" s="109" t="s">
        <v>7115</v>
      </c>
      <c r="F1371" s="3" t="s">
        <v>2640</v>
      </c>
      <c r="G1371" s="109" t="s">
        <v>3182</v>
      </c>
      <c r="H1371" s="109" t="s">
        <v>4368</v>
      </c>
      <c r="I1371" s="58" t="s">
        <v>3453</v>
      </c>
      <c r="J1371" s="109" t="s">
        <v>7116</v>
      </c>
      <c r="K1371" s="143" t="s">
        <v>7117</v>
      </c>
    </row>
    <row r="1372" spans="1:11">
      <c r="A1372" s="158"/>
      <c r="B1372" s="39"/>
      <c r="C1372" s="41"/>
      <c r="D1372" s="109" t="s">
        <v>7118</v>
      </c>
      <c r="E1372" s="109" t="s">
        <v>7119</v>
      </c>
      <c r="F1372" s="3" t="s">
        <v>2640</v>
      </c>
      <c r="G1372" s="109" t="s">
        <v>4541</v>
      </c>
      <c r="H1372" s="109" t="s">
        <v>7120</v>
      </c>
      <c r="I1372" s="58" t="s">
        <v>3459</v>
      </c>
      <c r="J1372" s="109" t="s">
        <v>4928</v>
      </c>
      <c r="K1372" s="143" t="s">
        <v>7121</v>
      </c>
    </row>
    <row r="1373" spans="1:11">
      <c r="A1373" s="158"/>
      <c r="B1373" s="39"/>
      <c r="C1373" s="42"/>
      <c r="D1373" s="109" t="s">
        <v>7122</v>
      </c>
      <c r="E1373" s="109" t="s">
        <v>7123</v>
      </c>
      <c r="F1373" s="3" t="s">
        <v>2640</v>
      </c>
      <c r="G1373" s="109" t="s">
        <v>7124</v>
      </c>
      <c r="H1373" s="109" t="s">
        <v>3644</v>
      </c>
      <c r="I1373" s="58" t="s">
        <v>3459</v>
      </c>
      <c r="J1373" s="109" t="s">
        <v>4346</v>
      </c>
      <c r="K1373" s="143" t="s">
        <v>7125</v>
      </c>
    </row>
    <row r="1374" spans="1:11">
      <c r="A1374" s="158"/>
      <c r="B1374" s="39"/>
      <c r="C1374" s="40" t="s">
        <v>1453</v>
      </c>
      <c r="D1374" s="109" t="s">
        <v>7126</v>
      </c>
      <c r="E1374" s="109" t="s">
        <v>7127</v>
      </c>
      <c r="F1374" s="3" t="s">
        <v>2640</v>
      </c>
      <c r="G1374" s="109" t="s">
        <v>6037</v>
      </c>
      <c r="H1374" s="109" t="s">
        <v>7128</v>
      </c>
      <c r="I1374" s="58" t="s">
        <v>3459</v>
      </c>
      <c r="J1374" s="109" t="s">
        <v>7129</v>
      </c>
      <c r="K1374" s="143" t="s">
        <v>7130</v>
      </c>
    </row>
    <row r="1375" spans="1:11">
      <c r="A1375" s="158"/>
      <c r="B1375" s="39"/>
      <c r="C1375" s="41"/>
      <c r="D1375" s="109" t="s">
        <v>7131</v>
      </c>
      <c r="E1375" s="109" t="s">
        <v>7132</v>
      </c>
      <c r="F1375" s="3" t="s">
        <v>2640</v>
      </c>
      <c r="G1375" s="109" t="s">
        <v>7133</v>
      </c>
      <c r="H1375" s="109" t="s">
        <v>7134</v>
      </c>
      <c r="I1375" s="58" t="s">
        <v>3453</v>
      </c>
      <c r="J1375" s="109" t="s">
        <v>7135</v>
      </c>
      <c r="K1375" s="143" t="s">
        <v>7136</v>
      </c>
    </row>
    <row r="1376" spans="1:11">
      <c r="A1376" s="158"/>
      <c r="B1376" s="39"/>
      <c r="C1376" s="41"/>
      <c r="D1376" s="109" t="s">
        <v>7137</v>
      </c>
      <c r="E1376" s="109" t="s">
        <v>7138</v>
      </c>
      <c r="F1376" s="3" t="s">
        <v>2639</v>
      </c>
      <c r="G1376" s="109" t="s">
        <v>7139</v>
      </c>
      <c r="H1376" s="109" t="s">
        <v>7140</v>
      </c>
      <c r="I1376" s="58" t="s">
        <v>3459</v>
      </c>
      <c r="J1376" s="109" t="s">
        <v>7141</v>
      </c>
      <c r="K1376" s="143" t="s">
        <v>7142</v>
      </c>
    </row>
    <row r="1377" spans="1:11">
      <c r="A1377" s="158"/>
      <c r="B1377" s="39"/>
      <c r="C1377" s="41"/>
      <c r="D1377" s="109" t="s">
        <v>7143</v>
      </c>
      <c r="E1377" s="109" t="s">
        <v>7144</v>
      </c>
      <c r="F1377" s="3" t="s">
        <v>2640</v>
      </c>
      <c r="G1377" s="109" t="s">
        <v>7145</v>
      </c>
      <c r="H1377" s="109" t="s">
        <v>7146</v>
      </c>
      <c r="I1377" s="58" t="s">
        <v>3453</v>
      </c>
      <c r="J1377" s="109" t="s">
        <v>7147</v>
      </c>
      <c r="K1377" s="143" t="s">
        <v>7148</v>
      </c>
    </row>
    <row r="1378" spans="1:11">
      <c r="A1378" s="158"/>
      <c r="B1378" s="39"/>
      <c r="C1378" s="42"/>
      <c r="D1378" s="109" t="s">
        <v>7149</v>
      </c>
      <c r="E1378" s="109" t="s">
        <v>7150</v>
      </c>
      <c r="F1378" s="3" t="s">
        <v>2640</v>
      </c>
      <c r="G1378" s="109" t="s">
        <v>7151</v>
      </c>
      <c r="H1378" s="109" t="s">
        <v>7152</v>
      </c>
      <c r="I1378" s="58" t="s">
        <v>3459</v>
      </c>
      <c r="J1378" s="109" t="s">
        <v>7153</v>
      </c>
      <c r="K1378" s="143" t="s">
        <v>7154</v>
      </c>
    </row>
    <row r="1379" spans="1:11">
      <c r="A1379" s="158"/>
      <c r="B1379" s="39"/>
      <c r="C1379" s="39" t="s">
        <v>1453</v>
      </c>
      <c r="D1379" s="109" t="s">
        <v>7176</v>
      </c>
      <c r="E1379" s="109" t="s">
        <v>7155</v>
      </c>
      <c r="F1379" s="3" t="s">
        <v>2639</v>
      </c>
      <c r="G1379" s="109" t="s">
        <v>7156</v>
      </c>
      <c r="H1379" s="109" t="s">
        <v>7157</v>
      </c>
      <c r="I1379" s="58" t="s">
        <v>3459</v>
      </c>
      <c r="J1379" s="109" t="s">
        <v>7158</v>
      </c>
      <c r="K1379" s="143" t="s">
        <v>7159</v>
      </c>
    </row>
    <row r="1380" spans="1:11">
      <c r="A1380" s="158"/>
      <c r="B1380" s="39"/>
      <c r="C1380" s="39"/>
      <c r="D1380" s="109" t="s">
        <v>7177</v>
      </c>
      <c r="E1380" s="109" t="s">
        <v>7160</v>
      </c>
      <c r="F1380" s="3" t="s">
        <v>2639</v>
      </c>
      <c r="G1380" s="109" t="s">
        <v>7161</v>
      </c>
      <c r="H1380" s="109" t="s">
        <v>2952</v>
      </c>
      <c r="I1380" s="58" t="s">
        <v>3453</v>
      </c>
      <c r="J1380" s="109" t="s">
        <v>7162</v>
      </c>
      <c r="K1380" s="143" t="s">
        <v>7163</v>
      </c>
    </row>
    <row r="1381" spans="1:11">
      <c r="A1381" s="158"/>
      <c r="B1381" s="39"/>
      <c r="C1381" s="39"/>
      <c r="D1381" s="109" t="s">
        <v>7178</v>
      </c>
      <c r="E1381" s="109" t="s">
        <v>7164</v>
      </c>
      <c r="F1381" s="3" t="s">
        <v>2640</v>
      </c>
      <c r="G1381" s="109" t="s">
        <v>7165</v>
      </c>
      <c r="H1381" s="109" t="s">
        <v>1915</v>
      </c>
      <c r="I1381" s="58" t="s">
        <v>3459</v>
      </c>
      <c r="J1381" s="109" t="s">
        <v>7166</v>
      </c>
      <c r="K1381" s="143" t="s">
        <v>7167</v>
      </c>
    </row>
    <row r="1382" spans="1:11">
      <c r="A1382" s="158"/>
      <c r="B1382" s="39"/>
      <c r="C1382" s="39"/>
      <c r="D1382" s="109" t="s">
        <v>7179</v>
      </c>
      <c r="E1382" s="109" t="s">
        <v>7168</v>
      </c>
      <c r="F1382" s="3" t="s">
        <v>2641</v>
      </c>
      <c r="G1382" s="109" t="s">
        <v>5089</v>
      </c>
      <c r="H1382" s="109" t="s">
        <v>7169</v>
      </c>
      <c r="I1382" s="58" t="s">
        <v>3459</v>
      </c>
      <c r="J1382" s="109" t="s">
        <v>7170</v>
      </c>
      <c r="K1382" s="143" t="s">
        <v>7171</v>
      </c>
    </row>
    <row r="1383" spans="1:11">
      <c r="A1383" s="158"/>
      <c r="B1383" s="39"/>
      <c r="C1383" s="39"/>
      <c r="D1383" s="109" t="s">
        <v>7180</v>
      </c>
      <c r="E1383" s="109" t="s">
        <v>7172</v>
      </c>
      <c r="F1383" s="3" t="s">
        <v>2639</v>
      </c>
      <c r="G1383" s="109" t="s">
        <v>7173</v>
      </c>
      <c r="H1383" s="109" t="s">
        <v>7107</v>
      </c>
      <c r="I1383" s="58" t="s">
        <v>3581</v>
      </c>
      <c r="J1383" s="109" t="s">
        <v>7174</v>
      </c>
      <c r="K1383" s="143" t="s">
        <v>7175</v>
      </c>
    </row>
    <row r="1384" spans="1:11" s="157" customFormat="1" ht="16.5" customHeight="1">
      <c r="A1384" s="139"/>
      <c r="B1384" s="126" t="s">
        <v>1454</v>
      </c>
      <c r="C1384" s="126" t="s">
        <v>1455</v>
      </c>
      <c r="D1384" s="126" t="s">
        <v>1456</v>
      </c>
      <c r="E1384" s="126" t="s">
        <v>1457</v>
      </c>
      <c r="F1384" s="126" t="s">
        <v>2638</v>
      </c>
      <c r="G1384" s="126" t="s">
        <v>1458</v>
      </c>
      <c r="H1384" s="126" t="s">
        <v>1732</v>
      </c>
      <c r="I1384" s="126" t="s">
        <v>9927</v>
      </c>
      <c r="J1384" s="126" t="s">
        <v>1459</v>
      </c>
      <c r="K1384" s="145" t="s">
        <v>11961</v>
      </c>
    </row>
    <row r="1385" spans="1:11">
      <c r="A1385" s="158" t="s">
        <v>12371</v>
      </c>
      <c r="B1385" s="39" t="s">
        <v>1460</v>
      </c>
      <c r="C1385" s="39" t="s">
        <v>1461</v>
      </c>
      <c r="D1385" s="106" t="s">
        <v>1483</v>
      </c>
      <c r="E1385" s="106" t="s">
        <v>1533</v>
      </c>
      <c r="F1385" s="83" t="s">
        <v>2639</v>
      </c>
      <c r="G1385" s="106" t="s">
        <v>1583</v>
      </c>
      <c r="H1385" s="106" t="s">
        <v>1633</v>
      </c>
      <c r="I1385" s="107" t="s">
        <v>3581</v>
      </c>
      <c r="J1385" s="108" t="s">
        <v>1683</v>
      </c>
      <c r="K1385" s="143" t="s">
        <v>11861</v>
      </c>
    </row>
    <row r="1386" spans="1:11">
      <c r="A1386" s="158"/>
      <c r="B1386" s="39"/>
      <c r="C1386" s="39"/>
      <c r="D1386" s="106" t="s">
        <v>1484</v>
      </c>
      <c r="E1386" s="106" t="s">
        <v>1534</v>
      </c>
      <c r="F1386" s="83" t="s">
        <v>2640</v>
      </c>
      <c r="G1386" s="106" t="s">
        <v>1584</v>
      </c>
      <c r="H1386" s="106" t="s">
        <v>1634</v>
      </c>
      <c r="I1386" s="110" t="s">
        <v>3453</v>
      </c>
      <c r="J1386" s="108" t="s">
        <v>1684</v>
      </c>
      <c r="K1386" s="143" t="s">
        <v>11862</v>
      </c>
    </row>
    <row r="1387" spans="1:11">
      <c r="A1387" s="158"/>
      <c r="B1387" s="39"/>
      <c r="C1387" s="39"/>
      <c r="D1387" s="106" t="s">
        <v>1485</v>
      </c>
      <c r="E1387" s="106" t="s">
        <v>1535</v>
      </c>
      <c r="F1387" s="83" t="s">
        <v>2641</v>
      </c>
      <c r="G1387" s="106" t="s">
        <v>1585</v>
      </c>
      <c r="H1387" s="106" t="s">
        <v>1635</v>
      </c>
      <c r="I1387" s="107" t="s">
        <v>3459</v>
      </c>
      <c r="J1387" s="106" t="s">
        <v>1685</v>
      </c>
      <c r="K1387" s="143" t="s">
        <v>11863</v>
      </c>
    </row>
    <row r="1388" spans="1:11">
      <c r="A1388" s="158"/>
      <c r="B1388" s="39"/>
      <c r="C1388" s="39"/>
      <c r="D1388" s="106" t="s">
        <v>1486</v>
      </c>
      <c r="E1388" s="106" t="s">
        <v>1536</v>
      </c>
      <c r="F1388" s="83" t="s">
        <v>2639</v>
      </c>
      <c r="G1388" s="106" t="s">
        <v>1586</v>
      </c>
      <c r="H1388" s="106" t="s">
        <v>1636</v>
      </c>
      <c r="I1388" s="107" t="s">
        <v>3581</v>
      </c>
      <c r="J1388" s="106" t="s">
        <v>1686</v>
      </c>
      <c r="K1388" s="143" t="s">
        <v>11864</v>
      </c>
    </row>
    <row r="1389" spans="1:11">
      <c r="A1389" s="158"/>
      <c r="B1389" s="39"/>
      <c r="C1389" s="39"/>
      <c r="D1389" s="106" t="s">
        <v>1487</v>
      </c>
      <c r="E1389" s="106" t="s">
        <v>1537</v>
      </c>
      <c r="F1389" s="83" t="s">
        <v>2640</v>
      </c>
      <c r="G1389" s="106" t="s">
        <v>1587</v>
      </c>
      <c r="H1389" s="106" t="s">
        <v>1637</v>
      </c>
      <c r="I1389" s="110" t="s">
        <v>3453</v>
      </c>
      <c r="J1389" s="106" t="s">
        <v>1687</v>
      </c>
      <c r="K1389" s="143" t="s">
        <v>11865</v>
      </c>
    </row>
    <row r="1390" spans="1:11">
      <c r="A1390" s="158"/>
      <c r="B1390" s="39"/>
      <c r="C1390" s="39" t="s">
        <v>1462</v>
      </c>
      <c r="D1390" s="106" t="s">
        <v>1488</v>
      </c>
      <c r="E1390" s="106" t="s">
        <v>1538</v>
      </c>
      <c r="F1390" s="83" t="s">
        <v>2641</v>
      </c>
      <c r="G1390" s="106" t="s">
        <v>1588</v>
      </c>
      <c r="H1390" s="106" t="s">
        <v>1638</v>
      </c>
      <c r="I1390" s="107" t="s">
        <v>3459</v>
      </c>
      <c r="J1390" s="106" t="s">
        <v>1688</v>
      </c>
      <c r="K1390" s="143" t="s">
        <v>11866</v>
      </c>
    </row>
    <row r="1391" spans="1:11">
      <c r="A1391" s="158"/>
      <c r="B1391" s="39"/>
      <c r="C1391" s="39"/>
      <c r="D1391" s="106" t="s">
        <v>1489</v>
      </c>
      <c r="E1391" s="106" t="s">
        <v>1539</v>
      </c>
      <c r="F1391" s="83" t="s">
        <v>2639</v>
      </c>
      <c r="G1391" s="106" t="s">
        <v>1589</v>
      </c>
      <c r="H1391" s="106" t="s">
        <v>1639</v>
      </c>
      <c r="I1391" s="107" t="s">
        <v>3581</v>
      </c>
      <c r="J1391" s="106" t="s">
        <v>1689</v>
      </c>
      <c r="K1391" s="143" t="s">
        <v>11867</v>
      </c>
    </row>
    <row r="1392" spans="1:11">
      <c r="A1392" s="158"/>
      <c r="B1392" s="39"/>
      <c r="C1392" s="39"/>
      <c r="D1392" s="106" t="s">
        <v>1490</v>
      </c>
      <c r="E1392" s="106" t="s">
        <v>1540</v>
      </c>
      <c r="F1392" s="83" t="s">
        <v>2640</v>
      </c>
      <c r="G1392" s="106" t="s">
        <v>1590</v>
      </c>
      <c r="H1392" s="106" t="s">
        <v>1640</v>
      </c>
      <c r="I1392" s="110" t="s">
        <v>3453</v>
      </c>
      <c r="J1392" s="106" t="s">
        <v>1690</v>
      </c>
      <c r="K1392" s="143" t="s">
        <v>11868</v>
      </c>
    </row>
    <row r="1393" spans="1:11">
      <c r="A1393" s="158"/>
      <c r="B1393" s="39"/>
      <c r="C1393" s="39"/>
      <c r="D1393" s="106" t="s">
        <v>1491</v>
      </c>
      <c r="E1393" s="106" t="s">
        <v>1541</v>
      </c>
      <c r="F1393" s="83" t="s">
        <v>2641</v>
      </c>
      <c r="G1393" s="106" t="s">
        <v>1591</v>
      </c>
      <c r="H1393" s="106" t="s">
        <v>1641</v>
      </c>
      <c r="I1393" s="107" t="s">
        <v>3459</v>
      </c>
      <c r="J1393" s="106" t="s">
        <v>1691</v>
      </c>
      <c r="K1393" s="143" t="s">
        <v>11869</v>
      </c>
    </row>
    <row r="1394" spans="1:11">
      <c r="A1394" s="158"/>
      <c r="B1394" s="39"/>
      <c r="C1394" s="39"/>
      <c r="D1394" s="106" t="s">
        <v>1492</v>
      </c>
      <c r="E1394" s="106" t="s">
        <v>1542</v>
      </c>
      <c r="F1394" s="83" t="s">
        <v>2639</v>
      </c>
      <c r="G1394" s="106" t="s">
        <v>1592</v>
      </c>
      <c r="H1394" s="106" t="s">
        <v>1642</v>
      </c>
      <c r="I1394" s="107" t="s">
        <v>3581</v>
      </c>
      <c r="J1394" s="106" t="s">
        <v>1692</v>
      </c>
      <c r="K1394" s="143" t="s">
        <v>11870</v>
      </c>
    </row>
    <row r="1395" spans="1:11">
      <c r="A1395" s="158"/>
      <c r="B1395" s="39"/>
      <c r="C1395" s="39" t="s">
        <v>1463</v>
      </c>
      <c r="D1395" s="106" t="s">
        <v>1493</v>
      </c>
      <c r="E1395" s="106" t="s">
        <v>1543</v>
      </c>
      <c r="F1395" s="83" t="s">
        <v>2640</v>
      </c>
      <c r="G1395" s="106" t="s">
        <v>1593</v>
      </c>
      <c r="H1395" s="106" t="s">
        <v>1643</v>
      </c>
      <c r="I1395" s="110" t="s">
        <v>3453</v>
      </c>
      <c r="J1395" s="106" t="s">
        <v>1693</v>
      </c>
      <c r="K1395" s="143" t="s">
        <v>11871</v>
      </c>
    </row>
    <row r="1396" spans="1:11">
      <c r="A1396" s="158"/>
      <c r="B1396" s="39"/>
      <c r="C1396" s="39"/>
      <c r="D1396" s="106" t="s">
        <v>1494</v>
      </c>
      <c r="E1396" s="106" t="s">
        <v>1544</v>
      </c>
      <c r="F1396" s="83" t="s">
        <v>2641</v>
      </c>
      <c r="G1396" s="106" t="s">
        <v>1594</v>
      </c>
      <c r="H1396" s="106" t="s">
        <v>1644</v>
      </c>
      <c r="I1396" s="107" t="s">
        <v>3459</v>
      </c>
      <c r="J1396" s="106" t="s">
        <v>1694</v>
      </c>
      <c r="K1396" s="143" t="s">
        <v>11872</v>
      </c>
    </row>
    <row r="1397" spans="1:11">
      <c r="A1397" s="158"/>
      <c r="B1397" s="39"/>
      <c r="C1397" s="39"/>
      <c r="D1397" s="106" t="s">
        <v>1495</v>
      </c>
      <c r="E1397" s="106" t="s">
        <v>1545</v>
      </c>
      <c r="F1397" s="83" t="s">
        <v>2639</v>
      </c>
      <c r="G1397" s="106" t="s">
        <v>1595</v>
      </c>
      <c r="H1397" s="106" t="s">
        <v>1645</v>
      </c>
      <c r="I1397" s="107" t="s">
        <v>3581</v>
      </c>
      <c r="J1397" s="106" t="s">
        <v>1695</v>
      </c>
      <c r="K1397" s="143" t="s">
        <v>11873</v>
      </c>
    </row>
    <row r="1398" spans="1:11">
      <c r="A1398" s="158"/>
      <c r="B1398" s="39"/>
      <c r="C1398" s="39"/>
      <c r="D1398" s="106" t="s">
        <v>1496</v>
      </c>
      <c r="E1398" s="106" t="s">
        <v>1546</v>
      </c>
      <c r="F1398" s="83" t="s">
        <v>2640</v>
      </c>
      <c r="G1398" s="106" t="s">
        <v>1596</v>
      </c>
      <c r="H1398" s="106" t="s">
        <v>1646</v>
      </c>
      <c r="I1398" s="110" t="s">
        <v>3453</v>
      </c>
      <c r="J1398" s="106" t="s">
        <v>1696</v>
      </c>
      <c r="K1398" s="143" t="s">
        <v>11874</v>
      </c>
    </row>
    <row r="1399" spans="1:11">
      <c r="A1399" s="158"/>
      <c r="B1399" s="39"/>
      <c r="C1399" s="39"/>
      <c r="D1399" s="106" t="s">
        <v>1497</v>
      </c>
      <c r="E1399" s="106" t="s">
        <v>1547</v>
      </c>
      <c r="F1399" s="83" t="s">
        <v>2641</v>
      </c>
      <c r="G1399" s="106" t="s">
        <v>1597</v>
      </c>
      <c r="H1399" s="106" t="s">
        <v>1647</v>
      </c>
      <c r="I1399" s="107" t="s">
        <v>3459</v>
      </c>
      <c r="J1399" s="106" t="s">
        <v>1697</v>
      </c>
      <c r="K1399" s="143" t="s">
        <v>11875</v>
      </c>
    </row>
    <row r="1400" spans="1:11">
      <c r="A1400" s="158"/>
      <c r="B1400" s="39"/>
      <c r="C1400" s="39" t="s">
        <v>1464</v>
      </c>
      <c r="D1400" s="106" t="s">
        <v>1498</v>
      </c>
      <c r="E1400" s="106" t="s">
        <v>1548</v>
      </c>
      <c r="F1400" s="83" t="s">
        <v>2639</v>
      </c>
      <c r="G1400" s="106" t="s">
        <v>1598</v>
      </c>
      <c r="H1400" s="106" t="s">
        <v>1648</v>
      </c>
      <c r="I1400" s="107" t="s">
        <v>3581</v>
      </c>
      <c r="J1400" s="106" t="s">
        <v>1698</v>
      </c>
      <c r="K1400" s="143" t="s">
        <v>11876</v>
      </c>
    </row>
    <row r="1401" spans="1:11">
      <c r="A1401" s="158"/>
      <c r="B1401" s="39"/>
      <c r="C1401" s="39"/>
      <c r="D1401" s="106" t="s">
        <v>1499</v>
      </c>
      <c r="E1401" s="106" t="s">
        <v>1549</v>
      </c>
      <c r="F1401" s="83" t="s">
        <v>2640</v>
      </c>
      <c r="G1401" s="106" t="s">
        <v>1599</v>
      </c>
      <c r="H1401" s="106" t="s">
        <v>1649</v>
      </c>
      <c r="I1401" s="110" t="s">
        <v>3453</v>
      </c>
      <c r="J1401" s="106" t="s">
        <v>1699</v>
      </c>
      <c r="K1401" s="143" t="s">
        <v>11877</v>
      </c>
    </row>
    <row r="1402" spans="1:11">
      <c r="A1402" s="158"/>
      <c r="B1402" s="39"/>
      <c r="C1402" s="39"/>
      <c r="D1402" s="106" t="s">
        <v>1500</v>
      </c>
      <c r="E1402" s="106" t="s">
        <v>1550</v>
      </c>
      <c r="F1402" s="83" t="s">
        <v>2641</v>
      </c>
      <c r="G1402" s="106" t="s">
        <v>1600</v>
      </c>
      <c r="H1402" s="106" t="s">
        <v>1650</v>
      </c>
      <c r="I1402" s="107" t="s">
        <v>3459</v>
      </c>
      <c r="J1402" s="106" t="s">
        <v>1700</v>
      </c>
      <c r="K1402" s="143" t="s">
        <v>11878</v>
      </c>
    </row>
    <row r="1403" spans="1:11">
      <c r="A1403" s="158"/>
      <c r="B1403" s="39"/>
      <c r="C1403" s="39"/>
      <c r="D1403" s="106" t="s">
        <v>1501</v>
      </c>
      <c r="E1403" s="106" t="s">
        <v>1551</v>
      </c>
      <c r="F1403" s="83" t="s">
        <v>2639</v>
      </c>
      <c r="G1403" s="106" t="s">
        <v>1601</v>
      </c>
      <c r="H1403" s="106" t="s">
        <v>1651</v>
      </c>
      <c r="I1403" s="107" t="s">
        <v>3581</v>
      </c>
      <c r="J1403" s="106" t="s">
        <v>1701</v>
      </c>
      <c r="K1403" s="143" t="s">
        <v>11879</v>
      </c>
    </row>
    <row r="1404" spans="1:11">
      <c r="A1404" s="158"/>
      <c r="B1404" s="39"/>
      <c r="C1404" s="39"/>
      <c r="D1404" s="106" t="s">
        <v>1502</v>
      </c>
      <c r="E1404" s="106" t="s">
        <v>1552</v>
      </c>
      <c r="F1404" s="83" t="s">
        <v>2640</v>
      </c>
      <c r="G1404" s="106" t="s">
        <v>1602</v>
      </c>
      <c r="H1404" s="106" t="s">
        <v>1652</v>
      </c>
      <c r="I1404" s="110" t="s">
        <v>3453</v>
      </c>
      <c r="J1404" s="106" t="s">
        <v>1702</v>
      </c>
      <c r="K1404" s="143" t="s">
        <v>11880</v>
      </c>
    </row>
    <row r="1405" spans="1:11">
      <c r="A1405" s="158"/>
      <c r="B1405" s="39"/>
      <c r="C1405" s="39" t="s">
        <v>1465</v>
      </c>
      <c r="D1405" s="106" t="s">
        <v>1503</v>
      </c>
      <c r="E1405" s="106" t="s">
        <v>1553</v>
      </c>
      <c r="F1405" s="83" t="s">
        <v>2641</v>
      </c>
      <c r="G1405" s="106" t="s">
        <v>1603</v>
      </c>
      <c r="H1405" s="106" t="s">
        <v>1653</v>
      </c>
      <c r="I1405" s="107" t="s">
        <v>3459</v>
      </c>
      <c r="J1405" s="106" t="s">
        <v>1703</v>
      </c>
      <c r="K1405" s="143" t="s">
        <v>11881</v>
      </c>
    </row>
    <row r="1406" spans="1:11">
      <c r="A1406" s="158"/>
      <c r="B1406" s="39"/>
      <c r="C1406" s="39"/>
      <c r="D1406" s="106" t="s">
        <v>1504</v>
      </c>
      <c r="E1406" s="106" t="s">
        <v>1554</v>
      </c>
      <c r="F1406" s="83" t="s">
        <v>2639</v>
      </c>
      <c r="G1406" s="106" t="s">
        <v>1604</v>
      </c>
      <c r="H1406" s="106" t="s">
        <v>1654</v>
      </c>
      <c r="I1406" s="107" t="s">
        <v>3581</v>
      </c>
      <c r="J1406" s="106" t="s">
        <v>1704</v>
      </c>
      <c r="K1406" s="143" t="s">
        <v>11882</v>
      </c>
    </row>
    <row r="1407" spans="1:11">
      <c r="A1407" s="158"/>
      <c r="B1407" s="39"/>
      <c r="C1407" s="39"/>
      <c r="D1407" s="106" t="s">
        <v>1505</v>
      </c>
      <c r="E1407" s="106" t="s">
        <v>1555</v>
      </c>
      <c r="F1407" s="83" t="s">
        <v>2640</v>
      </c>
      <c r="G1407" s="106" t="s">
        <v>1605</v>
      </c>
      <c r="H1407" s="106" t="s">
        <v>1655</v>
      </c>
      <c r="I1407" s="110" t="s">
        <v>3453</v>
      </c>
      <c r="J1407" s="106" t="s">
        <v>1705</v>
      </c>
      <c r="K1407" s="143" t="s">
        <v>11883</v>
      </c>
    </row>
    <row r="1408" spans="1:11">
      <c r="A1408" s="158"/>
      <c r="B1408" s="39"/>
      <c r="C1408" s="39"/>
      <c r="D1408" s="106" t="s">
        <v>1506</v>
      </c>
      <c r="E1408" s="106" t="s">
        <v>1556</v>
      </c>
      <c r="F1408" s="83" t="s">
        <v>2641</v>
      </c>
      <c r="G1408" s="106" t="s">
        <v>1606</v>
      </c>
      <c r="H1408" s="106" t="s">
        <v>1656</v>
      </c>
      <c r="I1408" s="107" t="s">
        <v>3459</v>
      </c>
      <c r="J1408" s="106" t="s">
        <v>1706</v>
      </c>
      <c r="K1408" s="143" t="s">
        <v>11884</v>
      </c>
    </row>
    <row r="1409" spans="1:11">
      <c r="A1409" s="158"/>
      <c r="B1409" s="39"/>
      <c r="C1409" s="39"/>
      <c r="D1409" s="106" t="s">
        <v>1507</v>
      </c>
      <c r="E1409" s="106" t="s">
        <v>1557</v>
      </c>
      <c r="F1409" s="83" t="s">
        <v>2639</v>
      </c>
      <c r="G1409" s="106" t="s">
        <v>1607</v>
      </c>
      <c r="H1409" s="106" t="s">
        <v>1657</v>
      </c>
      <c r="I1409" s="107" t="s">
        <v>3581</v>
      </c>
      <c r="J1409" s="106" t="s">
        <v>1707</v>
      </c>
      <c r="K1409" s="143" t="s">
        <v>11885</v>
      </c>
    </row>
    <row r="1410" spans="1:11">
      <c r="A1410" s="158"/>
      <c r="B1410" s="39" t="s">
        <v>1466</v>
      </c>
      <c r="C1410" s="39" t="s">
        <v>1467</v>
      </c>
      <c r="D1410" s="106" t="s">
        <v>1508</v>
      </c>
      <c r="E1410" s="106" t="s">
        <v>1558</v>
      </c>
      <c r="F1410" s="83" t="s">
        <v>2640</v>
      </c>
      <c r="G1410" s="106" t="s">
        <v>1608</v>
      </c>
      <c r="H1410" s="106" t="s">
        <v>1658</v>
      </c>
      <c r="I1410" s="110" t="s">
        <v>3453</v>
      </c>
      <c r="J1410" s="106" t="s">
        <v>1708</v>
      </c>
      <c r="K1410" s="143" t="s">
        <v>11886</v>
      </c>
    </row>
    <row r="1411" spans="1:11">
      <c r="A1411" s="158"/>
      <c r="B1411" s="39"/>
      <c r="C1411" s="39"/>
      <c r="D1411" s="106" t="s">
        <v>1509</v>
      </c>
      <c r="E1411" s="106" t="s">
        <v>1559</v>
      </c>
      <c r="F1411" s="83" t="s">
        <v>2641</v>
      </c>
      <c r="G1411" s="106" t="s">
        <v>1609</v>
      </c>
      <c r="H1411" s="106" t="s">
        <v>1659</v>
      </c>
      <c r="I1411" s="107" t="s">
        <v>3459</v>
      </c>
      <c r="J1411" s="106" t="s">
        <v>1709</v>
      </c>
      <c r="K1411" s="143" t="s">
        <v>11887</v>
      </c>
    </row>
    <row r="1412" spans="1:11">
      <c r="A1412" s="158"/>
      <c r="B1412" s="39"/>
      <c r="C1412" s="39"/>
      <c r="D1412" s="106" t="s">
        <v>1510</v>
      </c>
      <c r="E1412" s="106" t="s">
        <v>1560</v>
      </c>
      <c r="F1412" s="83" t="s">
        <v>2639</v>
      </c>
      <c r="G1412" s="106" t="s">
        <v>1610</v>
      </c>
      <c r="H1412" s="106" t="s">
        <v>1660</v>
      </c>
      <c r="I1412" s="107" t="s">
        <v>3581</v>
      </c>
      <c r="J1412" s="106" t="s">
        <v>1710</v>
      </c>
      <c r="K1412" s="143" t="s">
        <v>11888</v>
      </c>
    </row>
    <row r="1413" spans="1:11">
      <c r="A1413" s="158"/>
      <c r="B1413" s="39"/>
      <c r="C1413" s="39"/>
      <c r="D1413" s="106" t="s">
        <v>1511</v>
      </c>
      <c r="E1413" s="106" t="s">
        <v>1561</v>
      </c>
      <c r="F1413" s="83" t="s">
        <v>2640</v>
      </c>
      <c r="G1413" s="106" t="s">
        <v>1611</v>
      </c>
      <c r="H1413" s="106" t="s">
        <v>1661</v>
      </c>
      <c r="I1413" s="110" t="s">
        <v>3453</v>
      </c>
      <c r="J1413" s="106" t="s">
        <v>1711</v>
      </c>
      <c r="K1413" s="143" t="s">
        <v>11889</v>
      </c>
    </row>
    <row r="1414" spans="1:11">
      <c r="A1414" s="158"/>
      <c r="B1414" s="39"/>
      <c r="C1414" s="39"/>
      <c r="D1414" s="106" t="s">
        <v>1512</v>
      </c>
      <c r="E1414" s="106" t="s">
        <v>1562</v>
      </c>
      <c r="F1414" s="83" t="s">
        <v>2641</v>
      </c>
      <c r="G1414" s="106" t="s">
        <v>1612</v>
      </c>
      <c r="H1414" s="106" t="s">
        <v>1662</v>
      </c>
      <c r="I1414" s="107" t="s">
        <v>3459</v>
      </c>
      <c r="J1414" s="106" t="s">
        <v>1675</v>
      </c>
      <c r="K1414" s="143" t="s">
        <v>11890</v>
      </c>
    </row>
    <row r="1415" spans="1:11">
      <c r="A1415" s="158"/>
      <c r="B1415" s="39"/>
      <c r="C1415" s="39" t="s">
        <v>1468</v>
      </c>
      <c r="D1415" s="106" t="s">
        <v>1513</v>
      </c>
      <c r="E1415" s="106" t="s">
        <v>1563</v>
      </c>
      <c r="F1415" s="83" t="s">
        <v>2639</v>
      </c>
      <c r="G1415" s="106" t="s">
        <v>1613</v>
      </c>
      <c r="H1415" s="106" t="s">
        <v>1663</v>
      </c>
      <c r="I1415" s="107" t="s">
        <v>3581</v>
      </c>
      <c r="J1415" s="106" t="s">
        <v>1712</v>
      </c>
      <c r="K1415" s="143" t="s">
        <v>11891</v>
      </c>
    </row>
    <row r="1416" spans="1:11">
      <c r="A1416" s="158"/>
      <c r="B1416" s="39"/>
      <c r="C1416" s="39"/>
      <c r="D1416" s="106" t="s">
        <v>1514</v>
      </c>
      <c r="E1416" s="106" t="s">
        <v>1564</v>
      </c>
      <c r="F1416" s="83" t="s">
        <v>2640</v>
      </c>
      <c r="G1416" s="106" t="s">
        <v>1614</v>
      </c>
      <c r="H1416" s="106" t="s">
        <v>1664</v>
      </c>
      <c r="I1416" s="110" t="s">
        <v>3453</v>
      </c>
      <c r="J1416" s="106" t="s">
        <v>1713</v>
      </c>
      <c r="K1416" s="143" t="s">
        <v>11892</v>
      </c>
    </row>
    <row r="1417" spans="1:11">
      <c r="A1417" s="158"/>
      <c r="B1417" s="39"/>
      <c r="C1417" s="39"/>
      <c r="D1417" s="106" t="s">
        <v>1515</v>
      </c>
      <c r="E1417" s="106" t="s">
        <v>1565</v>
      </c>
      <c r="F1417" s="83" t="s">
        <v>2641</v>
      </c>
      <c r="G1417" s="106" t="s">
        <v>1615</v>
      </c>
      <c r="H1417" s="106" t="s">
        <v>1665</v>
      </c>
      <c r="I1417" s="107" t="s">
        <v>3459</v>
      </c>
      <c r="J1417" s="106" t="s">
        <v>1714</v>
      </c>
      <c r="K1417" s="143" t="s">
        <v>11893</v>
      </c>
    </row>
    <row r="1418" spans="1:11">
      <c r="A1418" s="158"/>
      <c r="B1418" s="39"/>
      <c r="C1418" s="39"/>
      <c r="D1418" s="106" t="s">
        <v>1516</v>
      </c>
      <c r="E1418" s="106" t="s">
        <v>1566</v>
      </c>
      <c r="F1418" s="83" t="s">
        <v>2639</v>
      </c>
      <c r="G1418" s="106" t="s">
        <v>1616</v>
      </c>
      <c r="H1418" s="106" t="s">
        <v>1666</v>
      </c>
      <c r="I1418" s="107" t="s">
        <v>3581</v>
      </c>
      <c r="J1418" s="106" t="s">
        <v>1715</v>
      </c>
      <c r="K1418" s="143" t="s">
        <v>11894</v>
      </c>
    </row>
    <row r="1419" spans="1:11">
      <c r="A1419" s="158"/>
      <c r="B1419" s="39"/>
      <c r="C1419" s="39"/>
      <c r="D1419" s="106" t="s">
        <v>1517</v>
      </c>
      <c r="E1419" s="106" t="s">
        <v>1567</v>
      </c>
      <c r="F1419" s="83" t="s">
        <v>2640</v>
      </c>
      <c r="G1419" s="106" t="s">
        <v>1617</v>
      </c>
      <c r="H1419" s="106" t="s">
        <v>1667</v>
      </c>
      <c r="I1419" s="110" t="s">
        <v>3453</v>
      </c>
      <c r="J1419" s="106" t="s">
        <v>1716</v>
      </c>
      <c r="K1419" s="143" t="s">
        <v>11895</v>
      </c>
    </row>
    <row r="1420" spans="1:11">
      <c r="A1420" s="158"/>
      <c r="B1420" s="39"/>
      <c r="C1420" s="39" t="s">
        <v>1469</v>
      </c>
      <c r="D1420" s="106" t="s">
        <v>1518</v>
      </c>
      <c r="E1420" s="106" t="s">
        <v>1568</v>
      </c>
      <c r="F1420" s="83" t="s">
        <v>2641</v>
      </c>
      <c r="G1420" s="106" t="s">
        <v>1618</v>
      </c>
      <c r="H1420" s="106" t="s">
        <v>1668</v>
      </c>
      <c r="I1420" s="107" t="s">
        <v>3459</v>
      </c>
      <c r="J1420" s="106" t="s">
        <v>1717</v>
      </c>
      <c r="K1420" s="143" t="s">
        <v>11896</v>
      </c>
    </row>
    <row r="1421" spans="1:11">
      <c r="A1421" s="158"/>
      <c r="B1421" s="39"/>
      <c r="C1421" s="39"/>
      <c r="D1421" s="106" t="s">
        <v>1519</v>
      </c>
      <c r="E1421" s="106" t="s">
        <v>1569</v>
      </c>
      <c r="F1421" s="83" t="s">
        <v>2639</v>
      </c>
      <c r="G1421" s="106" t="s">
        <v>1619</v>
      </c>
      <c r="H1421" s="106" t="s">
        <v>1669</v>
      </c>
      <c r="I1421" s="107" t="s">
        <v>3581</v>
      </c>
      <c r="J1421" s="106" t="s">
        <v>1718</v>
      </c>
      <c r="K1421" s="143" t="s">
        <v>11897</v>
      </c>
    </row>
    <row r="1422" spans="1:11">
      <c r="A1422" s="158"/>
      <c r="B1422" s="39"/>
      <c r="C1422" s="39"/>
      <c r="D1422" s="106" t="s">
        <v>1520</v>
      </c>
      <c r="E1422" s="106" t="s">
        <v>1570</v>
      </c>
      <c r="F1422" s="83" t="s">
        <v>2640</v>
      </c>
      <c r="G1422" s="106" t="s">
        <v>1620</v>
      </c>
      <c r="H1422" s="106" t="s">
        <v>1670</v>
      </c>
      <c r="I1422" s="107" t="s">
        <v>3459</v>
      </c>
      <c r="J1422" s="106" t="s">
        <v>1719</v>
      </c>
      <c r="K1422" s="143" t="s">
        <v>11898</v>
      </c>
    </row>
    <row r="1423" spans="1:11">
      <c r="A1423" s="158"/>
      <c r="B1423" s="39"/>
      <c r="C1423" s="39"/>
      <c r="D1423" s="106" t="s">
        <v>1521</v>
      </c>
      <c r="E1423" s="106" t="s">
        <v>1571</v>
      </c>
      <c r="F1423" s="83" t="s">
        <v>2641</v>
      </c>
      <c r="G1423" s="106" t="s">
        <v>1621</v>
      </c>
      <c r="H1423" s="106" t="s">
        <v>1671</v>
      </c>
      <c r="I1423" s="107" t="s">
        <v>3459</v>
      </c>
      <c r="J1423" s="106" t="s">
        <v>1720</v>
      </c>
      <c r="K1423" s="143" t="s">
        <v>11899</v>
      </c>
    </row>
    <row r="1424" spans="1:11">
      <c r="A1424" s="158"/>
      <c r="B1424" s="39"/>
      <c r="C1424" s="39"/>
      <c r="D1424" s="106" t="s">
        <v>1522</v>
      </c>
      <c r="E1424" s="106" t="s">
        <v>1572</v>
      </c>
      <c r="F1424" s="83" t="s">
        <v>2639</v>
      </c>
      <c r="G1424" s="106" t="s">
        <v>1622</v>
      </c>
      <c r="H1424" s="106" t="s">
        <v>1672</v>
      </c>
      <c r="I1424" s="107" t="s">
        <v>3581</v>
      </c>
      <c r="J1424" s="106" t="s">
        <v>1721</v>
      </c>
      <c r="K1424" s="143" t="s">
        <v>11900</v>
      </c>
    </row>
    <row r="1425" spans="1:11">
      <c r="A1425" s="158"/>
      <c r="B1425" s="39"/>
      <c r="C1425" s="39" t="s">
        <v>1470</v>
      </c>
      <c r="D1425" s="106" t="s">
        <v>1523</v>
      </c>
      <c r="E1425" s="106" t="s">
        <v>1573</v>
      </c>
      <c r="F1425" s="83" t="s">
        <v>2640</v>
      </c>
      <c r="G1425" s="106" t="s">
        <v>1623</v>
      </c>
      <c r="H1425" s="106" t="s">
        <v>1673</v>
      </c>
      <c r="I1425" s="110" t="s">
        <v>3453</v>
      </c>
      <c r="J1425" s="106" t="s">
        <v>1722</v>
      </c>
      <c r="K1425" s="143" t="s">
        <v>11901</v>
      </c>
    </row>
    <row r="1426" spans="1:11">
      <c r="A1426" s="158"/>
      <c r="B1426" s="39"/>
      <c r="C1426" s="39"/>
      <c r="D1426" s="106" t="s">
        <v>1524</v>
      </c>
      <c r="E1426" s="106" t="s">
        <v>1574</v>
      </c>
      <c r="F1426" s="83" t="s">
        <v>2641</v>
      </c>
      <c r="G1426" s="106" t="s">
        <v>1624</v>
      </c>
      <c r="H1426" s="106" t="s">
        <v>1674</v>
      </c>
      <c r="I1426" s="107" t="s">
        <v>3459</v>
      </c>
      <c r="J1426" s="106" t="s">
        <v>1723</v>
      </c>
      <c r="K1426" s="143" t="s">
        <v>11902</v>
      </c>
    </row>
    <row r="1427" spans="1:11">
      <c r="A1427" s="158"/>
      <c r="B1427" s="39"/>
      <c r="C1427" s="39"/>
      <c r="D1427" s="106" t="s">
        <v>1525</v>
      </c>
      <c r="E1427" s="106" t="s">
        <v>1575</v>
      </c>
      <c r="F1427" s="83" t="s">
        <v>2639</v>
      </c>
      <c r="G1427" s="106" t="s">
        <v>1625</v>
      </c>
      <c r="H1427" s="106" t="s">
        <v>1675</v>
      </c>
      <c r="I1427" s="107" t="s">
        <v>3581</v>
      </c>
      <c r="J1427" s="106" t="s">
        <v>1724</v>
      </c>
      <c r="K1427" s="143" t="s">
        <v>11903</v>
      </c>
    </row>
    <row r="1428" spans="1:11">
      <c r="A1428" s="158"/>
      <c r="B1428" s="39"/>
      <c r="C1428" s="39"/>
      <c r="D1428" s="106" t="s">
        <v>1526</v>
      </c>
      <c r="E1428" s="106" t="s">
        <v>1576</v>
      </c>
      <c r="F1428" s="83" t="s">
        <v>2640</v>
      </c>
      <c r="G1428" s="106" t="s">
        <v>1626</v>
      </c>
      <c r="H1428" s="106" t="s">
        <v>1676</v>
      </c>
      <c r="I1428" s="110" t="s">
        <v>3453</v>
      </c>
      <c r="J1428" s="106" t="s">
        <v>1725</v>
      </c>
      <c r="K1428" s="143" t="s">
        <v>11904</v>
      </c>
    </row>
    <row r="1429" spans="1:11">
      <c r="A1429" s="158"/>
      <c r="B1429" s="39"/>
      <c r="C1429" s="39"/>
      <c r="D1429" s="106" t="s">
        <v>1527</v>
      </c>
      <c r="E1429" s="106" t="s">
        <v>1577</v>
      </c>
      <c r="F1429" s="83" t="s">
        <v>2641</v>
      </c>
      <c r="G1429" s="106" t="s">
        <v>1627</v>
      </c>
      <c r="H1429" s="106" t="s">
        <v>1677</v>
      </c>
      <c r="I1429" s="107" t="s">
        <v>3459</v>
      </c>
      <c r="J1429" s="106" t="s">
        <v>1726</v>
      </c>
      <c r="K1429" s="143" t="s">
        <v>11905</v>
      </c>
    </row>
    <row r="1430" spans="1:11">
      <c r="A1430" s="158"/>
      <c r="B1430" s="39"/>
      <c r="C1430" s="39" t="s">
        <v>1471</v>
      </c>
      <c r="D1430" s="106" t="s">
        <v>1528</v>
      </c>
      <c r="E1430" s="106" t="s">
        <v>1578</v>
      </c>
      <c r="F1430" s="83" t="s">
        <v>2639</v>
      </c>
      <c r="G1430" s="106" t="s">
        <v>1628</v>
      </c>
      <c r="H1430" s="106" t="s">
        <v>1678</v>
      </c>
      <c r="I1430" s="107" t="s">
        <v>3581</v>
      </c>
      <c r="J1430" s="106" t="s">
        <v>1727</v>
      </c>
      <c r="K1430" s="143" t="s">
        <v>11906</v>
      </c>
    </row>
    <row r="1431" spans="1:11">
      <c r="A1431" s="158"/>
      <c r="B1431" s="39"/>
      <c r="C1431" s="39"/>
      <c r="D1431" s="106" t="s">
        <v>1529</v>
      </c>
      <c r="E1431" s="106" t="s">
        <v>1579</v>
      </c>
      <c r="F1431" s="83" t="s">
        <v>2640</v>
      </c>
      <c r="G1431" s="106" t="s">
        <v>1629</v>
      </c>
      <c r="H1431" s="106" t="s">
        <v>1679</v>
      </c>
      <c r="I1431" s="107" t="s">
        <v>3459</v>
      </c>
      <c r="J1431" s="106" t="s">
        <v>1728</v>
      </c>
      <c r="K1431" s="143" t="s">
        <v>11907</v>
      </c>
    </row>
    <row r="1432" spans="1:11">
      <c r="A1432" s="158"/>
      <c r="B1432" s="39"/>
      <c r="C1432" s="39"/>
      <c r="D1432" s="106" t="s">
        <v>1530</v>
      </c>
      <c r="E1432" s="106" t="s">
        <v>1580</v>
      </c>
      <c r="F1432" s="83" t="s">
        <v>2641</v>
      </c>
      <c r="G1432" s="106" t="s">
        <v>1630</v>
      </c>
      <c r="H1432" s="106" t="s">
        <v>1680</v>
      </c>
      <c r="I1432" s="107" t="s">
        <v>3459</v>
      </c>
      <c r="J1432" s="106" t="s">
        <v>1729</v>
      </c>
      <c r="K1432" s="143" t="s">
        <v>11908</v>
      </c>
    </row>
    <row r="1433" spans="1:11">
      <c r="A1433" s="158"/>
      <c r="B1433" s="39"/>
      <c r="C1433" s="39"/>
      <c r="D1433" s="106" t="s">
        <v>1531</v>
      </c>
      <c r="E1433" s="106" t="s">
        <v>1581</v>
      </c>
      <c r="F1433" s="83" t="s">
        <v>2639</v>
      </c>
      <c r="G1433" s="106" t="s">
        <v>1631</v>
      </c>
      <c r="H1433" s="106" t="s">
        <v>1681</v>
      </c>
      <c r="I1433" s="107" t="s">
        <v>3581</v>
      </c>
      <c r="J1433" s="106" t="s">
        <v>1730</v>
      </c>
      <c r="K1433" s="143" t="s">
        <v>11909</v>
      </c>
    </row>
    <row r="1434" spans="1:11">
      <c r="A1434" s="158"/>
      <c r="B1434" s="39"/>
      <c r="C1434" s="39"/>
      <c r="D1434" s="106" t="s">
        <v>1532</v>
      </c>
      <c r="E1434" s="106" t="s">
        <v>1582</v>
      </c>
      <c r="F1434" s="83" t="s">
        <v>2640</v>
      </c>
      <c r="G1434" s="106" t="s">
        <v>1632</v>
      </c>
      <c r="H1434" s="106" t="s">
        <v>1682</v>
      </c>
      <c r="I1434" s="110" t="s">
        <v>3453</v>
      </c>
      <c r="J1434" s="106" t="s">
        <v>1731</v>
      </c>
      <c r="K1434" s="143" t="s">
        <v>11910</v>
      </c>
    </row>
    <row r="1435" spans="1:11">
      <c r="A1435" s="158"/>
      <c r="B1435" s="39" t="s">
        <v>1460</v>
      </c>
      <c r="C1435" s="39" t="s">
        <v>1472</v>
      </c>
      <c r="D1435" s="106" t="s">
        <v>1733</v>
      </c>
      <c r="E1435" s="106" t="s">
        <v>1758</v>
      </c>
      <c r="F1435" s="83" t="s">
        <v>2641</v>
      </c>
      <c r="G1435" s="106" t="s">
        <v>1783</v>
      </c>
      <c r="H1435" s="106" t="s">
        <v>1808</v>
      </c>
      <c r="I1435" s="107" t="s">
        <v>3459</v>
      </c>
      <c r="J1435" s="106" t="s">
        <v>1832</v>
      </c>
      <c r="K1435" s="143" t="s">
        <v>11911</v>
      </c>
    </row>
    <row r="1436" spans="1:11">
      <c r="A1436" s="158"/>
      <c r="B1436" s="39"/>
      <c r="C1436" s="39"/>
      <c r="D1436" s="106" t="s">
        <v>1734</v>
      </c>
      <c r="E1436" s="106" t="s">
        <v>1759</v>
      </c>
      <c r="F1436" s="83" t="s">
        <v>2639</v>
      </c>
      <c r="G1436" s="106" t="s">
        <v>1784</v>
      </c>
      <c r="H1436" s="106" t="s">
        <v>1809</v>
      </c>
      <c r="I1436" s="107" t="s">
        <v>3581</v>
      </c>
      <c r="J1436" s="106" t="s">
        <v>1833</v>
      </c>
      <c r="K1436" s="143" t="s">
        <v>11912</v>
      </c>
    </row>
    <row r="1437" spans="1:11">
      <c r="A1437" s="158"/>
      <c r="B1437" s="39"/>
      <c r="C1437" s="39"/>
      <c r="D1437" s="106" t="s">
        <v>1735</v>
      </c>
      <c r="E1437" s="106" t="s">
        <v>1760</v>
      </c>
      <c r="F1437" s="83" t="s">
        <v>2640</v>
      </c>
      <c r="G1437" s="106" t="s">
        <v>1785</v>
      </c>
      <c r="H1437" s="106" t="s">
        <v>1810</v>
      </c>
      <c r="I1437" s="107" t="s">
        <v>3459</v>
      </c>
      <c r="J1437" s="106" t="s">
        <v>1834</v>
      </c>
      <c r="K1437" s="143" t="s">
        <v>11913</v>
      </c>
    </row>
    <row r="1438" spans="1:11">
      <c r="A1438" s="158"/>
      <c r="B1438" s="39"/>
      <c r="C1438" s="39"/>
      <c r="D1438" s="106" t="s">
        <v>1736</v>
      </c>
      <c r="E1438" s="106" t="s">
        <v>1761</v>
      </c>
      <c r="F1438" s="83" t="s">
        <v>2641</v>
      </c>
      <c r="G1438" s="106" t="s">
        <v>1786</v>
      </c>
      <c r="H1438" s="106" t="s">
        <v>1811</v>
      </c>
      <c r="I1438" s="107" t="s">
        <v>3459</v>
      </c>
      <c r="J1438" s="106" t="s">
        <v>1835</v>
      </c>
      <c r="K1438" s="143" t="s">
        <v>11914</v>
      </c>
    </row>
    <row r="1439" spans="1:11">
      <c r="A1439" s="158"/>
      <c r="B1439" s="39"/>
      <c r="C1439" s="39"/>
      <c r="D1439" s="106" t="s">
        <v>1737</v>
      </c>
      <c r="E1439" s="106" t="s">
        <v>1762</v>
      </c>
      <c r="F1439" s="83" t="s">
        <v>2639</v>
      </c>
      <c r="G1439" s="106" t="s">
        <v>1787</v>
      </c>
      <c r="H1439" s="106" t="s">
        <v>1812</v>
      </c>
      <c r="I1439" s="107" t="s">
        <v>3581</v>
      </c>
      <c r="J1439" s="106" t="s">
        <v>1836</v>
      </c>
      <c r="K1439" s="143" t="s">
        <v>11915</v>
      </c>
    </row>
    <row r="1440" spans="1:11">
      <c r="A1440" s="158"/>
      <c r="B1440" s="39"/>
      <c r="C1440" s="39" t="s">
        <v>1473</v>
      </c>
      <c r="D1440" s="106" t="s">
        <v>1738</v>
      </c>
      <c r="E1440" s="106" t="s">
        <v>1763</v>
      </c>
      <c r="F1440" s="83" t="s">
        <v>2640</v>
      </c>
      <c r="G1440" s="106" t="s">
        <v>1788</v>
      </c>
      <c r="H1440" s="106" t="s">
        <v>1813</v>
      </c>
      <c r="I1440" s="110" t="s">
        <v>3453</v>
      </c>
      <c r="J1440" s="106" t="s">
        <v>1837</v>
      </c>
      <c r="K1440" s="143" t="s">
        <v>11916</v>
      </c>
    </row>
    <row r="1441" spans="1:11">
      <c r="A1441" s="158"/>
      <c r="B1441" s="39"/>
      <c r="C1441" s="39"/>
      <c r="D1441" s="106" t="s">
        <v>1739</v>
      </c>
      <c r="E1441" s="106" t="s">
        <v>1764</v>
      </c>
      <c r="F1441" s="83" t="s">
        <v>2641</v>
      </c>
      <c r="G1441" s="106" t="s">
        <v>1789</v>
      </c>
      <c r="H1441" s="106" t="s">
        <v>1814</v>
      </c>
      <c r="I1441" s="107" t="s">
        <v>3459</v>
      </c>
      <c r="J1441" s="106" t="s">
        <v>1838</v>
      </c>
      <c r="K1441" s="143" t="s">
        <v>11917</v>
      </c>
    </row>
    <row r="1442" spans="1:11">
      <c r="A1442" s="158"/>
      <c r="B1442" s="39"/>
      <c r="C1442" s="39"/>
      <c r="D1442" s="106" t="s">
        <v>1740</v>
      </c>
      <c r="E1442" s="106" t="s">
        <v>1765</v>
      </c>
      <c r="F1442" s="83" t="s">
        <v>2639</v>
      </c>
      <c r="G1442" s="106" t="s">
        <v>1790</v>
      </c>
      <c r="H1442" s="106" t="s">
        <v>1815</v>
      </c>
      <c r="I1442" s="107" t="s">
        <v>3581</v>
      </c>
      <c r="J1442" s="106" t="s">
        <v>1839</v>
      </c>
      <c r="K1442" s="143" t="s">
        <v>11918</v>
      </c>
    </row>
    <row r="1443" spans="1:11">
      <c r="A1443" s="158"/>
      <c r="B1443" s="39"/>
      <c r="C1443" s="39"/>
      <c r="D1443" s="106" t="s">
        <v>1741</v>
      </c>
      <c r="E1443" s="106" t="s">
        <v>1766</v>
      </c>
      <c r="F1443" s="83" t="s">
        <v>2640</v>
      </c>
      <c r="G1443" s="106" t="s">
        <v>1791</v>
      </c>
      <c r="H1443" s="106" t="s">
        <v>1816</v>
      </c>
      <c r="I1443" s="110" t="s">
        <v>3453</v>
      </c>
      <c r="J1443" s="106" t="s">
        <v>1840</v>
      </c>
      <c r="K1443" s="143" t="s">
        <v>11919</v>
      </c>
    </row>
    <row r="1444" spans="1:11">
      <c r="A1444" s="158"/>
      <c r="B1444" s="39"/>
      <c r="C1444" s="39"/>
      <c r="D1444" s="106" t="s">
        <v>1742</v>
      </c>
      <c r="E1444" s="106" t="s">
        <v>1767</v>
      </c>
      <c r="F1444" s="83" t="s">
        <v>2641</v>
      </c>
      <c r="G1444" s="106" t="s">
        <v>1792</v>
      </c>
      <c r="H1444" s="106" t="s">
        <v>1817</v>
      </c>
      <c r="I1444" s="107" t="s">
        <v>3459</v>
      </c>
      <c r="J1444" s="106" t="s">
        <v>1841</v>
      </c>
      <c r="K1444" s="143" t="s">
        <v>11920</v>
      </c>
    </row>
    <row r="1445" spans="1:11">
      <c r="A1445" s="158"/>
      <c r="B1445" s="39"/>
      <c r="C1445" s="39" t="s">
        <v>1474</v>
      </c>
      <c r="D1445" s="106" t="s">
        <v>1743</v>
      </c>
      <c r="E1445" s="106" t="s">
        <v>1768</v>
      </c>
      <c r="F1445" s="83" t="s">
        <v>2639</v>
      </c>
      <c r="G1445" s="106" t="s">
        <v>1793</v>
      </c>
      <c r="H1445" s="106" t="s">
        <v>1818</v>
      </c>
      <c r="I1445" s="107" t="s">
        <v>3581</v>
      </c>
      <c r="J1445" s="106" t="s">
        <v>1842</v>
      </c>
      <c r="K1445" s="143" t="s">
        <v>11921</v>
      </c>
    </row>
    <row r="1446" spans="1:11">
      <c r="A1446" s="158"/>
      <c r="B1446" s="39"/>
      <c r="C1446" s="39"/>
      <c r="D1446" s="106" t="s">
        <v>1744</v>
      </c>
      <c r="E1446" s="106" t="s">
        <v>1769</v>
      </c>
      <c r="F1446" s="83" t="s">
        <v>2640</v>
      </c>
      <c r="G1446" s="106" t="s">
        <v>1794</v>
      </c>
      <c r="H1446" s="106" t="s">
        <v>1819</v>
      </c>
      <c r="I1446" s="107" t="s">
        <v>3459</v>
      </c>
      <c r="J1446" s="106" t="s">
        <v>1843</v>
      </c>
      <c r="K1446" s="143" t="s">
        <v>11922</v>
      </c>
    </row>
    <row r="1447" spans="1:11">
      <c r="A1447" s="158"/>
      <c r="B1447" s="39"/>
      <c r="C1447" s="39"/>
      <c r="D1447" s="106" t="s">
        <v>1745</v>
      </c>
      <c r="E1447" s="106" t="s">
        <v>1770</v>
      </c>
      <c r="F1447" s="83" t="s">
        <v>2641</v>
      </c>
      <c r="G1447" s="106" t="s">
        <v>1795</v>
      </c>
      <c r="H1447" s="106" t="s">
        <v>1820</v>
      </c>
      <c r="I1447" s="107" t="s">
        <v>3459</v>
      </c>
      <c r="J1447" s="106" t="s">
        <v>1844</v>
      </c>
      <c r="K1447" s="143" t="s">
        <v>11923</v>
      </c>
    </row>
    <row r="1448" spans="1:11">
      <c r="A1448" s="158"/>
      <c r="B1448" s="39"/>
      <c r="C1448" s="39"/>
      <c r="D1448" s="106" t="s">
        <v>1746</v>
      </c>
      <c r="E1448" s="106" t="s">
        <v>1771</v>
      </c>
      <c r="F1448" s="83" t="s">
        <v>2639</v>
      </c>
      <c r="G1448" s="106" t="s">
        <v>1796</v>
      </c>
      <c r="H1448" s="106" t="s">
        <v>1821</v>
      </c>
      <c r="I1448" s="107" t="s">
        <v>3581</v>
      </c>
      <c r="J1448" s="106" t="s">
        <v>1845</v>
      </c>
      <c r="K1448" s="143" t="s">
        <v>11924</v>
      </c>
    </row>
    <row r="1449" spans="1:11">
      <c r="A1449" s="158"/>
      <c r="B1449" s="39"/>
      <c r="C1449" s="39"/>
      <c r="D1449" s="106" t="s">
        <v>1747</v>
      </c>
      <c r="E1449" s="106" t="s">
        <v>1772</v>
      </c>
      <c r="F1449" s="83" t="s">
        <v>2640</v>
      </c>
      <c r="G1449" s="106" t="s">
        <v>1797</v>
      </c>
      <c r="H1449" s="106" t="s">
        <v>1822</v>
      </c>
      <c r="I1449" s="110" t="s">
        <v>3453</v>
      </c>
      <c r="J1449" s="106" t="s">
        <v>1846</v>
      </c>
      <c r="K1449" s="143" t="s">
        <v>11925</v>
      </c>
    </row>
    <row r="1450" spans="1:11">
      <c r="A1450" s="158"/>
      <c r="B1450" s="39"/>
      <c r="C1450" s="39" t="s">
        <v>1475</v>
      </c>
      <c r="D1450" s="106" t="s">
        <v>1748</v>
      </c>
      <c r="E1450" s="106" t="s">
        <v>1773</v>
      </c>
      <c r="F1450" s="83" t="s">
        <v>2641</v>
      </c>
      <c r="G1450" s="106" t="s">
        <v>1798</v>
      </c>
      <c r="H1450" s="106" t="s">
        <v>1823</v>
      </c>
      <c r="I1450" s="107" t="s">
        <v>3459</v>
      </c>
      <c r="J1450" s="106" t="s">
        <v>1847</v>
      </c>
      <c r="K1450" s="143" t="s">
        <v>11926</v>
      </c>
    </row>
    <row r="1451" spans="1:11">
      <c r="A1451" s="158"/>
      <c r="B1451" s="39"/>
      <c r="C1451" s="39"/>
      <c r="D1451" s="106" t="s">
        <v>1749</v>
      </c>
      <c r="E1451" s="106" t="s">
        <v>1774</v>
      </c>
      <c r="F1451" s="83" t="s">
        <v>2639</v>
      </c>
      <c r="G1451" s="106" t="s">
        <v>1799</v>
      </c>
      <c r="H1451" s="106" t="s">
        <v>1824</v>
      </c>
      <c r="I1451" s="107" t="s">
        <v>3581</v>
      </c>
      <c r="J1451" s="106" t="s">
        <v>1848</v>
      </c>
      <c r="K1451" s="143" t="s">
        <v>11927</v>
      </c>
    </row>
    <row r="1452" spans="1:11">
      <c r="A1452" s="158"/>
      <c r="B1452" s="39"/>
      <c r="C1452" s="39"/>
      <c r="D1452" s="106" t="s">
        <v>1750</v>
      </c>
      <c r="E1452" s="106" t="s">
        <v>1775</v>
      </c>
      <c r="F1452" s="83" t="s">
        <v>2640</v>
      </c>
      <c r="G1452" s="106" t="s">
        <v>1800</v>
      </c>
      <c r="H1452" s="106" t="s">
        <v>1825</v>
      </c>
      <c r="I1452" s="110" t="s">
        <v>3453</v>
      </c>
      <c r="J1452" s="106" t="s">
        <v>1849</v>
      </c>
      <c r="K1452" s="143" t="s">
        <v>11928</v>
      </c>
    </row>
    <row r="1453" spans="1:11">
      <c r="A1453" s="158"/>
      <c r="B1453" s="39"/>
      <c r="C1453" s="39"/>
      <c r="D1453" s="106" t="s">
        <v>1751</v>
      </c>
      <c r="E1453" s="106" t="s">
        <v>1776</v>
      </c>
      <c r="F1453" s="83" t="s">
        <v>2641</v>
      </c>
      <c r="G1453" s="106" t="s">
        <v>1801</v>
      </c>
      <c r="H1453" s="106" t="s">
        <v>1675</v>
      </c>
      <c r="I1453" s="107" t="s">
        <v>3459</v>
      </c>
      <c r="J1453" s="106" t="s">
        <v>1850</v>
      </c>
      <c r="K1453" s="143" t="s">
        <v>11929</v>
      </c>
    </row>
    <row r="1454" spans="1:11">
      <c r="A1454" s="158"/>
      <c r="B1454" s="39"/>
      <c r="C1454" s="39"/>
      <c r="D1454" s="106" t="s">
        <v>1752</v>
      </c>
      <c r="E1454" s="106" t="s">
        <v>1777</v>
      </c>
      <c r="F1454" s="83" t="s">
        <v>2639</v>
      </c>
      <c r="G1454" s="106" t="s">
        <v>1802</v>
      </c>
      <c r="H1454" s="106" t="s">
        <v>1826</v>
      </c>
      <c r="I1454" s="107" t="s">
        <v>3581</v>
      </c>
      <c r="J1454" s="106" t="s">
        <v>1851</v>
      </c>
      <c r="K1454" s="143" t="s">
        <v>11930</v>
      </c>
    </row>
    <row r="1455" spans="1:11">
      <c r="A1455" s="158"/>
      <c r="B1455" s="39"/>
      <c r="C1455" s="39" t="s">
        <v>1476</v>
      </c>
      <c r="D1455" s="106" t="s">
        <v>1753</v>
      </c>
      <c r="E1455" s="106" t="s">
        <v>1778</v>
      </c>
      <c r="F1455" s="83" t="s">
        <v>2640</v>
      </c>
      <c r="G1455" s="106" t="s">
        <v>1803</v>
      </c>
      <c r="H1455" s="106" t="s">
        <v>1827</v>
      </c>
      <c r="I1455" s="110" t="s">
        <v>3453</v>
      </c>
      <c r="J1455" s="106" t="s">
        <v>1852</v>
      </c>
      <c r="K1455" s="143" t="s">
        <v>11931</v>
      </c>
    </row>
    <row r="1456" spans="1:11">
      <c r="A1456" s="158"/>
      <c r="B1456" s="39"/>
      <c r="C1456" s="39"/>
      <c r="D1456" s="106" t="s">
        <v>1754</v>
      </c>
      <c r="E1456" s="106" t="s">
        <v>1779</v>
      </c>
      <c r="F1456" s="83" t="s">
        <v>2641</v>
      </c>
      <c r="G1456" s="106" t="s">
        <v>1804</v>
      </c>
      <c r="H1456" s="106" t="s">
        <v>1828</v>
      </c>
      <c r="I1456" s="107" t="s">
        <v>3459</v>
      </c>
      <c r="J1456" s="106" t="s">
        <v>1853</v>
      </c>
      <c r="K1456" s="143" t="s">
        <v>11932</v>
      </c>
    </row>
    <row r="1457" spans="1:11">
      <c r="A1457" s="158"/>
      <c r="B1457" s="39"/>
      <c r="C1457" s="39"/>
      <c r="D1457" s="106" t="s">
        <v>1755</v>
      </c>
      <c r="E1457" s="106" t="s">
        <v>1780</v>
      </c>
      <c r="F1457" s="83" t="s">
        <v>2639</v>
      </c>
      <c r="G1457" s="106" t="s">
        <v>1805</v>
      </c>
      <c r="H1457" s="106" t="s">
        <v>1829</v>
      </c>
      <c r="I1457" s="107" t="s">
        <v>3581</v>
      </c>
      <c r="J1457" s="106" t="s">
        <v>1854</v>
      </c>
      <c r="K1457" s="143" t="s">
        <v>11933</v>
      </c>
    </row>
    <row r="1458" spans="1:11">
      <c r="A1458" s="158"/>
      <c r="B1458" s="39"/>
      <c r="C1458" s="39"/>
      <c r="D1458" s="106" t="s">
        <v>1756</v>
      </c>
      <c r="E1458" s="106" t="s">
        <v>1781</v>
      </c>
      <c r="F1458" s="83" t="s">
        <v>2640</v>
      </c>
      <c r="G1458" s="106" t="s">
        <v>1806</v>
      </c>
      <c r="H1458" s="106" t="s">
        <v>1830</v>
      </c>
      <c r="I1458" s="107" t="s">
        <v>3459</v>
      </c>
      <c r="J1458" s="106" t="s">
        <v>1855</v>
      </c>
      <c r="K1458" s="143" t="s">
        <v>11934</v>
      </c>
    </row>
    <row r="1459" spans="1:11">
      <c r="A1459" s="158"/>
      <c r="B1459" s="39"/>
      <c r="C1459" s="39"/>
      <c r="D1459" s="106" t="s">
        <v>1757</v>
      </c>
      <c r="E1459" s="106" t="s">
        <v>1782</v>
      </c>
      <c r="F1459" s="83" t="s">
        <v>2641</v>
      </c>
      <c r="G1459" s="106" t="s">
        <v>1807</v>
      </c>
      <c r="H1459" s="106" t="s">
        <v>1831</v>
      </c>
      <c r="I1459" s="107" t="s">
        <v>3459</v>
      </c>
      <c r="J1459" s="106" t="s">
        <v>1856</v>
      </c>
      <c r="K1459" s="143" t="s">
        <v>11935</v>
      </c>
    </row>
    <row r="1460" spans="1:11">
      <c r="A1460" s="158"/>
      <c r="B1460" s="39" t="s">
        <v>1477</v>
      </c>
      <c r="C1460" s="39" t="s">
        <v>1478</v>
      </c>
      <c r="D1460" s="106" t="s">
        <v>1857</v>
      </c>
      <c r="E1460" s="106" t="s">
        <v>1858</v>
      </c>
      <c r="F1460" s="83" t="s">
        <v>2639</v>
      </c>
      <c r="G1460" s="106" t="s">
        <v>1859</v>
      </c>
      <c r="H1460" s="106" t="s">
        <v>1860</v>
      </c>
      <c r="I1460" s="107" t="s">
        <v>3581</v>
      </c>
      <c r="J1460" s="106" t="s">
        <v>1861</v>
      </c>
      <c r="K1460" s="143" t="s">
        <v>11936</v>
      </c>
    </row>
    <row r="1461" spans="1:11">
      <c r="A1461" s="158"/>
      <c r="B1461" s="39"/>
      <c r="C1461" s="39"/>
      <c r="D1461" s="106" t="s">
        <v>1862</v>
      </c>
      <c r="E1461" s="106" t="s">
        <v>1863</v>
      </c>
      <c r="F1461" s="83" t="s">
        <v>2640</v>
      </c>
      <c r="G1461" s="106" t="s">
        <v>1864</v>
      </c>
      <c r="H1461" s="106" t="s">
        <v>1865</v>
      </c>
      <c r="I1461" s="110" t="s">
        <v>3453</v>
      </c>
      <c r="J1461" s="106" t="s">
        <v>1866</v>
      </c>
      <c r="K1461" s="143" t="s">
        <v>11937</v>
      </c>
    </row>
    <row r="1462" spans="1:11">
      <c r="A1462" s="158"/>
      <c r="B1462" s="39"/>
      <c r="C1462" s="39"/>
      <c r="D1462" s="106" t="s">
        <v>1867</v>
      </c>
      <c r="E1462" s="106" t="s">
        <v>1868</v>
      </c>
      <c r="F1462" s="83" t="s">
        <v>2641</v>
      </c>
      <c r="G1462" s="106" t="s">
        <v>1869</v>
      </c>
      <c r="H1462" s="106" t="s">
        <v>1870</v>
      </c>
      <c r="I1462" s="107" t="s">
        <v>3459</v>
      </c>
      <c r="J1462" s="106" t="s">
        <v>1871</v>
      </c>
      <c r="K1462" s="143" t="s">
        <v>11938</v>
      </c>
    </row>
    <row r="1463" spans="1:11">
      <c r="A1463" s="158"/>
      <c r="B1463" s="39"/>
      <c r="C1463" s="39"/>
      <c r="D1463" s="106" t="s">
        <v>1872</v>
      </c>
      <c r="E1463" s="106" t="s">
        <v>1873</v>
      </c>
      <c r="F1463" s="83" t="s">
        <v>2639</v>
      </c>
      <c r="G1463" s="106" t="s">
        <v>1874</v>
      </c>
      <c r="H1463" s="106" t="s">
        <v>1875</v>
      </c>
      <c r="I1463" s="107" t="s">
        <v>3581</v>
      </c>
      <c r="J1463" s="106" t="s">
        <v>1876</v>
      </c>
      <c r="K1463" s="143" t="s">
        <v>11939</v>
      </c>
    </row>
    <row r="1464" spans="1:11">
      <c r="A1464" s="158"/>
      <c r="B1464" s="39"/>
      <c r="C1464" s="39"/>
      <c r="D1464" s="106" t="s">
        <v>1877</v>
      </c>
      <c r="E1464" s="106" t="s">
        <v>1878</v>
      </c>
      <c r="F1464" s="83" t="s">
        <v>2640</v>
      </c>
      <c r="G1464" s="106" t="s">
        <v>1879</v>
      </c>
      <c r="H1464" s="106" t="s">
        <v>1880</v>
      </c>
      <c r="I1464" s="110" t="s">
        <v>3453</v>
      </c>
      <c r="J1464" s="106" t="s">
        <v>1881</v>
      </c>
      <c r="K1464" s="143" t="s">
        <v>11940</v>
      </c>
    </row>
    <row r="1465" spans="1:11">
      <c r="A1465" s="158"/>
      <c r="B1465" s="39"/>
      <c r="C1465" s="39" t="s">
        <v>1479</v>
      </c>
      <c r="D1465" s="106" t="s">
        <v>1882</v>
      </c>
      <c r="E1465" s="106" t="s">
        <v>1883</v>
      </c>
      <c r="F1465" s="83" t="s">
        <v>2641</v>
      </c>
      <c r="G1465" s="106" t="s">
        <v>1884</v>
      </c>
      <c r="H1465" s="106" t="s">
        <v>1885</v>
      </c>
      <c r="I1465" s="107" t="s">
        <v>3459</v>
      </c>
      <c r="J1465" s="106" t="s">
        <v>1886</v>
      </c>
      <c r="K1465" s="143" t="s">
        <v>11941</v>
      </c>
    </row>
    <row r="1466" spans="1:11">
      <c r="A1466" s="158"/>
      <c r="B1466" s="39"/>
      <c r="C1466" s="39"/>
      <c r="D1466" s="106" t="s">
        <v>1887</v>
      </c>
      <c r="E1466" s="106" t="s">
        <v>1888</v>
      </c>
      <c r="F1466" s="83" t="s">
        <v>2639</v>
      </c>
      <c r="G1466" s="106" t="s">
        <v>1889</v>
      </c>
      <c r="H1466" s="106" t="s">
        <v>1890</v>
      </c>
      <c r="I1466" s="107" t="s">
        <v>3581</v>
      </c>
      <c r="J1466" s="106" t="s">
        <v>1891</v>
      </c>
      <c r="K1466" s="143" t="s">
        <v>11942</v>
      </c>
    </row>
    <row r="1467" spans="1:11">
      <c r="A1467" s="158"/>
      <c r="B1467" s="39"/>
      <c r="C1467" s="39"/>
      <c r="D1467" s="106" t="s">
        <v>1892</v>
      </c>
      <c r="E1467" s="106" t="s">
        <v>1893</v>
      </c>
      <c r="F1467" s="83" t="s">
        <v>2640</v>
      </c>
      <c r="G1467" s="106" t="s">
        <v>1894</v>
      </c>
      <c r="H1467" s="106" t="s">
        <v>1895</v>
      </c>
      <c r="I1467" s="110" t="s">
        <v>3453</v>
      </c>
      <c r="J1467" s="106" t="s">
        <v>1896</v>
      </c>
      <c r="K1467" s="143" t="s">
        <v>11943</v>
      </c>
    </row>
    <row r="1468" spans="1:11">
      <c r="A1468" s="158"/>
      <c r="B1468" s="39"/>
      <c r="C1468" s="39"/>
      <c r="D1468" s="106" t="s">
        <v>1897</v>
      </c>
      <c r="E1468" s="106" t="s">
        <v>1898</v>
      </c>
      <c r="F1468" s="83" t="s">
        <v>2641</v>
      </c>
      <c r="G1468" s="106" t="s">
        <v>1899</v>
      </c>
      <c r="H1468" s="106" t="s">
        <v>1900</v>
      </c>
      <c r="I1468" s="107" t="s">
        <v>3459</v>
      </c>
      <c r="J1468" s="106" t="s">
        <v>1901</v>
      </c>
      <c r="K1468" s="143" t="s">
        <v>11944</v>
      </c>
    </row>
    <row r="1469" spans="1:11">
      <c r="A1469" s="158"/>
      <c r="B1469" s="39"/>
      <c r="C1469" s="39"/>
      <c r="D1469" s="106" t="s">
        <v>1902</v>
      </c>
      <c r="E1469" s="106" t="s">
        <v>1903</v>
      </c>
      <c r="F1469" s="83" t="s">
        <v>2639</v>
      </c>
      <c r="G1469" s="106" t="s">
        <v>1904</v>
      </c>
      <c r="H1469" s="106" t="s">
        <v>1905</v>
      </c>
      <c r="I1469" s="107" t="s">
        <v>3581</v>
      </c>
      <c r="J1469" s="106" t="s">
        <v>1906</v>
      </c>
      <c r="K1469" s="143" t="s">
        <v>11945</v>
      </c>
    </row>
    <row r="1470" spans="1:11">
      <c r="A1470" s="158"/>
      <c r="B1470" s="39"/>
      <c r="C1470" s="39" t="s">
        <v>1480</v>
      </c>
      <c r="D1470" s="109" t="s">
        <v>1907</v>
      </c>
      <c r="E1470" s="109" t="s">
        <v>1908</v>
      </c>
      <c r="F1470" s="83" t="s">
        <v>2640</v>
      </c>
      <c r="G1470" s="109" t="s">
        <v>1909</v>
      </c>
      <c r="H1470" s="109" t="s">
        <v>1910</v>
      </c>
      <c r="I1470" s="110" t="s">
        <v>3453</v>
      </c>
      <c r="J1470" s="109" t="s">
        <v>1911</v>
      </c>
      <c r="K1470" s="143" t="s">
        <v>11946</v>
      </c>
    </row>
    <row r="1471" spans="1:11">
      <c r="A1471" s="158"/>
      <c r="B1471" s="39"/>
      <c r="C1471" s="39"/>
      <c r="D1471" s="109" t="s">
        <v>1912</v>
      </c>
      <c r="E1471" s="109" t="s">
        <v>1913</v>
      </c>
      <c r="F1471" s="83" t="s">
        <v>2641</v>
      </c>
      <c r="G1471" s="109" t="s">
        <v>1914</v>
      </c>
      <c r="H1471" s="109" t="s">
        <v>1915</v>
      </c>
      <c r="I1471" s="107" t="s">
        <v>3459</v>
      </c>
      <c r="J1471" s="109" t="s">
        <v>1916</v>
      </c>
      <c r="K1471" s="143" t="s">
        <v>11947</v>
      </c>
    </row>
    <row r="1472" spans="1:11">
      <c r="A1472" s="158"/>
      <c r="B1472" s="39"/>
      <c r="C1472" s="39"/>
      <c r="D1472" s="109" t="s">
        <v>1917</v>
      </c>
      <c r="E1472" s="109" t="s">
        <v>1918</v>
      </c>
      <c r="F1472" s="83" t="s">
        <v>2639</v>
      </c>
      <c r="G1472" s="109" t="s">
        <v>1919</v>
      </c>
      <c r="H1472" s="109" t="s">
        <v>1920</v>
      </c>
      <c r="I1472" s="107" t="s">
        <v>3581</v>
      </c>
      <c r="J1472" s="109" t="s">
        <v>1921</v>
      </c>
      <c r="K1472" s="143" t="s">
        <v>11948</v>
      </c>
    </row>
    <row r="1473" spans="1:11">
      <c r="A1473" s="158"/>
      <c r="B1473" s="39"/>
      <c r="C1473" s="39"/>
      <c r="D1473" s="109" t="s">
        <v>1922</v>
      </c>
      <c r="E1473" s="109" t="s">
        <v>1923</v>
      </c>
      <c r="F1473" s="83" t="s">
        <v>2640</v>
      </c>
      <c r="G1473" s="109" t="s">
        <v>1924</v>
      </c>
      <c r="H1473" s="109" t="s">
        <v>1925</v>
      </c>
      <c r="I1473" s="107" t="s">
        <v>3459</v>
      </c>
      <c r="J1473" s="109" t="s">
        <v>1926</v>
      </c>
      <c r="K1473" s="143" t="s">
        <v>11949</v>
      </c>
    </row>
    <row r="1474" spans="1:11">
      <c r="A1474" s="158"/>
      <c r="B1474" s="39"/>
      <c r="C1474" s="39"/>
      <c r="D1474" s="109" t="s">
        <v>1927</v>
      </c>
      <c r="E1474" s="109" t="s">
        <v>1928</v>
      </c>
      <c r="F1474" s="83" t="s">
        <v>2641</v>
      </c>
      <c r="G1474" s="109" t="s">
        <v>1929</v>
      </c>
      <c r="H1474" s="109" t="s">
        <v>1930</v>
      </c>
      <c r="I1474" s="107" t="s">
        <v>3459</v>
      </c>
      <c r="J1474" s="109" t="s">
        <v>1931</v>
      </c>
      <c r="K1474" s="143" t="s">
        <v>11950</v>
      </c>
    </row>
    <row r="1475" spans="1:11">
      <c r="A1475" s="158"/>
      <c r="B1475" s="39"/>
      <c r="C1475" s="39" t="s">
        <v>1481</v>
      </c>
      <c r="D1475" s="109" t="s">
        <v>1932</v>
      </c>
      <c r="E1475" s="109" t="s">
        <v>1933</v>
      </c>
      <c r="F1475" s="83" t="s">
        <v>2639</v>
      </c>
      <c r="G1475" s="109" t="s">
        <v>1934</v>
      </c>
      <c r="H1475" s="109" t="s">
        <v>1935</v>
      </c>
      <c r="I1475" s="107" t="s">
        <v>3581</v>
      </c>
      <c r="J1475" s="109" t="s">
        <v>1936</v>
      </c>
      <c r="K1475" s="143" t="s">
        <v>11951</v>
      </c>
    </row>
    <row r="1476" spans="1:11">
      <c r="A1476" s="158"/>
      <c r="B1476" s="39"/>
      <c r="C1476" s="39"/>
      <c r="D1476" s="109" t="s">
        <v>1937</v>
      </c>
      <c r="E1476" s="109" t="s">
        <v>1938</v>
      </c>
      <c r="F1476" s="83" t="s">
        <v>2640</v>
      </c>
      <c r="G1476" s="109" t="s">
        <v>1939</v>
      </c>
      <c r="H1476" s="109" t="s">
        <v>1940</v>
      </c>
      <c r="I1476" s="110" t="s">
        <v>3453</v>
      </c>
      <c r="J1476" s="109" t="s">
        <v>1941</v>
      </c>
      <c r="K1476" s="143" t="s">
        <v>11952</v>
      </c>
    </row>
    <row r="1477" spans="1:11">
      <c r="A1477" s="158"/>
      <c r="B1477" s="39"/>
      <c r="C1477" s="39"/>
      <c r="D1477" s="109" t="s">
        <v>1942</v>
      </c>
      <c r="E1477" s="109" t="s">
        <v>1943</v>
      </c>
      <c r="F1477" s="83" t="s">
        <v>2641</v>
      </c>
      <c r="G1477" s="109" t="s">
        <v>1944</v>
      </c>
      <c r="H1477" s="109" t="s">
        <v>1945</v>
      </c>
      <c r="I1477" s="107" t="s">
        <v>3459</v>
      </c>
      <c r="J1477" s="109" t="s">
        <v>1946</v>
      </c>
      <c r="K1477" s="143" t="s">
        <v>11953</v>
      </c>
    </row>
    <row r="1478" spans="1:11">
      <c r="A1478" s="158"/>
      <c r="B1478" s="39"/>
      <c r="C1478" s="39"/>
      <c r="D1478" s="109" t="s">
        <v>1947</v>
      </c>
      <c r="E1478" s="109" t="s">
        <v>1948</v>
      </c>
      <c r="F1478" s="83" t="s">
        <v>2639</v>
      </c>
      <c r="G1478" s="109" t="s">
        <v>1949</v>
      </c>
      <c r="H1478" s="109" t="s">
        <v>1950</v>
      </c>
      <c r="I1478" s="107" t="s">
        <v>3581</v>
      </c>
      <c r="J1478" s="109" t="s">
        <v>1951</v>
      </c>
      <c r="K1478" s="143" t="s">
        <v>11954</v>
      </c>
    </row>
    <row r="1479" spans="1:11">
      <c r="A1479" s="158"/>
      <c r="B1479" s="39"/>
      <c r="C1479" s="39"/>
      <c r="D1479" s="109" t="s">
        <v>1952</v>
      </c>
      <c r="E1479" s="109" t="s">
        <v>1953</v>
      </c>
      <c r="F1479" s="83" t="s">
        <v>2640</v>
      </c>
      <c r="G1479" s="109" t="s">
        <v>1954</v>
      </c>
      <c r="H1479" s="109" t="s">
        <v>1955</v>
      </c>
      <c r="I1479" s="110" t="s">
        <v>3453</v>
      </c>
      <c r="J1479" s="109" t="s">
        <v>1956</v>
      </c>
      <c r="K1479" s="143" t="s">
        <v>11955</v>
      </c>
    </row>
    <row r="1480" spans="1:11">
      <c r="A1480" s="158"/>
      <c r="B1480" s="39"/>
      <c r="C1480" s="39" t="s">
        <v>1482</v>
      </c>
      <c r="D1480" s="109" t="s">
        <v>1957</v>
      </c>
      <c r="E1480" s="109" t="s">
        <v>1958</v>
      </c>
      <c r="F1480" s="83" t="s">
        <v>2641</v>
      </c>
      <c r="G1480" s="109" t="s">
        <v>1959</v>
      </c>
      <c r="H1480" s="109" t="s">
        <v>1960</v>
      </c>
      <c r="I1480" s="107" t="s">
        <v>3459</v>
      </c>
      <c r="J1480" s="109" t="s">
        <v>1961</v>
      </c>
      <c r="K1480" s="143" t="s">
        <v>11956</v>
      </c>
    </row>
    <row r="1481" spans="1:11">
      <c r="A1481" s="158"/>
      <c r="B1481" s="39"/>
      <c r="C1481" s="39"/>
      <c r="D1481" s="109" t="s">
        <v>1962</v>
      </c>
      <c r="E1481" s="109" t="s">
        <v>1963</v>
      </c>
      <c r="F1481" s="83" t="s">
        <v>2639</v>
      </c>
      <c r="G1481" s="109" t="s">
        <v>1964</v>
      </c>
      <c r="H1481" s="109" t="s">
        <v>1965</v>
      </c>
      <c r="I1481" s="107" t="s">
        <v>3581</v>
      </c>
      <c r="J1481" s="109" t="s">
        <v>1966</v>
      </c>
      <c r="K1481" s="143" t="s">
        <v>11957</v>
      </c>
    </row>
    <row r="1482" spans="1:11">
      <c r="A1482" s="158"/>
      <c r="B1482" s="39"/>
      <c r="C1482" s="39"/>
      <c r="D1482" s="109" t="s">
        <v>1967</v>
      </c>
      <c r="E1482" s="109" t="s">
        <v>1968</v>
      </c>
      <c r="F1482" s="83" t="s">
        <v>2640</v>
      </c>
      <c r="G1482" s="109" t="s">
        <v>1969</v>
      </c>
      <c r="H1482" s="109" t="s">
        <v>1970</v>
      </c>
      <c r="I1482" s="110" t="s">
        <v>3453</v>
      </c>
      <c r="J1482" s="109" t="s">
        <v>1971</v>
      </c>
      <c r="K1482" s="143" t="s">
        <v>11958</v>
      </c>
    </row>
    <row r="1483" spans="1:11">
      <c r="A1483" s="158"/>
      <c r="B1483" s="39"/>
      <c r="C1483" s="39"/>
      <c r="D1483" s="109" t="s">
        <v>1972</v>
      </c>
      <c r="E1483" s="109" t="s">
        <v>1973</v>
      </c>
      <c r="F1483" s="83" t="s">
        <v>2641</v>
      </c>
      <c r="G1483" s="109" t="s">
        <v>1974</v>
      </c>
      <c r="H1483" s="109" t="s">
        <v>1975</v>
      </c>
      <c r="I1483" s="107" t="s">
        <v>3459</v>
      </c>
      <c r="J1483" s="109" t="s">
        <v>1976</v>
      </c>
      <c r="K1483" s="143" t="s">
        <v>11959</v>
      </c>
    </row>
    <row r="1484" spans="1:11">
      <c r="A1484" s="158"/>
      <c r="B1484" s="39"/>
      <c r="C1484" s="39"/>
      <c r="D1484" s="109" t="s">
        <v>1977</v>
      </c>
      <c r="E1484" s="109" t="s">
        <v>1978</v>
      </c>
      <c r="F1484" s="83" t="s">
        <v>2639</v>
      </c>
      <c r="G1484" s="109" t="s">
        <v>1979</v>
      </c>
      <c r="H1484" s="109" t="s">
        <v>1980</v>
      </c>
      <c r="I1484" s="107" t="s">
        <v>3581</v>
      </c>
      <c r="J1484" s="109" t="s">
        <v>1981</v>
      </c>
      <c r="K1484" s="143" t="s">
        <v>11960</v>
      </c>
    </row>
    <row r="1485" spans="1:11" s="157" customFormat="1" ht="16.5" customHeight="1">
      <c r="A1485" s="139"/>
      <c r="B1485" s="131" t="s">
        <v>347</v>
      </c>
      <c r="C1485" s="131" t="s">
        <v>348</v>
      </c>
      <c r="D1485" s="131" t="s">
        <v>349</v>
      </c>
      <c r="E1485" s="131" t="s">
        <v>350</v>
      </c>
      <c r="F1485" s="131" t="s">
        <v>2638</v>
      </c>
      <c r="G1485" s="131" t="s">
        <v>1369</v>
      </c>
      <c r="H1485" s="131" t="s">
        <v>2196</v>
      </c>
      <c r="I1485" s="132" t="s">
        <v>2763</v>
      </c>
      <c r="J1485" s="131" t="s">
        <v>352</v>
      </c>
      <c r="K1485" s="146" t="s">
        <v>2764</v>
      </c>
    </row>
    <row r="1486" spans="1:11">
      <c r="A1486" s="158" t="s">
        <v>12372</v>
      </c>
      <c r="B1486" s="111" t="s">
        <v>2765</v>
      </c>
      <c r="C1486" s="111" t="s">
        <v>2766</v>
      </c>
      <c r="D1486" s="147" t="s">
        <v>3451</v>
      </c>
      <c r="E1486" s="110" t="s">
        <v>3452</v>
      </c>
      <c r="F1486" s="105" t="s">
        <v>2640</v>
      </c>
      <c r="G1486" s="110" t="s">
        <v>2649</v>
      </c>
      <c r="H1486" s="110" t="s">
        <v>2934</v>
      </c>
      <c r="I1486" s="110" t="s">
        <v>3453</v>
      </c>
      <c r="J1486" s="110" t="s">
        <v>3454</v>
      </c>
      <c r="K1486" s="148" t="s">
        <v>3455</v>
      </c>
    </row>
    <row r="1487" spans="1:11">
      <c r="A1487" s="158"/>
      <c r="B1487" s="112"/>
      <c r="C1487" s="112"/>
      <c r="D1487" s="110" t="s">
        <v>3456</v>
      </c>
      <c r="E1487" s="110" t="s">
        <v>3457</v>
      </c>
      <c r="F1487" s="105" t="s">
        <v>2639</v>
      </c>
      <c r="G1487" s="110" t="s">
        <v>2774</v>
      </c>
      <c r="H1487" s="110" t="s">
        <v>3458</v>
      </c>
      <c r="I1487" s="110" t="s">
        <v>3459</v>
      </c>
      <c r="J1487" s="110" t="s">
        <v>3460</v>
      </c>
      <c r="K1487" s="148" t="s">
        <v>3461</v>
      </c>
    </row>
    <row r="1488" spans="1:11">
      <c r="A1488" s="158"/>
      <c r="B1488" s="112"/>
      <c r="C1488" s="112"/>
      <c r="D1488" s="110" t="s">
        <v>3462</v>
      </c>
      <c r="E1488" s="110" t="s">
        <v>3463</v>
      </c>
      <c r="F1488" s="105" t="s">
        <v>2640</v>
      </c>
      <c r="G1488" s="110" t="s">
        <v>2937</v>
      </c>
      <c r="H1488" s="110" t="s">
        <v>2674</v>
      </c>
      <c r="I1488" s="110" t="s">
        <v>3453</v>
      </c>
      <c r="J1488" s="110" t="s">
        <v>3464</v>
      </c>
      <c r="K1488" s="148" t="s">
        <v>3465</v>
      </c>
    </row>
    <row r="1489" spans="1:11">
      <c r="A1489" s="158"/>
      <c r="B1489" s="112"/>
      <c r="C1489" s="112"/>
      <c r="D1489" s="110" t="s">
        <v>3466</v>
      </c>
      <c r="E1489" s="110" t="s">
        <v>3467</v>
      </c>
      <c r="F1489" s="105" t="s">
        <v>2640</v>
      </c>
      <c r="G1489" s="110" t="s">
        <v>2661</v>
      </c>
      <c r="H1489" s="110" t="s">
        <v>3468</v>
      </c>
      <c r="I1489" s="110" t="s">
        <v>3453</v>
      </c>
      <c r="J1489" s="110" t="s">
        <v>3469</v>
      </c>
      <c r="K1489" s="148" t="s">
        <v>3470</v>
      </c>
    </row>
    <row r="1490" spans="1:11">
      <c r="A1490" s="158"/>
      <c r="B1490" s="112"/>
      <c r="C1490" s="113"/>
      <c r="D1490" s="110" t="s">
        <v>3471</v>
      </c>
      <c r="E1490" s="110" t="s">
        <v>3472</v>
      </c>
      <c r="F1490" s="105" t="s">
        <v>2641</v>
      </c>
      <c r="G1490" s="110" t="s">
        <v>3473</v>
      </c>
      <c r="H1490" s="110" t="s">
        <v>3474</v>
      </c>
      <c r="I1490" s="110" t="s">
        <v>3459</v>
      </c>
      <c r="J1490" s="110" t="s">
        <v>3475</v>
      </c>
      <c r="K1490" s="148" t="s">
        <v>3476</v>
      </c>
    </row>
    <row r="1491" spans="1:11">
      <c r="A1491" s="158"/>
      <c r="B1491" s="112"/>
      <c r="C1491" s="111" t="s">
        <v>2767</v>
      </c>
      <c r="D1491" s="110" t="s">
        <v>3477</v>
      </c>
      <c r="E1491" s="110" t="s">
        <v>3478</v>
      </c>
      <c r="F1491" s="105" t="s">
        <v>2640</v>
      </c>
      <c r="G1491" s="110" t="s">
        <v>3479</v>
      </c>
      <c r="H1491" s="110" t="s">
        <v>3480</v>
      </c>
      <c r="I1491" s="110" t="s">
        <v>3453</v>
      </c>
      <c r="J1491" s="110" t="s">
        <v>3481</v>
      </c>
      <c r="K1491" s="148" t="s">
        <v>3482</v>
      </c>
    </row>
    <row r="1492" spans="1:11">
      <c r="A1492" s="158"/>
      <c r="B1492" s="112"/>
      <c r="C1492" s="112"/>
      <c r="D1492" s="110" t="s">
        <v>3483</v>
      </c>
      <c r="E1492" s="110" t="s">
        <v>3484</v>
      </c>
      <c r="F1492" s="105" t="s">
        <v>2639</v>
      </c>
      <c r="G1492" s="110" t="s">
        <v>3485</v>
      </c>
      <c r="H1492" s="110" t="s">
        <v>3486</v>
      </c>
      <c r="I1492" s="110" t="s">
        <v>3459</v>
      </c>
      <c r="J1492" s="110" t="s">
        <v>3487</v>
      </c>
      <c r="K1492" s="148" t="s">
        <v>3488</v>
      </c>
    </row>
    <row r="1493" spans="1:11">
      <c r="A1493" s="158"/>
      <c r="B1493" s="112"/>
      <c r="C1493" s="112"/>
      <c r="D1493" s="110" t="s">
        <v>3489</v>
      </c>
      <c r="E1493" s="110" t="s">
        <v>3490</v>
      </c>
      <c r="F1493" s="105" t="s">
        <v>2640</v>
      </c>
      <c r="G1493" s="110" t="s">
        <v>3491</v>
      </c>
      <c r="H1493" s="110" t="s">
        <v>3492</v>
      </c>
      <c r="I1493" s="110" t="s">
        <v>3459</v>
      </c>
      <c r="J1493" s="110" t="s">
        <v>3493</v>
      </c>
      <c r="K1493" s="148" t="s">
        <v>3494</v>
      </c>
    </row>
    <row r="1494" spans="1:11">
      <c r="A1494" s="158"/>
      <c r="B1494" s="112"/>
      <c r="C1494" s="112"/>
      <c r="D1494" s="110" t="s">
        <v>3495</v>
      </c>
      <c r="E1494" s="110" t="s">
        <v>3496</v>
      </c>
      <c r="F1494" s="105" t="s">
        <v>2640</v>
      </c>
      <c r="G1494" s="110" t="s">
        <v>3497</v>
      </c>
      <c r="H1494" s="110" t="s">
        <v>3498</v>
      </c>
      <c r="I1494" s="110" t="s">
        <v>3453</v>
      </c>
      <c r="J1494" s="110" t="s">
        <v>3499</v>
      </c>
      <c r="K1494" s="148" t="s">
        <v>3500</v>
      </c>
    </row>
    <row r="1495" spans="1:11">
      <c r="A1495" s="158"/>
      <c r="B1495" s="112"/>
      <c r="C1495" s="113"/>
      <c r="D1495" s="110" t="s">
        <v>3501</v>
      </c>
      <c r="E1495" s="110" t="s">
        <v>3502</v>
      </c>
      <c r="F1495" s="105" t="s">
        <v>2640</v>
      </c>
      <c r="G1495" s="110" t="s">
        <v>3503</v>
      </c>
      <c r="H1495" s="110" t="s">
        <v>3504</v>
      </c>
      <c r="I1495" s="110" t="s">
        <v>3453</v>
      </c>
      <c r="J1495" s="110" t="s">
        <v>3505</v>
      </c>
      <c r="K1495" s="148" t="s">
        <v>3506</v>
      </c>
    </row>
    <row r="1496" spans="1:11">
      <c r="A1496" s="158"/>
      <c r="B1496" s="112"/>
      <c r="C1496" s="111" t="s">
        <v>2768</v>
      </c>
      <c r="D1496" s="110" t="s">
        <v>3507</v>
      </c>
      <c r="E1496" s="110" t="s">
        <v>3508</v>
      </c>
      <c r="F1496" s="105" t="s">
        <v>2640</v>
      </c>
      <c r="G1496" s="110" t="s">
        <v>3509</v>
      </c>
      <c r="H1496" s="110" t="s">
        <v>3510</v>
      </c>
      <c r="I1496" s="110" t="s">
        <v>3453</v>
      </c>
      <c r="J1496" s="110" t="s">
        <v>3511</v>
      </c>
      <c r="K1496" s="148" t="s">
        <v>3512</v>
      </c>
    </row>
    <row r="1497" spans="1:11">
      <c r="A1497" s="158"/>
      <c r="B1497" s="112"/>
      <c r="C1497" s="112"/>
      <c r="D1497" s="110" t="s">
        <v>3513</v>
      </c>
      <c r="E1497" s="110" t="s">
        <v>3514</v>
      </c>
      <c r="F1497" s="105" t="s">
        <v>2640</v>
      </c>
      <c r="G1497" s="110" t="s">
        <v>3515</v>
      </c>
      <c r="H1497" s="110" t="s">
        <v>3516</v>
      </c>
      <c r="I1497" s="110" t="s">
        <v>3459</v>
      </c>
      <c r="J1497" s="110" t="s">
        <v>3517</v>
      </c>
      <c r="K1497" s="148" t="s">
        <v>3518</v>
      </c>
    </row>
    <row r="1498" spans="1:11">
      <c r="A1498" s="158"/>
      <c r="B1498" s="112"/>
      <c r="C1498" s="112"/>
      <c r="D1498" s="110" t="s">
        <v>3519</v>
      </c>
      <c r="E1498" s="110" t="s">
        <v>3520</v>
      </c>
      <c r="F1498" s="105" t="s">
        <v>2640</v>
      </c>
      <c r="G1498" s="110" t="s">
        <v>3521</v>
      </c>
      <c r="H1498" s="110" t="s">
        <v>3522</v>
      </c>
      <c r="I1498" s="110" t="s">
        <v>3453</v>
      </c>
      <c r="J1498" s="110" t="s">
        <v>3523</v>
      </c>
      <c r="K1498" s="148" t="s">
        <v>3524</v>
      </c>
    </row>
    <row r="1499" spans="1:11">
      <c r="A1499" s="158"/>
      <c r="B1499" s="112"/>
      <c r="C1499" s="112"/>
      <c r="D1499" s="110" t="s">
        <v>3525</v>
      </c>
      <c r="E1499" s="110" t="s">
        <v>3526</v>
      </c>
      <c r="F1499" s="105" t="s">
        <v>2640</v>
      </c>
      <c r="G1499" s="110" t="s">
        <v>3527</v>
      </c>
      <c r="H1499" s="110" t="s">
        <v>3528</v>
      </c>
      <c r="I1499" s="110" t="s">
        <v>3453</v>
      </c>
      <c r="J1499" s="110" t="s">
        <v>3529</v>
      </c>
      <c r="K1499" s="148" t="s">
        <v>3530</v>
      </c>
    </row>
    <row r="1500" spans="1:11">
      <c r="A1500" s="158"/>
      <c r="B1500" s="112"/>
      <c r="C1500" s="113"/>
      <c r="D1500" s="110" t="s">
        <v>3531</v>
      </c>
      <c r="E1500" s="110" t="s">
        <v>3532</v>
      </c>
      <c r="F1500" s="105" t="s">
        <v>2640</v>
      </c>
      <c r="G1500" s="110" t="s">
        <v>3533</v>
      </c>
      <c r="H1500" s="110" t="s">
        <v>3534</v>
      </c>
      <c r="I1500" s="110" t="s">
        <v>3453</v>
      </c>
      <c r="J1500" s="110" t="s">
        <v>3535</v>
      </c>
      <c r="K1500" s="148" t="s">
        <v>3536</v>
      </c>
    </row>
    <row r="1501" spans="1:11">
      <c r="A1501" s="158"/>
      <c r="B1501" s="112"/>
      <c r="C1501" s="111" t="s">
        <v>2769</v>
      </c>
      <c r="D1501" s="110" t="s">
        <v>3537</v>
      </c>
      <c r="E1501" s="110" t="s">
        <v>3538</v>
      </c>
      <c r="F1501" s="105" t="s">
        <v>2640</v>
      </c>
      <c r="G1501" s="110" t="s">
        <v>3537</v>
      </c>
      <c r="H1501" s="110" t="s">
        <v>3539</v>
      </c>
      <c r="I1501" s="110" t="s">
        <v>3453</v>
      </c>
      <c r="J1501" s="110" t="s">
        <v>3540</v>
      </c>
      <c r="K1501" s="148" t="s">
        <v>3541</v>
      </c>
    </row>
    <row r="1502" spans="1:11">
      <c r="A1502" s="158"/>
      <c r="B1502" s="112"/>
      <c r="C1502" s="112"/>
      <c r="D1502" s="110" t="s">
        <v>3542</v>
      </c>
      <c r="E1502" s="110" t="s">
        <v>3543</v>
      </c>
      <c r="F1502" s="105" t="s">
        <v>2640</v>
      </c>
      <c r="G1502" s="110" t="s">
        <v>3544</v>
      </c>
      <c r="H1502" s="110" t="s">
        <v>3545</v>
      </c>
      <c r="I1502" s="110" t="s">
        <v>3453</v>
      </c>
      <c r="J1502" s="110" t="s">
        <v>3546</v>
      </c>
      <c r="K1502" s="148" t="s">
        <v>3547</v>
      </c>
    </row>
    <row r="1503" spans="1:11">
      <c r="A1503" s="158"/>
      <c r="B1503" s="112"/>
      <c r="C1503" s="112"/>
      <c r="D1503" s="110" t="s">
        <v>3548</v>
      </c>
      <c r="E1503" s="110" t="s">
        <v>3549</v>
      </c>
      <c r="F1503" s="105" t="s">
        <v>2640</v>
      </c>
      <c r="G1503" s="110" t="s">
        <v>3160</v>
      </c>
      <c r="H1503" s="110" t="s">
        <v>3550</v>
      </c>
      <c r="I1503" s="110" t="s">
        <v>3459</v>
      </c>
      <c r="J1503" s="110" t="s">
        <v>3551</v>
      </c>
      <c r="K1503" s="148" t="s">
        <v>3552</v>
      </c>
    </row>
    <row r="1504" spans="1:11">
      <c r="A1504" s="158"/>
      <c r="B1504" s="112"/>
      <c r="C1504" s="112"/>
      <c r="D1504" s="110" t="s">
        <v>2242</v>
      </c>
      <c r="E1504" s="110" t="s">
        <v>3553</v>
      </c>
      <c r="F1504" s="105" t="s">
        <v>2640</v>
      </c>
      <c r="G1504" s="110" t="s">
        <v>3554</v>
      </c>
      <c r="H1504" s="110" t="s">
        <v>3555</v>
      </c>
      <c r="I1504" s="110" t="s">
        <v>3459</v>
      </c>
      <c r="J1504" s="110" t="s">
        <v>3556</v>
      </c>
      <c r="K1504" s="148" t="s">
        <v>3557</v>
      </c>
    </row>
    <row r="1505" spans="1:11">
      <c r="A1505" s="158"/>
      <c r="B1505" s="112"/>
      <c r="C1505" s="113"/>
      <c r="D1505" s="110" t="s">
        <v>3558</v>
      </c>
      <c r="E1505" s="110" t="s">
        <v>3559</v>
      </c>
      <c r="F1505" s="105" t="s">
        <v>2640</v>
      </c>
      <c r="G1505" s="110" t="s">
        <v>3560</v>
      </c>
      <c r="H1505" s="110" t="s">
        <v>3561</v>
      </c>
      <c r="I1505" s="110" t="s">
        <v>3453</v>
      </c>
      <c r="J1505" s="110" t="s">
        <v>3562</v>
      </c>
      <c r="K1505" s="148" t="s">
        <v>3563</v>
      </c>
    </row>
    <row r="1506" spans="1:11">
      <c r="A1506" s="158"/>
      <c r="B1506" s="112"/>
      <c r="C1506" s="111" t="s">
        <v>2770</v>
      </c>
      <c r="D1506" s="110" t="s">
        <v>3565</v>
      </c>
      <c r="E1506" s="110" t="s">
        <v>3566</v>
      </c>
      <c r="F1506" s="105" t="s">
        <v>2640</v>
      </c>
      <c r="G1506" s="110" t="s">
        <v>3567</v>
      </c>
      <c r="H1506" s="110" t="s">
        <v>3568</v>
      </c>
      <c r="I1506" s="110" t="s">
        <v>3459</v>
      </c>
      <c r="J1506" s="110" t="s">
        <v>3569</v>
      </c>
      <c r="K1506" s="148" t="s">
        <v>3570</v>
      </c>
    </row>
    <row r="1507" spans="1:11">
      <c r="A1507" s="158"/>
      <c r="B1507" s="112"/>
      <c r="C1507" s="112"/>
      <c r="D1507" s="110" t="s">
        <v>3571</v>
      </c>
      <c r="E1507" s="110" t="s">
        <v>3572</v>
      </c>
      <c r="F1507" s="105" t="s">
        <v>2640</v>
      </c>
      <c r="G1507" s="110" t="s">
        <v>3573</v>
      </c>
      <c r="H1507" s="110" t="s">
        <v>3574</v>
      </c>
      <c r="I1507" s="110" t="s">
        <v>3453</v>
      </c>
      <c r="J1507" s="110" t="s">
        <v>3575</v>
      </c>
      <c r="K1507" s="148" t="s">
        <v>3576</v>
      </c>
    </row>
    <row r="1508" spans="1:11">
      <c r="A1508" s="158"/>
      <c r="B1508" s="112"/>
      <c r="C1508" s="112"/>
      <c r="D1508" s="110" t="s">
        <v>3577</v>
      </c>
      <c r="E1508" s="110" t="s">
        <v>3578</v>
      </c>
      <c r="F1508" s="105" t="s">
        <v>2640</v>
      </c>
      <c r="G1508" s="110" t="s">
        <v>3579</v>
      </c>
      <c r="H1508" s="110" t="s">
        <v>3580</v>
      </c>
      <c r="I1508" s="110" t="s">
        <v>3581</v>
      </c>
      <c r="J1508" s="110" t="s">
        <v>3195</v>
      </c>
      <c r="K1508" s="148" t="s">
        <v>3582</v>
      </c>
    </row>
    <row r="1509" spans="1:11">
      <c r="A1509" s="158"/>
      <c r="B1509" s="112"/>
      <c r="C1509" s="112"/>
      <c r="D1509" s="110" t="s">
        <v>3583</v>
      </c>
      <c r="E1509" s="110" t="s">
        <v>3584</v>
      </c>
      <c r="F1509" s="105" t="s">
        <v>2640</v>
      </c>
      <c r="G1509" s="110" t="s">
        <v>3585</v>
      </c>
      <c r="H1509" s="110" t="s">
        <v>3586</v>
      </c>
      <c r="I1509" s="110" t="s">
        <v>3459</v>
      </c>
      <c r="J1509" s="110" t="s">
        <v>3587</v>
      </c>
      <c r="K1509" s="148" t="s">
        <v>3588</v>
      </c>
    </row>
    <row r="1510" spans="1:11">
      <c r="A1510" s="158"/>
      <c r="B1510" s="112"/>
      <c r="C1510" s="113"/>
      <c r="D1510" s="110" t="s">
        <v>3589</v>
      </c>
      <c r="E1510" s="110" t="s">
        <v>3590</v>
      </c>
      <c r="F1510" s="105" t="s">
        <v>2640</v>
      </c>
      <c r="G1510" s="110" t="s">
        <v>2006</v>
      </c>
      <c r="H1510" s="110" t="s">
        <v>3591</v>
      </c>
      <c r="I1510" s="110" t="s">
        <v>3459</v>
      </c>
      <c r="J1510" s="110" t="s">
        <v>3592</v>
      </c>
      <c r="K1510" s="148" t="s">
        <v>3593</v>
      </c>
    </row>
    <row r="1511" spans="1:11">
      <c r="A1511" s="158"/>
      <c r="B1511" s="112"/>
      <c r="C1511" s="111" t="s">
        <v>2771</v>
      </c>
      <c r="D1511" s="110" t="s">
        <v>3594</v>
      </c>
      <c r="E1511" s="110" t="s">
        <v>3595</v>
      </c>
      <c r="F1511" s="105" t="s">
        <v>2640</v>
      </c>
      <c r="G1511" s="110" t="s">
        <v>3596</v>
      </c>
      <c r="H1511" s="110" t="s">
        <v>3597</v>
      </c>
      <c r="I1511" s="110" t="s">
        <v>3459</v>
      </c>
      <c r="J1511" s="110" t="s">
        <v>3598</v>
      </c>
      <c r="K1511" s="148" t="s">
        <v>3599</v>
      </c>
    </row>
    <row r="1512" spans="1:11">
      <c r="A1512" s="158"/>
      <c r="B1512" s="112"/>
      <c r="C1512" s="112"/>
      <c r="D1512" s="110" t="s">
        <v>3600</v>
      </c>
      <c r="E1512" s="110" t="s">
        <v>3601</v>
      </c>
      <c r="F1512" s="105" t="s">
        <v>2640</v>
      </c>
      <c r="G1512" s="110" t="s">
        <v>3602</v>
      </c>
      <c r="H1512" s="110" t="s">
        <v>3603</v>
      </c>
      <c r="I1512" s="110" t="s">
        <v>3453</v>
      </c>
      <c r="J1512" s="110" t="s">
        <v>3604</v>
      </c>
      <c r="K1512" s="148" t="s">
        <v>3605</v>
      </c>
    </row>
    <row r="1513" spans="1:11">
      <c r="A1513" s="158"/>
      <c r="B1513" s="112"/>
      <c r="C1513" s="112"/>
      <c r="D1513" s="110" t="s">
        <v>3606</v>
      </c>
      <c r="E1513" s="110" t="s">
        <v>3607</v>
      </c>
      <c r="F1513" s="105" t="s">
        <v>2640</v>
      </c>
      <c r="G1513" s="110" t="s">
        <v>3608</v>
      </c>
      <c r="H1513" s="110" t="s">
        <v>3609</v>
      </c>
      <c r="I1513" s="110" t="s">
        <v>3459</v>
      </c>
      <c r="J1513" s="110" t="s">
        <v>3610</v>
      </c>
      <c r="K1513" s="148" t="s">
        <v>3611</v>
      </c>
    </row>
    <row r="1514" spans="1:11">
      <c r="A1514" s="158"/>
      <c r="B1514" s="112"/>
      <c r="C1514" s="112"/>
      <c r="D1514" s="110" t="s">
        <v>3612</v>
      </c>
      <c r="E1514" s="110" t="s">
        <v>3613</v>
      </c>
      <c r="F1514" s="105" t="s">
        <v>2640</v>
      </c>
      <c r="G1514" s="110" t="s">
        <v>3614</v>
      </c>
      <c r="H1514" s="110" t="s">
        <v>3615</v>
      </c>
      <c r="I1514" s="110" t="s">
        <v>3453</v>
      </c>
      <c r="J1514" s="110" t="s">
        <v>3616</v>
      </c>
      <c r="K1514" s="148" t="s">
        <v>3617</v>
      </c>
    </row>
    <row r="1515" spans="1:11">
      <c r="A1515" s="158"/>
      <c r="B1515" s="112"/>
      <c r="C1515" s="113"/>
      <c r="D1515" s="110" t="s">
        <v>3618</v>
      </c>
      <c r="E1515" s="110" t="s">
        <v>3619</v>
      </c>
      <c r="F1515" s="105" t="s">
        <v>2640</v>
      </c>
      <c r="G1515" s="110" t="s">
        <v>3620</v>
      </c>
      <c r="H1515" s="110" t="s">
        <v>2027</v>
      </c>
      <c r="I1515" s="110" t="s">
        <v>3459</v>
      </c>
      <c r="J1515" s="110" t="s">
        <v>3621</v>
      </c>
      <c r="K1515" s="148" t="s">
        <v>3622</v>
      </c>
    </row>
    <row r="1516" spans="1:11">
      <c r="A1516" s="158"/>
      <c r="B1516" s="112"/>
      <c r="C1516" s="111" t="s">
        <v>2772</v>
      </c>
      <c r="D1516" s="110" t="s">
        <v>3594</v>
      </c>
      <c r="E1516" s="110" t="s">
        <v>3595</v>
      </c>
      <c r="F1516" s="105" t="s">
        <v>2640</v>
      </c>
      <c r="G1516" s="110" t="s">
        <v>3596</v>
      </c>
      <c r="H1516" s="110" t="s">
        <v>3597</v>
      </c>
      <c r="I1516" s="110" t="s">
        <v>3459</v>
      </c>
      <c r="J1516" s="110" t="s">
        <v>3598</v>
      </c>
      <c r="K1516" s="148" t="s">
        <v>3599</v>
      </c>
    </row>
    <row r="1517" spans="1:11">
      <c r="A1517" s="158"/>
      <c r="B1517" s="112"/>
      <c r="C1517" s="112"/>
      <c r="D1517" s="110" t="s">
        <v>3600</v>
      </c>
      <c r="E1517" s="110" t="s">
        <v>3601</v>
      </c>
      <c r="F1517" s="105" t="s">
        <v>2640</v>
      </c>
      <c r="G1517" s="110" t="s">
        <v>3602</v>
      </c>
      <c r="H1517" s="110" t="s">
        <v>3603</v>
      </c>
      <c r="I1517" s="110" t="s">
        <v>3453</v>
      </c>
      <c r="J1517" s="110" t="s">
        <v>3604</v>
      </c>
      <c r="K1517" s="148" t="s">
        <v>3605</v>
      </c>
    </row>
    <row r="1518" spans="1:11">
      <c r="A1518" s="158"/>
      <c r="B1518" s="112"/>
      <c r="C1518" s="112"/>
      <c r="D1518" s="110" t="s">
        <v>3606</v>
      </c>
      <c r="E1518" s="110" t="s">
        <v>3607</v>
      </c>
      <c r="F1518" s="105" t="s">
        <v>2640</v>
      </c>
      <c r="G1518" s="110" t="s">
        <v>3608</v>
      </c>
      <c r="H1518" s="110" t="s">
        <v>3609</v>
      </c>
      <c r="I1518" s="110" t="s">
        <v>3459</v>
      </c>
      <c r="J1518" s="110" t="s">
        <v>3610</v>
      </c>
      <c r="K1518" s="148" t="s">
        <v>3611</v>
      </c>
    </row>
    <row r="1519" spans="1:11">
      <c r="A1519" s="158"/>
      <c r="B1519" s="112"/>
      <c r="C1519" s="112"/>
      <c r="D1519" s="110" t="s">
        <v>3612</v>
      </c>
      <c r="E1519" s="110" t="s">
        <v>3613</v>
      </c>
      <c r="F1519" s="105" t="s">
        <v>2640</v>
      </c>
      <c r="G1519" s="110" t="s">
        <v>3614</v>
      </c>
      <c r="H1519" s="110" t="s">
        <v>3615</v>
      </c>
      <c r="I1519" s="110" t="s">
        <v>3453</v>
      </c>
      <c r="J1519" s="110" t="s">
        <v>3616</v>
      </c>
      <c r="K1519" s="148" t="s">
        <v>3617</v>
      </c>
    </row>
    <row r="1520" spans="1:11">
      <c r="A1520" s="158"/>
      <c r="B1520" s="112"/>
      <c r="C1520" s="113"/>
      <c r="D1520" s="110" t="s">
        <v>3618</v>
      </c>
      <c r="E1520" s="110" t="s">
        <v>3619</v>
      </c>
      <c r="F1520" s="105" t="s">
        <v>2640</v>
      </c>
      <c r="G1520" s="110" t="s">
        <v>3620</v>
      </c>
      <c r="H1520" s="110" t="s">
        <v>2027</v>
      </c>
      <c r="I1520" s="110" t="s">
        <v>3459</v>
      </c>
      <c r="J1520" s="110" t="s">
        <v>3621</v>
      </c>
      <c r="K1520" s="148" t="s">
        <v>3622</v>
      </c>
    </row>
    <row r="1521" spans="1:11">
      <c r="A1521" s="158"/>
      <c r="B1521" s="112"/>
      <c r="C1521" s="111" t="s">
        <v>2773</v>
      </c>
      <c r="D1521" s="110" t="s">
        <v>3623</v>
      </c>
      <c r="E1521" s="110" t="s">
        <v>3624</v>
      </c>
      <c r="F1521" s="105" t="s">
        <v>2640</v>
      </c>
      <c r="G1521" s="110" t="s">
        <v>3625</v>
      </c>
      <c r="H1521" s="110" t="s">
        <v>3626</v>
      </c>
      <c r="I1521" s="110" t="s">
        <v>3453</v>
      </c>
      <c r="J1521" s="110" t="s">
        <v>3627</v>
      </c>
      <c r="K1521" s="148" t="s">
        <v>3628</v>
      </c>
    </row>
    <row r="1522" spans="1:11">
      <c r="A1522" s="158"/>
      <c r="B1522" s="112"/>
      <c r="C1522" s="112"/>
      <c r="D1522" s="110" t="s">
        <v>3629</v>
      </c>
      <c r="E1522" s="110" t="s">
        <v>3630</v>
      </c>
      <c r="F1522" s="105" t="s">
        <v>2640</v>
      </c>
      <c r="G1522" s="110" t="s">
        <v>3322</v>
      </c>
      <c r="H1522" s="110" t="s">
        <v>3631</v>
      </c>
      <c r="I1522" s="110" t="s">
        <v>3453</v>
      </c>
      <c r="J1522" s="110" t="s">
        <v>3632</v>
      </c>
      <c r="K1522" s="148" t="s">
        <v>3633</v>
      </c>
    </row>
    <row r="1523" spans="1:11">
      <c r="A1523" s="158"/>
      <c r="B1523" s="112"/>
      <c r="C1523" s="112"/>
      <c r="D1523" s="110" t="s">
        <v>3634</v>
      </c>
      <c r="E1523" s="110" t="s">
        <v>3635</v>
      </c>
      <c r="F1523" s="105" t="s">
        <v>2640</v>
      </c>
      <c r="G1523" s="110" t="s">
        <v>3636</v>
      </c>
      <c r="H1523" s="110" t="s">
        <v>3637</v>
      </c>
      <c r="I1523" s="110" t="s">
        <v>3459</v>
      </c>
      <c r="J1523" s="110" t="s">
        <v>3638</v>
      </c>
      <c r="K1523" s="148" t="s">
        <v>3639</v>
      </c>
    </row>
    <row r="1524" spans="1:11">
      <c r="A1524" s="158"/>
      <c r="B1524" s="112"/>
      <c r="C1524" s="112"/>
      <c r="D1524" s="110" t="s">
        <v>3640</v>
      </c>
      <c r="E1524" s="110" t="s">
        <v>3641</v>
      </c>
      <c r="F1524" s="105" t="s">
        <v>2640</v>
      </c>
      <c r="G1524" s="110" t="s">
        <v>3642</v>
      </c>
      <c r="H1524" s="110" t="s">
        <v>3643</v>
      </c>
      <c r="I1524" s="110" t="s">
        <v>3459</v>
      </c>
      <c r="J1524" s="110" t="s">
        <v>3644</v>
      </c>
      <c r="K1524" s="148" t="s">
        <v>3645</v>
      </c>
    </row>
    <row r="1525" spans="1:11">
      <c r="A1525" s="158"/>
      <c r="B1525" s="113"/>
      <c r="C1525" s="113"/>
      <c r="D1525" s="110" t="s">
        <v>3646</v>
      </c>
      <c r="E1525" s="110" t="s">
        <v>3647</v>
      </c>
      <c r="F1525" s="105" t="s">
        <v>2640</v>
      </c>
      <c r="G1525" s="110" t="s">
        <v>3648</v>
      </c>
      <c r="H1525" s="110" t="s">
        <v>3649</v>
      </c>
      <c r="I1525" s="110" t="s">
        <v>3581</v>
      </c>
      <c r="J1525" s="110" t="s">
        <v>3650</v>
      </c>
      <c r="K1525" s="148" t="s">
        <v>3651</v>
      </c>
    </row>
    <row r="1526" spans="1:11">
      <c r="A1526" s="158"/>
      <c r="B1526" s="111" t="s">
        <v>2774</v>
      </c>
      <c r="C1526" s="111" t="s">
        <v>2775</v>
      </c>
      <c r="D1526" s="110" t="s">
        <v>3675</v>
      </c>
      <c r="E1526" s="110" t="s">
        <v>3652</v>
      </c>
      <c r="F1526" s="105" t="s">
        <v>2681</v>
      </c>
      <c r="G1526" s="110" t="s">
        <v>3137</v>
      </c>
      <c r="H1526" s="110" t="s">
        <v>3480</v>
      </c>
      <c r="I1526" s="110" t="s">
        <v>3453</v>
      </c>
      <c r="J1526" s="110" t="s">
        <v>3653</v>
      </c>
      <c r="K1526" s="148" t="s">
        <v>3654</v>
      </c>
    </row>
    <row r="1527" spans="1:11">
      <c r="A1527" s="158"/>
      <c r="B1527" s="112"/>
      <c r="C1527" s="112"/>
      <c r="D1527" s="110" t="s">
        <v>3676</v>
      </c>
      <c r="E1527" s="110" t="s">
        <v>3655</v>
      </c>
      <c r="F1527" s="105" t="s">
        <v>2639</v>
      </c>
      <c r="G1527" s="110" t="s">
        <v>3656</v>
      </c>
      <c r="H1527" s="110" t="s">
        <v>3657</v>
      </c>
      <c r="I1527" s="110" t="s">
        <v>3459</v>
      </c>
      <c r="J1527" s="110" t="s">
        <v>3658</v>
      </c>
      <c r="K1527" s="148" t="s">
        <v>3659</v>
      </c>
    </row>
    <row r="1528" spans="1:11">
      <c r="A1528" s="158"/>
      <c r="B1528" s="112"/>
      <c r="C1528" s="112"/>
      <c r="D1528" s="110" t="s">
        <v>3677</v>
      </c>
      <c r="E1528" s="110" t="s">
        <v>3660</v>
      </c>
      <c r="F1528" s="105" t="s">
        <v>2681</v>
      </c>
      <c r="G1528" s="110" t="s">
        <v>3661</v>
      </c>
      <c r="H1528" s="110" t="s">
        <v>3662</v>
      </c>
      <c r="I1528" s="110" t="s">
        <v>3453</v>
      </c>
      <c r="J1528" s="110" t="s">
        <v>3663</v>
      </c>
      <c r="K1528" s="148" t="s">
        <v>3664</v>
      </c>
    </row>
    <row r="1529" spans="1:11">
      <c r="A1529" s="158"/>
      <c r="B1529" s="112"/>
      <c r="C1529" s="112"/>
      <c r="D1529" s="110" t="s">
        <v>3678</v>
      </c>
      <c r="E1529" s="110" t="s">
        <v>3665</v>
      </c>
      <c r="F1529" s="105" t="s">
        <v>2681</v>
      </c>
      <c r="G1529" s="110" t="s">
        <v>3666</v>
      </c>
      <c r="H1529" s="110" t="s">
        <v>3667</v>
      </c>
      <c r="I1529" s="110" t="s">
        <v>3459</v>
      </c>
      <c r="J1529" s="110" t="s">
        <v>3668</v>
      </c>
      <c r="K1529" s="148" t="s">
        <v>3669</v>
      </c>
    </row>
    <row r="1530" spans="1:11">
      <c r="A1530" s="158"/>
      <c r="B1530" s="112"/>
      <c r="C1530" s="113"/>
      <c r="D1530" s="110" t="s">
        <v>3679</v>
      </c>
      <c r="E1530" s="110" t="s">
        <v>3670</v>
      </c>
      <c r="F1530" s="105" t="s">
        <v>2681</v>
      </c>
      <c r="G1530" s="110" t="s">
        <v>3671</v>
      </c>
      <c r="H1530" s="110" t="s">
        <v>3672</v>
      </c>
      <c r="I1530" s="110" t="s">
        <v>3459</v>
      </c>
      <c r="J1530" s="110" t="s">
        <v>3673</v>
      </c>
      <c r="K1530" s="148" t="s">
        <v>3674</v>
      </c>
    </row>
    <row r="1531" spans="1:11">
      <c r="A1531" s="158"/>
      <c r="B1531" s="112"/>
      <c r="C1531" s="111" t="s">
        <v>2776</v>
      </c>
      <c r="D1531" s="110" t="s">
        <v>3705</v>
      </c>
      <c r="E1531" s="110" t="s">
        <v>3680</v>
      </c>
      <c r="F1531" s="105" t="s">
        <v>2690</v>
      </c>
      <c r="G1531" s="110" t="s">
        <v>3681</v>
      </c>
      <c r="H1531" s="110" t="s">
        <v>3682</v>
      </c>
      <c r="I1531" s="110" t="s">
        <v>3459</v>
      </c>
      <c r="J1531" s="110" t="s">
        <v>3683</v>
      </c>
      <c r="K1531" s="148" t="s">
        <v>3684</v>
      </c>
    </row>
    <row r="1532" spans="1:11">
      <c r="A1532" s="158"/>
      <c r="B1532" s="112"/>
      <c r="C1532" s="112"/>
      <c r="D1532" s="110" t="s">
        <v>3706</v>
      </c>
      <c r="E1532" s="110" t="s">
        <v>3685</v>
      </c>
      <c r="F1532" s="105" t="s">
        <v>2681</v>
      </c>
      <c r="G1532" s="110" t="s">
        <v>3686</v>
      </c>
      <c r="H1532" s="110" t="s">
        <v>3687</v>
      </c>
      <c r="I1532" s="110" t="s">
        <v>3459</v>
      </c>
      <c r="J1532" s="110" t="s">
        <v>3688</v>
      </c>
      <c r="K1532" s="148" t="s">
        <v>3689</v>
      </c>
    </row>
    <row r="1533" spans="1:11">
      <c r="A1533" s="158"/>
      <c r="B1533" s="112"/>
      <c r="C1533" s="112"/>
      <c r="D1533" s="110" t="s">
        <v>3707</v>
      </c>
      <c r="E1533" s="110" t="s">
        <v>3690</v>
      </c>
      <c r="F1533" s="105" t="s">
        <v>2681</v>
      </c>
      <c r="G1533" s="110" t="s">
        <v>3691</v>
      </c>
      <c r="H1533" s="110" t="s">
        <v>3692</v>
      </c>
      <c r="I1533" s="110" t="s">
        <v>3581</v>
      </c>
      <c r="J1533" s="110" t="s">
        <v>3693</v>
      </c>
      <c r="K1533" s="148" t="s">
        <v>3694</v>
      </c>
    </row>
    <row r="1534" spans="1:11">
      <c r="A1534" s="158"/>
      <c r="B1534" s="112"/>
      <c r="C1534" s="112"/>
      <c r="D1534" s="110" t="s">
        <v>3708</v>
      </c>
      <c r="E1534" s="110" t="s">
        <v>3695</v>
      </c>
      <c r="F1534" s="105" t="s">
        <v>2681</v>
      </c>
      <c r="G1534" s="110" t="s">
        <v>3696</v>
      </c>
      <c r="H1534" s="110" t="s">
        <v>3697</v>
      </c>
      <c r="I1534" s="110" t="s">
        <v>3459</v>
      </c>
      <c r="J1534" s="110" t="s">
        <v>3698</v>
      </c>
      <c r="K1534" s="148" t="s">
        <v>3699</v>
      </c>
    </row>
    <row r="1535" spans="1:11">
      <c r="A1535" s="158"/>
      <c r="B1535" s="112"/>
      <c r="C1535" s="113"/>
      <c r="D1535" s="110" t="s">
        <v>3709</v>
      </c>
      <c r="E1535" s="110" t="s">
        <v>3700</v>
      </c>
      <c r="F1535" s="105" t="s">
        <v>2681</v>
      </c>
      <c r="G1535" s="110" t="s">
        <v>3701</v>
      </c>
      <c r="H1535" s="110" t="s">
        <v>3702</v>
      </c>
      <c r="I1535" s="110" t="s">
        <v>3459</v>
      </c>
      <c r="J1535" s="110" t="s">
        <v>3703</v>
      </c>
      <c r="K1535" s="148" t="s">
        <v>3704</v>
      </c>
    </row>
    <row r="1536" spans="1:11">
      <c r="A1536" s="158"/>
      <c r="B1536" s="112"/>
      <c r="C1536" s="111" t="s">
        <v>2777</v>
      </c>
      <c r="D1536" s="110" t="s">
        <v>2238</v>
      </c>
      <c r="E1536" s="110" t="s">
        <v>3710</v>
      </c>
      <c r="F1536" s="105" t="s">
        <v>2690</v>
      </c>
      <c r="G1536" s="110" t="s">
        <v>3711</v>
      </c>
      <c r="H1536" s="110" t="s">
        <v>2007</v>
      </c>
      <c r="I1536" s="110" t="s">
        <v>3459</v>
      </c>
      <c r="J1536" s="110" t="s">
        <v>3712</v>
      </c>
      <c r="K1536" s="148" t="s">
        <v>3713</v>
      </c>
    </row>
    <row r="1537" spans="1:11">
      <c r="A1537" s="158"/>
      <c r="B1537" s="112"/>
      <c r="C1537" s="112"/>
      <c r="D1537" s="110" t="s">
        <v>3733</v>
      </c>
      <c r="E1537" s="110" t="s">
        <v>3714</v>
      </c>
      <c r="F1537" s="105" t="s">
        <v>2641</v>
      </c>
      <c r="G1537" s="110" t="s">
        <v>3715</v>
      </c>
      <c r="H1537" s="110" t="s">
        <v>3716</v>
      </c>
      <c r="I1537" s="110" t="s">
        <v>3459</v>
      </c>
      <c r="J1537" s="110" t="s">
        <v>3717</v>
      </c>
      <c r="K1537" s="148" t="s">
        <v>3718</v>
      </c>
    </row>
    <row r="1538" spans="1:11">
      <c r="A1538" s="158"/>
      <c r="B1538" s="112"/>
      <c r="C1538" s="112"/>
      <c r="D1538" s="110" t="s">
        <v>3734</v>
      </c>
      <c r="E1538" s="110" t="s">
        <v>3719</v>
      </c>
      <c r="F1538" s="105" t="s">
        <v>2681</v>
      </c>
      <c r="G1538" s="110" t="s">
        <v>3720</v>
      </c>
      <c r="H1538" s="110" t="s">
        <v>3721</v>
      </c>
      <c r="I1538" s="110" t="s">
        <v>3453</v>
      </c>
      <c r="J1538" s="110" t="s">
        <v>3722</v>
      </c>
      <c r="K1538" s="148" t="s">
        <v>3723</v>
      </c>
    </row>
    <row r="1539" spans="1:11">
      <c r="A1539" s="158"/>
      <c r="B1539" s="112"/>
      <c r="C1539" s="112"/>
      <c r="D1539" s="110" t="s">
        <v>3735</v>
      </c>
      <c r="E1539" s="110" t="s">
        <v>3724</v>
      </c>
      <c r="F1539" s="105" t="s">
        <v>2639</v>
      </c>
      <c r="G1539" s="110" t="s">
        <v>3725</v>
      </c>
      <c r="H1539" s="110" t="s">
        <v>2004</v>
      </c>
      <c r="I1539" s="110" t="s">
        <v>3453</v>
      </c>
      <c r="J1539" s="110" t="s">
        <v>3726</v>
      </c>
      <c r="K1539" s="148" t="s">
        <v>3727</v>
      </c>
    </row>
    <row r="1540" spans="1:11">
      <c r="A1540" s="158"/>
      <c r="B1540" s="112"/>
      <c r="C1540" s="113"/>
      <c r="D1540" s="110" t="s">
        <v>3736</v>
      </c>
      <c r="E1540" s="110" t="s">
        <v>3728</v>
      </c>
      <c r="F1540" s="105" t="s">
        <v>2639</v>
      </c>
      <c r="G1540" s="110" t="s">
        <v>3729</v>
      </c>
      <c r="H1540" s="110" t="s">
        <v>3730</v>
      </c>
      <c r="I1540" s="110" t="s">
        <v>3459</v>
      </c>
      <c r="J1540" s="110" t="s">
        <v>3731</v>
      </c>
      <c r="K1540" s="148" t="s">
        <v>3732</v>
      </c>
    </row>
    <row r="1541" spans="1:11">
      <c r="A1541" s="158"/>
      <c r="B1541" s="112"/>
      <c r="C1541" s="111" t="s">
        <v>2778</v>
      </c>
      <c r="D1541" s="110" t="s">
        <v>3761</v>
      </c>
      <c r="E1541" s="110" t="s">
        <v>3737</v>
      </c>
      <c r="F1541" s="105" t="s">
        <v>2640</v>
      </c>
      <c r="G1541" s="110" t="s">
        <v>3738</v>
      </c>
      <c r="H1541" s="110" t="s">
        <v>3739</v>
      </c>
      <c r="I1541" s="110" t="s">
        <v>3453</v>
      </c>
      <c r="J1541" s="110" t="s">
        <v>3740</v>
      </c>
      <c r="K1541" s="148" t="s">
        <v>3741</v>
      </c>
    </row>
    <row r="1542" spans="1:11">
      <c r="A1542" s="158"/>
      <c r="B1542" s="112"/>
      <c r="C1542" s="112"/>
      <c r="D1542" s="110" t="s">
        <v>3762</v>
      </c>
      <c r="E1542" s="110" t="s">
        <v>3742</v>
      </c>
      <c r="F1542" s="105" t="s">
        <v>2639</v>
      </c>
      <c r="G1542" s="110" t="s">
        <v>3743</v>
      </c>
      <c r="H1542" s="110" t="s">
        <v>3744</v>
      </c>
      <c r="I1542" s="110" t="s">
        <v>3453</v>
      </c>
      <c r="J1542" s="110" t="s">
        <v>2306</v>
      </c>
      <c r="K1542" s="148" t="s">
        <v>3745</v>
      </c>
    </row>
    <row r="1543" spans="1:11">
      <c r="A1543" s="158"/>
      <c r="B1543" s="112"/>
      <c r="C1543" s="112"/>
      <c r="D1543" s="110" t="s">
        <v>3763</v>
      </c>
      <c r="E1543" s="110" t="s">
        <v>3746</v>
      </c>
      <c r="F1543" s="105" t="s">
        <v>2639</v>
      </c>
      <c r="G1543" s="110" t="s">
        <v>3747</v>
      </c>
      <c r="H1543" s="110" t="s">
        <v>3748</v>
      </c>
      <c r="I1543" s="110" t="s">
        <v>3459</v>
      </c>
      <c r="J1543" s="110" t="s">
        <v>3749</v>
      </c>
      <c r="K1543" s="148" t="s">
        <v>3750</v>
      </c>
    </row>
    <row r="1544" spans="1:11">
      <c r="A1544" s="158"/>
      <c r="B1544" s="112"/>
      <c r="C1544" s="112"/>
      <c r="D1544" s="110" t="s">
        <v>3764</v>
      </c>
      <c r="E1544" s="110" t="s">
        <v>3751</v>
      </c>
      <c r="F1544" s="105" t="s">
        <v>2639</v>
      </c>
      <c r="G1544" s="110" t="s">
        <v>3752</v>
      </c>
      <c r="H1544" s="110" t="s">
        <v>3753</v>
      </c>
      <c r="I1544" s="110" t="s">
        <v>3453</v>
      </c>
      <c r="J1544" s="110" t="s">
        <v>3754</v>
      </c>
      <c r="K1544" s="148" t="s">
        <v>3755</v>
      </c>
    </row>
    <row r="1545" spans="1:11">
      <c r="A1545" s="158"/>
      <c r="B1545" s="112"/>
      <c r="C1545" s="113"/>
      <c r="D1545" s="110" t="s">
        <v>3765</v>
      </c>
      <c r="E1545" s="110" t="s">
        <v>3756</v>
      </c>
      <c r="F1545" s="105" t="s">
        <v>2639</v>
      </c>
      <c r="G1545" s="110" t="s">
        <v>3757</v>
      </c>
      <c r="H1545" s="110" t="s">
        <v>3758</v>
      </c>
      <c r="I1545" s="110" t="s">
        <v>3459</v>
      </c>
      <c r="J1545" s="110" t="s">
        <v>3759</v>
      </c>
      <c r="K1545" s="148" t="s">
        <v>3760</v>
      </c>
    </row>
    <row r="1546" spans="1:11">
      <c r="A1546" s="158"/>
      <c r="B1546" s="111" t="s">
        <v>2779</v>
      </c>
      <c r="C1546" s="111" t="s">
        <v>2780</v>
      </c>
      <c r="D1546" s="110" t="s">
        <v>3791</v>
      </c>
      <c r="E1546" s="110" t="s">
        <v>3766</v>
      </c>
      <c r="F1546" s="105" t="s">
        <v>2639</v>
      </c>
      <c r="G1546" s="110" t="s">
        <v>3767</v>
      </c>
      <c r="H1546" s="110" t="s">
        <v>3768</v>
      </c>
      <c r="I1546" s="110" t="s">
        <v>3453</v>
      </c>
      <c r="J1546" s="110" t="s">
        <v>3769</v>
      </c>
      <c r="K1546" s="148" t="s">
        <v>3770</v>
      </c>
    </row>
    <row r="1547" spans="1:11">
      <c r="A1547" s="158"/>
      <c r="B1547" s="112"/>
      <c r="C1547" s="112"/>
      <c r="D1547" s="110" t="s">
        <v>3792</v>
      </c>
      <c r="E1547" s="110" t="s">
        <v>3771</v>
      </c>
      <c r="F1547" s="105" t="s">
        <v>2639</v>
      </c>
      <c r="G1547" s="110" t="s">
        <v>3772</v>
      </c>
      <c r="H1547" s="110" t="s">
        <v>3773</v>
      </c>
      <c r="I1547" s="110" t="s">
        <v>3453</v>
      </c>
      <c r="J1547" s="110" t="s">
        <v>3774</v>
      </c>
      <c r="K1547" s="148" t="s">
        <v>3775</v>
      </c>
    </row>
    <row r="1548" spans="1:11">
      <c r="A1548" s="158"/>
      <c r="B1548" s="112"/>
      <c r="C1548" s="112"/>
      <c r="D1548" s="110" t="s">
        <v>3793</v>
      </c>
      <c r="E1548" s="110" t="s">
        <v>3776</v>
      </c>
      <c r="F1548" s="105" t="s">
        <v>2639</v>
      </c>
      <c r="G1548" s="110" t="s">
        <v>3777</v>
      </c>
      <c r="H1548" s="110" t="s">
        <v>3778</v>
      </c>
      <c r="I1548" s="110" t="s">
        <v>3459</v>
      </c>
      <c r="J1548" s="110" t="s">
        <v>3779</v>
      </c>
      <c r="K1548" s="148" t="s">
        <v>3780</v>
      </c>
    </row>
    <row r="1549" spans="1:11">
      <c r="A1549" s="158"/>
      <c r="B1549" s="112"/>
      <c r="C1549" s="112"/>
      <c r="D1549" s="110" t="s">
        <v>3794</v>
      </c>
      <c r="E1549" s="110" t="s">
        <v>3781</v>
      </c>
      <c r="F1549" s="105" t="s">
        <v>2639</v>
      </c>
      <c r="G1549" s="110" t="s">
        <v>3782</v>
      </c>
      <c r="H1549" s="110" t="s">
        <v>3783</v>
      </c>
      <c r="I1549" s="110" t="s">
        <v>3453</v>
      </c>
      <c r="J1549" s="110" t="s">
        <v>3784</v>
      </c>
      <c r="K1549" s="148" t="s">
        <v>3785</v>
      </c>
    </row>
    <row r="1550" spans="1:11">
      <c r="A1550" s="158"/>
      <c r="B1550" s="112"/>
      <c r="C1550" s="113"/>
      <c r="D1550" s="110" t="s">
        <v>3795</v>
      </c>
      <c r="E1550" s="110" t="s">
        <v>3786</v>
      </c>
      <c r="F1550" s="105" t="s">
        <v>2639</v>
      </c>
      <c r="G1550" s="110" t="s">
        <v>3787</v>
      </c>
      <c r="H1550" s="110" t="s">
        <v>3788</v>
      </c>
      <c r="I1550" s="110" t="s">
        <v>3459</v>
      </c>
      <c r="J1550" s="110" t="s">
        <v>3789</v>
      </c>
      <c r="K1550" s="148" t="s">
        <v>3790</v>
      </c>
    </row>
    <row r="1551" spans="1:11">
      <c r="A1551" s="158"/>
      <c r="B1551" s="112"/>
      <c r="C1551" s="111" t="s">
        <v>2781</v>
      </c>
      <c r="D1551" s="110" t="s">
        <v>3820</v>
      </c>
      <c r="E1551" s="110" t="s">
        <v>3796</v>
      </c>
      <c r="F1551" s="105" t="s">
        <v>2639</v>
      </c>
      <c r="G1551" s="110" t="s">
        <v>3797</v>
      </c>
      <c r="H1551" s="110" t="s">
        <v>3798</v>
      </c>
      <c r="I1551" s="110" t="s">
        <v>3459</v>
      </c>
      <c r="J1551" s="110" t="s">
        <v>3799</v>
      </c>
      <c r="K1551" s="148" t="s">
        <v>3800</v>
      </c>
    </row>
    <row r="1552" spans="1:11">
      <c r="A1552" s="158"/>
      <c r="B1552" s="112"/>
      <c r="C1552" s="112"/>
      <c r="D1552" s="110" t="s">
        <v>3821</v>
      </c>
      <c r="E1552" s="110" t="s">
        <v>3801</v>
      </c>
      <c r="F1552" s="105" t="s">
        <v>2639</v>
      </c>
      <c r="G1552" s="110" t="s">
        <v>3802</v>
      </c>
      <c r="H1552" s="110" t="s">
        <v>3803</v>
      </c>
      <c r="I1552" s="110" t="s">
        <v>3581</v>
      </c>
      <c r="J1552" s="110" t="s">
        <v>3804</v>
      </c>
      <c r="K1552" s="148" t="s">
        <v>3805</v>
      </c>
    </row>
    <row r="1553" spans="1:11">
      <c r="A1553" s="158"/>
      <c r="B1553" s="112"/>
      <c r="C1553" s="112"/>
      <c r="D1553" s="110" t="s">
        <v>3822</v>
      </c>
      <c r="E1553" s="110" t="s">
        <v>3806</v>
      </c>
      <c r="F1553" s="105" t="s">
        <v>2639</v>
      </c>
      <c r="G1553" s="110" t="s">
        <v>3807</v>
      </c>
      <c r="H1553" s="110" t="s">
        <v>3808</v>
      </c>
      <c r="I1553" s="110" t="s">
        <v>3459</v>
      </c>
      <c r="J1553" s="110" t="s">
        <v>3809</v>
      </c>
      <c r="K1553" s="148" t="s">
        <v>3810</v>
      </c>
    </row>
    <row r="1554" spans="1:11">
      <c r="A1554" s="158"/>
      <c r="B1554" s="112"/>
      <c r="C1554" s="112"/>
      <c r="D1554" s="110" t="s">
        <v>3823</v>
      </c>
      <c r="E1554" s="110" t="s">
        <v>3811</v>
      </c>
      <c r="F1554" s="105" t="s">
        <v>2639</v>
      </c>
      <c r="G1554" s="110" t="s">
        <v>3812</v>
      </c>
      <c r="H1554" s="110" t="s">
        <v>1987</v>
      </c>
      <c r="I1554" s="110" t="s">
        <v>3453</v>
      </c>
      <c r="J1554" s="110" t="s">
        <v>3813</v>
      </c>
      <c r="K1554" s="148" t="s">
        <v>3814</v>
      </c>
    </row>
    <row r="1555" spans="1:11">
      <c r="A1555" s="158"/>
      <c r="B1555" s="112"/>
      <c r="C1555" s="113"/>
      <c r="D1555" s="110" t="s">
        <v>3824</v>
      </c>
      <c r="E1555" s="110" t="s">
        <v>3815</v>
      </c>
      <c r="F1555" s="105" t="s">
        <v>2639</v>
      </c>
      <c r="G1555" s="110" t="s">
        <v>3816</v>
      </c>
      <c r="H1555" s="110" t="s">
        <v>3817</v>
      </c>
      <c r="I1555" s="110" t="s">
        <v>3459</v>
      </c>
      <c r="J1555" s="110" t="s">
        <v>3818</v>
      </c>
      <c r="K1555" s="148" t="s">
        <v>3819</v>
      </c>
    </row>
    <row r="1556" spans="1:11">
      <c r="A1556" s="158"/>
      <c r="B1556" s="112"/>
      <c r="C1556" s="111" t="s">
        <v>2782</v>
      </c>
      <c r="D1556" s="110" t="s">
        <v>3849</v>
      </c>
      <c r="E1556" s="110" t="s">
        <v>3825</v>
      </c>
      <c r="F1556" s="105" t="s">
        <v>2639</v>
      </c>
      <c r="G1556" s="110" t="s">
        <v>3826</v>
      </c>
      <c r="H1556" s="110" t="s">
        <v>3827</v>
      </c>
      <c r="I1556" s="110" t="s">
        <v>3459</v>
      </c>
      <c r="J1556" s="110" t="s">
        <v>3828</v>
      </c>
      <c r="K1556" s="148" t="s">
        <v>3829</v>
      </c>
    </row>
    <row r="1557" spans="1:11">
      <c r="A1557" s="158"/>
      <c r="B1557" s="112"/>
      <c r="C1557" s="112"/>
      <c r="D1557" s="110" t="s">
        <v>3850</v>
      </c>
      <c r="E1557" s="110" t="s">
        <v>3830</v>
      </c>
      <c r="F1557" s="105" t="s">
        <v>2639</v>
      </c>
      <c r="G1557" s="110" t="s">
        <v>3831</v>
      </c>
      <c r="H1557" s="110" t="s">
        <v>3832</v>
      </c>
      <c r="I1557" s="110" t="s">
        <v>3459</v>
      </c>
      <c r="J1557" s="110" t="s">
        <v>3833</v>
      </c>
      <c r="K1557" s="148" t="s">
        <v>3834</v>
      </c>
    </row>
    <row r="1558" spans="1:11">
      <c r="A1558" s="158"/>
      <c r="B1558" s="112"/>
      <c r="C1558" s="112"/>
      <c r="D1558" s="110" t="s">
        <v>3851</v>
      </c>
      <c r="E1558" s="110" t="s">
        <v>3835</v>
      </c>
      <c r="F1558" s="105" t="s">
        <v>2639</v>
      </c>
      <c r="G1558" s="110" t="s">
        <v>3836</v>
      </c>
      <c r="H1558" s="110" t="s">
        <v>3837</v>
      </c>
      <c r="I1558" s="110" t="s">
        <v>3459</v>
      </c>
      <c r="J1558" s="110" t="s">
        <v>3838</v>
      </c>
      <c r="K1558" s="148" t="s">
        <v>3839</v>
      </c>
    </row>
    <row r="1559" spans="1:11">
      <c r="A1559" s="158"/>
      <c r="B1559" s="112"/>
      <c r="C1559" s="112"/>
      <c r="D1559" s="110" t="s">
        <v>3852</v>
      </c>
      <c r="E1559" s="110" t="s">
        <v>3840</v>
      </c>
      <c r="F1559" s="105" t="s">
        <v>2639</v>
      </c>
      <c r="G1559" s="110" t="s">
        <v>3807</v>
      </c>
      <c r="H1559" s="110" t="s">
        <v>3841</v>
      </c>
      <c r="I1559" s="110" t="s">
        <v>3453</v>
      </c>
      <c r="J1559" s="110" t="s">
        <v>3842</v>
      </c>
      <c r="K1559" s="148" t="s">
        <v>3843</v>
      </c>
    </row>
    <row r="1560" spans="1:11">
      <c r="A1560" s="158"/>
      <c r="B1560" s="112"/>
      <c r="C1560" s="113"/>
      <c r="D1560" s="110" t="s">
        <v>3853</v>
      </c>
      <c r="E1560" s="110" t="s">
        <v>3844</v>
      </c>
      <c r="F1560" s="105" t="s">
        <v>2639</v>
      </c>
      <c r="G1560" s="110" t="s">
        <v>3845</v>
      </c>
      <c r="H1560" s="110" t="s">
        <v>3846</v>
      </c>
      <c r="I1560" s="110" t="s">
        <v>3459</v>
      </c>
      <c r="J1560" s="110" t="s">
        <v>3847</v>
      </c>
      <c r="K1560" s="148" t="s">
        <v>3848</v>
      </c>
    </row>
    <row r="1561" spans="1:11">
      <c r="A1561" s="158"/>
      <c r="B1561" s="112"/>
      <c r="C1561" s="111" t="s">
        <v>2783</v>
      </c>
      <c r="D1561" s="110" t="s">
        <v>3877</v>
      </c>
      <c r="E1561" s="110" t="s">
        <v>3854</v>
      </c>
      <c r="F1561" s="105" t="s">
        <v>2639</v>
      </c>
      <c r="G1561" s="110" t="s">
        <v>3855</v>
      </c>
      <c r="H1561" s="110" t="s">
        <v>3856</v>
      </c>
      <c r="I1561" s="110" t="s">
        <v>3453</v>
      </c>
      <c r="J1561" s="110" t="s">
        <v>3857</v>
      </c>
      <c r="K1561" s="148" t="s">
        <v>3858</v>
      </c>
    </row>
    <row r="1562" spans="1:11">
      <c r="A1562" s="158"/>
      <c r="B1562" s="112"/>
      <c r="C1562" s="112"/>
      <c r="D1562" s="110" t="s">
        <v>3878</v>
      </c>
      <c r="E1562" s="110" t="s">
        <v>3859</v>
      </c>
      <c r="F1562" s="105" t="s">
        <v>2639</v>
      </c>
      <c r="G1562" s="110" t="s">
        <v>3860</v>
      </c>
      <c r="H1562" s="110" t="s">
        <v>2911</v>
      </c>
      <c r="I1562" s="110" t="s">
        <v>3453</v>
      </c>
      <c r="J1562" s="110" t="s">
        <v>3861</v>
      </c>
      <c r="K1562" s="148" t="s">
        <v>3360</v>
      </c>
    </row>
    <row r="1563" spans="1:11">
      <c r="A1563" s="158"/>
      <c r="B1563" s="112"/>
      <c r="C1563" s="112"/>
      <c r="D1563" s="110" t="s">
        <v>3879</v>
      </c>
      <c r="E1563" s="110" t="s">
        <v>3862</v>
      </c>
      <c r="F1563" s="105" t="s">
        <v>2639</v>
      </c>
      <c r="G1563" s="110" t="s">
        <v>3863</v>
      </c>
      <c r="H1563" s="110" t="s">
        <v>3864</v>
      </c>
      <c r="I1563" s="110" t="s">
        <v>3459</v>
      </c>
      <c r="J1563" s="110" t="s">
        <v>3865</v>
      </c>
      <c r="K1563" s="148" t="s">
        <v>3866</v>
      </c>
    </row>
    <row r="1564" spans="1:11">
      <c r="A1564" s="158"/>
      <c r="B1564" s="112"/>
      <c r="C1564" s="112"/>
      <c r="D1564" s="110" t="s">
        <v>3880</v>
      </c>
      <c r="E1564" s="110" t="s">
        <v>3867</v>
      </c>
      <c r="F1564" s="105" t="s">
        <v>2640</v>
      </c>
      <c r="G1564" s="110" t="s">
        <v>3868</v>
      </c>
      <c r="H1564" s="110" t="s">
        <v>3869</v>
      </c>
      <c r="I1564" s="110" t="s">
        <v>3459</v>
      </c>
      <c r="J1564" s="110" t="s">
        <v>3870</v>
      </c>
      <c r="K1564" s="148" t="s">
        <v>3871</v>
      </c>
    </row>
    <row r="1565" spans="1:11">
      <c r="A1565" s="158"/>
      <c r="B1565" s="112"/>
      <c r="C1565" s="113"/>
      <c r="D1565" s="110" t="s">
        <v>3881</v>
      </c>
      <c r="E1565" s="110" t="s">
        <v>3872</v>
      </c>
      <c r="F1565" s="105" t="s">
        <v>2639</v>
      </c>
      <c r="G1565" s="110" t="s">
        <v>3873</v>
      </c>
      <c r="H1565" s="110" t="s">
        <v>3874</v>
      </c>
      <c r="I1565" s="110" t="s">
        <v>3581</v>
      </c>
      <c r="J1565" s="110" t="s">
        <v>3875</v>
      </c>
      <c r="K1565" s="148" t="s">
        <v>3876</v>
      </c>
    </row>
    <row r="1566" spans="1:11">
      <c r="A1566" s="158"/>
      <c r="B1566" s="112"/>
      <c r="C1566" s="111" t="s">
        <v>2784</v>
      </c>
      <c r="D1566" s="110" t="s">
        <v>3905</v>
      </c>
      <c r="E1566" s="110" t="s">
        <v>3882</v>
      </c>
      <c r="F1566" s="105" t="s">
        <v>2639</v>
      </c>
      <c r="G1566" s="110" t="s">
        <v>3883</v>
      </c>
      <c r="H1566" s="110" t="s">
        <v>3884</v>
      </c>
      <c r="I1566" s="110" t="s">
        <v>3453</v>
      </c>
      <c r="J1566" s="110" t="s">
        <v>2362</v>
      </c>
      <c r="K1566" s="148" t="s">
        <v>3885</v>
      </c>
    </row>
    <row r="1567" spans="1:11">
      <c r="A1567" s="158"/>
      <c r="B1567" s="112"/>
      <c r="C1567" s="112"/>
      <c r="D1567" s="110" t="s">
        <v>3906</v>
      </c>
      <c r="E1567" s="110" t="s">
        <v>3886</v>
      </c>
      <c r="F1567" s="105" t="s">
        <v>2639</v>
      </c>
      <c r="G1567" s="110" t="s">
        <v>3887</v>
      </c>
      <c r="H1567" s="110" t="s">
        <v>3888</v>
      </c>
      <c r="I1567" s="110" t="s">
        <v>3453</v>
      </c>
      <c r="J1567" s="110" t="s">
        <v>3889</v>
      </c>
      <c r="K1567" s="148" t="s">
        <v>3890</v>
      </c>
    </row>
    <row r="1568" spans="1:11">
      <c r="A1568" s="158"/>
      <c r="B1568" s="112"/>
      <c r="C1568" s="112"/>
      <c r="D1568" s="110" t="s">
        <v>3907</v>
      </c>
      <c r="E1568" s="110" t="s">
        <v>3891</v>
      </c>
      <c r="F1568" s="105" t="s">
        <v>2641</v>
      </c>
      <c r="G1568" s="110" t="s">
        <v>3892</v>
      </c>
      <c r="H1568" s="110" t="s">
        <v>3893</v>
      </c>
      <c r="I1568" s="110" t="s">
        <v>3459</v>
      </c>
      <c r="J1568" s="110" t="s">
        <v>3894</v>
      </c>
      <c r="K1568" s="148" t="s">
        <v>3895</v>
      </c>
    </row>
    <row r="1569" spans="1:11">
      <c r="A1569" s="158"/>
      <c r="B1569" s="112"/>
      <c r="C1569" s="112"/>
      <c r="D1569" s="110" t="s">
        <v>3908</v>
      </c>
      <c r="E1569" s="110" t="s">
        <v>3896</v>
      </c>
      <c r="F1569" s="105" t="s">
        <v>2639</v>
      </c>
      <c r="G1569" s="110" t="s">
        <v>3897</v>
      </c>
      <c r="H1569" s="110" t="s">
        <v>3898</v>
      </c>
      <c r="I1569" s="110" t="s">
        <v>3453</v>
      </c>
      <c r="J1569" s="110" t="s">
        <v>3899</v>
      </c>
      <c r="K1569" s="148" t="s">
        <v>3900</v>
      </c>
    </row>
    <row r="1570" spans="1:11">
      <c r="A1570" s="158"/>
      <c r="B1570" s="112"/>
      <c r="C1570" s="113"/>
      <c r="D1570" s="110" t="s">
        <v>3909</v>
      </c>
      <c r="E1570" s="110" t="s">
        <v>3901</v>
      </c>
      <c r="F1570" s="105" t="s">
        <v>2639</v>
      </c>
      <c r="G1570" s="110" t="s">
        <v>3902</v>
      </c>
      <c r="H1570" s="110" t="s">
        <v>3673</v>
      </c>
      <c r="I1570" s="110" t="s">
        <v>3459</v>
      </c>
      <c r="J1570" s="110" t="s">
        <v>3903</v>
      </c>
      <c r="K1570" s="148" t="s">
        <v>3904</v>
      </c>
    </row>
    <row r="1571" spans="1:11">
      <c r="A1571" s="158"/>
      <c r="B1571" s="112"/>
      <c r="C1571" s="111" t="s">
        <v>2785</v>
      </c>
      <c r="D1571" s="110" t="s">
        <v>3933</v>
      </c>
      <c r="E1571" s="110" t="s">
        <v>3910</v>
      </c>
      <c r="F1571" s="105" t="s">
        <v>2639</v>
      </c>
      <c r="G1571" s="110" t="s">
        <v>3911</v>
      </c>
      <c r="H1571" s="110" t="s">
        <v>3912</v>
      </c>
      <c r="I1571" s="110" t="s">
        <v>3453</v>
      </c>
      <c r="J1571" s="110" t="s">
        <v>3913</v>
      </c>
      <c r="K1571" s="148" t="s">
        <v>3914</v>
      </c>
    </row>
    <row r="1572" spans="1:11">
      <c r="A1572" s="158"/>
      <c r="B1572" s="112"/>
      <c r="C1572" s="112"/>
      <c r="D1572" s="110" t="s">
        <v>3934</v>
      </c>
      <c r="E1572" s="110" t="s">
        <v>3915</v>
      </c>
      <c r="F1572" s="105" t="s">
        <v>2639</v>
      </c>
      <c r="G1572" s="110" t="s">
        <v>3887</v>
      </c>
      <c r="H1572" s="110" t="s">
        <v>3916</v>
      </c>
      <c r="I1572" s="110" t="s">
        <v>3453</v>
      </c>
      <c r="J1572" s="110" t="s">
        <v>3917</v>
      </c>
      <c r="K1572" s="148" t="s">
        <v>3918</v>
      </c>
    </row>
    <row r="1573" spans="1:11">
      <c r="A1573" s="158"/>
      <c r="B1573" s="112"/>
      <c r="C1573" s="112"/>
      <c r="D1573" s="110" t="s">
        <v>3935</v>
      </c>
      <c r="E1573" s="110" t="s">
        <v>3919</v>
      </c>
      <c r="F1573" s="105" t="s">
        <v>2639</v>
      </c>
      <c r="G1573" s="110" t="s">
        <v>3920</v>
      </c>
      <c r="H1573" s="110" t="s">
        <v>3921</v>
      </c>
      <c r="I1573" s="110" t="s">
        <v>3459</v>
      </c>
      <c r="J1573" s="110" t="s">
        <v>3922</v>
      </c>
      <c r="K1573" s="148" t="s">
        <v>3923</v>
      </c>
    </row>
    <row r="1574" spans="1:11">
      <c r="A1574" s="158"/>
      <c r="B1574" s="112"/>
      <c r="C1574" s="112"/>
      <c r="D1574" s="110" t="s">
        <v>3936</v>
      </c>
      <c r="E1574" s="110" t="s">
        <v>3924</v>
      </c>
      <c r="F1574" s="105" t="s">
        <v>2639</v>
      </c>
      <c r="G1574" s="110" t="s">
        <v>3925</v>
      </c>
      <c r="H1574" s="110" t="s">
        <v>3926</v>
      </c>
      <c r="I1574" s="110" t="s">
        <v>3453</v>
      </c>
      <c r="J1574" s="110" t="s">
        <v>3927</v>
      </c>
      <c r="K1574" s="148" t="s">
        <v>3928</v>
      </c>
    </row>
    <row r="1575" spans="1:11">
      <c r="A1575" s="158"/>
      <c r="B1575" s="112"/>
      <c r="C1575" s="113"/>
      <c r="D1575" s="110" t="s">
        <v>3937</v>
      </c>
      <c r="E1575" s="110" t="s">
        <v>3929</v>
      </c>
      <c r="F1575" s="105" t="s">
        <v>2640</v>
      </c>
      <c r="G1575" s="110" t="s">
        <v>3930</v>
      </c>
      <c r="H1575" s="110" t="s">
        <v>3673</v>
      </c>
      <c r="I1575" s="110" t="s">
        <v>3459</v>
      </c>
      <c r="J1575" s="110" t="s">
        <v>3931</v>
      </c>
      <c r="K1575" s="148" t="s">
        <v>3932</v>
      </c>
    </row>
    <row r="1576" spans="1:11">
      <c r="A1576" s="158"/>
      <c r="B1576" s="112"/>
      <c r="C1576" s="111" t="s">
        <v>2786</v>
      </c>
      <c r="D1576" s="110" t="s">
        <v>3963</v>
      </c>
      <c r="E1576" s="110" t="s">
        <v>3938</v>
      </c>
      <c r="F1576" s="105" t="s">
        <v>2639</v>
      </c>
      <c r="G1576" s="110" t="s">
        <v>3939</v>
      </c>
      <c r="H1576" s="110" t="s">
        <v>3940</v>
      </c>
      <c r="I1576" s="110" t="s">
        <v>3453</v>
      </c>
      <c r="J1576" s="110" t="s">
        <v>3941</v>
      </c>
      <c r="K1576" s="148" t="s">
        <v>3942</v>
      </c>
    </row>
    <row r="1577" spans="1:11">
      <c r="A1577" s="158"/>
      <c r="B1577" s="112"/>
      <c r="C1577" s="112"/>
      <c r="D1577" s="110" t="s">
        <v>3964</v>
      </c>
      <c r="E1577" s="110" t="s">
        <v>3943</v>
      </c>
      <c r="F1577" s="105" t="s">
        <v>2639</v>
      </c>
      <c r="G1577" s="110" t="s">
        <v>3944</v>
      </c>
      <c r="H1577" s="110" t="s">
        <v>3945</v>
      </c>
      <c r="I1577" s="110" t="s">
        <v>3453</v>
      </c>
      <c r="J1577" s="110" t="s">
        <v>3946</v>
      </c>
      <c r="K1577" s="148" t="s">
        <v>3947</v>
      </c>
    </row>
    <row r="1578" spans="1:11">
      <c r="A1578" s="158"/>
      <c r="B1578" s="112"/>
      <c r="C1578" s="112"/>
      <c r="D1578" s="110" t="s">
        <v>3965</v>
      </c>
      <c r="E1578" s="110" t="s">
        <v>3948</v>
      </c>
      <c r="F1578" s="105" t="s">
        <v>2639</v>
      </c>
      <c r="G1578" s="110" t="s">
        <v>3949</v>
      </c>
      <c r="H1578" s="110" t="s">
        <v>3950</v>
      </c>
      <c r="I1578" s="110" t="s">
        <v>3459</v>
      </c>
      <c r="J1578" s="110" t="s">
        <v>3951</v>
      </c>
      <c r="K1578" s="148" t="s">
        <v>3952</v>
      </c>
    </row>
    <row r="1579" spans="1:11">
      <c r="A1579" s="158"/>
      <c r="B1579" s="112"/>
      <c r="C1579" s="112"/>
      <c r="D1579" s="110" t="s">
        <v>3966</v>
      </c>
      <c r="E1579" s="110" t="s">
        <v>3953</v>
      </c>
      <c r="F1579" s="105" t="s">
        <v>2639</v>
      </c>
      <c r="G1579" s="110" t="s">
        <v>3954</v>
      </c>
      <c r="H1579" s="110" t="s">
        <v>3955</v>
      </c>
      <c r="I1579" s="110" t="s">
        <v>3453</v>
      </c>
      <c r="J1579" s="110" t="s">
        <v>3956</v>
      </c>
      <c r="K1579" s="148" t="s">
        <v>3957</v>
      </c>
    </row>
    <row r="1580" spans="1:11">
      <c r="A1580" s="158"/>
      <c r="B1580" s="112"/>
      <c r="C1580" s="113"/>
      <c r="D1580" s="110" t="s">
        <v>3967</v>
      </c>
      <c r="E1580" s="110" t="s">
        <v>3958</v>
      </c>
      <c r="F1580" s="105" t="s">
        <v>2639</v>
      </c>
      <c r="G1580" s="110" t="s">
        <v>3959</v>
      </c>
      <c r="H1580" s="110" t="s">
        <v>3960</v>
      </c>
      <c r="I1580" s="110" t="s">
        <v>3459</v>
      </c>
      <c r="J1580" s="110" t="s">
        <v>3961</v>
      </c>
      <c r="K1580" s="148" t="s">
        <v>3962</v>
      </c>
    </row>
    <row r="1581" spans="1:11">
      <c r="A1581" s="158"/>
      <c r="B1581" s="112"/>
      <c r="C1581" s="111" t="s">
        <v>2787</v>
      </c>
      <c r="D1581" s="110" t="s">
        <v>3993</v>
      </c>
      <c r="E1581" s="110" t="s">
        <v>3968</v>
      </c>
      <c r="F1581" s="105" t="s">
        <v>2639</v>
      </c>
      <c r="G1581" s="110" t="s">
        <v>3969</v>
      </c>
      <c r="H1581" s="110" t="s">
        <v>3970</v>
      </c>
      <c r="I1581" s="110" t="s">
        <v>3453</v>
      </c>
      <c r="J1581" s="110" t="s">
        <v>3971</v>
      </c>
      <c r="K1581" s="148" t="s">
        <v>3972</v>
      </c>
    </row>
    <row r="1582" spans="1:11">
      <c r="A1582" s="158"/>
      <c r="B1582" s="112"/>
      <c r="C1582" s="112"/>
      <c r="D1582" s="110" t="s">
        <v>3994</v>
      </c>
      <c r="E1582" s="110" t="s">
        <v>3973</v>
      </c>
      <c r="F1582" s="105" t="s">
        <v>2639</v>
      </c>
      <c r="G1582" s="110" t="s">
        <v>3974</v>
      </c>
      <c r="H1582" s="110" t="s">
        <v>3975</v>
      </c>
      <c r="I1582" s="110" t="s">
        <v>3453</v>
      </c>
      <c r="J1582" s="110" t="s">
        <v>3976</v>
      </c>
      <c r="K1582" s="148" t="s">
        <v>3977</v>
      </c>
    </row>
    <row r="1583" spans="1:11">
      <c r="A1583" s="158"/>
      <c r="B1583" s="112"/>
      <c r="C1583" s="112"/>
      <c r="D1583" s="110" t="s">
        <v>3995</v>
      </c>
      <c r="E1583" s="110" t="s">
        <v>3978</v>
      </c>
      <c r="F1583" s="105" t="s">
        <v>2639</v>
      </c>
      <c r="G1583" s="110" t="s">
        <v>3979</v>
      </c>
      <c r="H1583" s="110" t="s">
        <v>3980</v>
      </c>
      <c r="I1583" s="110" t="s">
        <v>3459</v>
      </c>
      <c r="J1583" s="110" t="s">
        <v>3981</v>
      </c>
      <c r="K1583" s="148" t="s">
        <v>3982</v>
      </c>
    </row>
    <row r="1584" spans="1:11">
      <c r="A1584" s="158"/>
      <c r="B1584" s="112"/>
      <c r="C1584" s="112"/>
      <c r="D1584" s="110" t="s">
        <v>3996</v>
      </c>
      <c r="E1584" s="110" t="s">
        <v>3983</v>
      </c>
      <c r="F1584" s="105" t="s">
        <v>2639</v>
      </c>
      <c r="G1584" s="110" t="s">
        <v>3984</v>
      </c>
      <c r="H1584" s="110" t="s">
        <v>3985</v>
      </c>
      <c r="I1584" s="110" t="s">
        <v>3453</v>
      </c>
      <c r="J1584" s="110" t="s">
        <v>3986</v>
      </c>
      <c r="K1584" s="148" t="s">
        <v>3987</v>
      </c>
    </row>
    <row r="1585" spans="1:11">
      <c r="A1585" s="158"/>
      <c r="B1585" s="113"/>
      <c r="C1585" s="113"/>
      <c r="D1585" s="110" t="s">
        <v>3997</v>
      </c>
      <c r="E1585" s="110" t="s">
        <v>3988</v>
      </c>
      <c r="F1585" s="105" t="s">
        <v>2639</v>
      </c>
      <c r="G1585" s="110" t="s">
        <v>3989</v>
      </c>
      <c r="H1585" s="110" t="s">
        <v>3990</v>
      </c>
      <c r="I1585" s="110" t="s">
        <v>3459</v>
      </c>
      <c r="J1585" s="110" t="s">
        <v>3991</v>
      </c>
      <c r="K1585" s="148" t="s">
        <v>3992</v>
      </c>
    </row>
    <row r="1586" spans="1:11">
      <c r="A1586" s="158"/>
      <c r="B1586" s="111" t="s">
        <v>2788</v>
      </c>
      <c r="C1586" s="111" t="s">
        <v>2789</v>
      </c>
      <c r="D1586" s="110" t="s">
        <v>4242</v>
      </c>
      <c r="E1586" s="110" t="s">
        <v>3998</v>
      </c>
      <c r="F1586" s="105" t="s">
        <v>2640</v>
      </c>
      <c r="G1586" s="110" t="s">
        <v>3999</v>
      </c>
      <c r="H1586" s="110" t="s">
        <v>4000</v>
      </c>
      <c r="I1586" s="110" t="s">
        <v>3453</v>
      </c>
      <c r="J1586" s="110" t="s">
        <v>4001</v>
      </c>
      <c r="K1586" s="148" t="s">
        <v>4002</v>
      </c>
    </row>
    <row r="1587" spans="1:11">
      <c r="A1587" s="158"/>
      <c r="B1587" s="112"/>
      <c r="C1587" s="112"/>
      <c r="D1587" s="110" t="s">
        <v>4243</v>
      </c>
      <c r="E1587" s="110" t="s">
        <v>4003</v>
      </c>
      <c r="F1587" s="105" t="s">
        <v>2640</v>
      </c>
      <c r="G1587" s="110" t="s">
        <v>4004</v>
      </c>
      <c r="H1587" s="110" t="s">
        <v>4005</v>
      </c>
      <c r="I1587" s="110" t="s">
        <v>3459</v>
      </c>
      <c r="J1587" s="110" t="s">
        <v>4006</v>
      </c>
      <c r="K1587" s="148" t="s">
        <v>4007</v>
      </c>
    </row>
    <row r="1588" spans="1:11">
      <c r="A1588" s="158"/>
      <c r="B1588" s="112"/>
      <c r="C1588" s="112"/>
      <c r="D1588" s="110" t="s">
        <v>4244</v>
      </c>
      <c r="E1588" s="110" t="s">
        <v>4008</v>
      </c>
      <c r="F1588" s="105" t="s">
        <v>2640</v>
      </c>
      <c r="G1588" s="110" t="s">
        <v>4009</v>
      </c>
      <c r="H1588" s="110" t="s">
        <v>4010</v>
      </c>
      <c r="I1588" s="110" t="s">
        <v>3459</v>
      </c>
      <c r="J1588" s="110" t="s">
        <v>4011</v>
      </c>
      <c r="K1588" s="148" t="s">
        <v>4012</v>
      </c>
    </row>
    <row r="1589" spans="1:11">
      <c r="A1589" s="158"/>
      <c r="B1589" s="112"/>
      <c r="C1589" s="112"/>
      <c r="D1589" s="110" t="s">
        <v>4245</v>
      </c>
      <c r="E1589" s="110" t="s">
        <v>4013</v>
      </c>
      <c r="F1589" s="105" t="s">
        <v>2640</v>
      </c>
      <c r="G1589" s="110" t="s">
        <v>4014</v>
      </c>
      <c r="H1589" s="110" t="s">
        <v>4015</v>
      </c>
      <c r="I1589" s="110" t="s">
        <v>3459</v>
      </c>
      <c r="J1589" s="110" t="s">
        <v>4016</v>
      </c>
      <c r="K1589" s="148" t="s">
        <v>4017</v>
      </c>
    </row>
    <row r="1590" spans="1:11">
      <c r="A1590" s="158"/>
      <c r="B1590" s="112"/>
      <c r="C1590" s="113"/>
      <c r="D1590" s="110" t="s">
        <v>4246</v>
      </c>
      <c r="E1590" s="110" t="s">
        <v>4018</v>
      </c>
      <c r="F1590" s="105" t="s">
        <v>2639</v>
      </c>
      <c r="G1590" s="110" t="s">
        <v>4019</v>
      </c>
      <c r="H1590" s="110" t="s">
        <v>4020</v>
      </c>
      <c r="I1590" s="110" t="s">
        <v>3453</v>
      </c>
      <c r="J1590" s="110" t="s">
        <v>4021</v>
      </c>
      <c r="K1590" s="148" t="s">
        <v>4022</v>
      </c>
    </row>
    <row r="1591" spans="1:11">
      <c r="A1591" s="158"/>
      <c r="B1591" s="112"/>
      <c r="C1591" s="111" t="s">
        <v>2790</v>
      </c>
      <c r="D1591" s="110" t="s">
        <v>4247</v>
      </c>
      <c r="E1591" s="110" t="s">
        <v>4023</v>
      </c>
      <c r="F1591" s="105" t="s">
        <v>2639</v>
      </c>
      <c r="G1591" s="110" t="s">
        <v>4024</v>
      </c>
      <c r="H1591" s="110" t="s">
        <v>4025</v>
      </c>
      <c r="I1591" s="110" t="s">
        <v>3453</v>
      </c>
      <c r="J1591" s="110" t="s">
        <v>4005</v>
      </c>
      <c r="K1591" s="148" t="s">
        <v>4026</v>
      </c>
    </row>
    <row r="1592" spans="1:11">
      <c r="A1592" s="158"/>
      <c r="B1592" s="112"/>
      <c r="C1592" s="112"/>
      <c r="D1592" s="110" t="s">
        <v>4248</v>
      </c>
      <c r="E1592" s="110" t="s">
        <v>4027</v>
      </c>
      <c r="F1592" s="105" t="s">
        <v>2639</v>
      </c>
      <c r="G1592" s="110" t="s">
        <v>4028</v>
      </c>
      <c r="H1592" s="110" t="s">
        <v>4029</v>
      </c>
      <c r="I1592" s="110" t="s">
        <v>3453</v>
      </c>
      <c r="J1592" s="110" t="s">
        <v>4030</v>
      </c>
      <c r="K1592" s="148" t="s">
        <v>4031</v>
      </c>
    </row>
    <row r="1593" spans="1:11">
      <c r="A1593" s="158"/>
      <c r="B1593" s="112"/>
      <c r="C1593" s="112"/>
      <c r="D1593" s="110" t="s">
        <v>4249</v>
      </c>
      <c r="E1593" s="110" t="s">
        <v>4032</v>
      </c>
      <c r="F1593" s="105" t="s">
        <v>2639</v>
      </c>
      <c r="G1593" s="110" t="s">
        <v>4033</v>
      </c>
      <c r="H1593" s="110" t="s">
        <v>4034</v>
      </c>
      <c r="I1593" s="110" t="s">
        <v>3459</v>
      </c>
      <c r="J1593" s="110" t="s">
        <v>4035</v>
      </c>
      <c r="K1593" s="148" t="s">
        <v>4036</v>
      </c>
    </row>
    <row r="1594" spans="1:11">
      <c r="A1594" s="158"/>
      <c r="B1594" s="112"/>
      <c r="C1594" s="112"/>
      <c r="D1594" s="110" t="s">
        <v>3821</v>
      </c>
      <c r="E1594" s="110" t="s">
        <v>4037</v>
      </c>
      <c r="F1594" s="105" t="s">
        <v>2639</v>
      </c>
      <c r="G1594" s="110" t="s">
        <v>4038</v>
      </c>
      <c r="H1594" s="110" t="s">
        <v>3798</v>
      </c>
      <c r="I1594" s="110" t="s">
        <v>3459</v>
      </c>
      <c r="J1594" s="110" t="s">
        <v>4039</v>
      </c>
      <c r="K1594" s="148" t="s">
        <v>4040</v>
      </c>
    </row>
    <row r="1595" spans="1:11">
      <c r="A1595" s="158"/>
      <c r="B1595" s="112"/>
      <c r="C1595" s="113"/>
      <c r="D1595" s="110" t="s">
        <v>4250</v>
      </c>
      <c r="E1595" s="110" t="s">
        <v>4041</v>
      </c>
      <c r="F1595" s="105" t="str">
        <f>F1594</f>
        <v>OUI</v>
      </c>
      <c r="G1595" s="110" t="s">
        <v>4042</v>
      </c>
      <c r="H1595" s="110" t="s">
        <v>4043</v>
      </c>
      <c r="I1595" s="110" t="s">
        <v>3453</v>
      </c>
      <c r="J1595" s="110" t="s">
        <v>4044</v>
      </c>
      <c r="K1595" s="148" t="s">
        <v>4045</v>
      </c>
    </row>
    <row r="1596" spans="1:11">
      <c r="A1596" s="158"/>
      <c r="B1596" s="112"/>
      <c r="C1596" s="111" t="s">
        <v>2791</v>
      </c>
      <c r="D1596" s="110" t="s">
        <v>4251</v>
      </c>
      <c r="E1596" s="110" t="s">
        <v>4046</v>
      </c>
      <c r="F1596" s="105" t="s">
        <v>2639</v>
      </c>
      <c r="G1596" s="110" t="s">
        <v>4047</v>
      </c>
      <c r="H1596" s="110" t="s">
        <v>4048</v>
      </c>
      <c r="I1596" s="110" t="s">
        <v>3453</v>
      </c>
      <c r="J1596" s="110" t="s">
        <v>3884</v>
      </c>
      <c r="K1596" s="148" t="s">
        <v>4049</v>
      </c>
    </row>
    <row r="1597" spans="1:11">
      <c r="A1597" s="158"/>
      <c r="B1597" s="112"/>
      <c r="C1597" s="112"/>
      <c r="D1597" s="110" t="s">
        <v>4252</v>
      </c>
      <c r="E1597" s="110" t="s">
        <v>4050</v>
      </c>
      <c r="F1597" s="105" t="s">
        <v>2639</v>
      </c>
      <c r="G1597" s="110" t="s">
        <v>4051</v>
      </c>
      <c r="H1597" s="110" t="s">
        <v>4052</v>
      </c>
      <c r="I1597" s="110" t="s">
        <v>3453</v>
      </c>
      <c r="J1597" s="110" t="s">
        <v>4053</v>
      </c>
      <c r="K1597" s="148" t="s">
        <v>4054</v>
      </c>
    </row>
    <row r="1598" spans="1:11">
      <c r="A1598" s="158"/>
      <c r="B1598" s="112"/>
      <c r="C1598" s="112"/>
      <c r="D1598" s="110" t="s">
        <v>4253</v>
      </c>
      <c r="E1598" s="110" t="s">
        <v>4055</v>
      </c>
      <c r="F1598" s="105" t="s">
        <v>2639</v>
      </c>
      <c r="G1598" s="110" t="s">
        <v>4056</v>
      </c>
      <c r="H1598" s="110" t="s">
        <v>2089</v>
      </c>
      <c r="I1598" s="110" t="s">
        <v>3459</v>
      </c>
      <c r="J1598" s="110" t="s">
        <v>4057</v>
      </c>
      <c r="K1598" s="148" t="s">
        <v>4058</v>
      </c>
    </row>
    <row r="1599" spans="1:11">
      <c r="A1599" s="158"/>
      <c r="B1599" s="112"/>
      <c r="C1599" s="112"/>
      <c r="D1599" s="110" t="s">
        <v>4254</v>
      </c>
      <c r="E1599" s="110" t="s">
        <v>4059</v>
      </c>
      <c r="F1599" s="105" t="s">
        <v>2639</v>
      </c>
      <c r="G1599" s="110" t="s">
        <v>4060</v>
      </c>
      <c r="H1599" s="110" t="s">
        <v>4061</v>
      </c>
      <c r="I1599" s="110" t="s">
        <v>3459</v>
      </c>
      <c r="J1599" s="110" t="s">
        <v>4062</v>
      </c>
      <c r="K1599" s="148" t="s">
        <v>4063</v>
      </c>
    </row>
    <row r="1600" spans="1:11">
      <c r="A1600" s="158"/>
      <c r="B1600" s="112"/>
      <c r="C1600" s="113"/>
      <c r="D1600" s="110" t="s">
        <v>4255</v>
      </c>
      <c r="E1600" s="110" t="s">
        <v>4064</v>
      </c>
      <c r="F1600" s="105" t="s">
        <v>2640</v>
      </c>
      <c r="G1600" s="110" t="s">
        <v>4065</v>
      </c>
      <c r="H1600" s="110" t="s">
        <v>4066</v>
      </c>
      <c r="I1600" s="110" t="s">
        <v>3453</v>
      </c>
      <c r="J1600" s="110" t="s">
        <v>4067</v>
      </c>
      <c r="K1600" s="148" t="s">
        <v>4068</v>
      </c>
    </row>
    <row r="1601" spans="1:11">
      <c r="A1601" s="158"/>
      <c r="B1601" s="112"/>
      <c r="C1601" s="111" t="s">
        <v>2792</v>
      </c>
      <c r="D1601" s="110" t="s">
        <v>4256</v>
      </c>
      <c r="E1601" s="110" t="s">
        <v>4069</v>
      </c>
      <c r="F1601" s="105" t="s">
        <v>2639</v>
      </c>
      <c r="G1601" s="110" t="s">
        <v>4070</v>
      </c>
      <c r="H1601" s="110" t="s">
        <v>4071</v>
      </c>
      <c r="I1601" s="110" t="s">
        <v>3453</v>
      </c>
      <c r="J1601" s="110" t="s">
        <v>4072</v>
      </c>
      <c r="K1601" s="148" t="s">
        <v>4073</v>
      </c>
    </row>
    <row r="1602" spans="1:11">
      <c r="A1602" s="158"/>
      <c r="B1602" s="112"/>
      <c r="C1602" s="112"/>
      <c r="D1602" s="110" t="s">
        <v>4257</v>
      </c>
      <c r="E1602" s="110" t="s">
        <v>4074</v>
      </c>
      <c r="F1602" s="105" t="s">
        <v>2639</v>
      </c>
      <c r="G1602" s="110" t="s">
        <v>4075</v>
      </c>
      <c r="H1602" s="110" t="s">
        <v>4076</v>
      </c>
      <c r="I1602" s="110" t="s">
        <v>3453</v>
      </c>
      <c r="J1602" s="110" t="s">
        <v>4077</v>
      </c>
      <c r="K1602" s="148" t="s">
        <v>4078</v>
      </c>
    </row>
    <row r="1603" spans="1:11">
      <c r="A1603" s="158"/>
      <c r="B1603" s="112"/>
      <c r="C1603" s="112"/>
      <c r="D1603" s="110" t="s">
        <v>1912</v>
      </c>
      <c r="E1603" s="110" t="s">
        <v>4079</v>
      </c>
      <c r="F1603" s="105" t="s">
        <v>2639</v>
      </c>
      <c r="G1603" s="110" t="s">
        <v>4080</v>
      </c>
      <c r="H1603" s="110" t="s">
        <v>4081</v>
      </c>
      <c r="I1603" s="110" t="s">
        <v>3459</v>
      </c>
      <c r="J1603" s="110" t="s">
        <v>4082</v>
      </c>
      <c r="K1603" s="148" t="s">
        <v>4083</v>
      </c>
    </row>
    <row r="1604" spans="1:11">
      <c r="A1604" s="158"/>
      <c r="B1604" s="112"/>
      <c r="C1604" s="112"/>
      <c r="D1604" s="110" t="s">
        <v>4258</v>
      </c>
      <c r="E1604" s="110" t="s">
        <v>4084</v>
      </c>
      <c r="F1604" s="105" t="s">
        <v>2640</v>
      </c>
      <c r="G1604" s="110" t="s">
        <v>4085</v>
      </c>
      <c r="H1604" s="110" t="s">
        <v>2089</v>
      </c>
      <c r="I1604" s="110" t="s">
        <v>3459</v>
      </c>
      <c r="J1604" s="110" t="s">
        <v>4086</v>
      </c>
      <c r="K1604" s="148" t="s">
        <v>4087</v>
      </c>
    </row>
    <row r="1605" spans="1:11">
      <c r="A1605" s="158"/>
      <c r="B1605" s="112"/>
      <c r="C1605" s="113"/>
      <c r="D1605" s="110" t="s">
        <v>4259</v>
      </c>
      <c r="E1605" s="110" t="s">
        <v>4088</v>
      </c>
      <c r="F1605" s="105" t="s">
        <v>2639</v>
      </c>
      <c r="G1605" s="110" t="s">
        <v>4089</v>
      </c>
      <c r="H1605" s="110" t="s">
        <v>4090</v>
      </c>
      <c r="I1605" s="110" t="s">
        <v>3459</v>
      </c>
      <c r="J1605" s="110" t="s">
        <v>4091</v>
      </c>
      <c r="K1605" s="148" t="s">
        <v>4092</v>
      </c>
    </row>
    <row r="1606" spans="1:11">
      <c r="A1606" s="158"/>
      <c r="B1606" s="111" t="s">
        <v>2793</v>
      </c>
      <c r="C1606" s="111" t="s">
        <v>2794</v>
      </c>
      <c r="D1606" s="110" t="s">
        <v>4260</v>
      </c>
      <c r="E1606" s="110" t="s">
        <v>4093</v>
      </c>
      <c r="F1606" s="105" t="s">
        <v>2639</v>
      </c>
      <c r="G1606" s="110" t="s">
        <v>4094</v>
      </c>
      <c r="H1606" s="110" t="s">
        <v>4095</v>
      </c>
      <c r="I1606" s="110" t="s">
        <v>3459</v>
      </c>
      <c r="J1606" s="110" t="s">
        <v>4096</v>
      </c>
      <c r="K1606" s="148" t="s">
        <v>4097</v>
      </c>
    </row>
    <row r="1607" spans="1:11">
      <c r="A1607" s="158"/>
      <c r="B1607" s="112"/>
      <c r="C1607" s="112"/>
      <c r="D1607" s="110" t="s">
        <v>4261</v>
      </c>
      <c r="E1607" s="110" t="s">
        <v>4098</v>
      </c>
      <c r="F1607" s="105" t="s">
        <v>2640</v>
      </c>
      <c r="G1607" s="110" t="s">
        <v>4099</v>
      </c>
      <c r="H1607" s="110" t="s">
        <v>4100</v>
      </c>
      <c r="I1607" s="110" t="s">
        <v>3459</v>
      </c>
      <c r="J1607" s="110" t="s">
        <v>4101</v>
      </c>
      <c r="K1607" s="148" t="s">
        <v>4102</v>
      </c>
    </row>
    <row r="1608" spans="1:11">
      <c r="A1608" s="158"/>
      <c r="B1608" s="112"/>
      <c r="C1608" s="112"/>
      <c r="D1608" s="110" t="s">
        <v>3881</v>
      </c>
      <c r="E1608" s="110" t="s">
        <v>4103</v>
      </c>
      <c r="F1608" s="105" t="s">
        <v>2639</v>
      </c>
      <c r="G1608" s="110" t="s">
        <v>4104</v>
      </c>
      <c r="H1608" s="110" t="s">
        <v>4105</v>
      </c>
      <c r="I1608" s="110" t="s">
        <v>3459</v>
      </c>
      <c r="J1608" s="110" t="s">
        <v>4106</v>
      </c>
      <c r="K1608" s="148" t="s">
        <v>4107</v>
      </c>
    </row>
    <row r="1609" spans="1:11">
      <c r="A1609" s="158"/>
      <c r="B1609" s="112"/>
      <c r="C1609" s="112"/>
      <c r="D1609" s="110" t="s">
        <v>4262</v>
      </c>
      <c r="E1609" s="110" t="s">
        <v>4108</v>
      </c>
      <c r="F1609" s="105" t="s">
        <v>2639</v>
      </c>
      <c r="G1609" s="110" t="s">
        <v>4109</v>
      </c>
      <c r="H1609" s="110" t="s">
        <v>4110</v>
      </c>
      <c r="I1609" s="110" t="s">
        <v>3459</v>
      </c>
      <c r="J1609" s="110" t="s">
        <v>4111</v>
      </c>
      <c r="K1609" s="148" t="s">
        <v>4112</v>
      </c>
    </row>
    <row r="1610" spans="1:11">
      <c r="A1610" s="158"/>
      <c r="B1610" s="112"/>
      <c r="C1610" s="113"/>
      <c r="D1610" s="110" t="s">
        <v>2951</v>
      </c>
      <c r="E1610" s="110" t="s">
        <v>4113</v>
      </c>
      <c r="F1610" s="105" t="s">
        <v>2639</v>
      </c>
      <c r="G1610" s="110" t="s">
        <v>4114</v>
      </c>
      <c r="H1610" s="110" t="s">
        <v>4115</v>
      </c>
      <c r="I1610" s="110" t="s">
        <v>3581</v>
      </c>
      <c r="J1610" s="110" t="s">
        <v>2873</v>
      </c>
      <c r="K1610" s="148" t="s">
        <v>4116</v>
      </c>
    </row>
    <row r="1611" spans="1:11">
      <c r="A1611" s="158"/>
      <c r="B1611" s="112"/>
      <c r="C1611" s="111" t="s">
        <v>2795</v>
      </c>
      <c r="D1611" s="110" t="s">
        <v>4263</v>
      </c>
      <c r="E1611" s="110" t="s">
        <v>4117</v>
      </c>
      <c r="F1611" s="105" t="s">
        <v>2640</v>
      </c>
      <c r="G1611" s="110" t="s">
        <v>4118</v>
      </c>
      <c r="H1611" s="110" t="s">
        <v>4119</v>
      </c>
      <c r="I1611" s="110" t="s">
        <v>3453</v>
      </c>
      <c r="J1611" s="110" t="s">
        <v>4120</v>
      </c>
      <c r="K1611" s="148" t="s">
        <v>4121</v>
      </c>
    </row>
    <row r="1612" spans="1:11">
      <c r="A1612" s="158"/>
      <c r="B1612" s="112"/>
      <c r="C1612" s="112"/>
      <c r="D1612" s="110" t="s">
        <v>4264</v>
      </c>
      <c r="E1612" s="110" t="s">
        <v>4122</v>
      </c>
      <c r="F1612" s="105" t="s">
        <v>2639</v>
      </c>
      <c r="G1612" s="110" t="s">
        <v>4123</v>
      </c>
      <c r="H1612" s="110" t="s">
        <v>4124</v>
      </c>
      <c r="I1612" s="110" t="s">
        <v>3459</v>
      </c>
      <c r="J1612" s="110" t="s">
        <v>4125</v>
      </c>
      <c r="K1612" s="148" t="s">
        <v>4126</v>
      </c>
    </row>
    <row r="1613" spans="1:11">
      <c r="A1613" s="158"/>
      <c r="B1613" s="112"/>
      <c r="C1613" s="112"/>
      <c r="D1613" s="110" t="s">
        <v>4265</v>
      </c>
      <c r="E1613" s="110" t="s">
        <v>4127</v>
      </c>
      <c r="F1613" s="105" t="s">
        <v>2639</v>
      </c>
      <c r="G1613" s="110" t="s">
        <v>4128</v>
      </c>
      <c r="H1613" s="110" t="s">
        <v>4129</v>
      </c>
      <c r="I1613" s="110" t="s">
        <v>3459</v>
      </c>
      <c r="J1613" s="110" t="s">
        <v>4130</v>
      </c>
      <c r="K1613" s="148" t="s">
        <v>4131</v>
      </c>
    </row>
    <row r="1614" spans="1:11">
      <c r="A1614" s="158"/>
      <c r="B1614" s="112"/>
      <c r="C1614" s="112"/>
      <c r="D1614" s="110" t="s">
        <v>4266</v>
      </c>
      <c r="E1614" s="110" t="s">
        <v>4132</v>
      </c>
      <c r="F1614" s="105" t="s">
        <v>2639</v>
      </c>
      <c r="G1614" s="110" t="s">
        <v>4133</v>
      </c>
      <c r="H1614" s="110" t="s">
        <v>4134</v>
      </c>
      <c r="I1614" s="110" t="s">
        <v>3459</v>
      </c>
      <c r="J1614" s="110" t="s">
        <v>4135</v>
      </c>
      <c r="K1614" s="148" t="s">
        <v>4136</v>
      </c>
    </row>
    <row r="1615" spans="1:11">
      <c r="A1615" s="158"/>
      <c r="B1615" s="112"/>
      <c r="C1615" s="113"/>
      <c r="D1615" s="110" t="s">
        <v>4267</v>
      </c>
      <c r="E1615" s="110" t="s">
        <v>4137</v>
      </c>
      <c r="F1615" s="105" t="s">
        <v>2639</v>
      </c>
      <c r="G1615" s="110" t="s">
        <v>4138</v>
      </c>
      <c r="H1615" s="110" t="s">
        <v>4139</v>
      </c>
      <c r="I1615" s="110" t="s">
        <v>3459</v>
      </c>
      <c r="J1615" s="110" t="s">
        <v>4140</v>
      </c>
      <c r="K1615" s="148" t="s">
        <v>4141</v>
      </c>
    </row>
    <row r="1616" spans="1:11">
      <c r="A1616" s="158"/>
      <c r="B1616" s="112"/>
      <c r="C1616" s="111" t="s">
        <v>2796</v>
      </c>
      <c r="D1616" s="110" t="s">
        <v>4268</v>
      </c>
      <c r="E1616" s="110" t="s">
        <v>4142</v>
      </c>
      <c r="F1616" s="105" t="s">
        <v>2639</v>
      </c>
      <c r="G1616" s="110" t="s">
        <v>4143</v>
      </c>
      <c r="H1616" s="110" t="s">
        <v>4144</v>
      </c>
      <c r="I1616" s="110" t="s">
        <v>3459</v>
      </c>
      <c r="J1616" s="110" t="s">
        <v>4145</v>
      </c>
      <c r="K1616" s="148" t="s">
        <v>4146</v>
      </c>
    </row>
    <row r="1617" spans="1:11">
      <c r="A1617" s="158"/>
      <c r="B1617" s="112"/>
      <c r="C1617" s="112"/>
      <c r="D1617" s="110" t="s">
        <v>4269</v>
      </c>
      <c r="E1617" s="110" t="s">
        <v>4147</v>
      </c>
      <c r="F1617" s="105" t="s">
        <v>2639</v>
      </c>
      <c r="G1617" s="110" t="s">
        <v>4148</v>
      </c>
      <c r="H1617" s="110" t="s">
        <v>4149</v>
      </c>
      <c r="I1617" s="110" t="s">
        <v>3459</v>
      </c>
      <c r="J1617" s="110" t="s">
        <v>4150</v>
      </c>
      <c r="K1617" s="148" t="s">
        <v>4151</v>
      </c>
    </row>
    <row r="1618" spans="1:11">
      <c r="A1618" s="158"/>
      <c r="B1618" s="112"/>
      <c r="C1618" s="112"/>
      <c r="D1618" s="110" t="s">
        <v>4270</v>
      </c>
      <c r="E1618" s="110" t="s">
        <v>4152</v>
      </c>
      <c r="F1618" s="105" t="s">
        <v>2639</v>
      </c>
      <c r="G1618" s="110" t="s">
        <v>4153</v>
      </c>
      <c r="H1618" s="110" t="s">
        <v>4154</v>
      </c>
      <c r="I1618" s="110" t="s">
        <v>3459</v>
      </c>
      <c r="J1618" s="110" t="s">
        <v>4155</v>
      </c>
      <c r="K1618" s="148" t="s">
        <v>4156</v>
      </c>
    </row>
    <row r="1619" spans="1:11">
      <c r="A1619" s="158"/>
      <c r="B1619" s="112"/>
      <c r="C1619" s="112"/>
      <c r="D1619" s="110" t="s">
        <v>4271</v>
      </c>
      <c r="E1619" s="110" t="s">
        <v>4157</v>
      </c>
      <c r="F1619" s="105" t="s">
        <v>2639</v>
      </c>
      <c r="G1619" s="110" t="s">
        <v>4158</v>
      </c>
      <c r="H1619" s="110" t="s">
        <v>4159</v>
      </c>
      <c r="I1619" s="110" t="s">
        <v>3459</v>
      </c>
      <c r="J1619" s="110" t="s">
        <v>4160</v>
      </c>
      <c r="K1619" s="148" t="s">
        <v>4161</v>
      </c>
    </row>
    <row r="1620" spans="1:11">
      <c r="A1620" s="158"/>
      <c r="B1620" s="112"/>
      <c r="C1620" s="113"/>
      <c r="D1620" s="110" t="s">
        <v>4272</v>
      </c>
      <c r="E1620" s="110" t="s">
        <v>4162</v>
      </c>
      <c r="F1620" s="105" t="s">
        <v>2639</v>
      </c>
      <c r="G1620" s="110" t="s">
        <v>4163</v>
      </c>
      <c r="H1620" s="110" t="s">
        <v>4164</v>
      </c>
      <c r="I1620" s="110" t="s">
        <v>3459</v>
      </c>
      <c r="J1620" s="110" t="s">
        <v>4165</v>
      </c>
      <c r="K1620" s="148" t="s">
        <v>4166</v>
      </c>
    </row>
    <row r="1621" spans="1:11">
      <c r="A1621" s="158"/>
      <c r="B1621" s="112"/>
      <c r="C1621" s="111" t="s">
        <v>2797</v>
      </c>
      <c r="D1621" s="110" t="s">
        <v>4273</v>
      </c>
      <c r="E1621" s="110" t="s">
        <v>4167</v>
      </c>
      <c r="F1621" s="105" t="s">
        <v>2639</v>
      </c>
      <c r="G1621" s="110" t="s">
        <v>4168</v>
      </c>
      <c r="H1621" s="110" t="s">
        <v>4169</v>
      </c>
      <c r="I1621" s="110" t="s">
        <v>3459</v>
      </c>
      <c r="J1621" s="110" t="s">
        <v>4170</v>
      </c>
      <c r="K1621" s="148" t="s">
        <v>4171</v>
      </c>
    </row>
    <row r="1622" spans="1:11">
      <c r="A1622" s="158"/>
      <c r="B1622" s="112"/>
      <c r="C1622" s="112"/>
      <c r="D1622" s="110" t="s">
        <v>4274</v>
      </c>
      <c r="E1622" s="110" t="s">
        <v>4172</v>
      </c>
      <c r="F1622" s="105" t="s">
        <v>2639</v>
      </c>
      <c r="G1622" s="110" t="s">
        <v>4173</v>
      </c>
      <c r="H1622" s="110" t="s">
        <v>4174</v>
      </c>
      <c r="I1622" s="110" t="s">
        <v>3459</v>
      </c>
      <c r="J1622" s="110" t="s">
        <v>4175</v>
      </c>
      <c r="K1622" s="148" t="s">
        <v>4176</v>
      </c>
    </row>
    <row r="1623" spans="1:11">
      <c r="A1623" s="158"/>
      <c r="B1623" s="112"/>
      <c r="C1623" s="112"/>
      <c r="D1623" s="110" t="s">
        <v>4275</v>
      </c>
      <c r="E1623" s="110" t="s">
        <v>4177</v>
      </c>
      <c r="F1623" s="105" t="s">
        <v>2639</v>
      </c>
      <c r="G1623" s="110" t="s">
        <v>4178</v>
      </c>
      <c r="H1623" s="110" t="s">
        <v>4179</v>
      </c>
      <c r="I1623" s="110" t="s">
        <v>3459</v>
      </c>
      <c r="J1623" s="110" t="s">
        <v>4180</v>
      </c>
      <c r="K1623" s="148" t="s">
        <v>4181</v>
      </c>
    </row>
    <row r="1624" spans="1:11">
      <c r="A1624" s="158"/>
      <c r="B1624" s="112"/>
      <c r="C1624" s="112"/>
      <c r="D1624" s="110" t="s">
        <v>4276</v>
      </c>
      <c r="E1624" s="110" t="s">
        <v>4182</v>
      </c>
      <c r="F1624" s="105" t="s">
        <v>2639</v>
      </c>
      <c r="G1624" s="110" t="s">
        <v>4183</v>
      </c>
      <c r="H1624" s="110" t="s">
        <v>4184</v>
      </c>
      <c r="I1624" s="110" t="s">
        <v>3459</v>
      </c>
      <c r="J1624" s="110" t="s">
        <v>4185</v>
      </c>
      <c r="K1624" s="148" t="s">
        <v>4186</v>
      </c>
    </row>
    <row r="1625" spans="1:11">
      <c r="A1625" s="158"/>
      <c r="B1625" s="112"/>
      <c r="C1625" s="113"/>
      <c r="D1625" s="110" t="s">
        <v>4277</v>
      </c>
      <c r="E1625" s="110" t="s">
        <v>4187</v>
      </c>
      <c r="F1625" s="105" t="s">
        <v>2639</v>
      </c>
      <c r="G1625" s="110" t="s">
        <v>4188</v>
      </c>
      <c r="H1625" s="110" t="s">
        <v>4189</v>
      </c>
      <c r="I1625" s="110" t="s">
        <v>3453</v>
      </c>
      <c r="J1625" s="110" t="s">
        <v>4190</v>
      </c>
      <c r="K1625" s="148" t="s">
        <v>4191</v>
      </c>
    </row>
    <row r="1626" spans="1:11">
      <c r="A1626" s="158"/>
      <c r="B1626" s="112"/>
      <c r="C1626" s="111" t="s">
        <v>2798</v>
      </c>
      <c r="D1626" s="110" t="s">
        <v>4278</v>
      </c>
      <c r="E1626" s="110" t="s">
        <v>4192</v>
      </c>
      <c r="F1626" s="105" t="s">
        <v>2639</v>
      </c>
      <c r="G1626" s="110" t="s">
        <v>4193</v>
      </c>
      <c r="H1626" s="110" t="s">
        <v>4194</v>
      </c>
      <c r="I1626" s="110" t="s">
        <v>3459</v>
      </c>
      <c r="J1626" s="110" t="s">
        <v>4195</v>
      </c>
      <c r="K1626" s="148" t="s">
        <v>4196</v>
      </c>
    </row>
    <row r="1627" spans="1:11">
      <c r="A1627" s="158"/>
      <c r="B1627" s="112"/>
      <c r="C1627" s="112"/>
      <c r="D1627" s="110" t="s">
        <v>4279</v>
      </c>
      <c r="E1627" s="110" t="s">
        <v>4197</v>
      </c>
      <c r="F1627" s="105" t="s">
        <v>2639</v>
      </c>
      <c r="G1627" s="110" t="s">
        <v>4198</v>
      </c>
      <c r="H1627" s="110" t="s">
        <v>4199</v>
      </c>
      <c r="I1627" s="110" t="s">
        <v>3459</v>
      </c>
      <c r="J1627" s="110" t="s">
        <v>4200</v>
      </c>
      <c r="K1627" s="148" t="s">
        <v>4201</v>
      </c>
    </row>
    <row r="1628" spans="1:11">
      <c r="A1628" s="158"/>
      <c r="B1628" s="112"/>
      <c r="C1628" s="112"/>
      <c r="D1628" s="110" t="s">
        <v>4280</v>
      </c>
      <c r="E1628" s="110" t="s">
        <v>4202</v>
      </c>
      <c r="F1628" s="105" t="s">
        <v>2639</v>
      </c>
      <c r="G1628" s="110" t="s">
        <v>4203</v>
      </c>
      <c r="H1628" s="110" t="s">
        <v>4204</v>
      </c>
      <c r="I1628" s="110" t="s">
        <v>3459</v>
      </c>
      <c r="J1628" s="110" t="s">
        <v>4205</v>
      </c>
      <c r="K1628" s="148" t="s">
        <v>4206</v>
      </c>
    </row>
    <row r="1629" spans="1:11">
      <c r="A1629" s="158"/>
      <c r="B1629" s="112"/>
      <c r="C1629" s="112"/>
      <c r="D1629" s="110" t="s">
        <v>4281</v>
      </c>
      <c r="E1629" s="110" t="s">
        <v>4207</v>
      </c>
      <c r="F1629" s="105" t="s">
        <v>2639</v>
      </c>
      <c r="G1629" s="110" t="s">
        <v>4208</v>
      </c>
      <c r="H1629" s="110" t="s">
        <v>4209</v>
      </c>
      <c r="I1629" s="110" t="s">
        <v>3459</v>
      </c>
      <c r="J1629" s="110" t="s">
        <v>4210</v>
      </c>
      <c r="K1629" s="148" t="s">
        <v>4211</v>
      </c>
    </row>
    <row r="1630" spans="1:11">
      <c r="A1630" s="158"/>
      <c r="B1630" s="112"/>
      <c r="C1630" s="113"/>
      <c r="D1630" s="110" t="s">
        <v>4282</v>
      </c>
      <c r="E1630" s="110" t="s">
        <v>4212</v>
      </c>
      <c r="F1630" s="105" t="s">
        <v>2639</v>
      </c>
      <c r="G1630" s="110" t="s">
        <v>4213</v>
      </c>
      <c r="H1630" s="110" t="s">
        <v>4214</v>
      </c>
      <c r="I1630" s="110" t="s">
        <v>3459</v>
      </c>
      <c r="J1630" s="110" t="s">
        <v>4215</v>
      </c>
      <c r="K1630" s="148" t="s">
        <v>4216</v>
      </c>
    </row>
    <row r="1631" spans="1:11">
      <c r="A1631" s="158"/>
      <c r="B1631" s="112"/>
      <c r="C1631" s="111" t="s">
        <v>2799</v>
      </c>
      <c r="D1631" s="110" t="s">
        <v>4283</v>
      </c>
      <c r="E1631" s="110" t="s">
        <v>4217</v>
      </c>
      <c r="F1631" s="105" t="s">
        <v>2639</v>
      </c>
      <c r="G1631" s="110" t="s">
        <v>4218</v>
      </c>
      <c r="H1631" s="110" t="s">
        <v>4219</v>
      </c>
      <c r="I1631" s="110" t="s">
        <v>3459</v>
      </c>
      <c r="J1631" s="110" t="s">
        <v>4220</v>
      </c>
      <c r="K1631" s="148" t="s">
        <v>4221</v>
      </c>
    </row>
    <row r="1632" spans="1:11">
      <c r="A1632" s="158"/>
      <c r="B1632" s="112"/>
      <c r="C1632" s="112"/>
      <c r="D1632" s="110" t="s">
        <v>4284</v>
      </c>
      <c r="E1632" s="110" t="s">
        <v>4222</v>
      </c>
      <c r="F1632" s="105" t="s">
        <v>2639</v>
      </c>
      <c r="G1632" s="110" t="s">
        <v>4223</v>
      </c>
      <c r="H1632" s="110" t="s">
        <v>4224</v>
      </c>
      <c r="I1632" s="110" t="s">
        <v>3459</v>
      </c>
      <c r="J1632" s="110" t="s">
        <v>4225</v>
      </c>
      <c r="K1632" s="148" t="s">
        <v>4226</v>
      </c>
    </row>
    <row r="1633" spans="1:11">
      <c r="A1633" s="158"/>
      <c r="B1633" s="112"/>
      <c r="C1633" s="112"/>
      <c r="D1633" s="110" t="s">
        <v>4285</v>
      </c>
      <c r="E1633" s="110" t="s">
        <v>4227</v>
      </c>
      <c r="F1633" s="105" t="s">
        <v>2639</v>
      </c>
      <c r="G1633" s="110" t="s">
        <v>4228</v>
      </c>
      <c r="H1633" s="110" t="s">
        <v>4229</v>
      </c>
      <c r="I1633" s="110" t="s">
        <v>3459</v>
      </c>
      <c r="J1633" s="110" t="s">
        <v>4230</v>
      </c>
      <c r="K1633" s="148" t="s">
        <v>4231</v>
      </c>
    </row>
    <row r="1634" spans="1:11">
      <c r="A1634" s="158"/>
      <c r="B1634" s="112"/>
      <c r="C1634" s="112"/>
      <c r="D1634" s="110" t="s">
        <v>4286</v>
      </c>
      <c r="E1634" s="110" t="s">
        <v>4232</v>
      </c>
      <c r="F1634" s="105" t="s">
        <v>2639</v>
      </c>
      <c r="G1634" s="110" t="s">
        <v>4233</v>
      </c>
      <c r="H1634" s="110" t="s">
        <v>4234</v>
      </c>
      <c r="I1634" s="110" t="s">
        <v>3459</v>
      </c>
      <c r="J1634" s="110" t="s">
        <v>4235</v>
      </c>
      <c r="K1634" s="148" t="s">
        <v>4236</v>
      </c>
    </row>
    <row r="1635" spans="1:11">
      <c r="A1635" s="158"/>
      <c r="B1635" s="113"/>
      <c r="C1635" s="113"/>
      <c r="D1635" s="110" t="s">
        <v>4287</v>
      </c>
      <c r="E1635" s="110" t="s">
        <v>4237</v>
      </c>
      <c r="F1635" s="105" t="s">
        <v>2639</v>
      </c>
      <c r="G1635" s="110" t="s">
        <v>4238</v>
      </c>
      <c r="H1635" s="110" t="s">
        <v>4239</v>
      </c>
      <c r="I1635" s="110" t="s">
        <v>3459</v>
      </c>
      <c r="J1635" s="110" t="s">
        <v>4240</v>
      </c>
      <c r="K1635" s="148" t="s">
        <v>4241</v>
      </c>
    </row>
    <row r="1636" spans="1:11">
      <c r="A1636" s="158"/>
      <c r="B1636" s="111" t="s">
        <v>2800</v>
      </c>
      <c r="C1636" s="111" t="s">
        <v>2801</v>
      </c>
      <c r="D1636" s="110" t="s">
        <v>4489</v>
      </c>
      <c r="E1636" s="110" t="s">
        <v>4288</v>
      </c>
      <c r="F1636" s="105" t="s">
        <v>2681</v>
      </c>
      <c r="G1636" s="110" t="s">
        <v>4289</v>
      </c>
      <c r="H1636" s="110" t="s">
        <v>4290</v>
      </c>
      <c r="I1636" s="110" t="s">
        <v>3453</v>
      </c>
      <c r="J1636" s="110" t="s">
        <v>4291</v>
      </c>
      <c r="K1636" s="148" t="s">
        <v>4292</v>
      </c>
    </row>
    <row r="1637" spans="1:11">
      <c r="A1637" s="158"/>
      <c r="B1637" s="112"/>
      <c r="C1637" s="112"/>
      <c r="D1637" s="110" t="s">
        <v>4490</v>
      </c>
      <c r="E1637" s="110" t="s">
        <v>4293</v>
      </c>
      <c r="F1637" s="105" t="s">
        <v>2681</v>
      </c>
      <c r="G1637" s="110" t="s">
        <v>3661</v>
      </c>
      <c r="H1637" s="110" t="s">
        <v>4294</v>
      </c>
      <c r="I1637" s="110" t="s">
        <v>3459</v>
      </c>
      <c r="J1637" s="110" t="s">
        <v>4295</v>
      </c>
      <c r="K1637" s="148" t="s">
        <v>4296</v>
      </c>
    </row>
    <row r="1638" spans="1:11">
      <c r="A1638" s="158"/>
      <c r="B1638" s="112"/>
      <c r="C1638" s="112"/>
      <c r="D1638" s="110" t="s">
        <v>4491</v>
      </c>
      <c r="E1638" s="110" t="s">
        <v>4297</v>
      </c>
      <c r="F1638" s="105" t="s">
        <v>2639</v>
      </c>
      <c r="G1638" s="110" t="s">
        <v>2244</v>
      </c>
      <c r="H1638" s="110" t="s">
        <v>2996</v>
      </c>
      <c r="I1638" s="110" t="s">
        <v>3459</v>
      </c>
      <c r="J1638" s="110" t="s">
        <v>4298</v>
      </c>
      <c r="K1638" s="148" t="s">
        <v>4299</v>
      </c>
    </row>
    <row r="1639" spans="1:11">
      <c r="A1639" s="158"/>
      <c r="B1639" s="112"/>
      <c r="C1639" s="112"/>
      <c r="D1639" s="110" t="s">
        <v>3577</v>
      </c>
      <c r="E1639" s="110" t="s">
        <v>4300</v>
      </c>
      <c r="F1639" s="105" t="s">
        <v>2639</v>
      </c>
      <c r="G1639" s="110" t="s">
        <v>4301</v>
      </c>
      <c r="H1639" s="110" t="s">
        <v>4302</v>
      </c>
      <c r="I1639" s="110" t="s">
        <v>3581</v>
      </c>
      <c r="J1639" s="110" t="s">
        <v>4303</v>
      </c>
      <c r="K1639" s="148" t="s">
        <v>4304</v>
      </c>
    </row>
    <row r="1640" spans="1:11">
      <c r="A1640" s="158"/>
      <c r="B1640" s="112"/>
      <c r="C1640" s="113"/>
      <c r="D1640" s="110" t="s">
        <v>4492</v>
      </c>
      <c r="E1640" s="110" t="s">
        <v>4305</v>
      </c>
      <c r="F1640" s="105" t="s">
        <v>2681</v>
      </c>
      <c r="G1640" s="110" t="s">
        <v>3410</v>
      </c>
      <c r="H1640" s="110" t="s">
        <v>4306</v>
      </c>
      <c r="I1640" s="110" t="s">
        <v>3459</v>
      </c>
      <c r="J1640" s="110" t="s">
        <v>4307</v>
      </c>
      <c r="K1640" s="148" t="s">
        <v>4308</v>
      </c>
    </row>
    <row r="1641" spans="1:11">
      <c r="A1641" s="158"/>
      <c r="B1641" s="112"/>
      <c r="C1641" s="111" t="s">
        <v>2802</v>
      </c>
      <c r="D1641" s="110" t="s">
        <v>4493</v>
      </c>
      <c r="E1641" s="110" t="s">
        <v>4309</v>
      </c>
      <c r="F1641" s="105" t="s">
        <v>2681</v>
      </c>
      <c r="G1641" s="110" t="s">
        <v>4310</v>
      </c>
      <c r="H1641" s="110" t="s">
        <v>4311</v>
      </c>
      <c r="I1641" s="110" t="s">
        <v>3453</v>
      </c>
      <c r="J1641" s="110" t="s">
        <v>2226</v>
      </c>
      <c r="K1641" s="148" t="s">
        <v>4312</v>
      </c>
    </row>
    <row r="1642" spans="1:11">
      <c r="A1642" s="158"/>
      <c r="B1642" s="112"/>
      <c r="C1642" s="112"/>
      <c r="D1642" s="110" t="s">
        <v>4494</v>
      </c>
      <c r="E1642" s="110" t="s">
        <v>4313</v>
      </c>
      <c r="F1642" s="105" t="s">
        <v>2681</v>
      </c>
      <c r="G1642" s="110" t="s">
        <v>2906</v>
      </c>
      <c r="H1642" s="110" t="s">
        <v>4314</v>
      </c>
      <c r="I1642" s="110" t="s">
        <v>3453</v>
      </c>
      <c r="J1642" s="110" t="s">
        <v>4315</v>
      </c>
      <c r="K1642" s="148" t="s">
        <v>4316</v>
      </c>
    </row>
    <row r="1643" spans="1:11">
      <c r="A1643" s="158"/>
      <c r="B1643" s="112"/>
      <c r="C1643" s="112"/>
      <c r="D1643" s="110" t="s">
        <v>4495</v>
      </c>
      <c r="E1643" s="110" t="s">
        <v>4317</v>
      </c>
      <c r="F1643" s="105" t="s">
        <v>2681</v>
      </c>
      <c r="G1643" s="110" t="s">
        <v>4318</v>
      </c>
      <c r="H1643" s="110" t="s">
        <v>4319</v>
      </c>
      <c r="I1643" s="110" t="s">
        <v>3459</v>
      </c>
      <c r="J1643" s="110" t="s">
        <v>4320</v>
      </c>
      <c r="K1643" s="148" t="s">
        <v>4321</v>
      </c>
    </row>
    <row r="1644" spans="1:11">
      <c r="A1644" s="158"/>
      <c r="B1644" s="112"/>
      <c r="C1644" s="112"/>
      <c r="D1644" s="110" t="s">
        <v>4496</v>
      </c>
      <c r="E1644" s="110" t="s">
        <v>4322</v>
      </c>
      <c r="F1644" s="105" t="s">
        <v>2681</v>
      </c>
      <c r="G1644" s="110" t="s">
        <v>3130</v>
      </c>
      <c r="H1644" s="110" t="s">
        <v>4323</v>
      </c>
      <c r="I1644" s="110" t="s">
        <v>3453</v>
      </c>
      <c r="J1644" s="110" t="s">
        <v>4324</v>
      </c>
      <c r="K1644" s="148" t="s">
        <v>4325</v>
      </c>
    </row>
    <row r="1645" spans="1:11">
      <c r="A1645" s="158"/>
      <c r="B1645" s="112"/>
      <c r="C1645" s="113"/>
      <c r="D1645" s="110" t="s">
        <v>4497</v>
      </c>
      <c r="E1645" s="110" t="s">
        <v>4326</v>
      </c>
      <c r="F1645" s="105" t="s">
        <v>2681</v>
      </c>
      <c r="G1645" s="110" t="s">
        <v>4327</v>
      </c>
      <c r="H1645" s="110" t="s">
        <v>4328</v>
      </c>
      <c r="I1645" s="110" t="s">
        <v>3459</v>
      </c>
      <c r="J1645" s="110" t="s">
        <v>4329</v>
      </c>
      <c r="K1645" s="148" t="s">
        <v>4330</v>
      </c>
    </row>
    <row r="1646" spans="1:11">
      <c r="A1646" s="158"/>
      <c r="B1646" s="112"/>
      <c r="C1646" s="111" t="s">
        <v>2803</v>
      </c>
      <c r="D1646" s="110" t="s">
        <v>1381</v>
      </c>
      <c r="E1646" s="110" t="s">
        <v>4331</v>
      </c>
      <c r="F1646" s="105" t="s">
        <v>2681</v>
      </c>
      <c r="G1646" s="110" t="s">
        <v>4332</v>
      </c>
      <c r="H1646" s="110" t="s">
        <v>4333</v>
      </c>
      <c r="I1646" s="110" t="s">
        <v>3453</v>
      </c>
      <c r="J1646" s="110" t="s">
        <v>4334</v>
      </c>
      <c r="K1646" s="148" t="s">
        <v>4335</v>
      </c>
    </row>
    <row r="1647" spans="1:11">
      <c r="A1647" s="158"/>
      <c r="B1647" s="112"/>
      <c r="C1647" s="112"/>
      <c r="D1647" s="110" t="s">
        <v>4498</v>
      </c>
      <c r="E1647" s="110" t="s">
        <v>4336</v>
      </c>
      <c r="F1647" s="105" t="s">
        <v>2681</v>
      </c>
      <c r="G1647" s="110" t="s">
        <v>3564</v>
      </c>
      <c r="H1647" s="110" t="s">
        <v>4337</v>
      </c>
      <c r="I1647" s="110" t="s">
        <v>3459</v>
      </c>
      <c r="J1647" s="110" t="s">
        <v>4338</v>
      </c>
      <c r="K1647" s="148" t="s">
        <v>4339</v>
      </c>
    </row>
    <row r="1648" spans="1:11">
      <c r="A1648" s="158"/>
      <c r="B1648" s="112"/>
      <c r="C1648" s="112"/>
      <c r="D1648" s="110" t="s">
        <v>4499</v>
      </c>
      <c r="E1648" s="110" t="s">
        <v>4340</v>
      </c>
      <c r="F1648" s="105" t="s">
        <v>2681</v>
      </c>
      <c r="G1648" s="110" t="s">
        <v>4341</v>
      </c>
      <c r="H1648" s="110" t="s">
        <v>2642</v>
      </c>
      <c r="I1648" s="110" t="s">
        <v>3459</v>
      </c>
      <c r="J1648" s="110" t="s">
        <v>4342</v>
      </c>
      <c r="K1648" s="148" t="s">
        <v>4343</v>
      </c>
    </row>
    <row r="1649" spans="1:11">
      <c r="A1649" s="158"/>
      <c r="B1649" s="112"/>
      <c r="C1649" s="112"/>
      <c r="D1649" s="110" t="s">
        <v>4500</v>
      </c>
      <c r="E1649" s="110" t="s">
        <v>4344</v>
      </c>
      <c r="F1649" s="105" t="s">
        <v>2681</v>
      </c>
      <c r="G1649" s="110" t="s">
        <v>4345</v>
      </c>
      <c r="H1649" s="110" t="s">
        <v>2563</v>
      </c>
      <c r="I1649" s="110" t="s">
        <v>3459</v>
      </c>
      <c r="J1649" s="110" t="s">
        <v>4346</v>
      </c>
      <c r="K1649" s="148" t="s">
        <v>4347</v>
      </c>
    </row>
    <row r="1650" spans="1:11">
      <c r="A1650" s="158"/>
      <c r="B1650" s="112"/>
      <c r="C1650" s="113"/>
      <c r="D1650" s="110" t="s">
        <v>4501</v>
      </c>
      <c r="E1650" s="110" t="s">
        <v>4348</v>
      </c>
      <c r="F1650" s="105" t="s">
        <v>2681</v>
      </c>
      <c r="G1650" s="110" t="s">
        <v>4349</v>
      </c>
      <c r="H1650" s="110" t="s">
        <v>4350</v>
      </c>
      <c r="I1650" s="110" t="s">
        <v>3453</v>
      </c>
      <c r="J1650" s="110" t="s">
        <v>4351</v>
      </c>
      <c r="K1650" s="148" t="s">
        <v>4352</v>
      </c>
    </row>
    <row r="1651" spans="1:11">
      <c r="A1651" s="158"/>
      <c r="B1651" s="112"/>
      <c r="C1651" s="111" t="s">
        <v>2804</v>
      </c>
      <c r="D1651" s="110" t="s">
        <v>4502</v>
      </c>
      <c r="E1651" s="110" t="s">
        <v>4353</v>
      </c>
      <c r="F1651" s="105" t="s">
        <v>2681</v>
      </c>
      <c r="G1651" s="110" t="s">
        <v>4354</v>
      </c>
      <c r="H1651" s="110" t="s">
        <v>4355</v>
      </c>
      <c r="I1651" s="110" t="s">
        <v>3453</v>
      </c>
      <c r="J1651" s="110" t="s">
        <v>3269</v>
      </c>
      <c r="K1651" s="148" t="s">
        <v>4356</v>
      </c>
    </row>
    <row r="1652" spans="1:11">
      <c r="A1652" s="158"/>
      <c r="B1652" s="112"/>
      <c r="C1652" s="112"/>
      <c r="D1652" s="110" t="s">
        <v>4503</v>
      </c>
      <c r="E1652" s="110" t="s">
        <v>4357</v>
      </c>
      <c r="F1652" s="105" t="s">
        <v>2681</v>
      </c>
      <c r="G1652" s="110" t="s">
        <v>4358</v>
      </c>
      <c r="H1652" s="110" t="s">
        <v>3598</v>
      </c>
      <c r="I1652" s="110" t="s">
        <v>3453</v>
      </c>
      <c r="J1652" s="110" t="s">
        <v>4359</v>
      </c>
      <c r="K1652" s="148" t="s">
        <v>4360</v>
      </c>
    </row>
    <row r="1653" spans="1:11">
      <c r="A1653" s="158"/>
      <c r="B1653" s="112"/>
      <c r="C1653" s="112"/>
      <c r="D1653" s="110" t="s">
        <v>2826</v>
      </c>
      <c r="E1653" s="110" t="s">
        <v>4361</v>
      </c>
      <c r="F1653" s="105" t="s">
        <v>2681</v>
      </c>
      <c r="G1653" s="110" t="s">
        <v>4362</v>
      </c>
      <c r="H1653" s="110" t="s">
        <v>4363</v>
      </c>
      <c r="I1653" s="110" t="s">
        <v>3459</v>
      </c>
      <c r="J1653" s="110" t="s">
        <v>4364</v>
      </c>
      <c r="K1653" s="148" t="s">
        <v>4365</v>
      </c>
    </row>
    <row r="1654" spans="1:11">
      <c r="A1654" s="158"/>
      <c r="B1654" s="112"/>
      <c r="C1654" s="112"/>
      <c r="D1654" s="110" t="s">
        <v>4504</v>
      </c>
      <c r="E1654" s="110" t="s">
        <v>4366</v>
      </c>
      <c r="F1654" s="105" t="s">
        <v>2681</v>
      </c>
      <c r="G1654" s="110" t="s">
        <v>4367</v>
      </c>
      <c r="H1654" s="110" t="s">
        <v>4368</v>
      </c>
      <c r="I1654" s="110" t="s">
        <v>3459</v>
      </c>
      <c r="J1654" s="110" t="s">
        <v>4369</v>
      </c>
      <c r="K1654" s="148" t="s">
        <v>4370</v>
      </c>
    </row>
    <row r="1655" spans="1:11">
      <c r="A1655" s="158"/>
      <c r="B1655" s="112"/>
      <c r="C1655" s="113"/>
      <c r="D1655" s="110" t="s">
        <v>4505</v>
      </c>
      <c r="E1655" s="110" t="s">
        <v>4371</v>
      </c>
      <c r="F1655" s="105" t="s">
        <v>2681</v>
      </c>
      <c r="G1655" s="110" t="s">
        <v>4372</v>
      </c>
      <c r="H1655" s="110" t="s">
        <v>4066</v>
      </c>
      <c r="I1655" s="110" t="s">
        <v>3459</v>
      </c>
      <c r="J1655" s="110" t="s">
        <v>4373</v>
      </c>
      <c r="K1655" s="148" t="s">
        <v>4374</v>
      </c>
    </row>
    <row r="1656" spans="1:11">
      <c r="A1656" s="158"/>
      <c r="B1656" s="112"/>
      <c r="C1656" s="111" t="s">
        <v>2805</v>
      </c>
      <c r="D1656" s="110" t="s">
        <v>4506</v>
      </c>
      <c r="E1656" s="110" t="s">
        <v>4375</v>
      </c>
      <c r="F1656" s="105" t="s">
        <v>2681</v>
      </c>
      <c r="G1656" s="110" t="s">
        <v>4376</v>
      </c>
      <c r="H1656" s="110" t="s">
        <v>4377</v>
      </c>
      <c r="I1656" s="110" t="s">
        <v>3453</v>
      </c>
      <c r="J1656" s="110" t="s">
        <v>4378</v>
      </c>
      <c r="K1656" s="148" t="s">
        <v>4379</v>
      </c>
    </row>
    <row r="1657" spans="1:11">
      <c r="A1657" s="158"/>
      <c r="B1657" s="112"/>
      <c r="C1657" s="112"/>
      <c r="D1657" s="110" t="s">
        <v>4507</v>
      </c>
      <c r="E1657" s="110" t="s">
        <v>4380</v>
      </c>
      <c r="F1657" s="105" t="s">
        <v>2681</v>
      </c>
      <c r="G1657" s="110" t="s">
        <v>4381</v>
      </c>
      <c r="H1657" s="110" t="s">
        <v>4382</v>
      </c>
      <c r="I1657" s="110" t="s">
        <v>3453</v>
      </c>
      <c r="J1657" s="110" t="s">
        <v>4383</v>
      </c>
      <c r="K1657" s="148" t="s">
        <v>4384</v>
      </c>
    </row>
    <row r="1658" spans="1:11">
      <c r="A1658" s="158"/>
      <c r="B1658" s="112"/>
      <c r="C1658" s="112"/>
      <c r="D1658" s="110" t="s">
        <v>4508</v>
      </c>
      <c r="E1658" s="110" t="s">
        <v>4385</v>
      </c>
      <c r="F1658" s="105" t="s">
        <v>2681</v>
      </c>
      <c r="G1658" s="110" t="s">
        <v>4386</v>
      </c>
      <c r="H1658" s="110" t="s">
        <v>4387</v>
      </c>
      <c r="I1658" s="110" t="s">
        <v>3459</v>
      </c>
      <c r="J1658" s="110" t="s">
        <v>4388</v>
      </c>
      <c r="K1658" s="148" t="s">
        <v>4389</v>
      </c>
    </row>
    <row r="1659" spans="1:11">
      <c r="A1659" s="158"/>
      <c r="B1659" s="112"/>
      <c r="C1659" s="112"/>
      <c r="D1659" s="110" t="s">
        <v>4509</v>
      </c>
      <c r="E1659" s="110" t="s">
        <v>4390</v>
      </c>
      <c r="F1659" s="105" t="s">
        <v>2681</v>
      </c>
      <c r="G1659" s="110" t="s">
        <v>4208</v>
      </c>
      <c r="H1659" s="110" t="s">
        <v>4391</v>
      </c>
      <c r="I1659" s="110" t="s">
        <v>3459</v>
      </c>
      <c r="J1659" s="110" t="s">
        <v>4392</v>
      </c>
      <c r="K1659" s="148" t="s">
        <v>4393</v>
      </c>
    </row>
    <row r="1660" spans="1:11">
      <c r="A1660" s="158"/>
      <c r="B1660" s="112"/>
      <c r="C1660" s="113"/>
      <c r="D1660" s="110" t="s">
        <v>4510</v>
      </c>
      <c r="E1660" s="110" t="s">
        <v>4394</v>
      </c>
      <c r="F1660" s="105" t="s">
        <v>2681</v>
      </c>
      <c r="G1660" s="110" t="s">
        <v>4395</v>
      </c>
      <c r="H1660" s="110" t="s">
        <v>4396</v>
      </c>
      <c r="I1660" s="110" t="s">
        <v>3581</v>
      </c>
      <c r="J1660" s="110" t="s">
        <v>4397</v>
      </c>
      <c r="K1660" s="148" t="s">
        <v>4398</v>
      </c>
    </row>
    <row r="1661" spans="1:11">
      <c r="A1661" s="158"/>
      <c r="B1661" s="112"/>
      <c r="C1661" s="111" t="s">
        <v>2806</v>
      </c>
      <c r="D1661" s="110" t="s">
        <v>4511</v>
      </c>
      <c r="E1661" s="110" t="s">
        <v>4399</v>
      </c>
      <c r="F1661" s="105" t="s">
        <v>2681</v>
      </c>
      <c r="G1661" s="110" t="s">
        <v>3182</v>
      </c>
      <c r="H1661" s="110" t="s">
        <v>4400</v>
      </c>
      <c r="I1661" s="110" t="s">
        <v>3453</v>
      </c>
      <c r="J1661" s="110" t="s">
        <v>4401</v>
      </c>
      <c r="K1661" s="148" t="s">
        <v>4402</v>
      </c>
    </row>
    <row r="1662" spans="1:11">
      <c r="A1662" s="158"/>
      <c r="B1662" s="112"/>
      <c r="C1662" s="112"/>
      <c r="D1662" s="110" t="s">
        <v>4512</v>
      </c>
      <c r="E1662" s="110" t="s">
        <v>4403</v>
      </c>
      <c r="F1662" s="105" t="s">
        <v>2681</v>
      </c>
      <c r="G1662" s="110" t="s">
        <v>4404</v>
      </c>
      <c r="H1662" s="110" t="s">
        <v>4405</v>
      </c>
      <c r="I1662" s="110" t="s">
        <v>3453</v>
      </c>
      <c r="J1662" s="110" t="s">
        <v>4406</v>
      </c>
      <c r="K1662" s="148" t="s">
        <v>4407</v>
      </c>
    </row>
    <row r="1663" spans="1:11">
      <c r="A1663" s="158"/>
      <c r="B1663" s="112"/>
      <c r="C1663" s="112"/>
      <c r="D1663" s="110" t="s">
        <v>4513</v>
      </c>
      <c r="E1663" s="110" t="s">
        <v>4408</v>
      </c>
      <c r="F1663" s="105" t="s">
        <v>2681</v>
      </c>
      <c r="G1663" s="110" t="s">
        <v>4409</v>
      </c>
      <c r="H1663" s="110" t="s">
        <v>4410</v>
      </c>
      <c r="I1663" s="110" t="s">
        <v>3459</v>
      </c>
      <c r="J1663" s="110" t="s">
        <v>4411</v>
      </c>
      <c r="K1663" s="148" t="s">
        <v>4412</v>
      </c>
    </row>
    <row r="1664" spans="1:11">
      <c r="A1664" s="158"/>
      <c r="B1664" s="112"/>
      <c r="C1664" s="112"/>
      <c r="D1664" s="110" t="s">
        <v>4514</v>
      </c>
      <c r="E1664" s="110" t="s">
        <v>4413</v>
      </c>
      <c r="F1664" s="105" t="s">
        <v>2681</v>
      </c>
      <c r="G1664" s="110" t="s">
        <v>4414</v>
      </c>
      <c r="H1664" s="110" t="s">
        <v>4415</v>
      </c>
      <c r="I1664" s="110" t="s">
        <v>3453</v>
      </c>
      <c r="J1664" s="110" t="s">
        <v>4416</v>
      </c>
      <c r="K1664" s="148" t="s">
        <v>4417</v>
      </c>
    </row>
    <row r="1665" spans="1:11">
      <c r="A1665" s="158"/>
      <c r="B1665" s="112"/>
      <c r="C1665" s="113"/>
      <c r="D1665" s="110" t="s">
        <v>4515</v>
      </c>
      <c r="E1665" s="110" t="s">
        <v>4418</v>
      </c>
      <c r="F1665" s="105" t="s">
        <v>2681</v>
      </c>
      <c r="G1665" s="110" t="s">
        <v>4419</v>
      </c>
      <c r="H1665" s="110" t="s">
        <v>4420</v>
      </c>
      <c r="I1665" s="110" t="s">
        <v>3459</v>
      </c>
      <c r="J1665" s="110" t="s">
        <v>4421</v>
      </c>
      <c r="K1665" s="148" t="s">
        <v>4422</v>
      </c>
    </row>
    <row r="1666" spans="1:11">
      <c r="A1666" s="158"/>
      <c r="B1666" s="112"/>
      <c r="C1666" s="111" t="s">
        <v>2807</v>
      </c>
      <c r="D1666" s="110" t="s">
        <v>2653</v>
      </c>
      <c r="E1666" s="110" t="s">
        <v>4423</v>
      </c>
      <c r="F1666" s="105" t="s">
        <v>2681</v>
      </c>
      <c r="G1666" s="110" t="s">
        <v>4424</v>
      </c>
      <c r="H1666" s="110" t="s">
        <v>2487</v>
      </c>
      <c r="I1666" s="110" t="s">
        <v>3453</v>
      </c>
      <c r="J1666" s="110" t="s">
        <v>2496</v>
      </c>
      <c r="K1666" s="148" t="s">
        <v>4425</v>
      </c>
    </row>
    <row r="1667" spans="1:11">
      <c r="A1667" s="158"/>
      <c r="B1667" s="112"/>
      <c r="C1667" s="112"/>
      <c r="D1667" s="110" t="s">
        <v>4516</v>
      </c>
      <c r="E1667" s="110" t="s">
        <v>4426</v>
      </c>
      <c r="F1667" s="105" t="s">
        <v>2690</v>
      </c>
      <c r="G1667" s="110" t="s">
        <v>4427</v>
      </c>
      <c r="H1667" s="110" t="s">
        <v>4428</v>
      </c>
      <c r="I1667" s="110" t="s">
        <v>3459</v>
      </c>
      <c r="J1667" s="110" t="s">
        <v>4429</v>
      </c>
      <c r="K1667" s="148" t="s">
        <v>4430</v>
      </c>
    </row>
    <row r="1668" spans="1:11">
      <c r="A1668" s="158"/>
      <c r="B1668" s="112"/>
      <c r="C1668" s="112"/>
      <c r="D1668" s="110" t="s">
        <v>4517</v>
      </c>
      <c r="E1668" s="110" t="s">
        <v>4431</v>
      </c>
      <c r="F1668" s="105" t="s">
        <v>2681</v>
      </c>
      <c r="G1668" s="110" t="s">
        <v>2742</v>
      </c>
      <c r="H1668" s="110" t="s">
        <v>4432</v>
      </c>
      <c r="I1668" s="110" t="s">
        <v>3453</v>
      </c>
      <c r="J1668" s="110" t="s">
        <v>2508</v>
      </c>
      <c r="K1668" s="148" t="s">
        <v>4433</v>
      </c>
    </row>
    <row r="1669" spans="1:11">
      <c r="A1669" s="158"/>
      <c r="B1669" s="112"/>
      <c r="C1669" s="112"/>
      <c r="D1669" s="110" t="s">
        <v>4518</v>
      </c>
      <c r="E1669" s="110" t="s">
        <v>4434</v>
      </c>
      <c r="F1669" s="105" t="s">
        <v>2681</v>
      </c>
      <c r="G1669" s="110" t="s">
        <v>4435</v>
      </c>
      <c r="H1669" s="110" t="s">
        <v>4436</v>
      </c>
      <c r="I1669" s="110" t="s">
        <v>3453</v>
      </c>
      <c r="J1669" s="110" t="s">
        <v>4437</v>
      </c>
      <c r="K1669" s="148" t="s">
        <v>4438</v>
      </c>
    </row>
    <row r="1670" spans="1:11">
      <c r="A1670" s="158"/>
      <c r="B1670" s="112"/>
      <c r="C1670" s="113"/>
      <c r="D1670" s="110" t="s">
        <v>4519</v>
      </c>
      <c r="E1670" s="110" t="s">
        <v>4439</v>
      </c>
      <c r="F1670" s="105" t="s">
        <v>2681</v>
      </c>
      <c r="G1670" s="110" t="s">
        <v>2959</v>
      </c>
      <c r="H1670" s="110" t="s">
        <v>4440</v>
      </c>
      <c r="I1670" s="110" t="s">
        <v>3459</v>
      </c>
      <c r="J1670" s="110" t="s">
        <v>4441</v>
      </c>
      <c r="K1670" s="148" t="s">
        <v>4442</v>
      </c>
    </row>
    <row r="1671" spans="1:11">
      <c r="A1671" s="158"/>
      <c r="B1671" s="112"/>
      <c r="C1671" s="111" t="s">
        <v>2808</v>
      </c>
      <c r="D1671" s="110" t="s">
        <v>4520</v>
      </c>
      <c r="E1671" s="110" t="s">
        <v>4443</v>
      </c>
      <c r="F1671" s="105" t="s">
        <v>2681</v>
      </c>
      <c r="G1671" s="110" t="s">
        <v>4444</v>
      </c>
      <c r="H1671" s="110" t="s">
        <v>4445</v>
      </c>
      <c r="I1671" s="110" t="s">
        <v>3459</v>
      </c>
      <c r="J1671" s="110" t="s">
        <v>4446</v>
      </c>
      <c r="K1671" s="148" t="s">
        <v>4447</v>
      </c>
    </row>
    <row r="1672" spans="1:11">
      <c r="A1672" s="158"/>
      <c r="B1672" s="112"/>
      <c r="C1672" s="112"/>
      <c r="D1672" s="110" t="s">
        <v>4521</v>
      </c>
      <c r="E1672" s="110" t="s">
        <v>4448</v>
      </c>
      <c r="F1672" s="105" t="s">
        <v>2681</v>
      </c>
      <c r="G1672" s="110" t="s">
        <v>4449</v>
      </c>
      <c r="H1672" s="110" t="s">
        <v>4450</v>
      </c>
      <c r="I1672" s="110" t="s">
        <v>3581</v>
      </c>
      <c r="J1672" s="110" t="s">
        <v>4451</v>
      </c>
      <c r="K1672" s="148" t="s">
        <v>4452</v>
      </c>
    </row>
    <row r="1673" spans="1:11">
      <c r="A1673" s="158"/>
      <c r="B1673" s="112"/>
      <c r="C1673" s="112"/>
      <c r="D1673" s="110" t="s">
        <v>4522</v>
      </c>
      <c r="E1673" s="110" t="s">
        <v>4453</v>
      </c>
      <c r="F1673" s="105" t="s">
        <v>2681</v>
      </c>
      <c r="G1673" s="110" t="s">
        <v>4454</v>
      </c>
      <c r="H1673" s="110" t="s">
        <v>4455</v>
      </c>
      <c r="I1673" s="110" t="s">
        <v>3459</v>
      </c>
      <c r="J1673" s="110" t="s">
        <v>4456</v>
      </c>
      <c r="K1673" s="148" t="s">
        <v>4457</v>
      </c>
    </row>
    <row r="1674" spans="1:11">
      <c r="A1674" s="158"/>
      <c r="B1674" s="112"/>
      <c r="C1674" s="112"/>
      <c r="D1674" s="110" t="s">
        <v>4523</v>
      </c>
      <c r="E1674" s="110" t="s">
        <v>4458</v>
      </c>
      <c r="F1674" s="105" t="s">
        <v>2681</v>
      </c>
      <c r="G1674" s="110" t="s">
        <v>4459</v>
      </c>
      <c r="H1674" s="110" t="s">
        <v>4460</v>
      </c>
      <c r="I1674" s="110" t="s">
        <v>3459</v>
      </c>
      <c r="J1674" s="110" t="s">
        <v>4461</v>
      </c>
      <c r="K1674" s="148" t="s">
        <v>4462</v>
      </c>
    </row>
    <row r="1675" spans="1:11">
      <c r="A1675" s="158"/>
      <c r="B1675" s="112"/>
      <c r="C1675" s="113"/>
      <c r="D1675" s="110" t="s">
        <v>4524</v>
      </c>
      <c r="E1675" s="110" t="s">
        <v>4463</v>
      </c>
      <c r="F1675" s="105" t="s">
        <v>2681</v>
      </c>
      <c r="G1675" s="110" t="s">
        <v>4464</v>
      </c>
      <c r="H1675" s="110" t="s">
        <v>4465</v>
      </c>
      <c r="I1675" s="110" t="s">
        <v>3453</v>
      </c>
      <c r="J1675" s="110" t="s">
        <v>4466</v>
      </c>
      <c r="K1675" s="148" t="s">
        <v>4467</v>
      </c>
    </row>
    <row r="1676" spans="1:11">
      <c r="A1676" s="158"/>
      <c r="B1676" s="112"/>
      <c r="C1676" s="111" t="s">
        <v>2809</v>
      </c>
      <c r="D1676" s="110" t="s">
        <v>4525</v>
      </c>
      <c r="E1676" s="110" t="s">
        <v>4468</v>
      </c>
      <c r="F1676" s="105" t="s">
        <v>2681</v>
      </c>
      <c r="G1676" s="110" t="s">
        <v>3160</v>
      </c>
      <c r="H1676" s="110" t="s">
        <v>2229</v>
      </c>
      <c r="I1676" s="110" t="s">
        <v>3459</v>
      </c>
      <c r="J1676" s="110" t="s">
        <v>4469</v>
      </c>
      <c r="K1676" s="148" t="s">
        <v>4470</v>
      </c>
    </row>
    <row r="1677" spans="1:11">
      <c r="A1677" s="158"/>
      <c r="B1677" s="112"/>
      <c r="C1677" s="112"/>
      <c r="D1677" s="110" t="s">
        <v>4526</v>
      </c>
      <c r="E1677" s="110" t="s">
        <v>4471</v>
      </c>
      <c r="F1677" s="105" t="s">
        <v>2681</v>
      </c>
      <c r="G1677" s="110" t="s">
        <v>4472</v>
      </c>
      <c r="H1677" s="110" t="s">
        <v>4473</v>
      </c>
      <c r="I1677" s="110" t="s">
        <v>3459</v>
      </c>
      <c r="J1677" s="110" t="s">
        <v>4474</v>
      </c>
      <c r="K1677" s="148" t="s">
        <v>4475</v>
      </c>
    </row>
    <row r="1678" spans="1:11">
      <c r="A1678" s="158"/>
      <c r="B1678" s="112"/>
      <c r="C1678" s="112"/>
      <c r="D1678" s="110" t="s">
        <v>4527</v>
      </c>
      <c r="E1678" s="110" t="s">
        <v>4476</v>
      </c>
      <c r="F1678" s="105" t="s">
        <v>2681</v>
      </c>
      <c r="G1678" s="110" t="s">
        <v>4419</v>
      </c>
      <c r="H1678" s="110" t="s">
        <v>4477</v>
      </c>
      <c r="I1678" s="110" t="s">
        <v>3581</v>
      </c>
      <c r="J1678" s="110" t="s">
        <v>4478</v>
      </c>
      <c r="K1678" s="148" t="s">
        <v>4479</v>
      </c>
    </row>
    <row r="1679" spans="1:11">
      <c r="A1679" s="158"/>
      <c r="B1679" s="112"/>
      <c r="C1679" s="112"/>
      <c r="D1679" s="110" t="s">
        <v>3629</v>
      </c>
      <c r="E1679" s="110" t="s">
        <v>4480</v>
      </c>
      <c r="F1679" s="105" t="s">
        <v>2681</v>
      </c>
      <c r="G1679" s="110" t="s">
        <v>4341</v>
      </c>
      <c r="H1679" s="110" t="s">
        <v>4481</v>
      </c>
      <c r="I1679" s="110" t="s">
        <v>3459</v>
      </c>
      <c r="J1679" s="110" t="s">
        <v>4482</v>
      </c>
      <c r="K1679" s="148" t="s">
        <v>4483</v>
      </c>
    </row>
    <row r="1680" spans="1:11">
      <c r="A1680" s="158"/>
      <c r="B1680" s="113"/>
      <c r="C1680" s="113"/>
      <c r="D1680" s="110" t="s">
        <v>4528</v>
      </c>
      <c r="E1680" s="110" t="s">
        <v>4484</v>
      </c>
      <c r="F1680" s="105" t="s">
        <v>2681</v>
      </c>
      <c r="G1680" s="110" t="s">
        <v>4485</v>
      </c>
      <c r="H1680" s="110" t="s">
        <v>4486</v>
      </c>
      <c r="I1680" s="110" t="s">
        <v>3453</v>
      </c>
      <c r="J1680" s="110" t="s">
        <v>4487</v>
      </c>
      <c r="K1680" s="148" t="s">
        <v>4488</v>
      </c>
    </row>
    <row r="1681" spans="1:11">
      <c r="A1681" s="158"/>
      <c r="B1681" s="111" t="s">
        <v>2810</v>
      </c>
      <c r="C1681" s="111" t="s">
        <v>2811</v>
      </c>
      <c r="D1681" s="110" t="s">
        <v>4529</v>
      </c>
      <c r="E1681" s="110" t="s">
        <v>4530</v>
      </c>
      <c r="F1681" s="105" t="s">
        <v>2639</v>
      </c>
      <c r="G1681" s="110" t="s">
        <v>2774</v>
      </c>
      <c r="H1681" s="110" t="s">
        <v>4066</v>
      </c>
      <c r="I1681" s="110" t="s">
        <v>3453</v>
      </c>
      <c r="J1681" s="110" t="s">
        <v>4531</v>
      </c>
      <c r="K1681" s="148" t="s">
        <v>4532</v>
      </c>
    </row>
    <row r="1682" spans="1:11">
      <c r="A1682" s="158"/>
      <c r="B1682" s="112"/>
      <c r="C1682" s="112"/>
      <c r="D1682" s="110" t="s">
        <v>4533</v>
      </c>
      <c r="E1682" s="110" t="s">
        <v>4534</v>
      </c>
      <c r="F1682" s="105" t="s">
        <v>2639</v>
      </c>
      <c r="G1682" s="110" t="s">
        <v>4535</v>
      </c>
      <c r="H1682" s="110" t="s">
        <v>4536</v>
      </c>
      <c r="I1682" s="110" t="s">
        <v>3459</v>
      </c>
      <c r="J1682" s="110" t="s">
        <v>4537</v>
      </c>
      <c r="K1682" s="148" t="s">
        <v>4538</v>
      </c>
    </row>
    <row r="1683" spans="1:11">
      <c r="A1683" s="158"/>
      <c r="B1683" s="112"/>
      <c r="C1683" s="112"/>
      <c r="D1683" s="110" t="s">
        <v>4539</v>
      </c>
      <c r="E1683" s="110" t="s">
        <v>4540</v>
      </c>
      <c r="F1683" s="105" t="s">
        <v>2640</v>
      </c>
      <c r="G1683" s="110" t="s">
        <v>4541</v>
      </c>
      <c r="H1683" s="110" t="s">
        <v>4542</v>
      </c>
      <c r="I1683" s="110" t="s">
        <v>3459</v>
      </c>
      <c r="J1683" s="110" t="s">
        <v>4543</v>
      </c>
      <c r="K1683" s="148" t="s">
        <v>4544</v>
      </c>
    </row>
    <row r="1684" spans="1:11">
      <c r="A1684" s="158"/>
      <c r="B1684" s="112"/>
      <c r="C1684" s="112"/>
      <c r="D1684" s="110" t="s">
        <v>4545</v>
      </c>
      <c r="E1684" s="110" t="s">
        <v>4546</v>
      </c>
      <c r="F1684" s="105" t="s">
        <v>2640</v>
      </c>
      <c r="G1684" s="110" t="s">
        <v>4547</v>
      </c>
      <c r="H1684" s="110" t="s">
        <v>4548</v>
      </c>
      <c r="I1684" s="110" t="s">
        <v>3459</v>
      </c>
      <c r="J1684" s="110" t="s">
        <v>4549</v>
      </c>
      <c r="K1684" s="148" t="s">
        <v>4550</v>
      </c>
    </row>
    <row r="1685" spans="1:11">
      <c r="A1685" s="158"/>
      <c r="B1685" s="112"/>
      <c r="C1685" s="113"/>
      <c r="D1685" s="110" t="s">
        <v>4551</v>
      </c>
      <c r="E1685" s="110" t="s">
        <v>4552</v>
      </c>
      <c r="F1685" s="105" t="s">
        <v>2639</v>
      </c>
      <c r="G1685" s="110" t="s">
        <v>4553</v>
      </c>
      <c r="H1685" s="110" t="s">
        <v>4554</v>
      </c>
      <c r="I1685" s="110" t="s">
        <v>3581</v>
      </c>
      <c r="J1685" s="110" t="s">
        <v>4555</v>
      </c>
      <c r="K1685" s="148" t="s">
        <v>4556</v>
      </c>
    </row>
    <row r="1686" spans="1:11">
      <c r="A1686" s="158"/>
      <c r="B1686" s="112"/>
      <c r="C1686" s="111" t="s">
        <v>2812</v>
      </c>
      <c r="D1686" s="110" t="s">
        <v>3489</v>
      </c>
      <c r="E1686" s="110" t="s">
        <v>4557</v>
      </c>
      <c r="F1686" s="105" t="s">
        <v>2639</v>
      </c>
      <c r="G1686" s="110" t="s">
        <v>4558</v>
      </c>
      <c r="H1686" s="110" t="s">
        <v>4559</v>
      </c>
      <c r="I1686" s="110" t="s">
        <v>3459</v>
      </c>
      <c r="J1686" s="110" t="s">
        <v>4560</v>
      </c>
      <c r="K1686" s="148" t="s">
        <v>4561</v>
      </c>
    </row>
    <row r="1687" spans="1:11">
      <c r="A1687" s="158"/>
      <c r="B1687" s="112"/>
      <c r="C1687" s="112"/>
      <c r="D1687" s="110" t="s">
        <v>4562</v>
      </c>
      <c r="E1687" s="110" t="s">
        <v>4563</v>
      </c>
      <c r="F1687" s="105" t="s">
        <v>2640</v>
      </c>
      <c r="G1687" s="110" t="s">
        <v>2207</v>
      </c>
      <c r="H1687" s="110" t="s">
        <v>4564</v>
      </c>
      <c r="I1687" s="110" t="s">
        <v>3459</v>
      </c>
      <c r="J1687" s="110" t="s">
        <v>4565</v>
      </c>
      <c r="K1687" s="148" t="s">
        <v>4566</v>
      </c>
    </row>
    <row r="1688" spans="1:11">
      <c r="A1688" s="158"/>
      <c r="B1688" s="112"/>
      <c r="C1688" s="112"/>
      <c r="D1688" s="110" t="s">
        <v>4567</v>
      </c>
      <c r="E1688" s="110" t="s">
        <v>4568</v>
      </c>
      <c r="F1688" s="105" t="s">
        <v>2640</v>
      </c>
      <c r="G1688" s="110" t="s">
        <v>4569</v>
      </c>
      <c r="H1688" s="110" t="s">
        <v>4570</v>
      </c>
      <c r="I1688" s="110" t="s">
        <v>3581</v>
      </c>
      <c r="J1688" s="110" t="s">
        <v>4571</v>
      </c>
      <c r="K1688" s="148" t="s">
        <v>4572</v>
      </c>
    </row>
    <row r="1689" spans="1:11">
      <c r="A1689" s="158"/>
      <c r="B1689" s="112"/>
      <c r="C1689" s="112"/>
      <c r="D1689" s="110" t="s">
        <v>4573</v>
      </c>
      <c r="E1689" s="110" t="s">
        <v>4574</v>
      </c>
      <c r="F1689" s="105" t="s">
        <v>2640</v>
      </c>
      <c r="G1689" s="110" t="s">
        <v>4575</v>
      </c>
      <c r="H1689" s="110" t="s">
        <v>4576</v>
      </c>
      <c r="I1689" s="110" t="s">
        <v>3453</v>
      </c>
      <c r="J1689" s="110" t="s">
        <v>4577</v>
      </c>
      <c r="K1689" s="148" t="s">
        <v>4578</v>
      </c>
    </row>
    <row r="1690" spans="1:11">
      <c r="A1690" s="158"/>
      <c r="B1690" s="112"/>
      <c r="C1690" s="113"/>
      <c r="D1690" s="110" t="s">
        <v>4579</v>
      </c>
      <c r="E1690" s="110" t="s">
        <v>4580</v>
      </c>
      <c r="F1690" s="105" t="s">
        <v>2640</v>
      </c>
      <c r="G1690" s="110" t="s">
        <v>4372</v>
      </c>
      <c r="H1690" s="110" t="s">
        <v>4581</v>
      </c>
      <c r="I1690" s="110" t="s">
        <v>3459</v>
      </c>
      <c r="J1690" s="110" t="s">
        <v>4582</v>
      </c>
      <c r="K1690" s="148" t="s">
        <v>4583</v>
      </c>
    </row>
    <row r="1691" spans="1:11">
      <c r="A1691" s="158"/>
      <c r="B1691" s="112"/>
      <c r="C1691" s="111" t="s">
        <v>2813</v>
      </c>
      <c r="D1691" s="110" t="s">
        <v>4584</v>
      </c>
      <c r="E1691" s="110" t="s">
        <v>4585</v>
      </c>
      <c r="F1691" s="105" t="s">
        <v>2640</v>
      </c>
      <c r="G1691" s="110" t="s">
        <v>4586</v>
      </c>
      <c r="H1691" s="110" t="s">
        <v>4587</v>
      </c>
      <c r="I1691" s="110" t="s">
        <v>3453</v>
      </c>
      <c r="J1691" s="110" t="s">
        <v>4588</v>
      </c>
      <c r="K1691" s="148" t="s">
        <v>4589</v>
      </c>
    </row>
    <row r="1692" spans="1:11">
      <c r="A1692" s="158"/>
      <c r="B1692" s="112"/>
      <c r="C1692" s="112"/>
      <c r="D1692" s="110" t="s">
        <v>4491</v>
      </c>
      <c r="E1692" s="110" t="s">
        <v>4590</v>
      </c>
      <c r="F1692" s="105" t="s">
        <v>2640</v>
      </c>
      <c r="G1692" s="110" t="s">
        <v>4591</v>
      </c>
      <c r="H1692" s="110" t="s">
        <v>4592</v>
      </c>
      <c r="I1692" s="110" t="s">
        <v>3459</v>
      </c>
      <c r="J1692" s="110" t="s">
        <v>4593</v>
      </c>
      <c r="K1692" s="148" t="s">
        <v>4594</v>
      </c>
    </row>
    <row r="1693" spans="1:11">
      <c r="A1693" s="158"/>
      <c r="B1693" s="112"/>
      <c r="C1693" s="112"/>
      <c r="D1693" s="110" t="s">
        <v>4595</v>
      </c>
      <c r="E1693" s="110" t="s">
        <v>4596</v>
      </c>
      <c r="F1693" s="105" t="s">
        <v>2641</v>
      </c>
      <c r="G1693" s="110" t="s">
        <v>3410</v>
      </c>
      <c r="H1693" s="110" t="s">
        <v>4597</v>
      </c>
      <c r="I1693" s="110" t="s">
        <v>3459</v>
      </c>
      <c r="J1693" s="110" t="s">
        <v>4598</v>
      </c>
      <c r="K1693" s="148" t="s">
        <v>4599</v>
      </c>
    </row>
    <row r="1694" spans="1:11">
      <c r="A1694" s="158"/>
      <c r="B1694" s="112"/>
      <c r="C1694" s="112"/>
      <c r="D1694" s="110" t="s">
        <v>4501</v>
      </c>
      <c r="E1694" s="110" t="s">
        <v>4600</v>
      </c>
      <c r="F1694" s="105" t="s">
        <v>2640</v>
      </c>
      <c r="G1694" s="110" t="s">
        <v>4601</v>
      </c>
      <c r="H1694" s="110" t="s">
        <v>4602</v>
      </c>
      <c r="I1694" s="110" t="s">
        <v>3459</v>
      </c>
      <c r="J1694" s="110" t="s">
        <v>4603</v>
      </c>
      <c r="K1694" s="148" t="s">
        <v>4604</v>
      </c>
    </row>
    <row r="1695" spans="1:11">
      <c r="A1695" s="158"/>
      <c r="B1695" s="112"/>
      <c r="C1695" s="113"/>
      <c r="D1695" s="110" t="s">
        <v>4605</v>
      </c>
      <c r="E1695" s="110" t="s">
        <v>4606</v>
      </c>
      <c r="F1695" s="105" t="s">
        <v>2640</v>
      </c>
      <c r="G1695" s="110" t="s">
        <v>4607</v>
      </c>
      <c r="H1695" s="110" t="s">
        <v>4608</v>
      </c>
      <c r="I1695" s="110" t="s">
        <v>3453</v>
      </c>
      <c r="J1695" s="110" t="s">
        <v>4609</v>
      </c>
      <c r="K1695" s="148" t="s">
        <v>4610</v>
      </c>
    </row>
    <row r="1696" spans="1:11">
      <c r="A1696" s="158"/>
      <c r="B1696" s="112"/>
      <c r="C1696" s="111" t="s">
        <v>2814</v>
      </c>
      <c r="D1696" s="110" t="s">
        <v>4611</v>
      </c>
      <c r="E1696" s="110" t="s">
        <v>4612</v>
      </c>
      <c r="F1696" s="105" t="s">
        <v>2639</v>
      </c>
      <c r="G1696" s="110" t="s">
        <v>4613</v>
      </c>
      <c r="H1696" s="110" t="s">
        <v>4614</v>
      </c>
      <c r="I1696" s="110" t="s">
        <v>3459</v>
      </c>
      <c r="J1696" s="110" t="s">
        <v>4615</v>
      </c>
      <c r="K1696" s="148" t="s">
        <v>4616</v>
      </c>
    </row>
    <row r="1697" spans="1:11">
      <c r="A1697" s="158"/>
      <c r="B1697" s="112"/>
      <c r="C1697" s="112"/>
      <c r="D1697" s="110" t="s">
        <v>4617</v>
      </c>
      <c r="E1697" s="110" t="s">
        <v>4618</v>
      </c>
      <c r="F1697" s="105" t="s">
        <v>2639</v>
      </c>
      <c r="G1697" s="110" t="s">
        <v>3160</v>
      </c>
      <c r="H1697" s="110" t="s">
        <v>4619</v>
      </c>
      <c r="I1697" s="110" t="s">
        <v>3459</v>
      </c>
      <c r="J1697" s="110" t="s">
        <v>4620</v>
      </c>
      <c r="K1697" s="148" t="s">
        <v>4621</v>
      </c>
    </row>
    <row r="1698" spans="1:11">
      <c r="A1698" s="158"/>
      <c r="B1698" s="112"/>
      <c r="C1698" s="112"/>
      <c r="D1698" s="110" t="s">
        <v>4622</v>
      </c>
      <c r="E1698" s="110" t="s">
        <v>4623</v>
      </c>
      <c r="F1698" s="105" t="s">
        <v>2639</v>
      </c>
      <c r="G1698" s="110" t="s">
        <v>4624</v>
      </c>
      <c r="H1698" s="110" t="s">
        <v>4625</v>
      </c>
      <c r="I1698" s="110" t="s">
        <v>3581</v>
      </c>
      <c r="J1698" s="110" t="s">
        <v>4626</v>
      </c>
      <c r="K1698" s="148" t="s">
        <v>4627</v>
      </c>
    </row>
    <row r="1699" spans="1:11">
      <c r="A1699" s="158"/>
      <c r="B1699" s="112"/>
      <c r="C1699" s="112"/>
      <c r="D1699" s="110" t="s">
        <v>4628</v>
      </c>
      <c r="E1699" s="110" t="s">
        <v>4629</v>
      </c>
      <c r="F1699" s="105" t="s">
        <v>2640</v>
      </c>
      <c r="G1699" s="110" t="s">
        <v>4630</v>
      </c>
      <c r="H1699" s="110" t="s">
        <v>4631</v>
      </c>
      <c r="I1699" s="110" t="s">
        <v>3453</v>
      </c>
      <c r="J1699" s="110" t="s">
        <v>3650</v>
      </c>
      <c r="K1699" s="148" t="s">
        <v>4632</v>
      </c>
    </row>
    <row r="1700" spans="1:11">
      <c r="A1700" s="158"/>
      <c r="B1700" s="112"/>
      <c r="C1700" s="113"/>
      <c r="D1700" s="110" t="s">
        <v>3995</v>
      </c>
      <c r="E1700" s="110" t="s">
        <v>4633</v>
      </c>
      <c r="F1700" s="105" t="s">
        <v>2639</v>
      </c>
      <c r="G1700" s="110" t="s">
        <v>4634</v>
      </c>
      <c r="H1700" s="110" t="s">
        <v>4635</v>
      </c>
      <c r="I1700" s="110" t="s">
        <v>3459</v>
      </c>
      <c r="J1700" s="110" t="s">
        <v>2635</v>
      </c>
      <c r="K1700" s="148" t="s">
        <v>4636</v>
      </c>
    </row>
    <row r="1701" spans="1:11">
      <c r="A1701" s="158"/>
      <c r="B1701" s="112"/>
      <c r="C1701" s="111" t="s">
        <v>2815</v>
      </c>
      <c r="D1701" s="110" t="s">
        <v>4637</v>
      </c>
      <c r="E1701" s="110" t="s">
        <v>4638</v>
      </c>
      <c r="F1701" s="105" t="s">
        <v>2639</v>
      </c>
      <c r="G1701" s="110" t="s">
        <v>4639</v>
      </c>
      <c r="H1701" s="110" t="s">
        <v>4640</v>
      </c>
      <c r="I1701" s="110" t="s">
        <v>3453</v>
      </c>
      <c r="J1701" s="110" t="s">
        <v>4559</v>
      </c>
      <c r="K1701" s="148" t="s">
        <v>4641</v>
      </c>
    </row>
    <row r="1702" spans="1:11">
      <c r="A1702" s="158"/>
      <c r="B1702" s="112"/>
      <c r="C1702" s="112"/>
      <c r="D1702" s="110" t="s">
        <v>4642</v>
      </c>
      <c r="E1702" s="110" t="s">
        <v>4643</v>
      </c>
      <c r="F1702" s="105" t="s">
        <v>2640</v>
      </c>
      <c r="G1702" s="110" t="s">
        <v>4642</v>
      </c>
      <c r="H1702" s="110" t="s">
        <v>4644</v>
      </c>
      <c r="I1702" s="110" t="s">
        <v>3459</v>
      </c>
      <c r="J1702" s="110" t="s">
        <v>4645</v>
      </c>
      <c r="K1702" s="148" t="s">
        <v>4646</v>
      </c>
    </row>
    <row r="1703" spans="1:11">
      <c r="A1703" s="158"/>
      <c r="B1703" s="112"/>
      <c r="C1703" s="112"/>
      <c r="D1703" s="110" t="s">
        <v>4647</v>
      </c>
      <c r="E1703" s="110" t="s">
        <v>4648</v>
      </c>
      <c r="F1703" s="105" t="s">
        <v>2640</v>
      </c>
      <c r="G1703" s="110" t="s">
        <v>4649</v>
      </c>
      <c r="H1703" s="110" t="s">
        <v>4650</v>
      </c>
      <c r="I1703" s="110" t="s">
        <v>3453</v>
      </c>
      <c r="J1703" s="110" t="s">
        <v>2219</v>
      </c>
      <c r="K1703" s="148" t="s">
        <v>4651</v>
      </c>
    </row>
    <row r="1704" spans="1:11">
      <c r="A1704" s="158"/>
      <c r="B1704" s="112"/>
      <c r="C1704" s="112"/>
      <c r="D1704" s="110" t="s">
        <v>4652</v>
      </c>
      <c r="E1704" s="110" t="s">
        <v>4653</v>
      </c>
      <c r="F1704" s="105" t="s">
        <v>2639</v>
      </c>
      <c r="G1704" s="110" t="s">
        <v>1962</v>
      </c>
      <c r="H1704" s="110" t="s">
        <v>3516</v>
      </c>
      <c r="I1704" s="110" t="s">
        <v>3581</v>
      </c>
      <c r="J1704" s="110" t="s">
        <v>4654</v>
      </c>
      <c r="K1704" s="148" t="s">
        <v>4655</v>
      </c>
    </row>
    <row r="1705" spans="1:11">
      <c r="A1705" s="158"/>
      <c r="B1705" s="113"/>
      <c r="C1705" s="113"/>
      <c r="D1705" s="110" t="s">
        <v>4656</v>
      </c>
      <c r="E1705" s="110" t="s">
        <v>4657</v>
      </c>
      <c r="F1705" s="105" t="s">
        <v>2639</v>
      </c>
      <c r="G1705" s="110" t="s">
        <v>4658</v>
      </c>
      <c r="H1705" s="110" t="s">
        <v>4659</v>
      </c>
      <c r="I1705" s="110" t="s">
        <v>3459</v>
      </c>
      <c r="J1705" s="110" t="s">
        <v>1992</v>
      </c>
      <c r="K1705" s="148" t="s">
        <v>4660</v>
      </c>
    </row>
    <row r="1706" spans="1:11">
      <c r="A1706" s="158"/>
      <c r="B1706" s="111" t="s">
        <v>2816</v>
      </c>
      <c r="C1706" s="111" t="s">
        <v>2817</v>
      </c>
      <c r="D1706" s="110" t="s">
        <v>4661</v>
      </c>
      <c r="E1706" s="110" t="s">
        <v>4662</v>
      </c>
      <c r="F1706" s="105" t="s">
        <v>2639</v>
      </c>
      <c r="G1706" s="110" t="s">
        <v>4663</v>
      </c>
      <c r="H1706" s="110" t="s">
        <v>4664</v>
      </c>
      <c r="I1706" s="110" t="s">
        <v>3453</v>
      </c>
      <c r="J1706" s="110" t="s">
        <v>4665</v>
      </c>
      <c r="K1706" s="148" t="s">
        <v>4666</v>
      </c>
    </row>
    <row r="1707" spans="1:11">
      <c r="A1707" s="158"/>
      <c r="B1707" s="112"/>
      <c r="C1707" s="112"/>
      <c r="D1707" s="110" t="s">
        <v>4667</v>
      </c>
      <c r="E1707" s="110" t="s">
        <v>4668</v>
      </c>
      <c r="F1707" s="105" t="s">
        <v>2640</v>
      </c>
      <c r="G1707" s="110" t="s">
        <v>4669</v>
      </c>
      <c r="H1707" s="110" t="s">
        <v>4670</v>
      </c>
      <c r="I1707" s="110" t="s">
        <v>3453</v>
      </c>
      <c r="J1707" s="110" t="s">
        <v>4671</v>
      </c>
      <c r="K1707" s="148" t="s">
        <v>4672</v>
      </c>
    </row>
    <row r="1708" spans="1:11">
      <c r="A1708" s="158"/>
      <c r="B1708" s="112"/>
      <c r="C1708" s="112"/>
      <c r="D1708" s="110" t="s">
        <v>4673</v>
      </c>
      <c r="E1708" s="110" t="s">
        <v>4674</v>
      </c>
      <c r="F1708" s="105" t="s">
        <v>2639</v>
      </c>
      <c r="G1708" s="110" t="s">
        <v>2937</v>
      </c>
      <c r="H1708" s="110" t="s">
        <v>4675</v>
      </c>
      <c r="I1708" s="110" t="s">
        <v>3459</v>
      </c>
      <c r="J1708" s="110" t="s">
        <v>4676</v>
      </c>
      <c r="K1708" s="148" t="s">
        <v>4677</v>
      </c>
    </row>
    <row r="1709" spans="1:11">
      <c r="A1709" s="158"/>
      <c r="B1709" s="112"/>
      <c r="C1709" s="112"/>
      <c r="D1709" s="110" t="s">
        <v>4678</v>
      </c>
      <c r="E1709" s="110" t="s">
        <v>4679</v>
      </c>
      <c r="F1709" s="105" t="s">
        <v>2639</v>
      </c>
      <c r="G1709" s="110" t="s">
        <v>4680</v>
      </c>
      <c r="H1709" s="110" t="s">
        <v>4681</v>
      </c>
      <c r="I1709" s="110" t="s">
        <v>3459</v>
      </c>
      <c r="J1709" s="110" t="s">
        <v>3269</v>
      </c>
      <c r="K1709" s="148" t="s">
        <v>4682</v>
      </c>
    </row>
    <row r="1710" spans="1:11">
      <c r="A1710" s="158"/>
      <c r="B1710" s="112"/>
      <c r="C1710" s="113"/>
      <c r="D1710" s="110" t="s">
        <v>4683</v>
      </c>
      <c r="E1710" s="110" t="s">
        <v>4684</v>
      </c>
      <c r="F1710" s="105" t="s">
        <v>2639</v>
      </c>
      <c r="G1710" s="110" t="s">
        <v>4685</v>
      </c>
      <c r="H1710" s="110" t="s">
        <v>4686</v>
      </c>
      <c r="I1710" s="110" t="s">
        <v>3459</v>
      </c>
      <c r="J1710" s="110" t="s">
        <v>4455</v>
      </c>
      <c r="K1710" s="148" t="s">
        <v>4687</v>
      </c>
    </row>
    <row r="1711" spans="1:11">
      <c r="A1711" s="158"/>
      <c r="B1711" s="112"/>
      <c r="C1711" s="111" t="s">
        <v>2818</v>
      </c>
      <c r="D1711" s="110" t="s">
        <v>4688</v>
      </c>
      <c r="E1711" s="110" t="s">
        <v>4689</v>
      </c>
      <c r="F1711" s="105" t="s">
        <v>2639</v>
      </c>
      <c r="G1711" s="110" t="s">
        <v>2774</v>
      </c>
      <c r="H1711" s="110" t="s">
        <v>4690</v>
      </c>
      <c r="I1711" s="110" t="s">
        <v>3459</v>
      </c>
      <c r="J1711" s="110" t="s">
        <v>4691</v>
      </c>
      <c r="K1711" s="148" t="s">
        <v>4692</v>
      </c>
    </row>
    <row r="1712" spans="1:11">
      <c r="A1712" s="158"/>
      <c r="B1712" s="112"/>
      <c r="C1712" s="112"/>
      <c r="D1712" s="110" t="s">
        <v>4693</v>
      </c>
      <c r="E1712" s="110" t="s">
        <v>4694</v>
      </c>
      <c r="F1712" s="105" t="s">
        <v>2639</v>
      </c>
      <c r="G1712" s="110" t="s">
        <v>4695</v>
      </c>
      <c r="H1712" s="110" t="s">
        <v>4696</v>
      </c>
      <c r="I1712" s="110" t="s">
        <v>3459</v>
      </c>
      <c r="J1712" s="110" t="s">
        <v>4697</v>
      </c>
      <c r="K1712" s="148" t="s">
        <v>4698</v>
      </c>
    </row>
    <row r="1713" spans="1:11">
      <c r="A1713" s="158"/>
      <c r="B1713" s="112"/>
      <c r="C1713" s="112"/>
      <c r="D1713" s="110" t="s">
        <v>4699</v>
      </c>
      <c r="E1713" s="110" t="s">
        <v>4700</v>
      </c>
      <c r="F1713" s="105" t="s">
        <v>2640</v>
      </c>
      <c r="G1713" s="110" t="s">
        <v>4701</v>
      </c>
      <c r="H1713" s="110" t="s">
        <v>4702</v>
      </c>
      <c r="I1713" s="110" t="s">
        <v>3453</v>
      </c>
      <c r="J1713" s="110" t="s">
        <v>4703</v>
      </c>
      <c r="K1713" s="148" t="s">
        <v>2378</v>
      </c>
    </row>
    <row r="1714" spans="1:11">
      <c r="A1714" s="158"/>
      <c r="B1714" s="112"/>
      <c r="C1714" s="112"/>
      <c r="D1714" s="110" t="s">
        <v>4505</v>
      </c>
      <c r="E1714" s="110" t="s">
        <v>4704</v>
      </c>
      <c r="F1714" s="105" t="s">
        <v>2640</v>
      </c>
      <c r="G1714" s="110" t="s">
        <v>4705</v>
      </c>
      <c r="H1714" s="110" t="s">
        <v>4706</v>
      </c>
      <c r="I1714" s="110" t="s">
        <v>3459</v>
      </c>
      <c r="J1714" s="110" t="s">
        <v>4707</v>
      </c>
      <c r="K1714" s="148" t="s">
        <v>4708</v>
      </c>
    </row>
    <row r="1715" spans="1:11">
      <c r="A1715" s="158"/>
      <c r="B1715" s="112"/>
      <c r="C1715" s="113"/>
      <c r="D1715" s="110" t="s">
        <v>4709</v>
      </c>
      <c r="E1715" s="110" t="s">
        <v>4710</v>
      </c>
      <c r="F1715" s="105" t="s">
        <v>2639</v>
      </c>
      <c r="G1715" s="110" t="s">
        <v>4711</v>
      </c>
      <c r="H1715" s="110" t="s">
        <v>4712</v>
      </c>
      <c r="I1715" s="110" t="s">
        <v>3581</v>
      </c>
      <c r="J1715" s="110" t="s">
        <v>4713</v>
      </c>
      <c r="K1715" s="148" t="s">
        <v>4714</v>
      </c>
    </row>
    <row r="1716" spans="1:11">
      <c r="A1716" s="158"/>
      <c r="B1716" s="112"/>
      <c r="C1716" s="111" t="s">
        <v>2819</v>
      </c>
      <c r="D1716" s="110" t="s">
        <v>4715</v>
      </c>
      <c r="E1716" s="110" t="s">
        <v>4716</v>
      </c>
      <c r="F1716" s="105" t="s">
        <v>2639</v>
      </c>
      <c r="G1716" s="110" t="s">
        <v>4717</v>
      </c>
      <c r="H1716" s="110" t="s">
        <v>4718</v>
      </c>
      <c r="I1716" s="110" t="s">
        <v>3453</v>
      </c>
      <c r="J1716" s="110" t="s">
        <v>4719</v>
      </c>
      <c r="K1716" s="148" t="s">
        <v>4720</v>
      </c>
    </row>
    <row r="1717" spans="1:11">
      <c r="A1717" s="158"/>
      <c r="B1717" s="112"/>
      <c r="C1717" s="112"/>
      <c r="D1717" s="110" t="s">
        <v>4721</v>
      </c>
      <c r="E1717" s="110" t="s">
        <v>4722</v>
      </c>
      <c r="F1717" s="105" t="s">
        <v>2639</v>
      </c>
      <c r="G1717" s="110" t="s">
        <v>4723</v>
      </c>
      <c r="H1717" s="110" t="s">
        <v>4724</v>
      </c>
      <c r="I1717" s="110" t="s">
        <v>3459</v>
      </c>
      <c r="J1717" s="110" t="s">
        <v>3269</v>
      </c>
      <c r="K1717" s="148" t="s">
        <v>4725</v>
      </c>
    </row>
    <row r="1718" spans="1:11">
      <c r="A1718" s="158"/>
      <c r="B1718" s="112"/>
      <c r="C1718" s="112"/>
      <c r="D1718" s="110" t="s">
        <v>4726</v>
      </c>
      <c r="E1718" s="110" t="s">
        <v>4727</v>
      </c>
      <c r="F1718" s="105" t="s">
        <v>2639</v>
      </c>
      <c r="G1718" s="110" t="s">
        <v>4728</v>
      </c>
      <c r="H1718" s="110" t="s">
        <v>4729</v>
      </c>
      <c r="I1718" s="110" t="s">
        <v>3459</v>
      </c>
      <c r="J1718" s="110" t="s">
        <v>4730</v>
      </c>
      <c r="K1718" s="148" t="s">
        <v>4731</v>
      </c>
    </row>
    <row r="1719" spans="1:11">
      <c r="A1719" s="158"/>
      <c r="B1719" s="112"/>
      <c r="C1719" s="112"/>
      <c r="D1719" s="110" t="s">
        <v>4732</v>
      </c>
      <c r="E1719" s="110" t="s">
        <v>4733</v>
      </c>
      <c r="F1719" s="105" t="s">
        <v>2639</v>
      </c>
      <c r="G1719" s="110" t="s">
        <v>4734</v>
      </c>
      <c r="H1719" s="110" t="s">
        <v>4735</v>
      </c>
      <c r="I1719" s="110" t="s">
        <v>3459</v>
      </c>
      <c r="J1719" s="110" t="s">
        <v>4736</v>
      </c>
      <c r="K1719" s="148" t="s">
        <v>4737</v>
      </c>
    </row>
    <row r="1720" spans="1:11">
      <c r="A1720" s="158"/>
      <c r="B1720" s="112"/>
      <c r="C1720" s="113"/>
      <c r="D1720" s="110" t="s">
        <v>4738</v>
      </c>
      <c r="E1720" s="110" t="s">
        <v>4739</v>
      </c>
      <c r="F1720" s="105" t="s">
        <v>2640</v>
      </c>
      <c r="G1720" s="110" t="s">
        <v>4740</v>
      </c>
      <c r="H1720" s="110" t="s">
        <v>3206</v>
      </c>
      <c r="I1720" s="110" t="s">
        <v>3459</v>
      </c>
      <c r="J1720" s="110" t="s">
        <v>4741</v>
      </c>
      <c r="K1720" s="148" t="s">
        <v>4742</v>
      </c>
    </row>
    <row r="1721" spans="1:11">
      <c r="A1721" s="158"/>
      <c r="B1721" s="112"/>
      <c r="C1721" s="111" t="s">
        <v>2820</v>
      </c>
      <c r="D1721" s="110" t="s">
        <v>4743</v>
      </c>
      <c r="E1721" s="110" t="s">
        <v>4744</v>
      </c>
      <c r="F1721" s="105" t="s">
        <v>2639</v>
      </c>
      <c r="G1721" s="110" t="s">
        <v>4745</v>
      </c>
      <c r="H1721" s="110" t="s">
        <v>4746</v>
      </c>
      <c r="I1721" s="110" t="s">
        <v>3453</v>
      </c>
      <c r="J1721" s="110" t="s">
        <v>2696</v>
      </c>
      <c r="K1721" s="148" t="s">
        <v>4747</v>
      </c>
    </row>
    <row r="1722" spans="1:11">
      <c r="A1722" s="158"/>
      <c r="B1722" s="112"/>
      <c r="C1722" s="112"/>
      <c r="D1722" s="110" t="s">
        <v>4748</v>
      </c>
      <c r="E1722" s="110" t="s">
        <v>4749</v>
      </c>
      <c r="F1722" s="105" t="s">
        <v>2640</v>
      </c>
      <c r="G1722" s="110" t="s">
        <v>3182</v>
      </c>
      <c r="H1722" s="110" t="s">
        <v>4750</v>
      </c>
      <c r="I1722" s="110" t="s">
        <v>3459</v>
      </c>
      <c r="J1722" s="110" t="s">
        <v>4751</v>
      </c>
      <c r="K1722" s="148" t="s">
        <v>4752</v>
      </c>
    </row>
    <row r="1723" spans="1:11">
      <c r="A1723" s="158"/>
      <c r="B1723" s="112"/>
      <c r="C1723" s="112"/>
      <c r="D1723" s="110" t="s">
        <v>4753</v>
      </c>
      <c r="E1723" s="110" t="s">
        <v>4754</v>
      </c>
      <c r="F1723" s="105" t="s">
        <v>2640</v>
      </c>
      <c r="G1723" s="110" t="s">
        <v>4755</v>
      </c>
      <c r="H1723" s="110" t="s">
        <v>4756</v>
      </c>
      <c r="I1723" s="110" t="s">
        <v>3459</v>
      </c>
      <c r="J1723" s="110" t="s">
        <v>4757</v>
      </c>
      <c r="K1723" s="148" t="s">
        <v>4758</v>
      </c>
    </row>
    <row r="1724" spans="1:11">
      <c r="A1724" s="158"/>
      <c r="B1724" s="112"/>
      <c r="C1724" s="112"/>
      <c r="D1724" s="110" t="s">
        <v>4759</v>
      </c>
      <c r="E1724" s="110" t="s">
        <v>4760</v>
      </c>
      <c r="F1724" s="105" t="s">
        <v>2640</v>
      </c>
      <c r="G1724" s="110" t="s">
        <v>4761</v>
      </c>
      <c r="H1724" s="110" t="s">
        <v>4762</v>
      </c>
      <c r="I1724" s="110" t="s">
        <v>3459</v>
      </c>
      <c r="J1724" s="110" t="s">
        <v>4763</v>
      </c>
      <c r="K1724" s="148" t="s">
        <v>4764</v>
      </c>
    </row>
    <row r="1725" spans="1:11">
      <c r="A1725" s="158"/>
      <c r="B1725" s="112"/>
      <c r="C1725" s="113"/>
      <c r="D1725" s="110" t="s">
        <v>4765</v>
      </c>
      <c r="E1725" s="110" t="s">
        <v>4766</v>
      </c>
      <c r="F1725" s="105" t="s">
        <v>2640</v>
      </c>
      <c r="G1725" s="110" t="s">
        <v>4767</v>
      </c>
      <c r="H1725" s="110" t="s">
        <v>4768</v>
      </c>
      <c r="I1725" s="110" t="s">
        <v>3459</v>
      </c>
      <c r="J1725" s="110" t="s">
        <v>4769</v>
      </c>
      <c r="K1725" s="148" t="s">
        <v>4770</v>
      </c>
    </row>
    <row r="1726" spans="1:11">
      <c r="A1726" s="158"/>
      <c r="B1726" s="112"/>
      <c r="C1726" s="111" t="s">
        <v>2821</v>
      </c>
      <c r="D1726" s="110" t="s">
        <v>4715</v>
      </c>
      <c r="E1726" s="110" t="s">
        <v>4716</v>
      </c>
      <c r="F1726" s="105" t="s">
        <v>2639</v>
      </c>
      <c r="G1726" s="110" t="s">
        <v>4717</v>
      </c>
      <c r="H1726" s="110" t="s">
        <v>4718</v>
      </c>
      <c r="I1726" s="110" t="s">
        <v>3453</v>
      </c>
      <c r="J1726" s="110" t="s">
        <v>4719</v>
      </c>
      <c r="K1726" s="148" t="s">
        <v>4720</v>
      </c>
    </row>
    <row r="1727" spans="1:11">
      <c r="A1727" s="158"/>
      <c r="B1727" s="112"/>
      <c r="C1727" s="112"/>
      <c r="D1727" s="110" t="s">
        <v>4721</v>
      </c>
      <c r="E1727" s="110" t="s">
        <v>4722</v>
      </c>
      <c r="F1727" s="105" t="s">
        <v>2639</v>
      </c>
      <c r="G1727" s="110" t="s">
        <v>4723</v>
      </c>
      <c r="H1727" s="110" t="s">
        <v>4724</v>
      </c>
      <c r="I1727" s="110" t="s">
        <v>3459</v>
      </c>
      <c r="J1727" s="110" t="s">
        <v>3269</v>
      </c>
      <c r="K1727" s="148" t="s">
        <v>4725</v>
      </c>
    </row>
    <row r="1728" spans="1:11">
      <c r="A1728" s="158"/>
      <c r="B1728" s="112"/>
      <c r="C1728" s="112"/>
      <c r="D1728" s="110" t="s">
        <v>4726</v>
      </c>
      <c r="E1728" s="110" t="s">
        <v>4727</v>
      </c>
      <c r="F1728" s="105" t="s">
        <v>2639</v>
      </c>
      <c r="G1728" s="110" t="s">
        <v>4728</v>
      </c>
      <c r="H1728" s="110" t="s">
        <v>4729</v>
      </c>
      <c r="I1728" s="110" t="s">
        <v>3459</v>
      </c>
      <c r="J1728" s="110" t="s">
        <v>4730</v>
      </c>
      <c r="K1728" s="148" t="s">
        <v>4731</v>
      </c>
    </row>
    <row r="1729" spans="1:11">
      <c r="A1729" s="158"/>
      <c r="B1729" s="112"/>
      <c r="C1729" s="112"/>
      <c r="D1729" s="110" t="s">
        <v>4732</v>
      </c>
      <c r="E1729" s="110" t="s">
        <v>4733</v>
      </c>
      <c r="F1729" s="105" t="s">
        <v>2639</v>
      </c>
      <c r="G1729" s="110" t="s">
        <v>4734</v>
      </c>
      <c r="H1729" s="110" t="s">
        <v>4735</v>
      </c>
      <c r="I1729" s="110" t="s">
        <v>3459</v>
      </c>
      <c r="J1729" s="110" t="s">
        <v>4736</v>
      </c>
      <c r="K1729" s="148" t="s">
        <v>4737</v>
      </c>
    </row>
    <row r="1730" spans="1:11">
      <c r="A1730" s="158"/>
      <c r="B1730" s="112"/>
      <c r="C1730" s="113"/>
      <c r="D1730" s="110" t="s">
        <v>4738</v>
      </c>
      <c r="E1730" s="110" t="s">
        <v>4739</v>
      </c>
      <c r="F1730" s="105" t="s">
        <v>2640</v>
      </c>
      <c r="G1730" s="110" t="s">
        <v>4740</v>
      </c>
      <c r="H1730" s="110" t="s">
        <v>3206</v>
      </c>
      <c r="I1730" s="110" t="s">
        <v>3459</v>
      </c>
      <c r="J1730" s="110" t="s">
        <v>4741</v>
      </c>
      <c r="K1730" s="148" t="s">
        <v>4742</v>
      </c>
    </row>
    <row r="1731" spans="1:11">
      <c r="A1731" s="158"/>
      <c r="B1731" s="112"/>
      <c r="C1731" s="111" t="s">
        <v>2822</v>
      </c>
      <c r="D1731" s="110" t="s">
        <v>4771</v>
      </c>
      <c r="E1731" s="110" t="s">
        <v>4772</v>
      </c>
      <c r="F1731" s="105" t="s">
        <v>2639</v>
      </c>
      <c r="G1731" s="110" t="s">
        <v>4717</v>
      </c>
      <c r="H1731" s="110" t="s">
        <v>4773</v>
      </c>
      <c r="I1731" s="110" t="s">
        <v>3459</v>
      </c>
      <c r="J1731" s="110" t="s">
        <v>4774</v>
      </c>
      <c r="K1731" s="148" t="s">
        <v>4775</v>
      </c>
    </row>
    <row r="1732" spans="1:11">
      <c r="A1732" s="158"/>
      <c r="B1732" s="112"/>
      <c r="C1732" s="112"/>
      <c r="D1732" s="110" t="s">
        <v>4776</v>
      </c>
      <c r="E1732" s="110" t="s">
        <v>4777</v>
      </c>
      <c r="F1732" s="105" t="s">
        <v>2639</v>
      </c>
      <c r="G1732" s="110" t="s">
        <v>4778</v>
      </c>
      <c r="H1732" s="110" t="s">
        <v>4779</v>
      </c>
      <c r="I1732" s="110" t="s">
        <v>3459</v>
      </c>
      <c r="J1732" s="110" t="s">
        <v>4780</v>
      </c>
      <c r="K1732" s="148" t="s">
        <v>4781</v>
      </c>
    </row>
    <row r="1733" spans="1:11">
      <c r="A1733" s="158"/>
      <c r="B1733" s="112"/>
      <c r="C1733" s="112"/>
      <c r="D1733" s="110" t="s">
        <v>4759</v>
      </c>
      <c r="E1733" s="110" t="s">
        <v>4782</v>
      </c>
      <c r="F1733" s="105" t="s">
        <v>2640</v>
      </c>
      <c r="G1733" s="110" t="s">
        <v>4783</v>
      </c>
      <c r="H1733" s="110" t="s">
        <v>4784</v>
      </c>
      <c r="I1733" s="110" t="s">
        <v>3581</v>
      </c>
      <c r="J1733" s="110" t="s">
        <v>4785</v>
      </c>
      <c r="K1733" s="148" t="s">
        <v>4786</v>
      </c>
    </row>
    <row r="1734" spans="1:11">
      <c r="A1734" s="158"/>
      <c r="B1734" s="112"/>
      <c r="C1734" s="112"/>
      <c r="D1734" s="110" t="s">
        <v>4787</v>
      </c>
      <c r="E1734" s="110" t="s">
        <v>4788</v>
      </c>
      <c r="F1734" s="105" t="s">
        <v>2639</v>
      </c>
      <c r="G1734" s="110" t="s">
        <v>4789</v>
      </c>
      <c r="H1734" s="110" t="s">
        <v>4790</v>
      </c>
      <c r="I1734" s="110" t="s">
        <v>3459</v>
      </c>
      <c r="J1734" s="110" t="s">
        <v>4791</v>
      </c>
      <c r="K1734" s="148" t="s">
        <v>4792</v>
      </c>
    </row>
    <row r="1735" spans="1:11">
      <c r="A1735" s="158"/>
      <c r="B1735" s="112"/>
      <c r="C1735" s="113"/>
      <c r="D1735" s="110" t="s">
        <v>4793</v>
      </c>
      <c r="E1735" s="110" t="s">
        <v>4794</v>
      </c>
      <c r="F1735" s="105" t="s">
        <v>2640</v>
      </c>
      <c r="G1735" s="110" t="s">
        <v>4795</v>
      </c>
      <c r="H1735" s="110" t="s">
        <v>2007</v>
      </c>
      <c r="I1735" s="110" t="s">
        <v>3581</v>
      </c>
      <c r="J1735" s="110" t="s">
        <v>4796</v>
      </c>
      <c r="K1735" s="148" t="s">
        <v>4797</v>
      </c>
    </row>
    <row r="1736" spans="1:11">
      <c r="A1736" s="158"/>
      <c r="B1736" s="112"/>
      <c r="C1736" s="111" t="s">
        <v>2823</v>
      </c>
      <c r="D1736" s="110" t="s">
        <v>4798</v>
      </c>
      <c r="E1736" s="110" t="s">
        <v>4799</v>
      </c>
      <c r="F1736" s="105" t="s">
        <v>2639</v>
      </c>
      <c r="G1736" s="110" t="s">
        <v>2774</v>
      </c>
      <c r="H1736" s="110" t="s">
        <v>4800</v>
      </c>
      <c r="I1736" s="110" t="s">
        <v>3453</v>
      </c>
      <c r="J1736" s="110" t="s">
        <v>4801</v>
      </c>
      <c r="K1736" s="148" t="s">
        <v>4802</v>
      </c>
    </row>
    <row r="1737" spans="1:11">
      <c r="A1737" s="158"/>
      <c r="B1737" s="112"/>
      <c r="C1737" s="112"/>
      <c r="D1737" s="110" t="s">
        <v>4803</v>
      </c>
      <c r="E1737" s="110" t="s">
        <v>4804</v>
      </c>
      <c r="F1737" s="105" t="s">
        <v>2639</v>
      </c>
      <c r="G1737" s="110" t="s">
        <v>4805</v>
      </c>
      <c r="H1737" s="110" t="s">
        <v>4806</v>
      </c>
      <c r="I1737" s="110" t="s">
        <v>3459</v>
      </c>
      <c r="J1737" s="110" t="s">
        <v>4807</v>
      </c>
      <c r="K1737" s="148" t="s">
        <v>4808</v>
      </c>
    </row>
    <row r="1738" spans="1:11">
      <c r="A1738" s="158"/>
      <c r="B1738" s="112"/>
      <c r="C1738" s="112"/>
      <c r="D1738" s="110" t="s">
        <v>4748</v>
      </c>
      <c r="E1738" s="110" t="s">
        <v>4809</v>
      </c>
      <c r="F1738" s="105" t="s">
        <v>2640</v>
      </c>
      <c r="G1738" s="110" t="s">
        <v>4372</v>
      </c>
      <c r="H1738" s="110" t="s">
        <v>4810</v>
      </c>
      <c r="I1738" s="110" t="s">
        <v>3459</v>
      </c>
      <c r="J1738" s="110" t="s">
        <v>4811</v>
      </c>
      <c r="K1738" s="148" t="s">
        <v>4812</v>
      </c>
    </row>
    <row r="1739" spans="1:11">
      <c r="A1739" s="158"/>
      <c r="B1739" s="112"/>
      <c r="C1739" s="112"/>
      <c r="D1739" s="110" t="s">
        <v>4813</v>
      </c>
      <c r="E1739" s="110" t="s">
        <v>4814</v>
      </c>
      <c r="F1739" s="105" t="s">
        <v>2639</v>
      </c>
      <c r="G1739" s="110" t="s">
        <v>4815</v>
      </c>
      <c r="H1739" s="110" t="s">
        <v>4816</v>
      </c>
      <c r="I1739" s="110" t="s">
        <v>3453</v>
      </c>
      <c r="J1739" s="110" t="s">
        <v>4817</v>
      </c>
      <c r="K1739" s="148" t="s">
        <v>4818</v>
      </c>
    </row>
    <row r="1740" spans="1:11">
      <c r="A1740" s="158"/>
      <c r="B1740" s="112"/>
      <c r="C1740" s="113"/>
      <c r="D1740" s="110" t="s">
        <v>4819</v>
      </c>
      <c r="E1740" s="110" t="s">
        <v>4820</v>
      </c>
      <c r="F1740" s="105" t="s">
        <v>2639</v>
      </c>
      <c r="G1740" s="110" t="s">
        <v>4821</v>
      </c>
      <c r="H1740" s="110" t="s">
        <v>3721</v>
      </c>
      <c r="I1740" s="110" t="s">
        <v>3459</v>
      </c>
      <c r="J1740" s="110" t="s">
        <v>4822</v>
      </c>
      <c r="K1740" s="148" t="s">
        <v>4823</v>
      </c>
    </row>
    <row r="1741" spans="1:11">
      <c r="A1741" s="158"/>
      <c r="B1741" s="112"/>
      <c r="C1741" s="111" t="s">
        <v>2824</v>
      </c>
      <c r="D1741" s="110" t="s">
        <v>4824</v>
      </c>
      <c r="E1741" s="110" t="s">
        <v>4825</v>
      </c>
      <c r="F1741" s="105" t="s">
        <v>2640</v>
      </c>
      <c r="G1741" s="110" t="s">
        <v>3326</v>
      </c>
      <c r="H1741" s="110" t="s">
        <v>4826</v>
      </c>
      <c r="I1741" s="110" t="s">
        <v>3453</v>
      </c>
      <c r="J1741" s="110" t="s">
        <v>4827</v>
      </c>
      <c r="K1741" s="148" t="s">
        <v>4828</v>
      </c>
    </row>
    <row r="1742" spans="1:11">
      <c r="A1742" s="158"/>
      <c r="B1742" s="112"/>
      <c r="C1742" s="112"/>
      <c r="D1742" s="110" t="s">
        <v>4829</v>
      </c>
      <c r="E1742" s="110" t="s">
        <v>4830</v>
      </c>
      <c r="F1742" s="105" t="s">
        <v>2640</v>
      </c>
      <c r="G1742" s="110" t="s">
        <v>4831</v>
      </c>
      <c r="H1742" s="110" t="s">
        <v>4832</v>
      </c>
      <c r="I1742" s="110" t="s">
        <v>3453</v>
      </c>
      <c r="J1742" s="110" t="s">
        <v>4811</v>
      </c>
      <c r="K1742" s="148" t="s">
        <v>4833</v>
      </c>
    </row>
    <row r="1743" spans="1:11">
      <c r="A1743" s="158"/>
      <c r="B1743" s="112"/>
      <c r="C1743" s="112"/>
      <c r="D1743" s="110" t="s">
        <v>4834</v>
      </c>
      <c r="E1743" s="110" t="s">
        <v>4835</v>
      </c>
      <c r="F1743" s="105" t="s">
        <v>2640</v>
      </c>
      <c r="G1743" s="110" t="s">
        <v>4836</v>
      </c>
      <c r="H1743" s="110" t="s">
        <v>4837</v>
      </c>
      <c r="I1743" s="110" t="s">
        <v>3459</v>
      </c>
      <c r="J1743" s="110" t="s">
        <v>4838</v>
      </c>
      <c r="K1743" s="148" t="s">
        <v>4839</v>
      </c>
    </row>
    <row r="1744" spans="1:11">
      <c r="A1744" s="158"/>
      <c r="B1744" s="112"/>
      <c r="C1744" s="112"/>
      <c r="D1744" s="110" t="s">
        <v>4840</v>
      </c>
      <c r="E1744" s="110" t="s">
        <v>4841</v>
      </c>
      <c r="F1744" s="105" t="s">
        <v>2639</v>
      </c>
      <c r="G1744" s="110" t="s">
        <v>4842</v>
      </c>
      <c r="H1744" s="110" t="s">
        <v>4843</v>
      </c>
      <c r="I1744" s="110" t="s">
        <v>3459</v>
      </c>
      <c r="J1744" s="110" t="s">
        <v>4844</v>
      </c>
      <c r="K1744" s="148" t="s">
        <v>4845</v>
      </c>
    </row>
    <row r="1745" spans="1:11">
      <c r="A1745" s="158"/>
      <c r="B1745" s="112"/>
      <c r="C1745" s="113"/>
      <c r="D1745" s="110" t="s">
        <v>4846</v>
      </c>
      <c r="E1745" s="110" t="s">
        <v>4847</v>
      </c>
      <c r="F1745" s="105" t="s">
        <v>2640</v>
      </c>
      <c r="G1745" s="110" t="s">
        <v>2849</v>
      </c>
      <c r="H1745" s="110" t="s">
        <v>4848</v>
      </c>
      <c r="I1745" s="110" t="s">
        <v>3459</v>
      </c>
      <c r="J1745" s="110" t="s">
        <v>4849</v>
      </c>
      <c r="K1745" s="148" t="s">
        <v>4850</v>
      </c>
    </row>
    <row r="1746" spans="1:11">
      <c r="A1746" s="158"/>
      <c r="B1746" s="112"/>
      <c r="C1746" s="111" t="s">
        <v>2825</v>
      </c>
      <c r="D1746" s="110" t="s">
        <v>4851</v>
      </c>
      <c r="E1746" s="110" t="s">
        <v>4852</v>
      </c>
      <c r="F1746" s="105" t="s">
        <v>2640</v>
      </c>
      <c r="G1746" s="110" t="s">
        <v>4853</v>
      </c>
      <c r="H1746" s="110" t="s">
        <v>4854</v>
      </c>
      <c r="I1746" s="110" t="s">
        <v>3453</v>
      </c>
      <c r="J1746" s="110" t="s">
        <v>4855</v>
      </c>
      <c r="K1746" s="148" t="s">
        <v>4856</v>
      </c>
    </row>
    <row r="1747" spans="1:11">
      <c r="A1747" s="158"/>
      <c r="B1747" s="112"/>
      <c r="C1747" s="112"/>
      <c r="D1747" s="110" t="s">
        <v>4857</v>
      </c>
      <c r="E1747" s="110" t="s">
        <v>4858</v>
      </c>
      <c r="F1747" s="105" t="s">
        <v>2640</v>
      </c>
      <c r="G1747" s="110" t="s">
        <v>4859</v>
      </c>
      <c r="H1747" s="110" t="s">
        <v>4860</v>
      </c>
      <c r="I1747" s="110" t="s">
        <v>3453</v>
      </c>
      <c r="J1747" s="110" t="s">
        <v>4861</v>
      </c>
      <c r="K1747" s="148" t="s">
        <v>4862</v>
      </c>
    </row>
    <row r="1748" spans="1:11">
      <c r="A1748" s="158"/>
      <c r="B1748" s="112"/>
      <c r="C1748" s="112"/>
      <c r="D1748" s="110" t="s">
        <v>4863</v>
      </c>
      <c r="E1748" s="110" t="s">
        <v>4864</v>
      </c>
      <c r="F1748" s="105" t="s">
        <v>2639</v>
      </c>
      <c r="G1748" s="110" t="s">
        <v>2774</v>
      </c>
      <c r="H1748" s="110" t="s">
        <v>4865</v>
      </c>
      <c r="I1748" s="110" t="s">
        <v>3459</v>
      </c>
      <c r="J1748" s="110" t="s">
        <v>4866</v>
      </c>
      <c r="K1748" s="148" t="s">
        <v>4867</v>
      </c>
    </row>
    <row r="1749" spans="1:11">
      <c r="A1749" s="158"/>
      <c r="B1749" s="112"/>
      <c r="C1749" s="112"/>
      <c r="D1749" s="110" t="s">
        <v>4868</v>
      </c>
      <c r="E1749" s="110" t="s">
        <v>4869</v>
      </c>
      <c r="F1749" s="105" t="s">
        <v>2640</v>
      </c>
      <c r="G1749" s="110" t="s">
        <v>4870</v>
      </c>
      <c r="H1749" s="110" t="s">
        <v>4871</v>
      </c>
      <c r="I1749" s="110" t="s">
        <v>3459</v>
      </c>
      <c r="J1749" s="110" t="s">
        <v>4872</v>
      </c>
      <c r="K1749" s="148" t="s">
        <v>4873</v>
      </c>
    </row>
    <row r="1750" spans="1:11">
      <c r="A1750" s="158"/>
      <c r="B1750" s="113"/>
      <c r="C1750" s="113"/>
      <c r="D1750" s="110" t="s">
        <v>4874</v>
      </c>
      <c r="E1750" s="110" t="s">
        <v>4875</v>
      </c>
      <c r="F1750" s="105" t="s">
        <v>2640</v>
      </c>
      <c r="G1750" s="110" t="s">
        <v>4876</v>
      </c>
      <c r="H1750" s="110" t="s">
        <v>4877</v>
      </c>
      <c r="I1750" s="110" t="s">
        <v>3453</v>
      </c>
      <c r="J1750" s="110" t="s">
        <v>4878</v>
      </c>
      <c r="K1750" s="148" t="s">
        <v>4879</v>
      </c>
    </row>
    <row r="1751" spans="1:11">
      <c r="A1751" s="158"/>
      <c r="B1751" s="111" t="s">
        <v>2826</v>
      </c>
      <c r="C1751" s="111" t="s">
        <v>2827</v>
      </c>
      <c r="D1751" s="110" t="s">
        <v>4880</v>
      </c>
      <c r="E1751" s="110" t="s">
        <v>4881</v>
      </c>
      <c r="F1751" s="105" t="s">
        <v>2639</v>
      </c>
      <c r="G1751" s="110" t="s">
        <v>4882</v>
      </c>
      <c r="H1751" s="110" t="s">
        <v>4883</v>
      </c>
      <c r="I1751" s="110" t="s">
        <v>3453</v>
      </c>
      <c r="J1751" s="110" t="s">
        <v>4884</v>
      </c>
      <c r="K1751" s="148" t="s">
        <v>4885</v>
      </c>
    </row>
    <row r="1752" spans="1:11">
      <c r="A1752" s="158"/>
      <c r="B1752" s="112"/>
      <c r="C1752" s="112"/>
      <c r="D1752" s="110" t="s">
        <v>4886</v>
      </c>
      <c r="E1752" s="110" t="s">
        <v>4887</v>
      </c>
      <c r="F1752" s="105" t="s">
        <v>2640</v>
      </c>
      <c r="G1752" s="110" t="s">
        <v>4888</v>
      </c>
      <c r="H1752" s="110" t="s">
        <v>3569</v>
      </c>
      <c r="I1752" s="110" t="s">
        <v>3459</v>
      </c>
      <c r="J1752" s="110" t="s">
        <v>4889</v>
      </c>
      <c r="K1752" s="148" t="s">
        <v>4890</v>
      </c>
    </row>
    <row r="1753" spans="1:11">
      <c r="A1753" s="158"/>
      <c r="B1753" s="112"/>
      <c r="C1753" s="112"/>
      <c r="D1753" s="110" t="s">
        <v>4891</v>
      </c>
      <c r="E1753" s="110" t="s">
        <v>4892</v>
      </c>
      <c r="F1753" s="105" t="s">
        <v>2640</v>
      </c>
      <c r="G1753" s="110" t="s">
        <v>4795</v>
      </c>
      <c r="H1753" s="110" t="s">
        <v>2007</v>
      </c>
      <c r="I1753" s="110" t="s">
        <v>3459</v>
      </c>
      <c r="J1753" s="110" t="s">
        <v>4893</v>
      </c>
      <c r="K1753" s="148" t="s">
        <v>4894</v>
      </c>
    </row>
    <row r="1754" spans="1:11">
      <c r="A1754" s="158"/>
      <c r="B1754" s="112"/>
      <c r="C1754" s="112"/>
      <c r="D1754" s="110" t="s">
        <v>4895</v>
      </c>
      <c r="E1754" s="110" t="s">
        <v>4896</v>
      </c>
      <c r="F1754" s="105" t="s">
        <v>2639</v>
      </c>
      <c r="G1754" s="110" t="s">
        <v>2215</v>
      </c>
      <c r="H1754" s="110" t="s">
        <v>4306</v>
      </c>
      <c r="I1754" s="110" t="s">
        <v>3581</v>
      </c>
      <c r="J1754" s="110" t="s">
        <v>4897</v>
      </c>
      <c r="K1754" s="148" t="s">
        <v>4898</v>
      </c>
    </row>
    <row r="1755" spans="1:11">
      <c r="A1755" s="158"/>
      <c r="B1755" s="112"/>
      <c r="C1755" s="113"/>
      <c r="D1755" s="110" t="s">
        <v>4899</v>
      </c>
      <c r="E1755" s="110" t="s">
        <v>4900</v>
      </c>
      <c r="F1755" s="105" t="s">
        <v>2641</v>
      </c>
      <c r="G1755" s="110" t="s">
        <v>2220</v>
      </c>
      <c r="H1755" s="110" t="s">
        <v>4901</v>
      </c>
      <c r="I1755" s="110" t="s">
        <v>3459</v>
      </c>
      <c r="J1755" s="110" t="s">
        <v>4902</v>
      </c>
      <c r="K1755" s="148" t="s">
        <v>4903</v>
      </c>
    </row>
    <row r="1756" spans="1:11">
      <c r="A1756" s="158"/>
      <c r="B1756" s="112"/>
      <c r="C1756" s="111" t="s">
        <v>2828</v>
      </c>
      <c r="D1756" s="110" t="s">
        <v>4904</v>
      </c>
      <c r="E1756" s="110" t="s">
        <v>4905</v>
      </c>
      <c r="F1756" s="105" t="s">
        <v>2639</v>
      </c>
      <c r="G1756" s="110" t="s">
        <v>4906</v>
      </c>
      <c r="H1756" s="110" t="s">
        <v>3269</v>
      </c>
      <c r="I1756" s="110" t="s">
        <v>3453</v>
      </c>
      <c r="J1756" s="110" t="s">
        <v>4907</v>
      </c>
      <c r="K1756" s="148" t="s">
        <v>4908</v>
      </c>
    </row>
    <row r="1757" spans="1:11">
      <c r="A1757" s="158"/>
      <c r="B1757" s="112"/>
      <c r="C1757" s="112"/>
      <c r="D1757" s="110" t="s">
        <v>4909</v>
      </c>
      <c r="E1757" s="110" t="s">
        <v>4910</v>
      </c>
      <c r="F1757" s="105" t="s">
        <v>2640</v>
      </c>
      <c r="G1757" s="110" t="s">
        <v>4911</v>
      </c>
      <c r="H1757" s="110" t="s">
        <v>2031</v>
      </c>
      <c r="I1757" s="110" t="s">
        <v>3453</v>
      </c>
      <c r="J1757" s="110" t="s">
        <v>4912</v>
      </c>
      <c r="K1757" s="148" t="s">
        <v>4913</v>
      </c>
    </row>
    <row r="1758" spans="1:11">
      <c r="A1758" s="158"/>
      <c r="B1758" s="112"/>
      <c r="C1758" s="112"/>
      <c r="D1758" s="110" t="s">
        <v>4914</v>
      </c>
      <c r="E1758" s="110" t="s">
        <v>4915</v>
      </c>
      <c r="F1758" s="105" t="s">
        <v>2640</v>
      </c>
      <c r="G1758" s="110" t="s">
        <v>4916</v>
      </c>
      <c r="H1758" s="110" t="s">
        <v>4917</v>
      </c>
      <c r="I1758" s="110" t="s">
        <v>3453</v>
      </c>
      <c r="J1758" s="110" t="s">
        <v>4918</v>
      </c>
      <c r="K1758" s="148" t="s">
        <v>4919</v>
      </c>
    </row>
    <row r="1759" spans="1:11">
      <c r="A1759" s="158"/>
      <c r="B1759" s="112"/>
      <c r="C1759" s="112"/>
      <c r="D1759" s="110" t="s">
        <v>4920</v>
      </c>
      <c r="E1759" s="110" t="s">
        <v>4921</v>
      </c>
      <c r="F1759" s="105" t="s">
        <v>2639</v>
      </c>
      <c r="G1759" s="110" t="s">
        <v>4922</v>
      </c>
      <c r="H1759" s="110" t="s">
        <v>4923</v>
      </c>
      <c r="I1759" s="110" t="s">
        <v>3459</v>
      </c>
      <c r="J1759" s="110" t="s">
        <v>4924</v>
      </c>
      <c r="K1759" s="148" t="s">
        <v>4925</v>
      </c>
    </row>
    <row r="1760" spans="1:11">
      <c r="A1760" s="158"/>
      <c r="B1760" s="112"/>
      <c r="C1760" s="113"/>
      <c r="D1760" s="110" t="s">
        <v>4926</v>
      </c>
      <c r="E1760" s="110" t="s">
        <v>4927</v>
      </c>
      <c r="F1760" s="105" t="s">
        <v>2640</v>
      </c>
      <c r="G1760" s="110" t="s">
        <v>4341</v>
      </c>
      <c r="H1760" s="110" t="s">
        <v>4928</v>
      </c>
      <c r="I1760" s="110" t="s">
        <v>3459</v>
      </c>
      <c r="J1760" s="110" t="s">
        <v>4929</v>
      </c>
      <c r="K1760" s="148" t="s">
        <v>4930</v>
      </c>
    </row>
    <row r="1761" spans="1:11">
      <c r="A1761" s="158"/>
      <c r="B1761" s="112"/>
      <c r="C1761" s="111" t="s">
        <v>2829</v>
      </c>
      <c r="D1761" s="110" t="s">
        <v>4931</v>
      </c>
      <c r="E1761" s="110" t="s">
        <v>4932</v>
      </c>
      <c r="F1761" s="105" t="s">
        <v>2639</v>
      </c>
      <c r="G1761" s="110" t="s">
        <v>4933</v>
      </c>
      <c r="H1761" s="110" t="s">
        <v>4718</v>
      </c>
      <c r="I1761" s="110" t="s">
        <v>3453</v>
      </c>
      <c r="J1761" s="110" t="s">
        <v>4934</v>
      </c>
      <c r="K1761" s="148" t="s">
        <v>4935</v>
      </c>
    </row>
    <row r="1762" spans="1:11">
      <c r="A1762" s="158"/>
      <c r="B1762" s="112"/>
      <c r="C1762" s="112"/>
      <c r="D1762" s="110" t="s">
        <v>4936</v>
      </c>
      <c r="E1762" s="110" t="s">
        <v>4937</v>
      </c>
      <c r="F1762" s="105" t="s">
        <v>2640</v>
      </c>
      <c r="G1762" s="110" t="s">
        <v>4938</v>
      </c>
      <c r="H1762" s="110" t="s">
        <v>4939</v>
      </c>
      <c r="I1762" s="110" t="s">
        <v>3459</v>
      </c>
      <c r="J1762" s="110" t="s">
        <v>4940</v>
      </c>
      <c r="K1762" s="148" t="s">
        <v>4941</v>
      </c>
    </row>
    <row r="1763" spans="1:11">
      <c r="A1763" s="158"/>
      <c r="B1763" s="112"/>
      <c r="C1763" s="112"/>
      <c r="D1763" s="110" t="s">
        <v>4942</v>
      </c>
      <c r="E1763" s="110" t="s">
        <v>4943</v>
      </c>
      <c r="F1763" s="105" t="s">
        <v>2640</v>
      </c>
      <c r="G1763" s="110" t="s">
        <v>4944</v>
      </c>
      <c r="H1763" s="110" t="s">
        <v>4945</v>
      </c>
      <c r="I1763" s="110" t="s">
        <v>3453</v>
      </c>
      <c r="J1763" s="110" t="s">
        <v>3269</v>
      </c>
      <c r="K1763" s="148" t="s">
        <v>4946</v>
      </c>
    </row>
    <row r="1764" spans="1:11">
      <c r="A1764" s="158"/>
      <c r="B1764" s="112"/>
      <c r="C1764" s="112"/>
      <c r="D1764" s="110" t="s">
        <v>4947</v>
      </c>
      <c r="E1764" s="110" t="s">
        <v>4948</v>
      </c>
      <c r="F1764" s="105" t="s">
        <v>2641</v>
      </c>
      <c r="G1764" s="110" t="s">
        <v>4949</v>
      </c>
      <c r="H1764" s="110" t="s">
        <v>4950</v>
      </c>
      <c r="I1764" s="110" t="s">
        <v>3459</v>
      </c>
      <c r="J1764" s="110" t="s">
        <v>4951</v>
      </c>
      <c r="K1764" s="148" t="s">
        <v>4952</v>
      </c>
    </row>
    <row r="1765" spans="1:11">
      <c r="A1765" s="158"/>
      <c r="B1765" s="112"/>
      <c r="C1765" s="113"/>
      <c r="D1765" s="110" t="s">
        <v>4759</v>
      </c>
      <c r="E1765" s="110" t="s">
        <v>4953</v>
      </c>
      <c r="F1765" s="105" t="s">
        <v>2640</v>
      </c>
      <c r="G1765" s="110" t="s">
        <v>3282</v>
      </c>
      <c r="H1765" s="110" t="s">
        <v>4954</v>
      </c>
      <c r="I1765" s="110" t="s">
        <v>3459</v>
      </c>
      <c r="J1765" s="110" t="s">
        <v>4924</v>
      </c>
      <c r="K1765" s="148" t="s">
        <v>4955</v>
      </c>
    </row>
    <row r="1766" spans="1:11">
      <c r="A1766" s="158"/>
      <c r="B1766" s="112"/>
      <c r="C1766" s="111" t="s">
        <v>2830</v>
      </c>
      <c r="D1766" s="110" t="s">
        <v>4956</v>
      </c>
      <c r="E1766" s="110" t="s">
        <v>4957</v>
      </c>
      <c r="F1766" s="105" t="s">
        <v>2639</v>
      </c>
      <c r="G1766" s="110" t="s">
        <v>4958</v>
      </c>
      <c r="H1766" s="110" t="s">
        <v>4959</v>
      </c>
      <c r="I1766" s="110" t="s">
        <v>3453</v>
      </c>
      <c r="J1766" s="110" t="s">
        <v>4960</v>
      </c>
      <c r="K1766" s="148" t="s">
        <v>4961</v>
      </c>
    </row>
    <row r="1767" spans="1:11">
      <c r="A1767" s="158"/>
      <c r="B1767" s="112"/>
      <c r="C1767" s="112"/>
      <c r="D1767" s="110" t="s">
        <v>4962</v>
      </c>
      <c r="E1767" s="110" t="s">
        <v>4963</v>
      </c>
      <c r="F1767" s="105" t="s">
        <v>2640</v>
      </c>
      <c r="G1767" s="110" t="s">
        <v>4964</v>
      </c>
      <c r="H1767" s="110" t="s">
        <v>4965</v>
      </c>
      <c r="I1767" s="110" t="s">
        <v>3453</v>
      </c>
      <c r="J1767" s="110" t="s">
        <v>4966</v>
      </c>
      <c r="K1767" s="148" t="s">
        <v>4967</v>
      </c>
    </row>
    <row r="1768" spans="1:11">
      <c r="A1768" s="158"/>
      <c r="B1768" s="112"/>
      <c r="C1768" s="112"/>
      <c r="D1768" s="110" t="s">
        <v>4968</v>
      </c>
      <c r="E1768" s="110" t="s">
        <v>4969</v>
      </c>
      <c r="F1768" s="105" t="s">
        <v>2640</v>
      </c>
      <c r="G1768" s="110" t="s">
        <v>4695</v>
      </c>
      <c r="H1768" s="110" t="s">
        <v>2381</v>
      </c>
      <c r="I1768" s="110" t="s">
        <v>3453</v>
      </c>
      <c r="J1768" s="110" t="s">
        <v>4970</v>
      </c>
      <c r="K1768" s="148" t="s">
        <v>4971</v>
      </c>
    </row>
    <row r="1769" spans="1:11">
      <c r="A1769" s="158"/>
      <c r="B1769" s="112"/>
      <c r="C1769" s="112"/>
      <c r="D1769" s="110" t="s">
        <v>4972</v>
      </c>
      <c r="E1769" s="110" t="s">
        <v>4973</v>
      </c>
      <c r="F1769" s="105" t="s">
        <v>2641</v>
      </c>
      <c r="G1769" s="110" t="s">
        <v>4974</v>
      </c>
      <c r="H1769" s="110" t="s">
        <v>2934</v>
      </c>
      <c r="I1769" s="110" t="s">
        <v>3453</v>
      </c>
      <c r="J1769" s="110" t="s">
        <v>2487</v>
      </c>
      <c r="K1769" s="148" t="s">
        <v>4975</v>
      </c>
    </row>
    <row r="1770" spans="1:11">
      <c r="A1770" s="158"/>
      <c r="B1770" s="112"/>
      <c r="C1770" s="113"/>
      <c r="D1770" s="110" t="s">
        <v>4976</v>
      </c>
      <c r="E1770" s="110" t="s">
        <v>4977</v>
      </c>
      <c r="F1770" s="105" t="s">
        <v>2640</v>
      </c>
      <c r="G1770" s="110" t="s">
        <v>4978</v>
      </c>
      <c r="H1770" s="110" t="s">
        <v>4979</v>
      </c>
      <c r="I1770" s="110" t="s">
        <v>3459</v>
      </c>
      <c r="J1770" s="110" t="s">
        <v>4980</v>
      </c>
      <c r="K1770" s="148" t="s">
        <v>4981</v>
      </c>
    </row>
    <row r="1771" spans="1:11">
      <c r="A1771" s="158"/>
      <c r="B1771" s="112"/>
      <c r="C1771" s="111" t="s">
        <v>2831</v>
      </c>
      <c r="D1771" s="110" t="s">
        <v>4982</v>
      </c>
      <c r="E1771" s="110" t="s">
        <v>4983</v>
      </c>
      <c r="F1771" s="105" t="s">
        <v>2639</v>
      </c>
      <c r="G1771" s="110" t="s">
        <v>4984</v>
      </c>
      <c r="H1771" s="110" t="s">
        <v>4985</v>
      </c>
      <c r="I1771" s="110" t="s">
        <v>3459</v>
      </c>
      <c r="J1771" s="110" t="s">
        <v>4986</v>
      </c>
      <c r="K1771" s="148" t="s">
        <v>4987</v>
      </c>
    </row>
    <row r="1772" spans="1:11">
      <c r="A1772" s="158"/>
      <c r="B1772" s="112"/>
      <c r="C1772" s="112"/>
      <c r="D1772" s="110" t="s">
        <v>4673</v>
      </c>
      <c r="E1772" s="110" t="s">
        <v>4988</v>
      </c>
      <c r="F1772" s="105" t="s">
        <v>2640</v>
      </c>
      <c r="G1772" s="110" t="s">
        <v>4745</v>
      </c>
      <c r="H1772" s="110" t="s">
        <v>2060</v>
      </c>
      <c r="I1772" s="110" t="s">
        <v>3453</v>
      </c>
      <c r="J1772" s="110" t="s">
        <v>4989</v>
      </c>
      <c r="K1772" s="148" t="s">
        <v>4990</v>
      </c>
    </row>
    <row r="1773" spans="1:11">
      <c r="A1773" s="158"/>
      <c r="B1773" s="112"/>
      <c r="C1773" s="112"/>
      <c r="D1773" s="110" t="s">
        <v>4991</v>
      </c>
      <c r="E1773" s="110" t="s">
        <v>4992</v>
      </c>
      <c r="F1773" s="105" t="s">
        <v>2641</v>
      </c>
      <c r="G1773" s="110" t="s">
        <v>4454</v>
      </c>
      <c r="H1773" s="110" t="s">
        <v>4993</v>
      </c>
      <c r="I1773" s="110" t="s">
        <v>3453</v>
      </c>
      <c r="J1773" s="110" t="s">
        <v>4994</v>
      </c>
      <c r="K1773" s="148" t="s">
        <v>4995</v>
      </c>
    </row>
    <row r="1774" spans="1:11">
      <c r="A1774" s="158"/>
      <c r="B1774" s="112"/>
      <c r="C1774" s="112"/>
      <c r="D1774" s="110" t="s">
        <v>4491</v>
      </c>
      <c r="E1774" s="110" t="s">
        <v>4996</v>
      </c>
      <c r="F1774" s="105" t="s">
        <v>2640</v>
      </c>
      <c r="G1774" s="110" t="s">
        <v>4997</v>
      </c>
      <c r="H1774" s="110" t="s">
        <v>4998</v>
      </c>
      <c r="I1774" s="110" t="s">
        <v>3453</v>
      </c>
      <c r="J1774" s="110" t="s">
        <v>4999</v>
      </c>
      <c r="K1774" s="148" t="s">
        <v>5000</v>
      </c>
    </row>
    <row r="1775" spans="1:11">
      <c r="A1775" s="158"/>
      <c r="B1775" s="112"/>
      <c r="C1775" s="113"/>
      <c r="D1775" s="110" t="s">
        <v>5001</v>
      </c>
      <c r="E1775" s="110" t="s">
        <v>5002</v>
      </c>
      <c r="F1775" s="105" t="s">
        <v>2639</v>
      </c>
      <c r="G1775" s="110" t="s">
        <v>5003</v>
      </c>
      <c r="H1775" s="110" t="s">
        <v>5004</v>
      </c>
      <c r="I1775" s="110" t="s">
        <v>3459</v>
      </c>
      <c r="J1775" s="110" t="s">
        <v>4811</v>
      </c>
      <c r="K1775" s="148" t="s">
        <v>5005</v>
      </c>
    </row>
    <row r="1776" spans="1:11">
      <c r="A1776" s="158"/>
      <c r="B1776" s="112"/>
      <c r="C1776" s="111" t="s">
        <v>2832</v>
      </c>
      <c r="D1776" s="110" t="s">
        <v>5006</v>
      </c>
      <c r="E1776" s="110" t="s">
        <v>5007</v>
      </c>
      <c r="F1776" s="105" t="s">
        <v>2639</v>
      </c>
      <c r="G1776" s="110" t="s">
        <v>5008</v>
      </c>
      <c r="H1776" s="110" t="s">
        <v>5009</v>
      </c>
      <c r="I1776" s="110" t="s">
        <v>3459</v>
      </c>
      <c r="J1776" s="110" t="s">
        <v>2391</v>
      </c>
      <c r="K1776" s="148" t="s">
        <v>5010</v>
      </c>
    </row>
    <row r="1777" spans="1:11">
      <c r="A1777" s="158"/>
      <c r="B1777" s="112"/>
      <c r="C1777" s="112"/>
      <c r="D1777" s="110" t="s">
        <v>5011</v>
      </c>
      <c r="E1777" s="110" t="s">
        <v>5012</v>
      </c>
      <c r="F1777" s="105" t="s">
        <v>2640</v>
      </c>
      <c r="G1777" s="110" t="s">
        <v>5013</v>
      </c>
      <c r="H1777" s="110" t="s">
        <v>5014</v>
      </c>
      <c r="I1777" s="110" t="s">
        <v>3453</v>
      </c>
      <c r="J1777" s="110" t="s">
        <v>5015</v>
      </c>
      <c r="K1777" s="148" t="s">
        <v>5016</v>
      </c>
    </row>
    <row r="1778" spans="1:11">
      <c r="A1778" s="158"/>
      <c r="B1778" s="112"/>
      <c r="C1778" s="112"/>
      <c r="D1778" s="110" t="s">
        <v>5017</v>
      </c>
      <c r="E1778" s="110" t="s">
        <v>5018</v>
      </c>
      <c r="F1778" s="105" t="s">
        <v>2640</v>
      </c>
      <c r="G1778" s="110" t="s">
        <v>4358</v>
      </c>
      <c r="H1778" s="110" t="s">
        <v>5019</v>
      </c>
      <c r="I1778" s="110" t="s">
        <v>3453</v>
      </c>
      <c r="J1778" s="110" t="s">
        <v>5020</v>
      </c>
      <c r="K1778" s="148" t="s">
        <v>5021</v>
      </c>
    </row>
    <row r="1779" spans="1:11">
      <c r="A1779" s="158"/>
      <c r="B1779" s="112"/>
      <c r="C1779" s="112"/>
      <c r="D1779" s="110" t="s">
        <v>5022</v>
      </c>
      <c r="E1779" s="110" t="s">
        <v>5023</v>
      </c>
      <c r="F1779" s="105" t="s">
        <v>2641</v>
      </c>
      <c r="G1779" s="110" t="s">
        <v>4949</v>
      </c>
      <c r="H1779" s="110" t="s">
        <v>2291</v>
      </c>
      <c r="I1779" s="110" t="s">
        <v>3453</v>
      </c>
      <c r="J1779" s="110" t="s">
        <v>5024</v>
      </c>
      <c r="K1779" s="148" t="s">
        <v>5025</v>
      </c>
    </row>
    <row r="1780" spans="1:11">
      <c r="A1780" s="158"/>
      <c r="B1780" s="112"/>
      <c r="C1780" s="113"/>
      <c r="D1780" s="110" t="s">
        <v>5026</v>
      </c>
      <c r="E1780" s="110" t="s">
        <v>5027</v>
      </c>
      <c r="F1780" s="105" t="s">
        <v>2640</v>
      </c>
      <c r="G1780" s="110" t="s">
        <v>5028</v>
      </c>
      <c r="H1780" s="110" t="s">
        <v>5029</v>
      </c>
      <c r="I1780" s="110" t="s">
        <v>3459</v>
      </c>
      <c r="J1780" s="110" t="s">
        <v>2229</v>
      </c>
      <c r="K1780" s="148" t="s">
        <v>5030</v>
      </c>
    </row>
    <row r="1781" spans="1:11">
      <c r="A1781" s="158"/>
      <c r="B1781" s="112"/>
      <c r="C1781" s="111" t="s">
        <v>2833</v>
      </c>
      <c r="D1781" s="110" t="s">
        <v>5031</v>
      </c>
      <c r="E1781" s="110" t="s">
        <v>5032</v>
      </c>
      <c r="F1781" s="105" t="s">
        <v>2640</v>
      </c>
      <c r="G1781" s="110" t="s">
        <v>5033</v>
      </c>
      <c r="H1781" s="110" t="s">
        <v>5034</v>
      </c>
      <c r="I1781" s="110" t="s">
        <v>3453</v>
      </c>
      <c r="J1781" s="110" t="s">
        <v>5035</v>
      </c>
      <c r="K1781" s="148" t="s">
        <v>5036</v>
      </c>
    </row>
    <row r="1782" spans="1:11">
      <c r="A1782" s="158"/>
      <c r="B1782" s="112"/>
      <c r="C1782" s="112"/>
      <c r="D1782" s="110" t="s">
        <v>5037</v>
      </c>
      <c r="E1782" s="110" t="s">
        <v>5038</v>
      </c>
      <c r="F1782" s="105" t="s">
        <v>2641</v>
      </c>
      <c r="G1782" s="110" t="s">
        <v>5039</v>
      </c>
      <c r="H1782" s="110" t="s">
        <v>5040</v>
      </c>
      <c r="I1782" s="110" t="s">
        <v>3453</v>
      </c>
      <c r="J1782" s="110" t="s">
        <v>5041</v>
      </c>
      <c r="K1782" s="148" t="s">
        <v>5042</v>
      </c>
    </row>
    <row r="1783" spans="1:11">
      <c r="A1783" s="158"/>
      <c r="B1783" s="112"/>
      <c r="C1783" s="112"/>
      <c r="D1783" s="110" t="s">
        <v>4803</v>
      </c>
      <c r="E1783" s="110" t="s">
        <v>5043</v>
      </c>
      <c r="F1783" s="105" t="s">
        <v>2640</v>
      </c>
      <c r="G1783" s="110" t="s">
        <v>5044</v>
      </c>
      <c r="H1783" s="110" t="s">
        <v>3460</v>
      </c>
      <c r="I1783" s="110" t="s">
        <v>3459</v>
      </c>
      <c r="J1783" s="110" t="s">
        <v>5045</v>
      </c>
      <c r="K1783" s="148" t="s">
        <v>5046</v>
      </c>
    </row>
    <row r="1784" spans="1:11">
      <c r="A1784" s="158"/>
      <c r="B1784" s="112"/>
      <c r="C1784" s="112"/>
      <c r="D1784" s="110" t="s">
        <v>5047</v>
      </c>
      <c r="E1784" s="110" t="s">
        <v>5048</v>
      </c>
      <c r="F1784" s="105" t="s">
        <v>2640</v>
      </c>
      <c r="G1784" s="110" t="s">
        <v>5049</v>
      </c>
      <c r="H1784" s="110" t="s">
        <v>5050</v>
      </c>
      <c r="I1784" s="110" t="s">
        <v>3453</v>
      </c>
      <c r="J1784" s="110" t="s">
        <v>5051</v>
      </c>
      <c r="K1784" s="148" t="s">
        <v>5052</v>
      </c>
    </row>
    <row r="1785" spans="1:11">
      <c r="A1785" s="158"/>
      <c r="B1785" s="112"/>
      <c r="C1785" s="113"/>
      <c r="D1785" s="110" t="s">
        <v>5053</v>
      </c>
      <c r="E1785" s="110" t="s">
        <v>5054</v>
      </c>
      <c r="F1785" s="105" t="s">
        <v>2641</v>
      </c>
      <c r="G1785" s="110" t="s">
        <v>5055</v>
      </c>
      <c r="H1785" s="110" t="s">
        <v>5056</v>
      </c>
      <c r="I1785" s="110" t="s">
        <v>3459</v>
      </c>
      <c r="J1785" s="110" t="s">
        <v>5057</v>
      </c>
      <c r="K1785" s="148" t="s">
        <v>5058</v>
      </c>
    </row>
    <row r="1786" spans="1:11">
      <c r="A1786" s="158"/>
      <c r="B1786" s="112"/>
      <c r="C1786" s="111" t="s">
        <v>2834</v>
      </c>
      <c r="D1786" s="110" t="s">
        <v>5059</v>
      </c>
      <c r="E1786" s="110" t="s">
        <v>4331</v>
      </c>
      <c r="F1786" s="105" t="s">
        <v>2639</v>
      </c>
      <c r="G1786" s="110" t="s">
        <v>5060</v>
      </c>
      <c r="H1786" s="110" t="s">
        <v>3299</v>
      </c>
      <c r="I1786" s="110" t="s">
        <v>3459</v>
      </c>
      <c r="J1786" s="110" t="s">
        <v>5061</v>
      </c>
      <c r="K1786" s="148" t="s">
        <v>5062</v>
      </c>
    </row>
    <row r="1787" spans="1:11">
      <c r="A1787" s="158"/>
      <c r="B1787" s="112"/>
      <c r="C1787" s="112"/>
      <c r="D1787" s="110" t="s">
        <v>4709</v>
      </c>
      <c r="E1787" s="110" t="s">
        <v>5063</v>
      </c>
      <c r="F1787" s="105" t="s">
        <v>2640</v>
      </c>
      <c r="G1787" s="110" t="s">
        <v>5064</v>
      </c>
      <c r="H1787" s="110" t="s">
        <v>5065</v>
      </c>
      <c r="I1787" s="110" t="s">
        <v>3459</v>
      </c>
      <c r="J1787" s="110" t="s">
        <v>4928</v>
      </c>
      <c r="K1787" s="148" t="s">
        <v>5066</v>
      </c>
    </row>
    <row r="1788" spans="1:11">
      <c r="A1788" s="158"/>
      <c r="B1788" s="112"/>
      <c r="C1788" s="112"/>
      <c r="D1788" s="110" t="s">
        <v>1962</v>
      </c>
      <c r="E1788" s="110" t="s">
        <v>5067</v>
      </c>
      <c r="F1788" s="105" t="s">
        <v>2641</v>
      </c>
      <c r="G1788" s="110" t="s">
        <v>5068</v>
      </c>
      <c r="H1788" s="110" t="s">
        <v>1915</v>
      </c>
      <c r="I1788" s="110" t="s">
        <v>3459</v>
      </c>
      <c r="J1788" s="110" t="s">
        <v>5069</v>
      </c>
      <c r="K1788" s="148" t="s">
        <v>5070</v>
      </c>
    </row>
    <row r="1789" spans="1:11">
      <c r="A1789" s="158"/>
      <c r="B1789" s="112"/>
      <c r="C1789" s="112"/>
      <c r="D1789" s="110" t="s">
        <v>4500</v>
      </c>
      <c r="E1789" s="110" t="s">
        <v>5071</v>
      </c>
      <c r="F1789" s="105" t="s">
        <v>2640</v>
      </c>
      <c r="G1789" s="110" t="s">
        <v>2205</v>
      </c>
      <c r="H1789" s="110" t="s">
        <v>5072</v>
      </c>
      <c r="I1789" s="110" t="s">
        <v>3453</v>
      </c>
      <c r="J1789" s="110" t="s">
        <v>5073</v>
      </c>
      <c r="K1789" s="148" t="s">
        <v>5074</v>
      </c>
    </row>
    <row r="1790" spans="1:11">
      <c r="A1790" s="158"/>
      <c r="B1790" s="113"/>
      <c r="C1790" s="113"/>
      <c r="D1790" s="110" t="s">
        <v>5075</v>
      </c>
      <c r="E1790" s="110" t="s">
        <v>5076</v>
      </c>
      <c r="F1790" s="105" t="s">
        <v>2641</v>
      </c>
      <c r="G1790" s="110" t="s">
        <v>5077</v>
      </c>
      <c r="H1790" s="110" t="s">
        <v>5078</v>
      </c>
      <c r="I1790" s="110" t="s">
        <v>3453</v>
      </c>
      <c r="J1790" s="110" t="s">
        <v>5079</v>
      </c>
      <c r="K1790" s="148" t="s">
        <v>5080</v>
      </c>
    </row>
    <row r="1791" spans="1:11">
      <c r="A1791" s="158"/>
      <c r="B1791" s="111" t="s">
        <v>2835</v>
      </c>
      <c r="C1791" s="111" t="s">
        <v>2836</v>
      </c>
      <c r="D1791" s="110" t="s">
        <v>5081</v>
      </c>
      <c r="E1791" s="110" t="s">
        <v>5082</v>
      </c>
      <c r="F1791" s="105" t="s">
        <v>2640</v>
      </c>
      <c r="G1791" s="110" t="s">
        <v>5083</v>
      </c>
      <c r="H1791" s="110" t="s">
        <v>5084</v>
      </c>
      <c r="I1791" s="110" t="s">
        <v>3453</v>
      </c>
      <c r="J1791" s="110" t="s">
        <v>5085</v>
      </c>
      <c r="K1791" s="148" t="s">
        <v>5086</v>
      </c>
    </row>
    <row r="1792" spans="1:11">
      <c r="A1792" s="158"/>
      <c r="B1792" s="112"/>
      <c r="C1792" s="112"/>
      <c r="D1792" s="110" t="s">
        <v>5087</v>
      </c>
      <c r="E1792" s="110" t="s">
        <v>5088</v>
      </c>
      <c r="F1792" s="105" t="s">
        <v>2641</v>
      </c>
      <c r="G1792" s="110" t="s">
        <v>5089</v>
      </c>
      <c r="H1792" s="110" t="s">
        <v>5090</v>
      </c>
      <c r="I1792" s="110" t="s">
        <v>3459</v>
      </c>
      <c r="J1792" s="110" t="s">
        <v>5091</v>
      </c>
      <c r="K1792" s="148" t="s">
        <v>5092</v>
      </c>
    </row>
    <row r="1793" spans="1:11">
      <c r="A1793" s="158"/>
      <c r="B1793" s="112"/>
      <c r="C1793" s="112"/>
      <c r="D1793" s="110" t="s">
        <v>5093</v>
      </c>
      <c r="E1793" s="110" t="s">
        <v>4322</v>
      </c>
      <c r="F1793" s="105" t="s">
        <v>2640</v>
      </c>
      <c r="G1793" s="110" t="s">
        <v>5094</v>
      </c>
      <c r="H1793" s="110" t="s">
        <v>5095</v>
      </c>
      <c r="I1793" s="110" t="s">
        <v>3453</v>
      </c>
      <c r="J1793" s="110" t="s">
        <v>5096</v>
      </c>
      <c r="K1793" s="148" t="s">
        <v>5097</v>
      </c>
    </row>
    <row r="1794" spans="1:11">
      <c r="A1794" s="158"/>
      <c r="B1794" s="112"/>
      <c r="C1794" s="112"/>
      <c r="D1794" s="110" t="s">
        <v>5098</v>
      </c>
      <c r="E1794" s="110" t="s">
        <v>5099</v>
      </c>
      <c r="F1794" s="105" t="s">
        <v>2640</v>
      </c>
      <c r="G1794" s="110" t="s">
        <v>5100</v>
      </c>
      <c r="H1794" s="110" t="s">
        <v>5101</v>
      </c>
      <c r="I1794" s="110" t="s">
        <v>3459</v>
      </c>
      <c r="J1794" s="110" t="s">
        <v>4066</v>
      </c>
      <c r="K1794" s="148" t="s">
        <v>5102</v>
      </c>
    </row>
    <row r="1795" spans="1:11">
      <c r="A1795" s="158"/>
      <c r="B1795" s="112"/>
      <c r="C1795" s="113"/>
      <c r="D1795" s="110" t="s">
        <v>5103</v>
      </c>
      <c r="E1795" s="110" t="s">
        <v>5104</v>
      </c>
      <c r="F1795" s="105" t="s">
        <v>2641</v>
      </c>
      <c r="G1795" s="110" t="s">
        <v>3410</v>
      </c>
      <c r="H1795" s="110" t="s">
        <v>5105</v>
      </c>
      <c r="I1795" s="110" t="s">
        <v>3459</v>
      </c>
      <c r="J1795" s="110" t="s">
        <v>5106</v>
      </c>
      <c r="K1795" s="148" t="s">
        <v>5107</v>
      </c>
    </row>
    <row r="1796" spans="1:11">
      <c r="A1796" s="158"/>
      <c r="B1796" s="112"/>
      <c r="C1796" s="111" t="s">
        <v>2837</v>
      </c>
      <c r="D1796" s="110" t="s">
        <v>5108</v>
      </c>
      <c r="E1796" s="110" t="s">
        <v>5109</v>
      </c>
      <c r="F1796" s="105" t="s">
        <v>2640</v>
      </c>
      <c r="G1796" s="110" t="s">
        <v>5110</v>
      </c>
      <c r="H1796" s="110" t="s">
        <v>5045</v>
      </c>
      <c r="I1796" s="110" t="s">
        <v>3453</v>
      </c>
      <c r="J1796" s="110" t="s">
        <v>4811</v>
      </c>
      <c r="K1796" s="148" t="s">
        <v>5111</v>
      </c>
    </row>
    <row r="1797" spans="1:11">
      <c r="A1797" s="158"/>
      <c r="B1797" s="112"/>
      <c r="C1797" s="112"/>
      <c r="D1797" s="110" t="s">
        <v>5112</v>
      </c>
      <c r="E1797" s="110" t="s">
        <v>5113</v>
      </c>
      <c r="F1797" s="105" t="s">
        <v>2640</v>
      </c>
      <c r="G1797" s="110" t="s">
        <v>2937</v>
      </c>
      <c r="H1797" s="110" t="s">
        <v>5114</v>
      </c>
      <c r="I1797" s="110" t="s">
        <v>3453</v>
      </c>
      <c r="J1797" s="110" t="s">
        <v>5115</v>
      </c>
      <c r="K1797" s="148" t="s">
        <v>5116</v>
      </c>
    </row>
    <row r="1798" spans="1:11">
      <c r="A1798" s="158"/>
      <c r="B1798" s="112"/>
      <c r="C1798" s="112"/>
      <c r="D1798" s="110" t="s">
        <v>5117</v>
      </c>
      <c r="E1798" s="110" t="s">
        <v>5118</v>
      </c>
      <c r="F1798" s="105" t="s">
        <v>2641</v>
      </c>
      <c r="G1798" s="110" t="s">
        <v>5119</v>
      </c>
      <c r="H1798" s="110" t="s">
        <v>5120</v>
      </c>
      <c r="I1798" s="110" t="s">
        <v>3459</v>
      </c>
      <c r="J1798" s="110" t="s">
        <v>5121</v>
      </c>
      <c r="K1798" s="148" t="s">
        <v>5122</v>
      </c>
    </row>
    <row r="1799" spans="1:11">
      <c r="A1799" s="158"/>
      <c r="B1799" s="112"/>
      <c r="C1799" s="112"/>
      <c r="D1799" s="110" t="s">
        <v>5123</v>
      </c>
      <c r="E1799" s="110" t="s">
        <v>5124</v>
      </c>
      <c r="F1799" s="105" t="s">
        <v>2640</v>
      </c>
      <c r="G1799" s="110" t="s">
        <v>5125</v>
      </c>
      <c r="H1799" s="110" t="s">
        <v>5126</v>
      </c>
      <c r="I1799" s="110" t="s">
        <v>3459</v>
      </c>
      <c r="J1799" s="110" t="s">
        <v>5127</v>
      </c>
      <c r="K1799" s="148" t="s">
        <v>5128</v>
      </c>
    </row>
    <row r="1800" spans="1:11">
      <c r="A1800" s="158"/>
      <c r="B1800" s="112"/>
      <c r="C1800" s="113"/>
      <c r="D1800" s="110" t="s">
        <v>5129</v>
      </c>
      <c r="E1800" s="110" t="s">
        <v>5130</v>
      </c>
      <c r="F1800" s="105" t="s">
        <v>2640</v>
      </c>
      <c r="G1800" s="110" t="s">
        <v>5131</v>
      </c>
      <c r="H1800" s="110" t="s">
        <v>5132</v>
      </c>
      <c r="I1800" s="110" t="s">
        <v>3453</v>
      </c>
      <c r="J1800" s="110" t="s">
        <v>5133</v>
      </c>
      <c r="K1800" s="148" t="s">
        <v>5134</v>
      </c>
    </row>
    <row r="1801" spans="1:11">
      <c r="A1801" s="158"/>
      <c r="B1801" s="112"/>
      <c r="C1801" s="111" t="s">
        <v>2838</v>
      </c>
      <c r="D1801" s="110" t="s">
        <v>5136</v>
      </c>
      <c r="E1801" s="110" t="s">
        <v>5137</v>
      </c>
      <c r="F1801" s="105" t="s">
        <v>2640</v>
      </c>
      <c r="G1801" s="110" t="s">
        <v>5119</v>
      </c>
      <c r="H1801" s="110" t="s">
        <v>3183</v>
      </c>
      <c r="I1801" s="110" t="s">
        <v>3459</v>
      </c>
      <c r="J1801" s="110" t="s">
        <v>5138</v>
      </c>
      <c r="K1801" s="148" t="s">
        <v>5139</v>
      </c>
    </row>
    <row r="1802" spans="1:11">
      <c r="A1802" s="158"/>
      <c r="B1802" s="112"/>
      <c r="C1802" s="112"/>
      <c r="D1802" s="110" t="s">
        <v>5140</v>
      </c>
      <c r="E1802" s="110" t="s">
        <v>5141</v>
      </c>
      <c r="F1802" s="105" t="s">
        <v>2641</v>
      </c>
      <c r="G1802" s="110" t="s">
        <v>5142</v>
      </c>
      <c r="H1802" s="110" t="s">
        <v>5143</v>
      </c>
      <c r="I1802" s="110" t="s">
        <v>3459</v>
      </c>
      <c r="J1802" s="110" t="s">
        <v>5144</v>
      </c>
      <c r="K1802" s="148" t="s">
        <v>5145</v>
      </c>
    </row>
    <row r="1803" spans="1:11">
      <c r="A1803" s="158"/>
      <c r="B1803" s="112"/>
      <c r="C1803" s="112"/>
      <c r="D1803" s="110" t="s">
        <v>5146</v>
      </c>
      <c r="E1803" s="110" t="s">
        <v>5147</v>
      </c>
      <c r="F1803" s="105" t="s">
        <v>2640</v>
      </c>
      <c r="G1803" s="110" t="s">
        <v>5094</v>
      </c>
      <c r="H1803" s="110" t="s">
        <v>3206</v>
      </c>
      <c r="I1803" s="110" t="s">
        <v>3453</v>
      </c>
      <c r="J1803" s="110" t="s">
        <v>5148</v>
      </c>
      <c r="K1803" s="148" t="s">
        <v>5149</v>
      </c>
    </row>
    <row r="1804" spans="1:11">
      <c r="A1804" s="158"/>
      <c r="B1804" s="112"/>
      <c r="C1804" s="112"/>
      <c r="D1804" s="110" t="s">
        <v>5150</v>
      </c>
      <c r="E1804" s="110" t="s">
        <v>5151</v>
      </c>
      <c r="F1804" s="105" t="s">
        <v>2640</v>
      </c>
      <c r="G1804" s="110" t="s">
        <v>5152</v>
      </c>
      <c r="H1804" s="110" t="s">
        <v>5153</v>
      </c>
      <c r="I1804" s="110" t="s">
        <v>3459</v>
      </c>
      <c r="J1804" s="110" t="s">
        <v>5154</v>
      </c>
      <c r="K1804" s="148" t="s">
        <v>5155</v>
      </c>
    </row>
    <row r="1805" spans="1:11">
      <c r="A1805" s="158"/>
      <c r="B1805" s="112"/>
      <c r="C1805" s="113"/>
      <c r="D1805" s="110" t="s">
        <v>5156</v>
      </c>
      <c r="E1805" s="110" t="s">
        <v>5157</v>
      </c>
      <c r="F1805" s="105" t="s">
        <v>2641</v>
      </c>
      <c r="G1805" s="110" t="s">
        <v>5158</v>
      </c>
      <c r="H1805" s="110" t="s">
        <v>5159</v>
      </c>
      <c r="I1805" s="110" t="s">
        <v>3581</v>
      </c>
      <c r="J1805" s="110" t="s">
        <v>5160</v>
      </c>
      <c r="K1805" s="148" t="s">
        <v>5161</v>
      </c>
    </row>
    <row r="1806" spans="1:11">
      <c r="A1806" s="158"/>
      <c r="B1806" s="112"/>
      <c r="C1806" s="111" t="s">
        <v>2839</v>
      </c>
      <c r="D1806" s="110" t="s">
        <v>5187</v>
      </c>
      <c r="E1806" s="110" t="s">
        <v>5188</v>
      </c>
      <c r="F1806" s="105" t="s">
        <v>2640</v>
      </c>
      <c r="G1806" s="110" t="s">
        <v>5189</v>
      </c>
      <c r="H1806" s="110" t="s">
        <v>5190</v>
      </c>
      <c r="I1806" s="110" t="s">
        <v>3453</v>
      </c>
      <c r="J1806" s="110" t="s">
        <v>5191</v>
      </c>
      <c r="K1806" s="148" t="s">
        <v>5192</v>
      </c>
    </row>
    <row r="1807" spans="1:11">
      <c r="A1807" s="158"/>
      <c r="B1807" s="112"/>
      <c r="C1807" s="112"/>
      <c r="D1807" s="110" t="s">
        <v>5193</v>
      </c>
      <c r="E1807" s="110" t="s">
        <v>5194</v>
      </c>
      <c r="F1807" s="105" t="s">
        <v>2640</v>
      </c>
      <c r="G1807" s="110" t="s">
        <v>5195</v>
      </c>
      <c r="H1807" s="110" t="s">
        <v>5196</v>
      </c>
      <c r="I1807" s="110" t="s">
        <v>3453</v>
      </c>
      <c r="J1807" s="110" t="s">
        <v>5197</v>
      </c>
      <c r="K1807" s="148" t="s">
        <v>5198</v>
      </c>
    </row>
    <row r="1808" spans="1:11">
      <c r="A1808" s="158"/>
      <c r="B1808" s="112"/>
      <c r="C1808" s="112"/>
      <c r="D1808" s="110" t="s">
        <v>5199</v>
      </c>
      <c r="E1808" s="110" t="s">
        <v>5200</v>
      </c>
      <c r="F1808" s="105" t="s">
        <v>2641</v>
      </c>
      <c r="G1808" s="110" t="s">
        <v>5201</v>
      </c>
      <c r="H1808" s="110" t="s">
        <v>5202</v>
      </c>
      <c r="I1808" s="110" t="s">
        <v>3459</v>
      </c>
      <c r="J1808" s="110" t="s">
        <v>5203</v>
      </c>
      <c r="K1808" s="148" t="s">
        <v>5204</v>
      </c>
    </row>
    <row r="1809" spans="1:11">
      <c r="A1809" s="158"/>
      <c r="B1809" s="112"/>
      <c r="C1809" s="112"/>
      <c r="D1809" s="110" t="s">
        <v>5205</v>
      </c>
      <c r="E1809" s="110" t="s">
        <v>5206</v>
      </c>
      <c r="F1809" s="105" t="s">
        <v>2640</v>
      </c>
      <c r="G1809" s="110" t="s">
        <v>2995</v>
      </c>
      <c r="H1809" s="110" t="s">
        <v>5207</v>
      </c>
      <c r="I1809" s="110" t="s">
        <v>3459</v>
      </c>
      <c r="J1809" s="110" t="s">
        <v>5208</v>
      </c>
      <c r="K1809" s="148" t="s">
        <v>5209</v>
      </c>
    </row>
    <row r="1810" spans="1:11">
      <c r="A1810" s="158"/>
      <c r="B1810" s="112"/>
      <c r="C1810" s="113"/>
      <c r="D1810" s="110" t="s">
        <v>4759</v>
      </c>
      <c r="E1810" s="110" t="s">
        <v>5210</v>
      </c>
      <c r="F1810" s="105" t="s">
        <v>2640</v>
      </c>
      <c r="G1810" s="110" t="s">
        <v>5211</v>
      </c>
      <c r="H1810" s="110" t="s">
        <v>5212</v>
      </c>
      <c r="I1810" s="110" t="s">
        <v>3459</v>
      </c>
      <c r="J1810" s="110" t="s">
        <v>2552</v>
      </c>
      <c r="K1810" s="148" t="s">
        <v>5213</v>
      </c>
    </row>
    <row r="1811" spans="1:11">
      <c r="A1811" s="158"/>
      <c r="B1811" s="112"/>
      <c r="C1811" s="111" t="s">
        <v>2840</v>
      </c>
      <c r="D1811" s="110" t="s">
        <v>5162</v>
      </c>
      <c r="E1811" s="110" t="s">
        <v>5163</v>
      </c>
      <c r="F1811" s="105" t="s">
        <v>2639</v>
      </c>
      <c r="G1811" s="110" t="s">
        <v>5164</v>
      </c>
      <c r="H1811" s="110" t="s">
        <v>2696</v>
      </c>
      <c r="I1811" s="110" t="s">
        <v>3453</v>
      </c>
      <c r="J1811" s="110" t="s">
        <v>5165</v>
      </c>
      <c r="K1811" s="148" t="s">
        <v>5166</v>
      </c>
    </row>
    <row r="1812" spans="1:11">
      <c r="A1812" s="158"/>
      <c r="B1812" s="112"/>
      <c r="C1812" s="112"/>
      <c r="D1812" s="110" t="s">
        <v>5167</v>
      </c>
      <c r="E1812" s="110" t="s">
        <v>5168</v>
      </c>
      <c r="F1812" s="105" t="s">
        <v>2640</v>
      </c>
      <c r="G1812" s="110" t="s">
        <v>4964</v>
      </c>
      <c r="H1812" s="110" t="s">
        <v>5169</v>
      </c>
      <c r="I1812" s="110" t="s">
        <v>3453</v>
      </c>
      <c r="J1812" s="110" t="s">
        <v>5170</v>
      </c>
      <c r="K1812" s="148" t="s">
        <v>5171</v>
      </c>
    </row>
    <row r="1813" spans="1:11">
      <c r="A1813" s="158"/>
      <c r="B1813" s="112"/>
      <c r="C1813" s="112"/>
      <c r="D1813" s="110" t="s">
        <v>5172</v>
      </c>
      <c r="E1813" s="110" t="s">
        <v>5173</v>
      </c>
      <c r="F1813" s="105" t="s">
        <v>2641</v>
      </c>
      <c r="G1813" s="110" t="s">
        <v>5174</v>
      </c>
      <c r="H1813" s="110" t="s">
        <v>5175</v>
      </c>
      <c r="I1813" s="110" t="s">
        <v>3459</v>
      </c>
      <c r="J1813" s="110" t="s">
        <v>5176</v>
      </c>
      <c r="K1813" s="148" t="s">
        <v>5177</v>
      </c>
    </row>
    <row r="1814" spans="1:11">
      <c r="A1814" s="158"/>
      <c r="B1814" s="112"/>
      <c r="C1814" s="112"/>
      <c r="D1814" s="110" t="s">
        <v>5178</v>
      </c>
      <c r="E1814" s="110" t="s">
        <v>5179</v>
      </c>
      <c r="F1814" s="105" t="s">
        <v>2640</v>
      </c>
      <c r="G1814" s="110" t="s">
        <v>5180</v>
      </c>
      <c r="H1814" s="110" t="s">
        <v>2381</v>
      </c>
      <c r="I1814" s="110" t="s">
        <v>3453</v>
      </c>
      <c r="J1814" s="110" t="s">
        <v>5181</v>
      </c>
      <c r="K1814" s="148" t="s">
        <v>5182</v>
      </c>
    </row>
    <row r="1815" spans="1:11">
      <c r="A1815" s="158"/>
      <c r="B1815" s="113"/>
      <c r="C1815" s="113"/>
      <c r="D1815" s="110" t="s">
        <v>5183</v>
      </c>
      <c r="E1815" s="110" t="s">
        <v>5184</v>
      </c>
      <c r="F1815" s="105" t="s">
        <v>2640</v>
      </c>
      <c r="G1815" s="110" t="s">
        <v>5068</v>
      </c>
      <c r="H1815" s="110" t="s">
        <v>5015</v>
      </c>
      <c r="I1815" s="110" t="s">
        <v>3453</v>
      </c>
      <c r="J1815" s="110" t="s">
        <v>5185</v>
      </c>
      <c r="K1815" s="148" t="s">
        <v>5186</v>
      </c>
    </row>
    <row r="1816" spans="1:11" s="157" customFormat="1">
      <c r="A1816" s="139"/>
      <c r="B1816" s="126" t="s">
        <v>1</v>
      </c>
      <c r="C1816" s="126" t="s">
        <v>2</v>
      </c>
      <c r="D1816" s="124" t="s">
        <v>3</v>
      </c>
      <c r="E1816" s="124" t="s">
        <v>350</v>
      </c>
      <c r="F1816" s="124" t="s">
        <v>2638</v>
      </c>
      <c r="G1816" s="130" t="s">
        <v>9655</v>
      </c>
      <c r="H1816" s="124" t="s">
        <v>351</v>
      </c>
      <c r="I1816" s="124" t="s">
        <v>9927</v>
      </c>
      <c r="J1816" s="124" t="s">
        <v>352</v>
      </c>
      <c r="K1816" s="149" t="s">
        <v>2764</v>
      </c>
    </row>
    <row r="1817" spans="1:11">
      <c r="A1817" s="158" t="s">
        <v>12369</v>
      </c>
      <c r="B1817" s="122" t="s">
        <v>5</v>
      </c>
      <c r="C1817" s="39" t="s">
        <v>79</v>
      </c>
      <c r="D1817" s="106" t="s">
        <v>85</v>
      </c>
      <c r="E1817" s="114" t="s">
        <v>9656</v>
      </c>
      <c r="F1817" s="114" t="s">
        <v>2639</v>
      </c>
      <c r="G1817" s="108" t="s">
        <v>9657</v>
      </c>
      <c r="H1817" s="114" t="s">
        <v>9658</v>
      </c>
      <c r="I1817" s="115" t="s">
        <v>3459</v>
      </c>
      <c r="J1817" s="114" t="s">
        <v>9659</v>
      </c>
      <c r="K1817" s="150" t="s">
        <v>9660</v>
      </c>
    </row>
    <row r="1818" spans="1:11">
      <c r="A1818" s="158"/>
      <c r="B1818" s="122"/>
      <c r="C1818" s="39"/>
      <c r="D1818" s="106" t="s">
        <v>86</v>
      </c>
      <c r="E1818" s="114" t="s">
        <v>9661</v>
      </c>
      <c r="F1818" s="114" t="s">
        <v>2639</v>
      </c>
      <c r="G1818" s="108" t="s">
        <v>9662</v>
      </c>
      <c r="H1818" s="114" t="s">
        <v>9663</v>
      </c>
      <c r="I1818" s="115" t="s">
        <v>3453</v>
      </c>
      <c r="J1818" s="114" t="s">
        <v>9664</v>
      </c>
      <c r="K1818" s="150" t="s">
        <v>9665</v>
      </c>
    </row>
    <row r="1819" spans="1:11">
      <c r="A1819" s="158"/>
      <c r="B1819" s="122"/>
      <c r="C1819" s="39"/>
      <c r="D1819" s="106" t="s">
        <v>87</v>
      </c>
      <c r="E1819" s="114" t="s">
        <v>9666</v>
      </c>
      <c r="F1819" s="114" t="s">
        <v>2639</v>
      </c>
      <c r="G1819" s="108" t="s">
        <v>9667</v>
      </c>
      <c r="H1819" s="114" t="s">
        <v>9668</v>
      </c>
      <c r="I1819" s="115" t="s">
        <v>3453</v>
      </c>
      <c r="J1819" s="114" t="s">
        <v>9669</v>
      </c>
      <c r="K1819" s="150" t="s">
        <v>9670</v>
      </c>
    </row>
    <row r="1820" spans="1:11">
      <c r="A1820" s="158"/>
      <c r="B1820" s="122"/>
      <c r="C1820" s="39"/>
      <c r="D1820" s="106" t="s">
        <v>9671</v>
      </c>
      <c r="E1820" s="114" t="s">
        <v>9672</v>
      </c>
      <c r="F1820" s="114" t="s">
        <v>2640</v>
      </c>
      <c r="G1820" s="108" t="s">
        <v>9673</v>
      </c>
      <c r="H1820" s="114" t="s">
        <v>9674</v>
      </c>
      <c r="I1820" s="115" t="s">
        <v>3459</v>
      </c>
      <c r="J1820" s="114" t="s">
        <v>9675</v>
      </c>
      <c r="K1820" s="150" t="s">
        <v>9676</v>
      </c>
    </row>
    <row r="1821" spans="1:11">
      <c r="A1821" s="158"/>
      <c r="B1821" s="122"/>
      <c r="C1821" s="39"/>
      <c r="D1821" s="106" t="s">
        <v>9677</v>
      </c>
      <c r="E1821" s="114" t="s">
        <v>9678</v>
      </c>
      <c r="F1821" s="114" t="s">
        <v>2641</v>
      </c>
      <c r="G1821" s="108" t="s">
        <v>9679</v>
      </c>
      <c r="H1821" s="114" t="s">
        <v>9680</v>
      </c>
      <c r="I1821" s="115" t="s">
        <v>3581</v>
      </c>
      <c r="J1821" s="114" t="s">
        <v>9681</v>
      </c>
      <c r="K1821" s="150" t="s">
        <v>9682</v>
      </c>
    </row>
    <row r="1822" spans="1:11">
      <c r="A1822" s="158"/>
      <c r="B1822" s="122"/>
      <c r="C1822" s="39" t="s">
        <v>6</v>
      </c>
      <c r="D1822" s="106" t="s">
        <v>9683</v>
      </c>
      <c r="E1822" s="114" t="s">
        <v>9684</v>
      </c>
      <c r="F1822" s="114" t="s">
        <v>2640</v>
      </c>
      <c r="G1822" s="108" t="s">
        <v>9685</v>
      </c>
      <c r="H1822" s="114" t="s">
        <v>9686</v>
      </c>
      <c r="I1822" s="115" t="s">
        <v>3453</v>
      </c>
      <c r="J1822" s="114" t="s">
        <v>9687</v>
      </c>
      <c r="K1822" s="150" t="s">
        <v>9688</v>
      </c>
    </row>
    <row r="1823" spans="1:11">
      <c r="A1823" s="158"/>
      <c r="B1823" s="122"/>
      <c r="C1823" s="39"/>
      <c r="D1823" s="106" t="s">
        <v>88</v>
      </c>
      <c r="E1823" s="114" t="s">
        <v>9689</v>
      </c>
      <c r="F1823" s="114" t="s">
        <v>2640</v>
      </c>
      <c r="G1823" s="108" t="s">
        <v>3160</v>
      </c>
      <c r="H1823" s="114" t="s">
        <v>9690</v>
      </c>
      <c r="I1823" s="115" t="s">
        <v>3453</v>
      </c>
      <c r="J1823" s="114" t="s">
        <v>9691</v>
      </c>
      <c r="K1823" s="150" t="s">
        <v>9692</v>
      </c>
    </row>
    <row r="1824" spans="1:11">
      <c r="A1824" s="158"/>
      <c r="B1824" s="122"/>
      <c r="C1824" s="39"/>
      <c r="D1824" s="106" t="s">
        <v>9693</v>
      </c>
      <c r="E1824" s="114" t="s">
        <v>9694</v>
      </c>
      <c r="F1824" s="114" t="s">
        <v>2639</v>
      </c>
      <c r="G1824" s="108" t="s">
        <v>9695</v>
      </c>
      <c r="H1824" s="114" t="s">
        <v>9696</v>
      </c>
      <c r="I1824" s="115" t="s">
        <v>3459</v>
      </c>
      <c r="J1824" s="114" t="s">
        <v>9697</v>
      </c>
      <c r="K1824" s="150" t="s">
        <v>9698</v>
      </c>
    </row>
    <row r="1825" spans="1:11">
      <c r="A1825" s="158"/>
      <c r="B1825" s="122"/>
      <c r="C1825" s="39"/>
      <c r="D1825" s="106" t="s">
        <v>9699</v>
      </c>
      <c r="E1825" s="114" t="s">
        <v>9700</v>
      </c>
      <c r="F1825" s="114" t="s">
        <v>2641</v>
      </c>
      <c r="G1825" s="108" t="s">
        <v>9701</v>
      </c>
      <c r="H1825" s="114" t="s">
        <v>9702</v>
      </c>
      <c r="I1825" s="115" t="s">
        <v>3453</v>
      </c>
      <c r="J1825" s="114" t="s">
        <v>9703</v>
      </c>
      <c r="K1825" s="150" t="s">
        <v>9704</v>
      </c>
    </row>
    <row r="1826" spans="1:11">
      <c r="A1826" s="158"/>
      <c r="B1826" s="122"/>
      <c r="C1826" s="39"/>
      <c r="D1826" s="106" t="s">
        <v>9705</v>
      </c>
      <c r="E1826" s="114" t="s">
        <v>9706</v>
      </c>
      <c r="F1826" s="114" t="s">
        <v>2640</v>
      </c>
      <c r="G1826" s="108" t="s">
        <v>9707</v>
      </c>
      <c r="H1826" s="114" t="s">
        <v>9708</v>
      </c>
      <c r="I1826" s="115" t="s">
        <v>3459</v>
      </c>
      <c r="J1826" s="114" t="s">
        <v>9709</v>
      </c>
      <c r="K1826" s="150" t="s">
        <v>9710</v>
      </c>
    </row>
    <row r="1827" spans="1:11">
      <c r="A1827" s="158"/>
      <c r="B1827" s="122"/>
      <c r="C1827" s="39" t="s">
        <v>7</v>
      </c>
      <c r="D1827" s="106" t="s">
        <v>9711</v>
      </c>
      <c r="E1827" s="114" t="s">
        <v>9712</v>
      </c>
      <c r="F1827" s="114" t="s">
        <v>2639</v>
      </c>
      <c r="G1827" s="108" t="s">
        <v>9713</v>
      </c>
      <c r="H1827" s="114" t="s">
        <v>9714</v>
      </c>
      <c r="I1827" s="115" t="s">
        <v>3453</v>
      </c>
      <c r="J1827" s="114" t="s">
        <v>9715</v>
      </c>
      <c r="K1827" s="150" t="s">
        <v>9716</v>
      </c>
    </row>
    <row r="1828" spans="1:11">
      <c r="A1828" s="158"/>
      <c r="B1828" s="122"/>
      <c r="C1828" s="39"/>
      <c r="D1828" s="106" t="s">
        <v>89</v>
      </c>
      <c r="E1828" s="114" t="s">
        <v>9717</v>
      </c>
      <c r="F1828" s="114" t="s">
        <v>2640</v>
      </c>
      <c r="G1828" s="108" t="s">
        <v>9718</v>
      </c>
      <c r="H1828" s="114" t="s">
        <v>9719</v>
      </c>
      <c r="I1828" s="115" t="s">
        <v>3459</v>
      </c>
      <c r="J1828" s="114" t="s">
        <v>9720</v>
      </c>
      <c r="K1828" s="150" t="s">
        <v>9721</v>
      </c>
    </row>
    <row r="1829" spans="1:11">
      <c r="A1829" s="158"/>
      <c r="B1829" s="122"/>
      <c r="C1829" s="39"/>
      <c r="D1829" s="106" t="s">
        <v>9722</v>
      </c>
      <c r="E1829" s="114" t="s">
        <v>9723</v>
      </c>
      <c r="F1829" s="114" t="s">
        <v>2639</v>
      </c>
      <c r="G1829" s="108" t="s">
        <v>9724</v>
      </c>
      <c r="H1829" s="114" t="s">
        <v>9725</v>
      </c>
      <c r="I1829" s="115" t="s">
        <v>3581</v>
      </c>
      <c r="J1829" s="114" t="s">
        <v>9726</v>
      </c>
      <c r="K1829" s="150" t="s">
        <v>9727</v>
      </c>
    </row>
    <row r="1830" spans="1:11">
      <c r="A1830" s="158"/>
      <c r="B1830" s="122"/>
      <c r="C1830" s="39"/>
      <c r="D1830" s="106" t="s">
        <v>9728</v>
      </c>
      <c r="E1830" s="114" t="s">
        <v>9729</v>
      </c>
      <c r="F1830" s="114" t="s">
        <v>2640</v>
      </c>
      <c r="G1830" s="108" t="s">
        <v>9730</v>
      </c>
      <c r="H1830" s="114" t="s">
        <v>9731</v>
      </c>
      <c r="I1830" s="115" t="s">
        <v>3459</v>
      </c>
      <c r="J1830" s="114" t="s">
        <v>9732</v>
      </c>
      <c r="K1830" s="150" t="s">
        <v>9733</v>
      </c>
    </row>
    <row r="1831" spans="1:11">
      <c r="A1831" s="158"/>
      <c r="B1831" s="122"/>
      <c r="C1831" s="39"/>
      <c r="D1831" s="106" t="s">
        <v>9734</v>
      </c>
      <c r="E1831" s="114" t="s">
        <v>9735</v>
      </c>
      <c r="F1831" s="114" t="s">
        <v>2639</v>
      </c>
      <c r="G1831" s="108" t="s">
        <v>9736</v>
      </c>
      <c r="H1831" s="114" t="s">
        <v>9737</v>
      </c>
      <c r="I1831" s="115" t="s">
        <v>3581</v>
      </c>
      <c r="J1831" s="114" t="s">
        <v>9738</v>
      </c>
      <c r="K1831" s="150" t="s">
        <v>9739</v>
      </c>
    </row>
    <row r="1832" spans="1:11">
      <c r="A1832" s="158"/>
      <c r="B1832" s="122"/>
      <c r="C1832" s="39" t="s">
        <v>8</v>
      </c>
      <c r="D1832" s="106" t="s">
        <v>90</v>
      </c>
      <c r="E1832" s="114" t="s">
        <v>9740</v>
      </c>
      <c r="F1832" s="114" t="s">
        <v>2639</v>
      </c>
      <c r="G1832" s="108" t="s">
        <v>9741</v>
      </c>
      <c r="H1832" s="114" t="s">
        <v>9742</v>
      </c>
      <c r="I1832" s="115" t="s">
        <v>3453</v>
      </c>
      <c r="J1832" s="114" t="s">
        <v>9743</v>
      </c>
      <c r="K1832" s="150" t="s">
        <v>9744</v>
      </c>
    </row>
    <row r="1833" spans="1:11">
      <c r="A1833" s="158"/>
      <c r="B1833" s="122"/>
      <c r="C1833" s="39"/>
      <c r="D1833" s="106" t="s">
        <v>9745</v>
      </c>
      <c r="E1833" s="114" t="s">
        <v>9746</v>
      </c>
      <c r="F1833" s="114" t="s">
        <v>2639</v>
      </c>
      <c r="G1833" s="108" t="s">
        <v>9747</v>
      </c>
      <c r="H1833" s="114" t="s">
        <v>9748</v>
      </c>
      <c r="I1833" s="115" t="s">
        <v>3453</v>
      </c>
      <c r="J1833" s="114" t="s">
        <v>9749</v>
      </c>
      <c r="K1833" s="150" t="s">
        <v>9750</v>
      </c>
    </row>
    <row r="1834" spans="1:11">
      <c r="A1834" s="158"/>
      <c r="B1834" s="122"/>
      <c r="C1834" s="39"/>
      <c r="D1834" s="106" t="s">
        <v>9751</v>
      </c>
      <c r="E1834" s="114" t="s">
        <v>9752</v>
      </c>
      <c r="F1834" s="114" t="s">
        <v>2641</v>
      </c>
      <c r="G1834" s="108" t="s">
        <v>9753</v>
      </c>
      <c r="H1834" s="114" t="s">
        <v>9754</v>
      </c>
      <c r="I1834" s="115" t="s">
        <v>3459</v>
      </c>
      <c r="J1834" s="114" t="s">
        <v>9755</v>
      </c>
      <c r="K1834" s="150" t="s">
        <v>9756</v>
      </c>
    </row>
    <row r="1835" spans="1:11">
      <c r="A1835" s="158"/>
      <c r="B1835" s="122"/>
      <c r="C1835" s="39"/>
      <c r="D1835" s="106" t="s">
        <v>9757</v>
      </c>
      <c r="E1835" s="114" t="s">
        <v>9758</v>
      </c>
      <c r="F1835" s="114" t="s">
        <v>2640</v>
      </c>
      <c r="G1835" s="108" t="s">
        <v>9759</v>
      </c>
      <c r="H1835" s="114" t="s">
        <v>9760</v>
      </c>
      <c r="I1835" s="115" t="s">
        <v>3459</v>
      </c>
      <c r="J1835" s="114" t="s">
        <v>9761</v>
      </c>
      <c r="K1835" s="150" t="s">
        <v>9762</v>
      </c>
    </row>
    <row r="1836" spans="1:11">
      <c r="A1836" s="158"/>
      <c r="B1836" s="122"/>
      <c r="C1836" s="39"/>
      <c r="D1836" s="106" t="s">
        <v>9763</v>
      </c>
      <c r="E1836" s="114" t="s">
        <v>9764</v>
      </c>
      <c r="F1836" s="114" t="s">
        <v>2639</v>
      </c>
      <c r="G1836" s="108" t="s">
        <v>9765</v>
      </c>
      <c r="H1836" s="114" t="s">
        <v>9766</v>
      </c>
      <c r="I1836" s="115" t="s">
        <v>3453</v>
      </c>
      <c r="J1836" s="114" t="s">
        <v>9767</v>
      </c>
      <c r="K1836" s="150" t="s">
        <v>9768</v>
      </c>
    </row>
    <row r="1837" spans="1:11">
      <c r="A1837" s="158"/>
      <c r="B1837" s="122"/>
      <c r="C1837" s="39" t="s">
        <v>84</v>
      </c>
      <c r="D1837" s="106" t="s">
        <v>91</v>
      </c>
      <c r="E1837" s="114" t="s">
        <v>9769</v>
      </c>
      <c r="F1837" s="114" t="s">
        <v>2639</v>
      </c>
      <c r="G1837" s="108" t="s">
        <v>9770</v>
      </c>
      <c r="H1837" s="114" t="s">
        <v>9771</v>
      </c>
      <c r="I1837" s="115" t="s">
        <v>3453</v>
      </c>
      <c r="J1837" s="114" t="s">
        <v>9772</v>
      </c>
      <c r="K1837" s="150" t="s">
        <v>9773</v>
      </c>
    </row>
    <row r="1838" spans="1:11">
      <c r="A1838" s="158"/>
      <c r="B1838" s="122"/>
      <c r="C1838" s="39"/>
      <c r="D1838" s="106" t="s">
        <v>92</v>
      </c>
      <c r="E1838" s="114" t="s">
        <v>9774</v>
      </c>
      <c r="F1838" s="114" t="s">
        <v>2639</v>
      </c>
      <c r="G1838" s="108" t="s">
        <v>9775</v>
      </c>
      <c r="H1838" s="114" t="s">
        <v>9776</v>
      </c>
      <c r="I1838" s="115" t="s">
        <v>3459</v>
      </c>
      <c r="J1838" s="114" t="s">
        <v>9777</v>
      </c>
      <c r="K1838" s="150" t="s">
        <v>9778</v>
      </c>
    </row>
    <row r="1839" spans="1:11">
      <c r="A1839" s="158"/>
      <c r="B1839" s="122"/>
      <c r="C1839" s="39"/>
      <c r="D1839" s="106" t="s">
        <v>9779</v>
      </c>
      <c r="E1839" s="114" t="s">
        <v>9780</v>
      </c>
      <c r="F1839" s="114" t="s">
        <v>2640</v>
      </c>
      <c r="G1839" s="108" t="s">
        <v>9781</v>
      </c>
      <c r="H1839" s="114" t="s">
        <v>9782</v>
      </c>
      <c r="I1839" s="115" t="s">
        <v>3459</v>
      </c>
      <c r="J1839" s="114" t="s">
        <v>9783</v>
      </c>
      <c r="K1839" s="150" t="s">
        <v>9784</v>
      </c>
    </row>
    <row r="1840" spans="1:11">
      <c r="A1840" s="158"/>
      <c r="B1840" s="122"/>
      <c r="C1840" s="39"/>
      <c r="D1840" s="106" t="s">
        <v>9785</v>
      </c>
      <c r="E1840" s="114" t="s">
        <v>9786</v>
      </c>
      <c r="F1840" s="114" t="s">
        <v>2639</v>
      </c>
      <c r="G1840" s="108" t="s">
        <v>9787</v>
      </c>
      <c r="H1840" s="114" t="s">
        <v>9788</v>
      </c>
      <c r="I1840" s="115" t="s">
        <v>3453</v>
      </c>
      <c r="J1840" s="114" t="s">
        <v>9789</v>
      </c>
      <c r="K1840" s="150" t="s">
        <v>9790</v>
      </c>
    </row>
    <row r="1841" spans="1:11">
      <c r="A1841" s="158"/>
      <c r="B1841" s="122"/>
      <c r="C1841" s="39"/>
      <c r="D1841" s="106" t="s">
        <v>9791</v>
      </c>
      <c r="E1841" s="114" t="s">
        <v>9792</v>
      </c>
      <c r="F1841" s="114" t="s">
        <v>2640</v>
      </c>
      <c r="G1841" s="108" t="s">
        <v>9793</v>
      </c>
      <c r="H1841" s="114" t="s">
        <v>5527</v>
      </c>
      <c r="I1841" s="115" t="s">
        <v>3459</v>
      </c>
      <c r="J1841" s="114" t="s">
        <v>2221</v>
      </c>
      <c r="K1841" s="150" t="s">
        <v>9794</v>
      </c>
    </row>
    <row r="1842" spans="1:11">
      <c r="A1842" s="158"/>
      <c r="B1842" s="122" t="s">
        <v>9</v>
      </c>
      <c r="C1842" s="39" t="s">
        <v>10</v>
      </c>
      <c r="D1842" s="106" t="s">
        <v>9795</v>
      </c>
      <c r="E1842" s="114" t="s">
        <v>9796</v>
      </c>
      <c r="F1842" s="114" t="s">
        <v>2639</v>
      </c>
      <c r="G1842" s="108" t="s">
        <v>9797</v>
      </c>
      <c r="H1842" s="114" t="s">
        <v>9798</v>
      </c>
      <c r="I1842" s="115" t="s">
        <v>3453</v>
      </c>
      <c r="J1842" s="114" t="s">
        <v>9799</v>
      </c>
      <c r="K1842" s="150" t="s">
        <v>9800</v>
      </c>
    </row>
    <row r="1843" spans="1:11">
      <c r="A1843" s="158"/>
      <c r="B1843" s="122"/>
      <c r="C1843" s="39"/>
      <c r="D1843" s="106" t="s">
        <v>9801</v>
      </c>
      <c r="E1843" s="114" t="s">
        <v>9802</v>
      </c>
      <c r="F1843" s="114" t="s">
        <v>2639</v>
      </c>
      <c r="G1843" s="108" t="s">
        <v>9803</v>
      </c>
      <c r="H1843" s="114" t="s">
        <v>9804</v>
      </c>
      <c r="I1843" s="115" t="s">
        <v>3453</v>
      </c>
      <c r="J1843" s="114" t="s">
        <v>9805</v>
      </c>
      <c r="K1843" s="150" t="s">
        <v>9806</v>
      </c>
    </row>
    <row r="1844" spans="1:11">
      <c r="A1844" s="158"/>
      <c r="B1844" s="122"/>
      <c r="C1844" s="39"/>
      <c r="D1844" s="106" t="s">
        <v>9807</v>
      </c>
      <c r="E1844" s="114" t="s">
        <v>9808</v>
      </c>
      <c r="F1844" s="114" t="s">
        <v>2639</v>
      </c>
      <c r="G1844" s="108" t="s">
        <v>9809</v>
      </c>
      <c r="H1844" s="114" t="s">
        <v>3486</v>
      </c>
      <c r="I1844" s="115" t="s">
        <v>3459</v>
      </c>
      <c r="J1844" s="114" t="s">
        <v>9810</v>
      </c>
      <c r="K1844" s="150" t="s">
        <v>9811</v>
      </c>
    </row>
    <row r="1845" spans="1:11">
      <c r="A1845" s="158"/>
      <c r="B1845" s="122"/>
      <c r="C1845" s="39"/>
      <c r="D1845" s="106" t="s">
        <v>9812</v>
      </c>
      <c r="E1845" s="114" t="s">
        <v>9813</v>
      </c>
      <c r="F1845" s="114" t="s">
        <v>2639</v>
      </c>
      <c r="G1845" s="108" t="s">
        <v>9814</v>
      </c>
      <c r="H1845" s="114" t="s">
        <v>9815</v>
      </c>
      <c r="I1845" s="115" t="s">
        <v>3459</v>
      </c>
      <c r="J1845" s="114" t="s">
        <v>9816</v>
      </c>
      <c r="K1845" s="150" t="s">
        <v>9817</v>
      </c>
    </row>
    <row r="1846" spans="1:11">
      <c r="A1846" s="158"/>
      <c r="B1846" s="122"/>
      <c r="C1846" s="39"/>
      <c r="D1846" s="106" t="s">
        <v>9818</v>
      </c>
      <c r="E1846" s="114" t="s">
        <v>9819</v>
      </c>
      <c r="F1846" s="114" t="s">
        <v>2640</v>
      </c>
      <c r="G1846" s="108" t="s">
        <v>9820</v>
      </c>
      <c r="H1846" s="114" t="s">
        <v>9821</v>
      </c>
      <c r="I1846" s="115" t="s">
        <v>3459</v>
      </c>
      <c r="J1846" s="114" t="s">
        <v>9822</v>
      </c>
      <c r="K1846" s="150" t="s">
        <v>9823</v>
      </c>
    </row>
    <row r="1847" spans="1:11">
      <c r="A1847" s="158"/>
      <c r="B1847" s="122"/>
      <c r="C1847" s="39" t="s">
        <v>11</v>
      </c>
      <c r="D1847" s="106" t="s">
        <v>9824</v>
      </c>
      <c r="E1847" s="114" t="s">
        <v>9825</v>
      </c>
      <c r="F1847" s="114" t="s">
        <v>2639</v>
      </c>
      <c r="G1847" s="108" t="s">
        <v>9826</v>
      </c>
      <c r="H1847" s="114" t="s">
        <v>9827</v>
      </c>
      <c r="I1847" s="115" t="s">
        <v>3459</v>
      </c>
      <c r="J1847" s="114" t="s">
        <v>9828</v>
      </c>
      <c r="K1847" s="150" t="s">
        <v>9829</v>
      </c>
    </row>
    <row r="1848" spans="1:11">
      <c r="A1848" s="158"/>
      <c r="B1848" s="122"/>
      <c r="C1848" s="39"/>
      <c r="D1848" s="106" t="s">
        <v>9830</v>
      </c>
      <c r="E1848" s="114" t="s">
        <v>9831</v>
      </c>
      <c r="F1848" s="114" t="s">
        <v>2640</v>
      </c>
      <c r="G1848" s="108" t="s">
        <v>9832</v>
      </c>
      <c r="H1848" s="114" t="s">
        <v>9833</v>
      </c>
      <c r="I1848" s="115" t="s">
        <v>3453</v>
      </c>
      <c r="J1848" s="114" t="s">
        <v>1984</v>
      </c>
      <c r="K1848" s="150" t="s">
        <v>9834</v>
      </c>
    </row>
    <row r="1849" spans="1:11">
      <c r="A1849" s="158"/>
      <c r="B1849" s="122"/>
      <c r="C1849" s="39"/>
      <c r="D1849" s="106" t="s">
        <v>9835</v>
      </c>
      <c r="E1849" s="114" t="s">
        <v>9836</v>
      </c>
      <c r="F1849" s="114" t="s">
        <v>2640</v>
      </c>
      <c r="G1849" s="108" t="s">
        <v>9837</v>
      </c>
      <c r="H1849" s="114" t="s">
        <v>9838</v>
      </c>
      <c r="I1849" s="115" t="s">
        <v>3459</v>
      </c>
      <c r="J1849" s="114" t="s">
        <v>9839</v>
      </c>
      <c r="K1849" s="150" t="s">
        <v>9840</v>
      </c>
    </row>
    <row r="1850" spans="1:11">
      <c r="A1850" s="158"/>
      <c r="B1850" s="122"/>
      <c r="C1850" s="39"/>
      <c r="D1850" s="106" t="s">
        <v>9841</v>
      </c>
      <c r="E1850" s="114" t="s">
        <v>9842</v>
      </c>
      <c r="F1850" s="114" t="s">
        <v>2640</v>
      </c>
      <c r="G1850" s="108" t="s">
        <v>9843</v>
      </c>
      <c r="H1850" s="114" t="s">
        <v>9844</v>
      </c>
      <c r="I1850" s="115" t="s">
        <v>3459</v>
      </c>
      <c r="J1850" s="114" t="s">
        <v>9845</v>
      </c>
      <c r="K1850" s="150" t="s">
        <v>9846</v>
      </c>
    </row>
    <row r="1851" spans="1:11">
      <c r="A1851" s="158"/>
      <c r="B1851" s="122"/>
      <c r="C1851" s="39"/>
      <c r="D1851" s="106" t="s">
        <v>9847</v>
      </c>
      <c r="E1851" s="114" t="s">
        <v>9848</v>
      </c>
      <c r="F1851" s="114" t="s">
        <v>2639</v>
      </c>
      <c r="G1851" s="108" t="s">
        <v>9849</v>
      </c>
      <c r="H1851" s="114" t="s">
        <v>9850</v>
      </c>
      <c r="I1851" s="115" t="s">
        <v>3581</v>
      </c>
      <c r="J1851" s="114" t="s">
        <v>9851</v>
      </c>
      <c r="K1851" s="150" t="s">
        <v>9852</v>
      </c>
    </row>
    <row r="1852" spans="1:11">
      <c r="A1852" s="158"/>
      <c r="B1852" s="122"/>
      <c r="C1852" s="39" t="s">
        <v>12</v>
      </c>
      <c r="D1852" s="106" t="s">
        <v>9853</v>
      </c>
      <c r="E1852" s="114" t="s">
        <v>9854</v>
      </c>
      <c r="F1852" s="114" t="s">
        <v>2639</v>
      </c>
      <c r="G1852" s="108" t="s">
        <v>9855</v>
      </c>
      <c r="H1852" s="114" t="s">
        <v>1987</v>
      </c>
      <c r="I1852" s="115" t="s">
        <v>3459</v>
      </c>
      <c r="J1852" s="114" t="s">
        <v>9856</v>
      </c>
      <c r="K1852" s="150" t="s">
        <v>9857</v>
      </c>
    </row>
    <row r="1853" spans="1:11">
      <c r="A1853" s="158"/>
      <c r="B1853" s="122"/>
      <c r="C1853" s="39"/>
      <c r="D1853" s="106" t="s">
        <v>9858</v>
      </c>
      <c r="E1853" s="114" t="s">
        <v>9859</v>
      </c>
      <c r="F1853" s="114" t="s">
        <v>2639</v>
      </c>
      <c r="G1853" s="108" t="s">
        <v>9860</v>
      </c>
      <c r="H1853" s="114" t="s">
        <v>9861</v>
      </c>
      <c r="I1853" s="115" t="s">
        <v>3581</v>
      </c>
      <c r="J1853" s="114" t="s">
        <v>9862</v>
      </c>
      <c r="K1853" s="150" t="s">
        <v>9863</v>
      </c>
    </row>
    <row r="1854" spans="1:11">
      <c r="A1854" s="158"/>
      <c r="B1854" s="122"/>
      <c r="C1854" s="39"/>
      <c r="D1854" s="106" t="s">
        <v>9864</v>
      </c>
      <c r="E1854" s="114" t="s">
        <v>9865</v>
      </c>
      <c r="F1854" s="114" t="s">
        <v>2640</v>
      </c>
      <c r="G1854" s="108" t="s">
        <v>9866</v>
      </c>
      <c r="H1854" s="114" t="s">
        <v>9867</v>
      </c>
      <c r="I1854" s="115" t="s">
        <v>3459</v>
      </c>
      <c r="J1854" s="114" t="s">
        <v>9868</v>
      </c>
      <c r="K1854" s="150" t="s">
        <v>9869</v>
      </c>
    </row>
    <row r="1855" spans="1:11">
      <c r="A1855" s="158"/>
      <c r="B1855" s="122"/>
      <c r="C1855" s="39"/>
      <c r="D1855" s="106" t="s">
        <v>9870</v>
      </c>
      <c r="E1855" s="114" t="s">
        <v>9871</v>
      </c>
      <c r="F1855" s="114" t="s">
        <v>2639</v>
      </c>
      <c r="G1855" s="108" t="s">
        <v>9872</v>
      </c>
      <c r="H1855" s="114" t="s">
        <v>9873</v>
      </c>
      <c r="I1855" s="115" t="s">
        <v>3459</v>
      </c>
      <c r="J1855" s="114" t="s">
        <v>9874</v>
      </c>
      <c r="K1855" s="150" t="s">
        <v>9875</v>
      </c>
    </row>
    <row r="1856" spans="1:11">
      <c r="A1856" s="158"/>
      <c r="B1856" s="122"/>
      <c r="C1856" s="39"/>
      <c r="D1856" s="106" t="s">
        <v>9876</v>
      </c>
      <c r="E1856" s="114" t="s">
        <v>9877</v>
      </c>
      <c r="F1856" s="114" t="s">
        <v>2640</v>
      </c>
      <c r="G1856" s="108" t="s">
        <v>7069</v>
      </c>
      <c r="H1856" s="114" t="s">
        <v>9878</v>
      </c>
      <c r="I1856" s="115" t="s">
        <v>3453</v>
      </c>
      <c r="J1856" s="114" t="s">
        <v>2076</v>
      </c>
      <c r="K1856" s="150" t="s">
        <v>9879</v>
      </c>
    </row>
    <row r="1857" spans="1:11">
      <c r="A1857" s="158"/>
      <c r="B1857" s="122"/>
      <c r="C1857" s="39" t="s">
        <v>13</v>
      </c>
      <c r="D1857" s="106" t="s">
        <v>9880</v>
      </c>
      <c r="E1857" s="114" t="s">
        <v>9881</v>
      </c>
      <c r="F1857" s="114" t="s">
        <v>2639</v>
      </c>
      <c r="G1857" s="108" t="s">
        <v>9882</v>
      </c>
      <c r="H1857" s="114" t="s">
        <v>9883</v>
      </c>
      <c r="I1857" s="115" t="s">
        <v>3459</v>
      </c>
      <c r="J1857" s="114" t="s">
        <v>9884</v>
      </c>
      <c r="K1857" s="150" t="s">
        <v>9885</v>
      </c>
    </row>
    <row r="1858" spans="1:11">
      <c r="A1858" s="158"/>
      <c r="B1858" s="122"/>
      <c r="C1858" s="39"/>
      <c r="D1858" s="106" t="s">
        <v>9886</v>
      </c>
      <c r="E1858" s="114" t="s">
        <v>9887</v>
      </c>
      <c r="F1858" s="114" t="s">
        <v>2640</v>
      </c>
      <c r="G1858" s="108" t="s">
        <v>9888</v>
      </c>
      <c r="H1858" s="114" t="s">
        <v>9889</v>
      </c>
      <c r="I1858" s="115" t="s">
        <v>3453</v>
      </c>
      <c r="J1858" s="114" t="s">
        <v>9890</v>
      </c>
      <c r="K1858" s="150" t="s">
        <v>9891</v>
      </c>
    </row>
    <row r="1859" spans="1:11">
      <c r="A1859" s="158"/>
      <c r="B1859" s="122"/>
      <c r="C1859" s="39"/>
      <c r="D1859" s="106" t="s">
        <v>9892</v>
      </c>
      <c r="E1859" s="114" t="s">
        <v>9893</v>
      </c>
      <c r="F1859" s="114" t="s">
        <v>2640</v>
      </c>
      <c r="G1859" s="108" t="s">
        <v>9894</v>
      </c>
      <c r="H1859" s="114" t="s">
        <v>6442</v>
      </c>
      <c r="I1859" s="115" t="s">
        <v>3459</v>
      </c>
      <c r="J1859" s="114" t="s">
        <v>9895</v>
      </c>
      <c r="K1859" s="150" t="s">
        <v>9896</v>
      </c>
    </row>
    <row r="1860" spans="1:11">
      <c r="A1860" s="158"/>
      <c r="B1860" s="122"/>
      <c r="C1860" s="39"/>
      <c r="D1860" s="106" t="s">
        <v>9897</v>
      </c>
      <c r="E1860" s="114" t="s">
        <v>9898</v>
      </c>
      <c r="F1860" s="114" t="s">
        <v>2639</v>
      </c>
      <c r="G1860" s="108" t="s">
        <v>9899</v>
      </c>
      <c r="H1860" s="114" t="s">
        <v>9900</v>
      </c>
      <c r="I1860" s="115" t="s">
        <v>3581</v>
      </c>
      <c r="J1860" s="114" t="s">
        <v>9901</v>
      </c>
      <c r="K1860" s="150" t="s">
        <v>9902</v>
      </c>
    </row>
    <row r="1861" spans="1:11">
      <c r="A1861" s="158"/>
      <c r="B1861" s="122"/>
      <c r="C1861" s="39"/>
      <c r="D1861" s="106" t="s">
        <v>9903</v>
      </c>
      <c r="E1861" s="114" t="s">
        <v>9904</v>
      </c>
      <c r="F1861" s="114" t="s">
        <v>2640</v>
      </c>
      <c r="G1861" s="108" t="s">
        <v>9905</v>
      </c>
      <c r="H1861" s="114" t="s">
        <v>9906</v>
      </c>
      <c r="I1861" s="115" t="s">
        <v>3459</v>
      </c>
      <c r="J1861" s="114" t="s">
        <v>9907</v>
      </c>
      <c r="K1861" s="150" t="s">
        <v>9908</v>
      </c>
    </row>
    <row r="1862" spans="1:11">
      <c r="A1862" s="158"/>
      <c r="B1862" s="122"/>
      <c r="C1862" s="39" t="s">
        <v>14</v>
      </c>
      <c r="D1862" s="106" t="s">
        <v>9909</v>
      </c>
      <c r="E1862" s="114" t="s">
        <v>9910</v>
      </c>
      <c r="F1862" s="114" t="s">
        <v>2639</v>
      </c>
      <c r="G1862" s="108" t="s">
        <v>9911</v>
      </c>
      <c r="H1862" s="114" t="s">
        <v>9912</v>
      </c>
      <c r="I1862" s="115" t="s">
        <v>3459</v>
      </c>
      <c r="J1862" s="114" t="s">
        <v>9913</v>
      </c>
      <c r="K1862" s="150" t="s">
        <v>9914</v>
      </c>
    </row>
    <row r="1863" spans="1:11">
      <c r="A1863" s="158"/>
      <c r="B1863" s="122"/>
      <c r="C1863" s="39"/>
      <c r="D1863" s="106" t="s">
        <v>9915</v>
      </c>
      <c r="E1863" s="114" t="s">
        <v>9916</v>
      </c>
      <c r="F1863" s="114" t="s">
        <v>2640</v>
      </c>
      <c r="G1863" s="108" t="s">
        <v>9917</v>
      </c>
      <c r="H1863" s="114" t="s">
        <v>9918</v>
      </c>
      <c r="I1863" s="115" t="s">
        <v>3453</v>
      </c>
      <c r="J1863" s="114" t="s">
        <v>9919</v>
      </c>
      <c r="K1863" s="150" t="s">
        <v>9920</v>
      </c>
    </row>
    <row r="1864" spans="1:11">
      <c r="A1864" s="158"/>
      <c r="B1864" s="122"/>
      <c r="C1864" s="39"/>
      <c r="D1864" s="106" t="s">
        <v>9921</v>
      </c>
      <c r="E1864" s="114" t="s">
        <v>9922</v>
      </c>
      <c r="F1864" s="114" t="s">
        <v>2640</v>
      </c>
      <c r="G1864" s="108" t="s">
        <v>9923</v>
      </c>
      <c r="H1864" s="114" t="s">
        <v>9924</v>
      </c>
      <c r="I1864" s="115" t="s">
        <v>3453</v>
      </c>
      <c r="J1864" s="114" t="s">
        <v>9925</v>
      </c>
      <c r="K1864" s="150" t="s">
        <v>9926</v>
      </c>
    </row>
    <row r="1865" spans="1:11">
      <c r="A1865" s="158"/>
      <c r="B1865" s="122"/>
      <c r="C1865" s="39"/>
      <c r="D1865" s="106" t="s">
        <v>93</v>
      </c>
      <c r="E1865" s="114" t="s">
        <v>9931</v>
      </c>
      <c r="F1865" s="114" t="s">
        <v>2639</v>
      </c>
      <c r="G1865" s="108" t="s">
        <v>9932</v>
      </c>
      <c r="H1865" s="114" t="s">
        <v>9933</v>
      </c>
      <c r="I1865" s="115" t="s">
        <v>3453</v>
      </c>
      <c r="J1865" s="114" t="s">
        <v>9935</v>
      </c>
      <c r="K1865" s="150" t="s">
        <v>9936</v>
      </c>
    </row>
    <row r="1866" spans="1:11">
      <c r="A1866" s="158"/>
      <c r="B1866" s="122"/>
      <c r="C1866" s="39"/>
      <c r="D1866" s="106" t="s">
        <v>94</v>
      </c>
      <c r="E1866" s="114" t="s">
        <v>9937</v>
      </c>
      <c r="F1866" s="114" t="s">
        <v>2640</v>
      </c>
      <c r="G1866" s="108" t="s">
        <v>9938</v>
      </c>
      <c r="H1866" s="114" t="s">
        <v>9939</v>
      </c>
      <c r="I1866" s="115" t="s">
        <v>3459</v>
      </c>
      <c r="J1866" s="114" t="s">
        <v>9941</v>
      </c>
      <c r="K1866" s="150" t="s">
        <v>9942</v>
      </c>
    </row>
    <row r="1867" spans="1:11">
      <c r="A1867" s="158"/>
      <c r="B1867" s="122" t="s">
        <v>15</v>
      </c>
      <c r="C1867" s="39" t="s">
        <v>16</v>
      </c>
      <c r="D1867" s="106" t="s">
        <v>95</v>
      </c>
      <c r="E1867" s="114" t="s">
        <v>9943</v>
      </c>
      <c r="F1867" s="114" t="s">
        <v>2639</v>
      </c>
      <c r="G1867" s="108" t="s">
        <v>9929</v>
      </c>
      <c r="H1867" s="114" t="s">
        <v>9944</v>
      </c>
      <c r="I1867" s="115" t="s">
        <v>3459</v>
      </c>
      <c r="J1867" s="114" t="s">
        <v>9945</v>
      </c>
      <c r="K1867" s="150" t="s">
        <v>9946</v>
      </c>
    </row>
    <row r="1868" spans="1:11">
      <c r="A1868" s="158"/>
      <c r="B1868" s="122"/>
      <c r="C1868" s="39"/>
      <c r="D1868" s="106" t="s">
        <v>96</v>
      </c>
      <c r="E1868" s="114" t="s">
        <v>9947</v>
      </c>
      <c r="F1868" s="114" t="s">
        <v>2639</v>
      </c>
      <c r="G1868" s="108" t="s">
        <v>9930</v>
      </c>
      <c r="H1868" s="114" t="s">
        <v>9948</v>
      </c>
      <c r="I1868" s="115" t="s">
        <v>3459</v>
      </c>
      <c r="J1868" s="114" t="s">
        <v>5307</v>
      </c>
      <c r="K1868" s="150" t="s">
        <v>9949</v>
      </c>
    </row>
    <row r="1869" spans="1:11">
      <c r="A1869" s="158"/>
      <c r="B1869" s="122"/>
      <c r="C1869" s="39"/>
      <c r="D1869" s="106" t="s">
        <v>97</v>
      </c>
      <c r="E1869" s="114" t="s">
        <v>9950</v>
      </c>
      <c r="F1869" s="114" t="s">
        <v>2639</v>
      </c>
      <c r="G1869" s="108" t="s">
        <v>9951</v>
      </c>
      <c r="H1869" s="114" t="s">
        <v>9952</v>
      </c>
      <c r="I1869" s="115" t="s">
        <v>3581</v>
      </c>
      <c r="J1869" s="114" t="s">
        <v>9953</v>
      </c>
      <c r="K1869" s="150" t="s">
        <v>9954</v>
      </c>
    </row>
    <row r="1870" spans="1:11">
      <c r="A1870" s="158"/>
      <c r="B1870" s="122"/>
      <c r="C1870" s="39"/>
      <c r="D1870" s="106" t="s">
        <v>98</v>
      </c>
      <c r="E1870" s="114" t="s">
        <v>9955</v>
      </c>
      <c r="F1870" s="114" t="s">
        <v>2641</v>
      </c>
      <c r="G1870" s="108" t="s">
        <v>9956</v>
      </c>
      <c r="H1870" s="114" t="s">
        <v>9957</v>
      </c>
      <c r="I1870" s="115" t="s">
        <v>3453</v>
      </c>
      <c r="J1870" s="114" t="s">
        <v>9958</v>
      </c>
      <c r="K1870" s="150" t="s">
        <v>9959</v>
      </c>
    </row>
    <row r="1871" spans="1:11">
      <c r="A1871" s="158"/>
      <c r="B1871" s="122"/>
      <c r="C1871" s="39"/>
      <c r="D1871" s="106" t="s">
        <v>99</v>
      </c>
      <c r="E1871" s="114" t="s">
        <v>9960</v>
      </c>
      <c r="F1871" s="114" t="s">
        <v>2639</v>
      </c>
      <c r="G1871" s="108" t="s">
        <v>9961</v>
      </c>
      <c r="H1871" s="114" t="s">
        <v>9962</v>
      </c>
      <c r="I1871" s="115" t="s">
        <v>3459</v>
      </c>
      <c r="J1871" s="114" t="s">
        <v>9963</v>
      </c>
      <c r="K1871" s="150" t="s">
        <v>9964</v>
      </c>
    </row>
    <row r="1872" spans="1:11">
      <c r="A1872" s="158"/>
      <c r="B1872" s="122"/>
      <c r="C1872" s="39" t="s">
        <v>17</v>
      </c>
      <c r="D1872" s="106" t="s">
        <v>100</v>
      </c>
      <c r="E1872" s="114" t="s">
        <v>9965</v>
      </c>
      <c r="F1872" s="114" t="s">
        <v>2640</v>
      </c>
      <c r="G1872" s="108" t="s">
        <v>9966</v>
      </c>
      <c r="H1872" s="114" t="s">
        <v>9967</v>
      </c>
      <c r="I1872" s="115" t="s">
        <v>3453</v>
      </c>
      <c r="J1872" s="114" t="s">
        <v>9968</v>
      </c>
      <c r="K1872" s="150" t="s">
        <v>9969</v>
      </c>
    </row>
    <row r="1873" spans="1:11">
      <c r="A1873" s="158"/>
      <c r="B1873" s="122"/>
      <c r="C1873" s="39"/>
      <c r="D1873" s="106" t="s">
        <v>101</v>
      </c>
      <c r="E1873" s="114" t="s">
        <v>9970</v>
      </c>
      <c r="F1873" s="114" t="s">
        <v>2639</v>
      </c>
      <c r="G1873" s="108" t="s">
        <v>9971</v>
      </c>
      <c r="H1873" s="114" t="s">
        <v>9972</v>
      </c>
      <c r="I1873" s="115" t="s">
        <v>3459</v>
      </c>
      <c r="J1873" s="114" t="s">
        <v>9973</v>
      </c>
      <c r="K1873" s="150" t="s">
        <v>9974</v>
      </c>
    </row>
    <row r="1874" spans="1:11">
      <c r="A1874" s="158"/>
      <c r="B1874" s="122"/>
      <c r="C1874" s="39"/>
      <c r="D1874" s="106" t="s">
        <v>102</v>
      </c>
      <c r="E1874" s="114" t="s">
        <v>9975</v>
      </c>
      <c r="F1874" s="114" t="s">
        <v>2641</v>
      </c>
      <c r="G1874" s="108" t="s">
        <v>9976</v>
      </c>
      <c r="H1874" s="114" t="s">
        <v>9977</v>
      </c>
      <c r="I1874" s="115" t="s">
        <v>3459</v>
      </c>
      <c r="J1874" s="114" t="s">
        <v>9978</v>
      </c>
      <c r="K1874" s="150" t="s">
        <v>9979</v>
      </c>
    </row>
    <row r="1875" spans="1:11">
      <c r="A1875" s="158"/>
      <c r="B1875" s="122"/>
      <c r="C1875" s="39"/>
      <c r="D1875" s="106" t="s">
        <v>103</v>
      </c>
      <c r="E1875" s="114" t="s">
        <v>9981</v>
      </c>
      <c r="F1875" s="114" t="s">
        <v>2639</v>
      </c>
      <c r="G1875" s="108" t="s">
        <v>9982</v>
      </c>
      <c r="H1875" s="114" t="s">
        <v>9983</v>
      </c>
      <c r="I1875" s="115" t="s">
        <v>3453</v>
      </c>
      <c r="J1875" s="114" t="s">
        <v>9984</v>
      </c>
      <c r="K1875" s="150" t="s">
        <v>9985</v>
      </c>
    </row>
    <row r="1876" spans="1:11">
      <c r="A1876" s="158"/>
      <c r="B1876" s="122"/>
      <c r="C1876" s="39"/>
      <c r="D1876" s="106" t="s">
        <v>104</v>
      </c>
      <c r="E1876" s="114" t="s">
        <v>9986</v>
      </c>
      <c r="F1876" s="114" t="s">
        <v>2639</v>
      </c>
      <c r="G1876" s="108" t="s">
        <v>9987</v>
      </c>
      <c r="H1876" s="114" t="s">
        <v>9988</v>
      </c>
      <c r="I1876" s="115" t="s">
        <v>3459</v>
      </c>
      <c r="J1876" s="114" t="s">
        <v>9989</v>
      </c>
      <c r="K1876" s="150" t="s">
        <v>9990</v>
      </c>
    </row>
    <row r="1877" spans="1:11">
      <c r="A1877" s="158"/>
      <c r="B1877" s="122"/>
      <c r="C1877" s="39" t="s">
        <v>18</v>
      </c>
      <c r="D1877" s="106" t="s">
        <v>105</v>
      </c>
      <c r="E1877" s="114" t="s">
        <v>9991</v>
      </c>
      <c r="F1877" s="114" t="s">
        <v>2639</v>
      </c>
      <c r="G1877" s="108" t="s">
        <v>9992</v>
      </c>
      <c r="H1877" s="114" t="s">
        <v>9993</v>
      </c>
      <c r="I1877" s="115" t="s">
        <v>3459</v>
      </c>
      <c r="J1877" s="114" t="s">
        <v>9994</v>
      </c>
      <c r="K1877" s="150" t="s">
        <v>9995</v>
      </c>
    </row>
    <row r="1878" spans="1:11">
      <c r="A1878" s="158"/>
      <c r="B1878" s="122"/>
      <c r="C1878" s="39"/>
      <c r="D1878" s="106" t="s">
        <v>106</v>
      </c>
      <c r="E1878" s="114" t="s">
        <v>9996</v>
      </c>
      <c r="F1878" s="114" t="s">
        <v>2639</v>
      </c>
      <c r="G1878" s="108" t="s">
        <v>9997</v>
      </c>
      <c r="H1878" s="114" t="s">
        <v>9998</v>
      </c>
      <c r="I1878" s="115" t="s">
        <v>3453</v>
      </c>
      <c r="J1878" s="114" t="s">
        <v>9999</v>
      </c>
      <c r="K1878" s="150" t="s">
        <v>10000</v>
      </c>
    </row>
    <row r="1879" spans="1:11">
      <c r="A1879" s="158"/>
      <c r="B1879" s="122"/>
      <c r="C1879" s="39"/>
      <c r="D1879" s="106" t="s">
        <v>107</v>
      </c>
      <c r="E1879" s="114" t="s">
        <v>10001</v>
      </c>
      <c r="F1879" s="114" t="s">
        <v>2640</v>
      </c>
      <c r="G1879" s="108" t="s">
        <v>10002</v>
      </c>
      <c r="H1879" s="114" t="s">
        <v>10003</v>
      </c>
      <c r="I1879" s="115" t="s">
        <v>3453</v>
      </c>
      <c r="J1879" s="114" t="s">
        <v>10004</v>
      </c>
      <c r="K1879" s="150" t="s">
        <v>10005</v>
      </c>
    </row>
    <row r="1880" spans="1:11">
      <c r="A1880" s="158"/>
      <c r="B1880" s="122"/>
      <c r="C1880" s="39"/>
      <c r="D1880" s="106" t="s">
        <v>108</v>
      </c>
      <c r="E1880" s="114" t="s">
        <v>10006</v>
      </c>
      <c r="F1880" s="114" t="s">
        <v>2639</v>
      </c>
      <c r="G1880" s="108" t="s">
        <v>10007</v>
      </c>
      <c r="H1880" s="114" t="s">
        <v>10008</v>
      </c>
      <c r="I1880" s="115" t="s">
        <v>3459</v>
      </c>
      <c r="J1880" s="114" t="s">
        <v>10009</v>
      </c>
      <c r="K1880" s="150" t="s">
        <v>10010</v>
      </c>
    </row>
    <row r="1881" spans="1:11">
      <c r="A1881" s="158"/>
      <c r="B1881" s="122"/>
      <c r="C1881" s="39"/>
      <c r="D1881" s="106" t="s">
        <v>109</v>
      </c>
      <c r="E1881" s="114" t="s">
        <v>10011</v>
      </c>
      <c r="F1881" s="114" t="s">
        <v>2639</v>
      </c>
      <c r="G1881" s="108" t="s">
        <v>10012</v>
      </c>
      <c r="H1881" s="114" t="s">
        <v>10013</v>
      </c>
      <c r="I1881" s="115" t="s">
        <v>3453</v>
      </c>
      <c r="J1881" s="114" t="s">
        <v>10014</v>
      </c>
      <c r="K1881" s="150" t="s">
        <v>10015</v>
      </c>
    </row>
    <row r="1882" spans="1:11">
      <c r="A1882" s="158"/>
      <c r="B1882" s="122"/>
      <c r="C1882" s="39" t="s">
        <v>19</v>
      </c>
      <c r="D1882" s="106" t="s">
        <v>110</v>
      </c>
      <c r="E1882" s="114" t="s">
        <v>10016</v>
      </c>
      <c r="F1882" s="114" t="s">
        <v>2639</v>
      </c>
      <c r="G1882" s="108" t="s">
        <v>10017</v>
      </c>
      <c r="H1882" s="114" t="s">
        <v>10018</v>
      </c>
      <c r="I1882" s="115" t="s">
        <v>3453</v>
      </c>
      <c r="J1882" s="114" t="s">
        <v>10019</v>
      </c>
      <c r="K1882" s="150" t="s">
        <v>10020</v>
      </c>
    </row>
    <row r="1883" spans="1:11">
      <c r="A1883" s="158"/>
      <c r="B1883" s="122"/>
      <c r="C1883" s="39"/>
      <c r="D1883" s="106" t="s">
        <v>111</v>
      </c>
      <c r="E1883" s="114" t="s">
        <v>10021</v>
      </c>
      <c r="F1883" s="114" t="s">
        <v>2639</v>
      </c>
      <c r="G1883" s="108" t="s">
        <v>10022</v>
      </c>
      <c r="H1883" s="114" t="s">
        <v>10023</v>
      </c>
      <c r="I1883" s="115" t="s">
        <v>3453</v>
      </c>
      <c r="J1883" s="114" t="s">
        <v>10024</v>
      </c>
      <c r="K1883" s="150" t="s">
        <v>10025</v>
      </c>
    </row>
    <row r="1884" spans="1:11">
      <c r="A1884" s="158"/>
      <c r="B1884" s="122"/>
      <c r="C1884" s="39"/>
      <c r="D1884" s="106" t="s">
        <v>112</v>
      </c>
      <c r="E1884" s="114" t="s">
        <v>10026</v>
      </c>
      <c r="F1884" s="114" t="s">
        <v>2639</v>
      </c>
      <c r="G1884" s="108" t="s">
        <v>10017</v>
      </c>
      <c r="H1884" s="114" t="s">
        <v>10027</v>
      </c>
      <c r="I1884" s="115" t="s">
        <v>3453</v>
      </c>
      <c r="J1884" s="114" t="s">
        <v>10028</v>
      </c>
      <c r="K1884" s="150" t="s">
        <v>10029</v>
      </c>
    </row>
    <row r="1885" spans="1:11">
      <c r="A1885" s="158"/>
      <c r="B1885" s="122"/>
      <c r="C1885" s="39"/>
      <c r="D1885" s="106" t="s">
        <v>113</v>
      </c>
      <c r="E1885" s="114" t="s">
        <v>10030</v>
      </c>
      <c r="F1885" s="114" t="s">
        <v>2639</v>
      </c>
      <c r="G1885" s="108" t="s">
        <v>10031</v>
      </c>
      <c r="H1885" s="114" t="s">
        <v>10032</v>
      </c>
      <c r="I1885" s="115" t="s">
        <v>3459</v>
      </c>
      <c r="J1885" s="114" t="s">
        <v>10033</v>
      </c>
      <c r="K1885" s="150" t="s">
        <v>10034</v>
      </c>
    </row>
    <row r="1886" spans="1:11">
      <c r="A1886" s="158"/>
      <c r="B1886" s="122"/>
      <c r="C1886" s="39"/>
      <c r="D1886" s="106" t="s">
        <v>114</v>
      </c>
      <c r="E1886" s="114" t="s">
        <v>10035</v>
      </c>
      <c r="F1886" s="114" t="s">
        <v>2639</v>
      </c>
      <c r="G1886" s="108" t="s">
        <v>10036</v>
      </c>
      <c r="H1886" s="114" t="s">
        <v>10037</v>
      </c>
      <c r="I1886" s="115" t="s">
        <v>3459</v>
      </c>
      <c r="J1886" s="114" t="s">
        <v>10038</v>
      </c>
      <c r="K1886" s="150" t="s">
        <v>10039</v>
      </c>
    </row>
    <row r="1887" spans="1:11">
      <c r="A1887" s="158"/>
      <c r="B1887" s="122"/>
      <c r="C1887" s="39" t="s">
        <v>20</v>
      </c>
      <c r="D1887" s="106" t="s">
        <v>115</v>
      </c>
      <c r="E1887" s="114" t="s">
        <v>10040</v>
      </c>
      <c r="F1887" s="114" t="s">
        <v>2639</v>
      </c>
      <c r="G1887" s="108" t="s">
        <v>10041</v>
      </c>
      <c r="H1887" s="114" t="s">
        <v>10042</v>
      </c>
      <c r="I1887" s="115" t="s">
        <v>3459</v>
      </c>
      <c r="J1887" s="114" t="s">
        <v>10043</v>
      </c>
      <c r="K1887" s="150" t="s">
        <v>10044</v>
      </c>
    </row>
    <row r="1888" spans="1:11">
      <c r="A1888" s="158"/>
      <c r="B1888" s="122"/>
      <c r="C1888" s="39"/>
      <c r="D1888" s="106" t="s">
        <v>116</v>
      </c>
      <c r="E1888" s="114" t="s">
        <v>10045</v>
      </c>
      <c r="F1888" s="114" t="s">
        <v>2639</v>
      </c>
      <c r="G1888" s="108" t="s">
        <v>10046</v>
      </c>
      <c r="H1888" s="114" t="s">
        <v>10047</v>
      </c>
      <c r="I1888" s="115" t="s">
        <v>3459</v>
      </c>
      <c r="J1888" s="114" t="s">
        <v>10048</v>
      </c>
      <c r="K1888" s="150" t="s">
        <v>10049</v>
      </c>
    </row>
    <row r="1889" spans="1:11">
      <c r="A1889" s="158"/>
      <c r="B1889" s="122"/>
      <c r="C1889" s="39"/>
      <c r="D1889" s="106" t="s">
        <v>117</v>
      </c>
      <c r="E1889" s="114" t="s">
        <v>10050</v>
      </c>
      <c r="F1889" s="114" t="s">
        <v>2639</v>
      </c>
      <c r="G1889" s="108" t="s">
        <v>9987</v>
      </c>
      <c r="H1889" s="114" t="s">
        <v>10051</v>
      </c>
      <c r="I1889" s="115" t="s">
        <v>3459</v>
      </c>
      <c r="J1889" s="114" t="s">
        <v>10052</v>
      </c>
      <c r="K1889" s="150" t="s">
        <v>10053</v>
      </c>
    </row>
    <row r="1890" spans="1:11" ht="17.25" customHeight="1">
      <c r="A1890" s="158"/>
      <c r="B1890" s="122"/>
      <c r="C1890" s="39"/>
      <c r="D1890" s="116" t="s">
        <v>119</v>
      </c>
      <c r="E1890" s="114" t="s">
        <v>10054</v>
      </c>
      <c r="F1890" s="114" t="s">
        <v>2639</v>
      </c>
      <c r="G1890" s="108" t="s">
        <v>10055</v>
      </c>
      <c r="H1890" s="114" t="s">
        <v>10056</v>
      </c>
      <c r="I1890" s="115" t="s">
        <v>3581</v>
      </c>
      <c r="J1890" s="114" t="s">
        <v>10057</v>
      </c>
      <c r="K1890" s="150" t="s">
        <v>10058</v>
      </c>
    </row>
    <row r="1891" spans="1:11">
      <c r="A1891" s="158"/>
      <c r="B1891" s="122"/>
      <c r="C1891" s="39"/>
      <c r="D1891" s="106" t="s">
        <v>118</v>
      </c>
      <c r="E1891" s="114" t="s">
        <v>10059</v>
      </c>
      <c r="F1891" s="114" t="s">
        <v>2639</v>
      </c>
      <c r="G1891" s="108" t="s">
        <v>10060</v>
      </c>
      <c r="H1891" s="114" t="s">
        <v>10061</v>
      </c>
      <c r="I1891" s="115" t="s">
        <v>3459</v>
      </c>
      <c r="J1891" s="114" t="s">
        <v>10062</v>
      </c>
      <c r="K1891" s="150" t="s">
        <v>10063</v>
      </c>
    </row>
    <row r="1892" spans="1:11">
      <c r="A1892" s="158"/>
      <c r="B1892" s="122" t="s">
        <v>21</v>
      </c>
      <c r="C1892" s="39" t="s">
        <v>22</v>
      </c>
      <c r="D1892" s="106" t="s">
        <v>120</v>
      </c>
      <c r="E1892" s="114" t="s">
        <v>10064</v>
      </c>
      <c r="F1892" s="114" t="s">
        <v>2639</v>
      </c>
      <c r="G1892" s="108" t="s">
        <v>10065</v>
      </c>
      <c r="H1892" s="114" t="s">
        <v>10066</v>
      </c>
      <c r="I1892" s="115" t="s">
        <v>3459</v>
      </c>
      <c r="J1892" s="114" t="s">
        <v>10067</v>
      </c>
      <c r="K1892" s="150" t="s">
        <v>10068</v>
      </c>
    </row>
    <row r="1893" spans="1:11">
      <c r="A1893" s="158"/>
      <c r="B1893" s="122"/>
      <c r="C1893" s="39"/>
      <c r="D1893" s="106" t="s">
        <v>10069</v>
      </c>
      <c r="E1893" s="114" t="s">
        <v>10070</v>
      </c>
      <c r="F1893" s="114" t="s">
        <v>2639</v>
      </c>
      <c r="G1893" s="108" t="s">
        <v>10071</v>
      </c>
      <c r="H1893" s="114" t="s">
        <v>10072</v>
      </c>
      <c r="I1893" s="115" t="s">
        <v>3453</v>
      </c>
      <c r="J1893" s="114" t="s">
        <v>10073</v>
      </c>
      <c r="K1893" s="150" t="s">
        <v>10074</v>
      </c>
    </row>
    <row r="1894" spans="1:11">
      <c r="A1894" s="158"/>
      <c r="B1894" s="122"/>
      <c r="C1894" s="39"/>
      <c r="D1894" s="106" t="s">
        <v>121</v>
      </c>
      <c r="E1894" s="114" t="s">
        <v>10075</v>
      </c>
      <c r="F1894" s="114" t="s">
        <v>2639</v>
      </c>
      <c r="G1894" s="108" t="s">
        <v>10076</v>
      </c>
      <c r="H1894" s="114" t="s">
        <v>10077</v>
      </c>
      <c r="I1894" s="115" t="s">
        <v>3459</v>
      </c>
      <c r="J1894" s="114" t="s">
        <v>10078</v>
      </c>
      <c r="K1894" s="150" t="s">
        <v>10079</v>
      </c>
    </row>
    <row r="1895" spans="1:11">
      <c r="A1895" s="158"/>
      <c r="B1895" s="122"/>
      <c r="C1895" s="39"/>
      <c r="D1895" s="106" t="s">
        <v>122</v>
      </c>
      <c r="E1895" s="114" t="s">
        <v>10080</v>
      </c>
      <c r="F1895" s="114" t="s">
        <v>2639</v>
      </c>
      <c r="G1895" s="108" t="s">
        <v>10081</v>
      </c>
      <c r="H1895" s="114" t="s">
        <v>10082</v>
      </c>
      <c r="I1895" s="115" t="s">
        <v>3581</v>
      </c>
      <c r="J1895" s="114" t="s">
        <v>10083</v>
      </c>
      <c r="K1895" s="150" t="s">
        <v>10084</v>
      </c>
    </row>
    <row r="1896" spans="1:11">
      <c r="A1896" s="158"/>
      <c r="B1896" s="122"/>
      <c r="C1896" s="39"/>
      <c r="D1896" s="106" t="s">
        <v>123</v>
      </c>
      <c r="E1896" s="114" t="s">
        <v>10085</v>
      </c>
      <c r="F1896" s="114" t="s">
        <v>2639</v>
      </c>
      <c r="G1896" s="108" t="s">
        <v>10086</v>
      </c>
      <c r="H1896" s="114" t="s">
        <v>10087</v>
      </c>
      <c r="I1896" s="115" t="s">
        <v>3459</v>
      </c>
      <c r="J1896" s="114" t="s">
        <v>10088</v>
      </c>
      <c r="K1896" s="150" t="s">
        <v>10089</v>
      </c>
    </row>
    <row r="1897" spans="1:11">
      <c r="A1897" s="158"/>
      <c r="B1897" s="122"/>
      <c r="C1897" s="39" t="s">
        <v>23</v>
      </c>
      <c r="D1897" s="106" t="s">
        <v>124</v>
      </c>
      <c r="E1897" s="114" t="s">
        <v>10090</v>
      </c>
      <c r="F1897" s="114" t="s">
        <v>2639</v>
      </c>
      <c r="G1897" s="108" t="s">
        <v>9987</v>
      </c>
      <c r="H1897" s="114" t="s">
        <v>10091</v>
      </c>
      <c r="I1897" s="115" t="s">
        <v>3459</v>
      </c>
      <c r="J1897" s="114" t="s">
        <v>10092</v>
      </c>
      <c r="K1897" s="150" t="s">
        <v>10093</v>
      </c>
    </row>
    <row r="1898" spans="1:11">
      <c r="A1898" s="158"/>
      <c r="B1898" s="122"/>
      <c r="C1898" s="39"/>
      <c r="D1898" s="106" t="s">
        <v>125</v>
      </c>
      <c r="E1898" s="114" t="s">
        <v>10094</v>
      </c>
      <c r="F1898" s="114" t="s">
        <v>2639</v>
      </c>
      <c r="G1898" s="108" t="s">
        <v>10095</v>
      </c>
      <c r="H1898" s="114" t="s">
        <v>10096</v>
      </c>
      <c r="I1898" s="115" t="s">
        <v>3453</v>
      </c>
      <c r="J1898" s="114" t="s">
        <v>10097</v>
      </c>
      <c r="K1898" s="150" t="s">
        <v>10098</v>
      </c>
    </row>
    <row r="1899" spans="1:11">
      <c r="A1899" s="158"/>
      <c r="B1899" s="122"/>
      <c r="C1899" s="39"/>
      <c r="D1899" s="106" t="s">
        <v>126</v>
      </c>
      <c r="E1899" s="114" t="s">
        <v>10099</v>
      </c>
      <c r="F1899" s="114" t="s">
        <v>2639</v>
      </c>
      <c r="G1899" s="108" t="s">
        <v>10100</v>
      </c>
      <c r="H1899" s="114" t="s">
        <v>10101</v>
      </c>
      <c r="I1899" s="115" t="s">
        <v>3459</v>
      </c>
      <c r="J1899" s="114" t="s">
        <v>10102</v>
      </c>
      <c r="K1899" s="150" t="s">
        <v>10103</v>
      </c>
    </row>
    <row r="1900" spans="1:11">
      <c r="A1900" s="158"/>
      <c r="B1900" s="122"/>
      <c r="C1900" s="39"/>
      <c r="D1900" s="106" t="s">
        <v>127</v>
      </c>
      <c r="E1900" s="114" t="s">
        <v>10104</v>
      </c>
      <c r="F1900" s="114" t="s">
        <v>2639</v>
      </c>
      <c r="G1900" s="108" t="s">
        <v>10105</v>
      </c>
      <c r="H1900" s="114" t="s">
        <v>10106</v>
      </c>
      <c r="I1900" s="115" t="s">
        <v>3459</v>
      </c>
      <c r="J1900" s="114" t="s">
        <v>10107</v>
      </c>
      <c r="K1900" s="150" t="s">
        <v>10108</v>
      </c>
    </row>
    <row r="1901" spans="1:11">
      <c r="A1901" s="158"/>
      <c r="B1901" s="122"/>
      <c r="C1901" s="39"/>
      <c r="D1901" s="106" t="s">
        <v>128</v>
      </c>
      <c r="E1901" s="114" t="s">
        <v>10109</v>
      </c>
      <c r="F1901" s="114" t="s">
        <v>2639</v>
      </c>
      <c r="G1901" s="108" t="s">
        <v>10110</v>
      </c>
      <c r="H1901" s="114" t="s">
        <v>10111</v>
      </c>
      <c r="I1901" s="115" t="s">
        <v>3581</v>
      </c>
      <c r="J1901" s="114" t="s">
        <v>10112</v>
      </c>
      <c r="K1901" s="150" t="s">
        <v>10113</v>
      </c>
    </row>
    <row r="1902" spans="1:11">
      <c r="A1902" s="158"/>
      <c r="B1902" s="122"/>
      <c r="C1902" s="39" t="s">
        <v>24</v>
      </c>
      <c r="D1902" s="106" t="s">
        <v>129</v>
      </c>
      <c r="E1902" s="114" t="s">
        <v>10114</v>
      </c>
      <c r="F1902" s="114" t="s">
        <v>2639</v>
      </c>
      <c r="G1902" s="108" t="s">
        <v>10115</v>
      </c>
      <c r="H1902" s="114" t="s">
        <v>10116</v>
      </c>
      <c r="I1902" s="115" t="s">
        <v>3459</v>
      </c>
      <c r="J1902" s="114" t="s">
        <v>10117</v>
      </c>
      <c r="K1902" s="150" t="s">
        <v>10118</v>
      </c>
    </row>
    <row r="1903" spans="1:11">
      <c r="A1903" s="158"/>
      <c r="B1903" s="122"/>
      <c r="C1903" s="39"/>
      <c r="D1903" s="106" t="s">
        <v>130</v>
      </c>
      <c r="E1903" s="114" t="s">
        <v>10119</v>
      </c>
      <c r="F1903" s="114" t="s">
        <v>2639</v>
      </c>
      <c r="G1903" s="108" t="s">
        <v>10120</v>
      </c>
      <c r="H1903" s="114" t="s">
        <v>10121</v>
      </c>
      <c r="I1903" s="115" t="s">
        <v>3581</v>
      </c>
      <c r="J1903" s="114" t="s">
        <v>10122</v>
      </c>
      <c r="K1903" s="150" t="s">
        <v>10123</v>
      </c>
    </row>
    <row r="1904" spans="1:11">
      <c r="A1904" s="158"/>
      <c r="B1904" s="122"/>
      <c r="C1904" s="39"/>
      <c r="D1904" s="106" t="s">
        <v>131</v>
      </c>
      <c r="E1904" s="114" t="s">
        <v>10124</v>
      </c>
      <c r="F1904" s="114" t="s">
        <v>2639</v>
      </c>
      <c r="G1904" s="108" t="s">
        <v>10125</v>
      </c>
      <c r="H1904" s="114" t="s">
        <v>10126</v>
      </c>
      <c r="I1904" s="115" t="s">
        <v>3581</v>
      </c>
      <c r="J1904" s="114" t="s">
        <v>10127</v>
      </c>
      <c r="K1904" s="150" t="s">
        <v>10128</v>
      </c>
    </row>
    <row r="1905" spans="1:11">
      <c r="A1905" s="158"/>
      <c r="B1905" s="122"/>
      <c r="C1905" s="39"/>
      <c r="D1905" s="106" t="s">
        <v>132</v>
      </c>
      <c r="E1905" s="114" t="s">
        <v>10129</v>
      </c>
      <c r="F1905" s="114" t="s">
        <v>2639</v>
      </c>
      <c r="G1905" s="108" t="s">
        <v>10130</v>
      </c>
      <c r="H1905" s="114" t="s">
        <v>10131</v>
      </c>
      <c r="I1905" s="115" t="s">
        <v>3459</v>
      </c>
      <c r="J1905" s="114" t="s">
        <v>10132</v>
      </c>
      <c r="K1905" s="150" t="s">
        <v>10133</v>
      </c>
    </row>
    <row r="1906" spans="1:11">
      <c r="A1906" s="158"/>
      <c r="B1906" s="122"/>
      <c r="C1906" s="39"/>
      <c r="D1906" s="106" t="s">
        <v>133</v>
      </c>
      <c r="E1906" s="114" t="s">
        <v>10134</v>
      </c>
      <c r="F1906" s="114" t="s">
        <v>2639</v>
      </c>
      <c r="G1906" s="108" t="s">
        <v>10135</v>
      </c>
      <c r="H1906" s="114" t="s">
        <v>10136</v>
      </c>
      <c r="I1906" s="115" t="s">
        <v>3581</v>
      </c>
      <c r="J1906" s="114" t="s">
        <v>10137</v>
      </c>
      <c r="K1906" s="150" t="s">
        <v>10138</v>
      </c>
    </row>
    <row r="1907" spans="1:11">
      <c r="A1907" s="158"/>
      <c r="B1907" s="122"/>
      <c r="C1907" s="39" t="s">
        <v>25</v>
      </c>
      <c r="D1907" s="106" t="s">
        <v>134</v>
      </c>
      <c r="E1907" s="114" t="s">
        <v>10139</v>
      </c>
      <c r="F1907" s="114" t="s">
        <v>2639</v>
      </c>
      <c r="G1907" s="108" t="s">
        <v>3816</v>
      </c>
      <c r="H1907" s="114" t="s">
        <v>10140</v>
      </c>
      <c r="I1907" s="115" t="s">
        <v>3459</v>
      </c>
      <c r="J1907" s="114" t="s">
        <v>10141</v>
      </c>
      <c r="K1907" s="150" t="s">
        <v>10142</v>
      </c>
    </row>
    <row r="1908" spans="1:11">
      <c r="A1908" s="158"/>
      <c r="B1908" s="122"/>
      <c r="C1908" s="39"/>
      <c r="D1908" s="106" t="s">
        <v>102</v>
      </c>
      <c r="E1908" s="114" t="s">
        <v>10143</v>
      </c>
      <c r="F1908" s="114" t="s">
        <v>2639</v>
      </c>
      <c r="G1908" s="108" t="s">
        <v>10144</v>
      </c>
      <c r="H1908" s="114" t="s">
        <v>10145</v>
      </c>
      <c r="I1908" s="115" t="s">
        <v>3453</v>
      </c>
      <c r="J1908" s="114" t="s">
        <v>10146</v>
      </c>
      <c r="K1908" s="150" t="s">
        <v>10147</v>
      </c>
    </row>
    <row r="1909" spans="1:11">
      <c r="A1909" s="158"/>
      <c r="B1909" s="122"/>
      <c r="C1909" s="39"/>
      <c r="D1909" s="106" t="s">
        <v>135</v>
      </c>
      <c r="E1909" s="114" t="s">
        <v>10148</v>
      </c>
      <c r="F1909" s="114" t="s">
        <v>2639</v>
      </c>
      <c r="G1909" s="108" t="s">
        <v>10149</v>
      </c>
      <c r="H1909" s="114" t="s">
        <v>10150</v>
      </c>
      <c r="I1909" s="115" t="s">
        <v>3459</v>
      </c>
      <c r="J1909" s="114" t="s">
        <v>10151</v>
      </c>
      <c r="K1909" s="150" t="s">
        <v>10152</v>
      </c>
    </row>
    <row r="1910" spans="1:11">
      <c r="A1910" s="158"/>
      <c r="B1910" s="122"/>
      <c r="C1910" s="39"/>
      <c r="D1910" s="106" t="s">
        <v>136</v>
      </c>
      <c r="E1910" s="114" t="s">
        <v>10153</v>
      </c>
      <c r="F1910" s="114" t="s">
        <v>2639</v>
      </c>
      <c r="G1910" s="108" t="s">
        <v>10154</v>
      </c>
      <c r="H1910" s="114" t="s">
        <v>10155</v>
      </c>
      <c r="I1910" s="115" t="s">
        <v>3581</v>
      </c>
      <c r="J1910" s="114" t="s">
        <v>10156</v>
      </c>
      <c r="K1910" s="150" t="s">
        <v>10157</v>
      </c>
    </row>
    <row r="1911" spans="1:11">
      <c r="A1911" s="158"/>
      <c r="B1911" s="122"/>
      <c r="C1911" s="39"/>
      <c r="D1911" s="106" t="s">
        <v>137</v>
      </c>
      <c r="E1911" s="114" t="s">
        <v>10158</v>
      </c>
      <c r="F1911" s="114" t="s">
        <v>2639</v>
      </c>
      <c r="G1911" s="108" t="s">
        <v>10159</v>
      </c>
      <c r="H1911" s="114" t="s">
        <v>10160</v>
      </c>
      <c r="I1911" s="115" t="s">
        <v>3459</v>
      </c>
      <c r="J1911" s="114" t="s">
        <v>10161</v>
      </c>
      <c r="K1911" s="150" t="s">
        <v>10162</v>
      </c>
    </row>
    <row r="1912" spans="1:11">
      <c r="A1912" s="158"/>
      <c r="B1912" s="122"/>
      <c r="C1912" s="39" t="s">
        <v>26</v>
      </c>
      <c r="D1912" s="106" t="s">
        <v>138</v>
      </c>
      <c r="E1912" s="114" t="s">
        <v>10163</v>
      </c>
      <c r="F1912" s="114" t="s">
        <v>2639</v>
      </c>
      <c r="G1912" s="108" t="s">
        <v>10164</v>
      </c>
      <c r="H1912" s="114" t="s">
        <v>10165</v>
      </c>
      <c r="I1912" s="115" t="s">
        <v>3453</v>
      </c>
      <c r="J1912" s="114" t="s">
        <v>10166</v>
      </c>
      <c r="K1912" s="150" t="s">
        <v>10167</v>
      </c>
    </row>
    <row r="1913" spans="1:11">
      <c r="A1913" s="158"/>
      <c r="B1913" s="122"/>
      <c r="C1913" s="39"/>
      <c r="D1913" s="106" t="s">
        <v>139</v>
      </c>
      <c r="E1913" s="114" t="s">
        <v>10168</v>
      </c>
      <c r="F1913" s="114" t="s">
        <v>2639</v>
      </c>
      <c r="G1913" s="108" t="s">
        <v>10169</v>
      </c>
      <c r="H1913" s="114" t="s">
        <v>10170</v>
      </c>
      <c r="I1913" s="115" t="s">
        <v>3459</v>
      </c>
      <c r="J1913" s="114" t="s">
        <v>10171</v>
      </c>
      <c r="K1913" s="150" t="s">
        <v>10172</v>
      </c>
    </row>
    <row r="1914" spans="1:11">
      <c r="A1914" s="158"/>
      <c r="B1914" s="122"/>
      <c r="C1914" s="39"/>
      <c r="D1914" s="106" t="s">
        <v>140</v>
      </c>
      <c r="E1914" s="114" t="s">
        <v>10173</v>
      </c>
      <c r="F1914" s="114" t="s">
        <v>2639</v>
      </c>
      <c r="G1914" s="108" t="s">
        <v>10174</v>
      </c>
      <c r="H1914" s="114" t="s">
        <v>10175</v>
      </c>
      <c r="I1914" s="115" t="s">
        <v>3459</v>
      </c>
      <c r="J1914" s="114" t="s">
        <v>10176</v>
      </c>
      <c r="K1914" s="150" t="s">
        <v>10177</v>
      </c>
    </row>
    <row r="1915" spans="1:11">
      <c r="A1915" s="158"/>
      <c r="B1915" s="122"/>
      <c r="C1915" s="39"/>
      <c r="D1915" s="106" t="s">
        <v>141</v>
      </c>
      <c r="E1915" s="114" t="s">
        <v>10178</v>
      </c>
      <c r="F1915" s="114" t="s">
        <v>2639</v>
      </c>
      <c r="G1915" s="108" t="s">
        <v>10179</v>
      </c>
      <c r="H1915" s="114" t="s">
        <v>10180</v>
      </c>
      <c r="I1915" s="115" t="s">
        <v>3453</v>
      </c>
      <c r="J1915" s="114" t="s">
        <v>10181</v>
      </c>
      <c r="K1915" s="150" t="s">
        <v>10182</v>
      </c>
    </row>
    <row r="1916" spans="1:11">
      <c r="A1916" s="158"/>
      <c r="B1916" s="122"/>
      <c r="C1916" s="39"/>
      <c r="D1916" s="106" t="s">
        <v>142</v>
      </c>
      <c r="E1916" s="114" t="s">
        <v>10183</v>
      </c>
      <c r="F1916" s="114" t="s">
        <v>2639</v>
      </c>
      <c r="G1916" s="108" t="s">
        <v>10184</v>
      </c>
      <c r="H1916" s="114" t="s">
        <v>10185</v>
      </c>
      <c r="I1916" s="115" t="s">
        <v>3453</v>
      </c>
      <c r="J1916" s="114" t="s">
        <v>10186</v>
      </c>
      <c r="K1916" s="150" t="s">
        <v>10187</v>
      </c>
    </row>
    <row r="1917" spans="1:11">
      <c r="A1917" s="158"/>
      <c r="B1917" s="122" t="s">
        <v>28</v>
      </c>
      <c r="C1917" s="39" t="s">
        <v>29</v>
      </c>
      <c r="D1917" s="106" t="s">
        <v>143</v>
      </c>
      <c r="E1917" s="114" t="s">
        <v>10188</v>
      </c>
      <c r="F1917" s="114" t="s">
        <v>2639</v>
      </c>
      <c r="G1917" s="108" t="s">
        <v>10189</v>
      </c>
      <c r="H1917" s="114" t="s">
        <v>10190</v>
      </c>
      <c r="I1917" s="115" t="s">
        <v>3459</v>
      </c>
      <c r="J1917" s="114" t="s">
        <v>10191</v>
      </c>
      <c r="K1917" s="150" t="s">
        <v>10192</v>
      </c>
    </row>
    <row r="1918" spans="1:11">
      <c r="A1918" s="158"/>
      <c r="B1918" s="122"/>
      <c r="C1918" s="39"/>
      <c r="D1918" s="106" t="s">
        <v>144</v>
      </c>
      <c r="E1918" s="114" t="s">
        <v>10193</v>
      </c>
      <c r="F1918" s="114" t="s">
        <v>2639</v>
      </c>
      <c r="G1918" s="108" t="s">
        <v>10194</v>
      </c>
      <c r="H1918" s="114" t="s">
        <v>10195</v>
      </c>
      <c r="I1918" s="115" t="s">
        <v>3453</v>
      </c>
      <c r="J1918" s="114" t="s">
        <v>10196</v>
      </c>
      <c r="K1918" s="150" t="s">
        <v>10197</v>
      </c>
    </row>
    <row r="1919" spans="1:11">
      <c r="A1919" s="158"/>
      <c r="B1919" s="122"/>
      <c r="C1919" s="39"/>
      <c r="D1919" s="106" t="s">
        <v>145</v>
      </c>
      <c r="E1919" s="114" t="s">
        <v>10198</v>
      </c>
      <c r="F1919" s="114" t="s">
        <v>2639</v>
      </c>
      <c r="G1919" s="108" t="s">
        <v>10199</v>
      </c>
      <c r="H1919" s="114" t="s">
        <v>10200</v>
      </c>
      <c r="I1919" s="115" t="s">
        <v>3453</v>
      </c>
      <c r="J1919" s="114" t="s">
        <v>10201</v>
      </c>
      <c r="K1919" s="150" t="s">
        <v>10202</v>
      </c>
    </row>
    <row r="1920" spans="1:11">
      <c r="A1920" s="158"/>
      <c r="B1920" s="122"/>
      <c r="C1920" s="39"/>
      <c r="D1920" s="106" t="s">
        <v>146</v>
      </c>
      <c r="E1920" s="114" t="s">
        <v>10203</v>
      </c>
      <c r="F1920" s="114" t="s">
        <v>2639</v>
      </c>
      <c r="G1920" s="108" t="s">
        <v>10204</v>
      </c>
      <c r="H1920" s="114" t="s">
        <v>10205</v>
      </c>
      <c r="I1920" s="115" t="s">
        <v>3459</v>
      </c>
      <c r="J1920" s="114" t="s">
        <v>10206</v>
      </c>
      <c r="K1920" s="150" t="s">
        <v>10207</v>
      </c>
    </row>
    <row r="1921" spans="1:11">
      <c r="A1921" s="158"/>
      <c r="B1921" s="122"/>
      <c r="C1921" s="39"/>
      <c r="D1921" s="106" t="s">
        <v>147</v>
      </c>
      <c r="E1921" s="114" t="s">
        <v>10208</v>
      </c>
      <c r="F1921" s="114" t="s">
        <v>2639</v>
      </c>
      <c r="G1921" s="108" t="s">
        <v>10209</v>
      </c>
      <c r="H1921" s="114" t="s">
        <v>10210</v>
      </c>
      <c r="I1921" s="115" t="s">
        <v>3581</v>
      </c>
      <c r="J1921" s="114" t="s">
        <v>10211</v>
      </c>
      <c r="K1921" s="150" t="s">
        <v>10212</v>
      </c>
    </row>
    <row r="1922" spans="1:11">
      <c r="A1922" s="158"/>
      <c r="B1922" s="122"/>
      <c r="C1922" s="39" t="s">
        <v>30</v>
      </c>
      <c r="D1922" s="106" t="s">
        <v>148</v>
      </c>
      <c r="E1922" s="114" t="s">
        <v>10213</v>
      </c>
      <c r="F1922" s="114" t="s">
        <v>2639</v>
      </c>
      <c r="G1922" s="108" t="s">
        <v>10214</v>
      </c>
      <c r="H1922" s="114" t="s">
        <v>10215</v>
      </c>
      <c r="I1922" s="115" t="s">
        <v>3459</v>
      </c>
      <c r="J1922" s="114" t="s">
        <v>10216</v>
      </c>
      <c r="K1922" s="150" t="s">
        <v>10217</v>
      </c>
    </row>
    <row r="1923" spans="1:11">
      <c r="A1923" s="158"/>
      <c r="B1923" s="122"/>
      <c r="C1923" s="39"/>
      <c r="D1923" s="106" t="s">
        <v>149</v>
      </c>
      <c r="E1923" s="114" t="s">
        <v>10218</v>
      </c>
      <c r="F1923" s="114" t="s">
        <v>2639</v>
      </c>
      <c r="G1923" s="108" t="s">
        <v>10219</v>
      </c>
      <c r="H1923" s="114" t="s">
        <v>10220</v>
      </c>
      <c r="I1923" s="115" t="s">
        <v>3453</v>
      </c>
      <c r="J1923" s="114" t="s">
        <v>10221</v>
      </c>
      <c r="K1923" s="150" t="s">
        <v>10222</v>
      </c>
    </row>
    <row r="1924" spans="1:11">
      <c r="A1924" s="158"/>
      <c r="B1924" s="122"/>
      <c r="C1924" s="39"/>
      <c r="D1924" s="106" t="s">
        <v>150</v>
      </c>
      <c r="E1924" s="114" t="s">
        <v>10223</v>
      </c>
      <c r="F1924" s="114" t="s">
        <v>2639</v>
      </c>
      <c r="G1924" s="108" t="s">
        <v>10224</v>
      </c>
      <c r="H1924" s="114" t="s">
        <v>10225</v>
      </c>
      <c r="I1924" s="115" t="s">
        <v>3459</v>
      </c>
      <c r="J1924" s="114" t="s">
        <v>10226</v>
      </c>
      <c r="K1924" s="150" t="s">
        <v>10227</v>
      </c>
    </row>
    <row r="1925" spans="1:11">
      <c r="A1925" s="158"/>
      <c r="B1925" s="122"/>
      <c r="C1925" s="39"/>
      <c r="D1925" s="106" t="s">
        <v>151</v>
      </c>
      <c r="E1925" s="114" t="s">
        <v>10228</v>
      </c>
      <c r="F1925" s="114" t="s">
        <v>2639</v>
      </c>
      <c r="G1925" s="108" t="s">
        <v>10229</v>
      </c>
      <c r="H1925" s="114" t="s">
        <v>10230</v>
      </c>
      <c r="I1925" s="115" t="s">
        <v>3459</v>
      </c>
      <c r="J1925" s="114" t="s">
        <v>10231</v>
      </c>
      <c r="K1925" s="150" t="s">
        <v>10232</v>
      </c>
    </row>
    <row r="1926" spans="1:11">
      <c r="A1926" s="158"/>
      <c r="B1926" s="122"/>
      <c r="C1926" s="39"/>
      <c r="D1926" s="106" t="s">
        <v>152</v>
      </c>
      <c r="E1926" s="114" t="s">
        <v>10233</v>
      </c>
      <c r="F1926" s="114" t="s">
        <v>2639</v>
      </c>
      <c r="G1926" s="108" t="s">
        <v>10234</v>
      </c>
      <c r="H1926" s="114" t="s">
        <v>10235</v>
      </c>
      <c r="I1926" s="115" t="s">
        <v>3459</v>
      </c>
      <c r="J1926" s="114" t="s">
        <v>10236</v>
      </c>
      <c r="K1926" s="150" t="s">
        <v>10237</v>
      </c>
    </row>
    <row r="1927" spans="1:11">
      <c r="A1927" s="158"/>
      <c r="B1927" s="122"/>
      <c r="C1927" s="39" t="s">
        <v>31</v>
      </c>
      <c r="D1927" s="106" t="s">
        <v>153</v>
      </c>
      <c r="E1927" s="114" t="s">
        <v>10238</v>
      </c>
      <c r="F1927" s="114" t="s">
        <v>2639</v>
      </c>
      <c r="G1927" s="108" t="s">
        <v>10239</v>
      </c>
      <c r="H1927" s="114" t="s">
        <v>10240</v>
      </c>
      <c r="I1927" s="115" t="s">
        <v>3459</v>
      </c>
      <c r="J1927" s="114" t="s">
        <v>10241</v>
      </c>
      <c r="K1927" s="150" t="s">
        <v>10242</v>
      </c>
    </row>
    <row r="1928" spans="1:11">
      <c r="A1928" s="158"/>
      <c r="B1928" s="122"/>
      <c r="C1928" s="39"/>
      <c r="D1928" s="106" t="s">
        <v>154</v>
      </c>
      <c r="E1928" s="114" t="s">
        <v>10243</v>
      </c>
      <c r="F1928" s="114" t="s">
        <v>2639</v>
      </c>
      <c r="G1928" s="108" t="s">
        <v>10244</v>
      </c>
      <c r="H1928" s="114" t="s">
        <v>10245</v>
      </c>
      <c r="I1928" s="115" t="s">
        <v>3453</v>
      </c>
      <c r="J1928" s="114" t="s">
        <v>10246</v>
      </c>
      <c r="K1928" s="150" t="s">
        <v>10247</v>
      </c>
    </row>
    <row r="1929" spans="1:11">
      <c r="A1929" s="158"/>
      <c r="B1929" s="122"/>
      <c r="C1929" s="39"/>
      <c r="D1929" s="106" t="s">
        <v>155</v>
      </c>
      <c r="E1929" s="114" t="s">
        <v>10248</v>
      </c>
      <c r="F1929" s="114" t="s">
        <v>2639</v>
      </c>
      <c r="G1929" s="108" t="s">
        <v>10249</v>
      </c>
      <c r="H1929" s="114" t="s">
        <v>10250</v>
      </c>
      <c r="I1929" s="115" t="s">
        <v>3459</v>
      </c>
      <c r="J1929" s="114" t="s">
        <v>10251</v>
      </c>
      <c r="K1929" s="150" t="s">
        <v>10252</v>
      </c>
    </row>
    <row r="1930" spans="1:11">
      <c r="A1930" s="158"/>
      <c r="B1930" s="122"/>
      <c r="C1930" s="39"/>
      <c r="D1930" s="106" t="s">
        <v>156</v>
      </c>
      <c r="E1930" s="114" t="s">
        <v>10253</v>
      </c>
      <c r="F1930" s="114" t="s">
        <v>2639</v>
      </c>
      <c r="G1930" s="108" t="s">
        <v>10254</v>
      </c>
      <c r="H1930" s="114" t="s">
        <v>10255</v>
      </c>
      <c r="I1930" s="115" t="s">
        <v>3459</v>
      </c>
      <c r="J1930" s="114" t="s">
        <v>10256</v>
      </c>
      <c r="K1930" s="150" t="s">
        <v>10257</v>
      </c>
    </row>
    <row r="1931" spans="1:11">
      <c r="A1931" s="158"/>
      <c r="B1931" s="122"/>
      <c r="C1931" s="39"/>
      <c r="D1931" s="106" t="s">
        <v>157</v>
      </c>
      <c r="E1931" s="114" t="s">
        <v>10258</v>
      </c>
      <c r="F1931" s="114" t="s">
        <v>2639</v>
      </c>
      <c r="G1931" s="108" t="s">
        <v>10259</v>
      </c>
      <c r="H1931" s="114" t="s">
        <v>10260</v>
      </c>
      <c r="I1931" s="115" t="s">
        <v>3581</v>
      </c>
      <c r="J1931" s="114" t="s">
        <v>10261</v>
      </c>
      <c r="K1931" s="150" t="s">
        <v>10262</v>
      </c>
    </row>
    <row r="1932" spans="1:11">
      <c r="A1932" s="158"/>
      <c r="B1932" s="122"/>
      <c r="C1932" s="39" t="s">
        <v>32</v>
      </c>
      <c r="D1932" s="106" t="s">
        <v>158</v>
      </c>
      <c r="E1932" s="114" t="s">
        <v>10263</v>
      </c>
      <c r="F1932" s="114" t="s">
        <v>2639</v>
      </c>
      <c r="G1932" s="108" t="s">
        <v>10264</v>
      </c>
      <c r="H1932" s="114" t="s">
        <v>10265</v>
      </c>
      <c r="I1932" s="115" t="s">
        <v>3459</v>
      </c>
      <c r="J1932" s="114" t="s">
        <v>10266</v>
      </c>
      <c r="K1932" s="150" t="s">
        <v>10267</v>
      </c>
    </row>
    <row r="1933" spans="1:11">
      <c r="A1933" s="158"/>
      <c r="B1933" s="122"/>
      <c r="C1933" s="39"/>
      <c r="D1933" s="106" t="s">
        <v>159</v>
      </c>
      <c r="E1933" s="114" t="s">
        <v>10268</v>
      </c>
      <c r="F1933" s="114" t="s">
        <v>2639</v>
      </c>
      <c r="G1933" s="108" t="s">
        <v>4019</v>
      </c>
      <c r="H1933" s="114" t="s">
        <v>10269</v>
      </c>
      <c r="I1933" s="115" t="s">
        <v>3453</v>
      </c>
      <c r="J1933" s="114" t="s">
        <v>10270</v>
      </c>
      <c r="K1933" s="150" t="s">
        <v>10271</v>
      </c>
    </row>
    <row r="1934" spans="1:11">
      <c r="A1934" s="158"/>
      <c r="B1934" s="122"/>
      <c r="C1934" s="39"/>
      <c r="D1934" s="106" t="s">
        <v>160</v>
      </c>
      <c r="E1934" s="114" t="s">
        <v>10272</v>
      </c>
      <c r="F1934" s="114" t="s">
        <v>2639</v>
      </c>
      <c r="G1934" s="108" t="s">
        <v>10273</v>
      </c>
      <c r="H1934" s="114" t="s">
        <v>10274</v>
      </c>
      <c r="I1934" s="115" t="s">
        <v>3453</v>
      </c>
      <c r="J1934" s="114" t="s">
        <v>10275</v>
      </c>
      <c r="K1934" s="150" t="s">
        <v>10276</v>
      </c>
    </row>
    <row r="1935" spans="1:11">
      <c r="A1935" s="158"/>
      <c r="B1935" s="122"/>
      <c r="C1935" s="39"/>
      <c r="D1935" s="106" t="s">
        <v>162</v>
      </c>
      <c r="E1935" s="114" t="s">
        <v>10277</v>
      </c>
      <c r="F1935" s="114" t="s">
        <v>2639</v>
      </c>
      <c r="G1935" s="108" t="s">
        <v>10278</v>
      </c>
      <c r="H1935" s="114" t="s">
        <v>10279</v>
      </c>
      <c r="I1935" s="115" t="s">
        <v>3453</v>
      </c>
      <c r="J1935" s="114" t="s">
        <v>10280</v>
      </c>
      <c r="K1935" s="150" t="s">
        <v>10281</v>
      </c>
    </row>
    <row r="1936" spans="1:11">
      <c r="A1936" s="158"/>
      <c r="B1936" s="122"/>
      <c r="C1936" s="39"/>
      <c r="D1936" s="106" t="s">
        <v>161</v>
      </c>
      <c r="E1936" s="114" t="s">
        <v>10282</v>
      </c>
      <c r="F1936" s="114" t="s">
        <v>2639</v>
      </c>
      <c r="G1936" s="108" t="s">
        <v>10283</v>
      </c>
      <c r="H1936" s="114" t="s">
        <v>10284</v>
      </c>
      <c r="I1936" s="115" t="s">
        <v>3459</v>
      </c>
      <c r="J1936" s="114" t="s">
        <v>10285</v>
      </c>
      <c r="K1936" s="150" t="s">
        <v>10286</v>
      </c>
    </row>
    <row r="1937" spans="1:11">
      <c r="A1937" s="158"/>
      <c r="B1937" s="122"/>
      <c r="C1937" s="39" t="s">
        <v>33</v>
      </c>
      <c r="D1937" s="106" t="s">
        <v>163</v>
      </c>
      <c r="E1937" s="114" t="s">
        <v>10287</v>
      </c>
      <c r="F1937" s="114" t="s">
        <v>2639</v>
      </c>
      <c r="G1937" s="108" t="s">
        <v>10288</v>
      </c>
      <c r="H1937" s="114" t="s">
        <v>10289</v>
      </c>
      <c r="I1937" s="115" t="s">
        <v>3453</v>
      </c>
      <c r="J1937" s="114" t="s">
        <v>10290</v>
      </c>
      <c r="K1937" s="150" t="s">
        <v>10291</v>
      </c>
    </row>
    <row r="1938" spans="1:11">
      <c r="A1938" s="158"/>
      <c r="B1938" s="122"/>
      <c r="C1938" s="39"/>
      <c r="D1938" s="106" t="s">
        <v>164</v>
      </c>
      <c r="E1938" s="114" t="s">
        <v>10292</v>
      </c>
      <c r="F1938" s="114" t="s">
        <v>2639</v>
      </c>
      <c r="G1938" s="108" t="s">
        <v>10293</v>
      </c>
      <c r="H1938" s="114" t="s">
        <v>10294</v>
      </c>
      <c r="I1938" s="115" t="s">
        <v>3459</v>
      </c>
      <c r="J1938" s="114" t="s">
        <v>10295</v>
      </c>
      <c r="K1938" s="150" t="s">
        <v>10296</v>
      </c>
    </row>
    <row r="1939" spans="1:11">
      <c r="A1939" s="158"/>
      <c r="B1939" s="122"/>
      <c r="C1939" s="39"/>
      <c r="D1939" s="106" t="s">
        <v>165</v>
      </c>
      <c r="E1939" s="114" t="s">
        <v>10297</v>
      </c>
      <c r="F1939" s="114" t="s">
        <v>2639</v>
      </c>
      <c r="G1939" s="108" t="s">
        <v>10298</v>
      </c>
      <c r="H1939" s="114" t="s">
        <v>10299</v>
      </c>
      <c r="I1939" s="115" t="s">
        <v>3453</v>
      </c>
      <c r="J1939" s="114" t="s">
        <v>10300</v>
      </c>
      <c r="K1939" s="150" t="s">
        <v>10301</v>
      </c>
    </row>
    <row r="1940" spans="1:11">
      <c r="A1940" s="158"/>
      <c r="B1940" s="122"/>
      <c r="C1940" s="39"/>
      <c r="D1940" s="106" t="s">
        <v>166</v>
      </c>
      <c r="E1940" s="114" t="s">
        <v>10302</v>
      </c>
      <c r="F1940" s="114" t="s">
        <v>2639</v>
      </c>
      <c r="G1940" s="108" t="s">
        <v>10303</v>
      </c>
      <c r="H1940" s="114" t="s">
        <v>10304</v>
      </c>
      <c r="I1940" s="115" t="s">
        <v>3453</v>
      </c>
      <c r="J1940" s="114" t="s">
        <v>10305</v>
      </c>
      <c r="K1940" s="150" t="s">
        <v>10306</v>
      </c>
    </row>
    <row r="1941" spans="1:11">
      <c r="A1941" s="158"/>
      <c r="B1941" s="122"/>
      <c r="C1941" s="39"/>
      <c r="D1941" s="106" t="s">
        <v>167</v>
      </c>
      <c r="E1941" s="114" t="s">
        <v>10307</v>
      </c>
      <c r="F1941" s="114" t="s">
        <v>2639</v>
      </c>
      <c r="G1941" s="108" t="s">
        <v>10308</v>
      </c>
      <c r="H1941" s="114" t="s">
        <v>10309</v>
      </c>
      <c r="I1941" s="115" t="s">
        <v>3459</v>
      </c>
      <c r="J1941" s="114" t="s">
        <v>10310</v>
      </c>
      <c r="K1941" s="150" t="s">
        <v>10311</v>
      </c>
    </row>
    <row r="1942" spans="1:11">
      <c r="A1942" s="158"/>
      <c r="B1942" s="122" t="s">
        <v>34</v>
      </c>
      <c r="C1942" s="39" t="s">
        <v>35</v>
      </c>
      <c r="D1942" s="106" t="s">
        <v>168</v>
      </c>
      <c r="E1942" s="114" t="s">
        <v>10312</v>
      </c>
      <c r="F1942" s="114" t="s">
        <v>2639</v>
      </c>
      <c r="G1942" s="108" t="s">
        <v>9929</v>
      </c>
      <c r="H1942" s="114" t="s">
        <v>10313</v>
      </c>
      <c r="I1942" s="115" t="s">
        <v>3581</v>
      </c>
      <c r="J1942" s="114" t="s">
        <v>10314</v>
      </c>
      <c r="K1942" s="150" t="s">
        <v>10315</v>
      </c>
    </row>
    <row r="1943" spans="1:11">
      <c r="A1943" s="158"/>
      <c r="B1943" s="122"/>
      <c r="C1943" s="39"/>
      <c r="D1943" s="106" t="s">
        <v>169</v>
      </c>
      <c r="E1943" s="114" t="s">
        <v>10316</v>
      </c>
      <c r="F1943" s="114" t="s">
        <v>2639</v>
      </c>
      <c r="G1943" s="108" t="s">
        <v>10317</v>
      </c>
      <c r="H1943" s="114" t="s">
        <v>10318</v>
      </c>
      <c r="I1943" s="115" t="s">
        <v>3459</v>
      </c>
      <c r="J1943" s="114" t="s">
        <v>10319</v>
      </c>
      <c r="K1943" s="150" t="s">
        <v>10320</v>
      </c>
    </row>
    <row r="1944" spans="1:11">
      <c r="A1944" s="158"/>
      <c r="B1944" s="122"/>
      <c r="C1944" s="39"/>
      <c r="D1944" s="106" t="s">
        <v>170</v>
      </c>
      <c r="E1944" s="114" t="s">
        <v>10321</v>
      </c>
      <c r="F1944" s="114" t="s">
        <v>2639</v>
      </c>
      <c r="G1944" s="108" t="s">
        <v>10322</v>
      </c>
      <c r="H1944" s="114" t="s">
        <v>10323</v>
      </c>
      <c r="I1944" s="115" t="s">
        <v>3459</v>
      </c>
      <c r="J1944" s="114" t="s">
        <v>10324</v>
      </c>
      <c r="K1944" s="150" t="s">
        <v>10325</v>
      </c>
    </row>
    <row r="1945" spans="1:11">
      <c r="A1945" s="158"/>
      <c r="B1945" s="122"/>
      <c r="C1945" s="39"/>
      <c r="D1945" s="106" t="s">
        <v>171</v>
      </c>
      <c r="E1945" s="114" t="s">
        <v>10326</v>
      </c>
      <c r="F1945" s="114" t="s">
        <v>2639</v>
      </c>
      <c r="G1945" s="108" t="s">
        <v>10327</v>
      </c>
      <c r="H1945" s="114" t="s">
        <v>10328</v>
      </c>
      <c r="I1945" s="115" t="s">
        <v>3453</v>
      </c>
      <c r="J1945" s="114" t="s">
        <v>10329</v>
      </c>
      <c r="K1945" s="150" t="s">
        <v>10330</v>
      </c>
    </row>
    <row r="1946" spans="1:11">
      <c r="A1946" s="158"/>
      <c r="B1946" s="122"/>
      <c r="C1946" s="39"/>
      <c r="D1946" s="106" t="s">
        <v>172</v>
      </c>
      <c r="E1946" s="114" t="s">
        <v>10331</v>
      </c>
      <c r="F1946" s="114" t="s">
        <v>2639</v>
      </c>
      <c r="G1946" s="108" t="s">
        <v>10332</v>
      </c>
      <c r="H1946" s="114" t="s">
        <v>10047</v>
      </c>
      <c r="I1946" s="115" t="s">
        <v>3581</v>
      </c>
      <c r="J1946" s="114" t="s">
        <v>10333</v>
      </c>
      <c r="K1946" s="150" t="s">
        <v>10334</v>
      </c>
    </row>
    <row r="1947" spans="1:11">
      <c r="A1947" s="158"/>
      <c r="B1947" s="122"/>
      <c r="C1947" s="39" t="s">
        <v>36</v>
      </c>
      <c r="D1947" s="106" t="s">
        <v>173</v>
      </c>
      <c r="E1947" s="114" t="s">
        <v>10335</v>
      </c>
      <c r="F1947" s="114" t="s">
        <v>2639</v>
      </c>
      <c r="G1947" s="108" t="s">
        <v>10336</v>
      </c>
      <c r="H1947" s="114" t="s">
        <v>10337</v>
      </c>
      <c r="I1947" s="115" t="s">
        <v>3453</v>
      </c>
      <c r="J1947" s="114" t="s">
        <v>10338</v>
      </c>
      <c r="K1947" s="150" t="s">
        <v>10339</v>
      </c>
    </row>
    <row r="1948" spans="1:11">
      <c r="A1948" s="158"/>
      <c r="B1948" s="122"/>
      <c r="C1948" s="39"/>
      <c r="D1948" s="106" t="s">
        <v>174</v>
      </c>
      <c r="E1948" s="114" t="s">
        <v>10340</v>
      </c>
      <c r="F1948" s="114" t="s">
        <v>2639</v>
      </c>
      <c r="G1948" s="108" t="s">
        <v>10341</v>
      </c>
      <c r="H1948" s="114" t="s">
        <v>10342</v>
      </c>
      <c r="I1948" s="115" t="s">
        <v>3459</v>
      </c>
      <c r="J1948" s="114" t="s">
        <v>10343</v>
      </c>
      <c r="K1948" s="150" t="s">
        <v>10344</v>
      </c>
    </row>
    <row r="1949" spans="1:11">
      <c r="A1949" s="158"/>
      <c r="B1949" s="122"/>
      <c r="C1949" s="39"/>
      <c r="D1949" s="106" t="s">
        <v>175</v>
      </c>
      <c r="E1949" s="114" t="s">
        <v>10345</v>
      </c>
      <c r="F1949" s="114" t="s">
        <v>2639</v>
      </c>
      <c r="G1949" s="108" t="s">
        <v>10346</v>
      </c>
      <c r="H1949" s="114" t="s">
        <v>10347</v>
      </c>
      <c r="I1949" s="115" t="s">
        <v>3453</v>
      </c>
      <c r="J1949" s="114" t="s">
        <v>10348</v>
      </c>
      <c r="K1949" s="150" t="s">
        <v>10349</v>
      </c>
    </row>
    <row r="1950" spans="1:11">
      <c r="A1950" s="158"/>
      <c r="B1950" s="122"/>
      <c r="C1950" s="39"/>
      <c r="D1950" s="106" t="s">
        <v>176</v>
      </c>
      <c r="E1950" s="114" t="s">
        <v>10350</v>
      </c>
      <c r="F1950" s="114" t="s">
        <v>2639</v>
      </c>
      <c r="G1950" s="108" t="s">
        <v>4033</v>
      </c>
      <c r="H1950" s="114" t="s">
        <v>10351</v>
      </c>
      <c r="I1950" s="115" t="s">
        <v>3453</v>
      </c>
      <c r="J1950" s="114" t="s">
        <v>10352</v>
      </c>
      <c r="K1950" s="150" t="s">
        <v>10353</v>
      </c>
    </row>
    <row r="1951" spans="1:11">
      <c r="A1951" s="158"/>
      <c r="B1951" s="122"/>
      <c r="C1951" s="39"/>
      <c r="D1951" s="106" t="s">
        <v>177</v>
      </c>
      <c r="E1951" s="114" t="s">
        <v>10354</v>
      </c>
      <c r="F1951" s="114" t="s">
        <v>2639</v>
      </c>
      <c r="G1951" s="108" t="s">
        <v>9849</v>
      </c>
      <c r="H1951" s="114" t="s">
        <v>10355</v>
      </c>
      <c r="I1951" s="115" t="s">
        <v>3459</v>
      </c>
      <c r="J1951" s="114" t="s">
        <v>10356</v>
      </c>
      <c r="K1951" s="150" t="s">
        <v>10357</v>
      </c>
    </row>
    <row r="1952" spans="1:11">
      <c r="A1952" s="158"/>
      <c r="B1952" s="122"/>
      <c r="C1952" s="39" t="s">
        <v>37</v>
      </c>
      <c r="D1952" s="106" t="s">
        <v>178</v>
      </c>
      <c r="E1952" s="114" t="s">
        <v>10358</v>
      </c>
      <c r="F1952" s="114" t="s">
        <v>2639</v>
      </c>
      <c r="G1952" s="108" t="s">
        <v>3497</v>
      </c>
      <c r="H1952" s="114" t="s">
        <v>10359</v>
      </c>
      <c r="I1952" s="115" t="s">
        <v>3459</v>
      </c>
      <c r="J1952" s="114" t="s">
        <v>10360</v>
      </c>
      <c r="K1952" s="150" t="s">
        <v>10361</v>
      </c>
    </row>
    <row r="1953" spans="1:11">
      <c r="A1953" s="158"/>
      <c r="B1953" s="122"/>
      <c r="C1953" s="39"/>
      <c r="D1953" s="106" t="s">
        <v>179</v>
      </c>
      <c r="E1953" s="114" t="s">
        <v>10362</v>
      </c>
      <c r="F1953" s="114" t="s">
        <v>2639</v>
      </c>
      <c r="G1953" s="108" t="s">
        <v>6250</v>
      </c>
      <c r="H1953" s="114" t="s">
        <v>10363</v>
      </c>
      <c r="I1953" s="115" t="s">
        <v>3453</v>
      </c>
      <c r="J1953" s="114" t="s">
        <v>10364</v>
      </c>
      <c r="K1953" s="150" t="s">
        <v>10365</v>
      </c>
    </row>
    <row r="1954" spans="1:11">
      <c r="A1954" s="158"/>
      <c r="B1954" s="122"/>
      <c r="C1954" s="39"/>
      <c r="D1954" s="106" t="s">
        <v>180</v>
      </c>
      <c r="E1954" s="114" t="s">
        <v>10366</v>
      </c>
      <c r="F1954" s="114" t="s">
        <v>2639</v>
      </c>
      <c r="G1954" s="108" t="s">
        <v>5044</v>
      </c>
      <c r="H1954" s="114" t="s">
        <v>10367</v>
      </c>
      <c r="I1954" s="115" t="s">
        <v>3453</v>
      </c>
      <c r="J1954" s="114" t="s">
        <v>10368</v>
      </c>
      <c r="K1954" s="150" t="s">
        <v>10369</v>
      </c>
    </row>
    <row r="1955" spans="1:11">
      <c r="A1955" s="158"/>
      <c r="B1955" s="122"/>
      <c r="C1955" s="39"/>
      <c r="D1955" s="106" t="s">
        <v>181</v>
      </c>
      <c r="E1955" s="114" t="s">
        <v>10370</v>
      </c>
      <c r="F1955" s="114" t="s">
        <v>2639</v>
      </c>
      <c r="G1955" s="108" t="s">
        <v>3282</v>
      </c>
      <c r="H1955" s="114" t="s">
        <v>9988</v>
      </c>
      <c r="I1955" s="115" t="s">
        <v>3459</v>
      </c>
      <c r="J1955" s="114" t="s">
        <v>10371</v>
      </c>
      <c r="K1955" s="150" t="s">
        <v>10372</v>
      </c>
    </row>
    <row r="1956" spans="1:11">
      <c r="A1956" s="158"/>
      <c r="B1956" s="122"/>
      <c r="C1956" s="39"/>
      <c r="D1956" s="106" t="s">
        <v>182</v>
      </c>
      <c r="E1956" s="114" t="s">
        <v>10373</v>
      </c>
      <c r="F1956" s="114" t="s">
        <v>2639</v>
      </c>
      <c r="G1956" s="108" t="s">
        <v>10374</v>
      </c>
      <c r="H1956" s="114" t="s">
        <v>10375</v>
      </c>
      <c r="I1956" s="115" t="s">
        <v>3459</v>
      </c>
      <c r="J1956" s="114" t="s">
        <v>10376</v>
      </c>
      <c r="K1956" s="150" t="s">
        <v>10377</v>
      </c>
    </row>
    <row r="1957" spans="1:11">
      <c r="A1957" s="158"/>
      <c r="B1957" s="122"/>
      <c r="C1957" s="39" t="s">
        <v>38</v>
      </c>
      <c r="D1957" s="106" t="s">
        <v>183</v>
      </c>
      <c r="E1957" s="114" t="s">
        <v>10378</v>
      </c>
      <c r="F1957" s="114" t="s">
        <v>2639</v>
      </c>
      <c r="G1957" s="108" t="s">
        <v>10379</v>
      </c>
      <c r="H1957" s="114" t="s">
        <v>10380</v>
      </c>
      <c r="I1957" s="115" t="s">
        <v>3459</v>
      </c>
      <c r="J1957" s="114" t="s">
        <v>10381</v>
      </c>
      <c r="K1957" s="150" t="s">
        <v>10382</v>
      </c>
    </row>
    <row r="1958" spans="1:11">
      <c r="A1958" s="158"/>
      <c r="B1958" s="122"/>
      <c r="C1958" s="39"/>
      <c r="D1958" s="106" t="s">
        <v>184</v>
      </c>
      <c r="E1958" s="114" t="s">
        <v>10383</v>
      </c>
      <c r="F1958" s="114" t="s">
        <v>2639</v>
      </c>
      <c r="G1958" s="108" t="s">
        <v>10384</v>
      </c>
      <c r="H1958" s="114" t="s">
        <v>10385</v>
      </c>
      <c r="I1958" s="115" t="s">
        <v>3453</v>
      </c>
      <c r="J1958" s="114" t="s">
        <v>10386</v>
      </c>
      <c r="K1958" s="150" t="s">
        <v>10387</v>
      </c>
    </row>
    <row r="1959" spans="1:11">
      <c r="A1959" s="158"/>
      <c r="B1959" s="122"/>
      <c r="C1959" s="39"/>
      <c r="D1959" s="106" t="s">
        <v>185</v>
      </c>
      <c r="E1959" s="114" t="s">
        <v>10388</v>
      </c>
      <c r="F1959" s="114" t="s">
        <v>2639</v>
      </c>
      <c r="G1959" s="108" t="s">
        <v>10389</v>
      </c>
      <c r="H1959" s="114" t="s">
        <v>10390</v>
      </c>
      <c r="I1959" s="115" t="s">
        <v>3459</v>
      </c>
      <c r="J1959" s="114" t="s">
        <v>10391</v>
      </c>
      <c r="K1959" s="150" t="s">
        <v>10392</v>
      </c>
    </row>
    <row r="1960" spans="1:11">
      <c r="A1960" s="158"/>
      <c r="B1960" s="122"/>
      <c r="C1960" s="39"/>
      <c r="D1960" s="106" t="s">
        <v>186</v>
      </c>
      <c r="E1960" s="114" t="s">
        <v>10393</v>
      </c>
      <c r="F1960" s="114" t="s">
        <v>2639</v>
      </c>
      <c r="G1960" s="108" t="s">
        <v>10394</v>
      </c>
      <c r="H1960" s="114" t="s">
        <v>10395</v>
      </c>
      <c r="I1960" s="115" t="s">
        <v>3459</v>
      </c>
      <c r="J1960" s="114" t="s">
        <v>10396</v>
      </c>
      <c r="K1960" s="150" t="s">
        <v>10397</v>
      </c>
    </row>
    <row r="1961" spans="1:11">
      <c r="A1961" s="158"/>
      <c r="B1961" s="122"/>
      <c r="C1961" s="39"/>
      <c r="D1961" s="106" t="s">
        <v>187</v>
      </c>
      <c r="E1961" s="114" t="s">
        <v>10398</v>
      </c>
      <c r="F1961" s="114" t="s">
        <v>2639</v>
      </c>
      <c r="G1961" s="108" t="s">
        <v>10399</v>
      </c>
      <c r="H1961" s="114" t="s">
        <v>10400</v>
      </c>
      <c r="I1961" s="115" t="s">
        <v>3459</v>
      </c>
      <c r="J1961" s="114" t="s">
        <v>10401</v>
      </c>
      <c r="K1961" s="150" t="s">
        <v>10402</v>
      </c>
    </row>
    <row r="1962" spans="1:11">
      <c r="A1962" s="158"/>
      <c r="B1962" s="122"/>
      <c r="C1962" s="39" t="s">
        <v>39</v>
      </c>
      <c r="D1962" s="106" t="s">
        <v>188</v>
      </c>
      <c r="E1962" s="114" t="s">
        <v>10403</v>
      </c>
      <c r="F1962" s="114" t="s">
        <v>2639</v>
      </c>
      <c r="G1962" s="108" t="s">
        <v>10404</v>
      </c>
      <c r="H1962" s="114" t="s">
        <v>10405</v>
      </c>
      <c r="I1962" s="115" t="s">
        <v>3453</v>
      </c>
      <c r="J1962" s="114" t="s">
        <v>10406</v>
      </c>
      <c r="K1962" s="150" t="s">
        <v>10407</v>
      </c>
    </row>
    <row r="1963" spans="1:11">
      <c r="A1963" s="158"/>
      <c r="B1963" s="122"/>
      <c r="C1963" s="39"/>
      <c r="D1963" s="106" t="s">
        <v>189</v>
      </c>
      <c r="E1963" s="114" t="s">
        <v>10408</v>
      </c>
      <c r="F1963" s="114" t="s">
        <v>2639</v>
      </c>
      <c r="G1963" s="108" t="s">
        <v>10409</v>
      </c>
      <c r="H1963" s="114" t="s">
        <v>10410</v>
      </c>
      <c r="I1963" s="115" t="s">
        <v>3459</v>
      </c>
      <c r="J1963" s="114" t="s">
        <v>10411</v>
      </c>
      <c r="K1963" s="150" t="s">
        <v>10412</v>
      </c>
    </row>
    <row r="1964" spans="1:11">
      <c r="A1964" s="158"/>
      <c r="B1964" s="122"/>
      <c r="C1964" s="39"/>
      <c r="D1964" s="106" t="s">
        <v>190</v>
      </c>
      <c r="E1964" s="114" t="s">
        <v>10413</v>
      </c>
      <c r="F1964" s="114" t="s">
        <v>2639</v>
      </c>
      <c r="G1964" s="108" t="s">
        <v>10414</v>
      </c>
      <c r="H1964" s="114" t="s">
        <v>10415</v>
      </c>
      <c r="I1964" s="115" t="s">
        <v>3453</v>
      </c>
      <c r="J1964" s="114" t="s">
        <v>10416</v>
      </c>
      <c r="K1964" s="150" t="s">
        <v>10417</v>
      </c>
    </row>
    <row r="1965" spans="1:11">
      <c r="A1965" s="158"/>
      <c r="B1965" s="122"/>
      <c r="C1965" s="39"/>
      <c r="D1965" s="106" t="s">
        <v>191</v>
      </c>
      <c r="E1965" s="114" t="s">
        <v>10418</v>
      </c>
      <c r="F1965" s="114" t="s">
        <v>2639</v>
      </c>
      <c r="G1965" s="108" t="s">
        <v>10419</v>
      </c>
      <c r="H1965" s="114" t="s">
        <v>10420</v>
      </c>
      <c r="I1965" s="115" t="s">
        <v>3459</v>
      </c>
      <c r="J1965" s="114" t="s">
        <v>10421</v>
      </c>
      <c r="K1965" s="150" t="s">
        <v>10422</v>
      </c>
    </row>
    <row r="1966" spans="1:11">
      <c r="A1966" s="158"/>
      <c r="B1966" s="122"/>
      <c r="C1966" s="39"/>
      <c r="D1966" s="106" t="s">
        <v>192</v>
      </c>
      <c r="E1966" s="114" t="s">
        <v>10423</v>
      </c>
      <c r="F1966" s="114" t="s">
        <v>2639</v>
      </c>
      <c r="G1966" s="108" t="s">
        <v>9928</v>
      </c>
      <c r="H1966" s="114" t="s">
        <v>10424</v>
      </c>
      <c r="I1966" s="115" t="s">
        <v>3459</v>
      </c>
      <c r="J1966" s="114" t="s">
        <v>10425</v>
      </c>
      <c r="K1966" s="150" t="s">
        <v>10426</v>
      </c>
    </row>
    <row r="1967" spans="1:11">
      <c r="A1967" s="158"/>
      <c r="B1967" s="122" t="s">
        <v>40</v>
      </c>
      <c r="C1967" s="39" t="s">
        <v>41</v>
      </c>
      <c r="D1967" s="106" t="s">
        <v>193</v>
      </c>
      <c r="E1967" s="114" t="s">
        <v>10427</v>
      </c>
      <c r="F1967" s="114" t="s">
        <v>2639</v>
      </c>
      <c r="G1967" s="108" t="s">
        <v>10428</v>
      </c>
      <c r="H1967" s="114" t="s">
        <v>10429</v>
      </c>
      <c r="I1967" s="115" t="s">
        <v>3453</v>
      </c>
      <c r="J1967" s="114" t="s">
        <v>10430</v>
      </c>
      <c r="K1967" s="150" t="s">
        <v>10431</v>
      </c>
    </row>
    <row r="1968" spans="1:11">
      <c r="A1968" s="158"/>
      <c r="B1968" s="122"/>
      <c r="C1968" s="39"/>
      <c r="D1968" s="106" t="s">
        <v>194</v>
      </c>
      <c r="E1968" s="114" t="s">
        <v>10432</v>
      </c>
      <c r="F1968" s="114" t="s">
        <v>2639</v>
      </c>
      <c r="G1968" s="108" t="s">
        <v>10433</v>
      </c>
      <c r="H1968" s="114" t="s">
        <v>10434</v>
      </c>
      <c r="I1968" s="115" t="s">
        <v>3453</v>
      </c>
      <c r="J1968" s="114" t="s">
        <v>10435</v>
      </c>
      <c r="K1968" s="150" t="s">
        <v>10436</v>
      </c>
    </row>
    <row r="1969" spans="1:11">
      <c r="A1969" s="158"/>
      <c r="B1969" s="122"/>
      <c r="C1969" s="39"/>
      <c r="D1969" s="106" t="s">
        <v>195</v>
      </c>
      <c r="E1969" s="114" t="s">
        <v>10437</v>
      </c>
      <c r="F1969" s="114" t="s">
        <v>2639</v>
      </c>
      <c r="G1969" s="108" t="s">
        <v>10438</v>
      </c>
      <c r="H1969" s="114" t="s">
        <v>10439</v>
      </c>
      <c r="I1969" s="115" t="s">
        <v>3459</v>
      </c>
      <c r="J1969" s="114" t="s">
        <v>10440</v>
      </c>
      <c r="K1969" s="150" t="s">
        <v>10441</v>
      </c>
    </row>
    <row r="1970" spans="1:11">
      <c r="A1970" s="158"/>
      <c r="B1970" s="122"/>
      <c r="C1970" s="39"/>
      <c r="D1970" s="106" t="s">
        <v>196</v>
      </c>
      <c r="E1970" s="114" t="s">
        <v>10442</v>
      </c>
      <c r="F1970" s="114" t="s">
        <v>2639</v>
      </c>
      <c r="G1970" s="108" t="s">
        <v>10443</v>
      </c>
      <c r="H1970" s="114" t="s">
        <v>10444</v>
      </c>
      <c r="I1970" s="115" t="s">
        <v>3459</v>
      </c>
      <c r="J1970" s="114" t="s">
        <v>10445</v>
      </c>
      <c r="K1970" s="150" t="s">
        <v>10446</v>
      </c>
    </row>
    <row r="1971" spans="1:11">
      <c r="A1971" s="158"/>
      <c r="B1971" s="122"/>
      <c r="C1971" s="39"/>
      <c r="D1971" s="106" t="s">
        <v>197</v>
      </c>
      <c r="E1971" s="114" t="s">
        <v>10447</v>
      </c>
      <c r="F1971" s="114" t="s">
        <v>2639</v>
      </c>
      <c r="G1971" s="108" t="s">
        <v>10448</v>
      </c>
      <c r="H1971" s="114" t="s">
        <v>10449</v>
      </c>
      <c r="I1971" s="115" t="s">
        <v>3459</v>
      </c>
      <c r="J1971" s="114" t="s">
        <v>10450</v>
      </c>
      <c r="K1971" s="150" t="s">
        <v>10451</v>
      </c>
    </row>
    <row r="1972" spans="1:11">
      <c r="A1972" s="158"/>
      <c r="B1972" s="122"/>
      <c r="C1972" s="39" t="s">
        <v>42</v>
      </c>
      <c r="D1972" s="106" t="s">
        <v>198</v>
      </c>
      <c r="E1972" s="114" t="s">
        <v>10452</v>
      </c>
      <c r="F1972" s="114" t="s">
        <v>2639</v>
      </c>
      <c r="G1972" s="108" t="s">
        <v>10453</v>
      </c>
      <c r="H1972" s="114" t="s">
        <v>10454</v>
      </c>
      <c r="I1972" s="115" t="s">
        <v>3459</v>
      </c>
      <c r="J1972" s="114" t="s">
        <v>10455</v>
      </c>
      <c r="K1972" s="150" t="s">
        <v>10456</v>
      </c>
    </row>
    <row r="1973" spans="1:11">
      <c r="A1973" s="158"/>
      <c r="B1973" s="122"/>
      <c r="C1973" s="39"/>
      <c r="D1973" s="106" t="s">
        <v>199</v>
      </c>
      <c r="E1973" s="114" t="s">
        <v>10457</v>
      </c>
      <c r="F1973" s="114" t="s">
        <v>2639</v>
      </c>
      <c r="G1973" s="108" t="s">
        <v>10458</v>
      </c>
      <c r="H1973" s="114" t="s">
        <v>10459</v>
      </c>
      <c r="I1973" s="115" t="s">
        <v>3453</v>
      </c>
      <c r="J1973" s="114" t="s">
        <v>10460</v>
      </c>
      <c r="K1973" s="150" t="s">
        <v>10461</v>
      </c>
    </row>
    <row r="1974" spans="1:11">
      <c r="A1974" s="158"/>
      <c r="B1974" s="122"/>
      <c r="C1974" s="39"/>
      <c r="D1974" s="106" t="s">
        <v>200</v>
      </c>
      <c r="E1974" s="114" t="s">
        <v>10462</v>
      </c>
      <c r="F1974" s="114" t="s">
        <v>2639</v>
      </c>
      <c r="G1974" s="108" t="s">
        <v>10463</v>
      </c>
      <c r="H1974" s="114" t="s">
        <v>10464</v>
      </c>
      <c r="I1974" s="115" t="s">
        <v>3459</v>
      </c>
      <c r="J1974" s="114" t="s">
        <v>10465</v>
      </c>
      <c r="K1974" s="150" t="s">
        <v>10466</v>
      </c>
    </row>
    <row r="1975" spans="1:11">
      <c r="A1975" s="158"/>
      <c r="B1975" s="122"/>
      <c r="C1975" s="39"/>
      <c r="D1975" s="106" t="s">
        <v>201</v>
      </c>
      <c r="E1975" s="114" t="s">
        <v>10467</v>
      </c>
      <c r="F1975" s="114" t="s">
        <v>2639</v>
      </c>
      <c r="G1975" s="108" t="s">
        <v>10468</v>
      </c>
      <c r="H1975" s="114" t="s">
        <v>10469</v>
      </c>
      <c r="I1975" s="115" t="s">
        <v>3453</v>
      </c>
      <c r="J1975" s="114" t="s">
        <v>10470</v>
      </c>
      <c r="K1975" s="150" t="s">
        <v>10471</v>
      </c>
    </row>
    <row r="1976" spans="1:11">
      <c r="A1976" s="158"/>
      <c r="B1976" s="122"/>
      <c r="C1976" s="39"/>
      <c r="D1976" s="106" t="s">
        <v>202</v>
      </c>
      <c r="E1976" s="114" t="s">
        <v>10472</v>
      </c>
      <c r="F1976" s="114" t="s">
        <v>2639</v>
      </c>
      <c r="G1976" s="108" t="s">
        <v>10473</v>
      </c>
      <c r="H1976" s="114" t="s">
        <v>10474</v>
      </c>
      <c r="I1976" s="115" t="s">
        <v>3459</v>
      </c>
      <c r="J1976" s="114" t="s">
        <v>10475</v>
      </c>
      <c r="K1976" s="150" t="s">
        <v>10476</v>
      </c>
    </row>
    <row r="1977" spans="1:11">
      <c r="A1977" s="158"/>
      <c r="B1977" s="122"/>
      <c r="C1977" s="39" t="s">
        <v>43</v>
      </c>
      <c r="D1977" s="106" t="s">
        <v>203</v>
      </c>
      <c r="E1977" s="114" t="s">
        <v>10477</v>
      </c>
      <c r="F1977" s="114" t="s">
        <v>2639</v>
      </c>
      <c r="G1977" s="108" t="s">
        <v>10478</v>
      </c>
      <c r="H1977" s="114" t="s">
        <v>10479</v>
      </c>
      <c r="I1977" s="115" t="s">
        <v>3459</v>
      </c>
      <c r="J1977" s="114" t="s">
        <v>10480</v>
      </c>
      <c r="K1977" s="150" t="s">
        <v>10481</v>
      </c>
    </row>
    <row r="1978" spans="1:11">
      <c r="A1978" s="158"/>
      <c r="B1978" s="122"/>
      <c r="C1978" s="39"/>
      <c r="D1978" s="106" t="s">
        <v>204</v>
      </c>
      <c r="E1978" s="114" t="s">
        <v>10482</v>
      </c>
      <c r="F1978" s="114" t="s">
        <v>2639</v>
      </c>
      <c r="G1978" s="108" t="s">
        <v>10483</v>
      </c>
      <c r="H1978" s="114" t="s">
        <v>10484</v>
      </c>
      <c r="I1978" s="115" t="s">
        <v>3459</v>
      </c>
      <c r="J1978" s="114" t="s">
        <v>10485</v>
      </c>
      <c r="K1978" s="150" t="s">
        <v>10486</v>
      </c>
    </row>
    <row r="1979" spans="1:11">
      <c r="A1979" s="158"/>
      <c r="B1979" s="122"/>
      <c r="C1979" s="39"/>
      <c r="D1979" s="106" t="s">
        <v>205</v>
      </c>
      <c r="E1979" s="114" t="s">
        <v>10487</v>
      </c>
      <c r="F1979" s="114" t="s">
        <v>2639</v>
      </c>
      <c r="G1979" s="108" t="s">
        <v>10488</v>
      </c>
      <c r="H1979" s="114" t="s">
        <v>10489</v>
      </c>
      <c r="I1979" s="115" t="s">
        <v>3459</v>
      </c>
      <c r="J1979" s="114" t="s">
        <v>10490</v>
      </c>
      <c r="K1979" s="150" t="s">
        <v>10491</v>
      </c>
    </row>
    <row r="1980" spans="1:11">
      <c r="A1980" s="158"/>
      <c r="B1980" s="122"/>
      <c r="C1980" s="39"/>
      <c r="D1980" s="106" t="s">
        <v>206</v>
      </c>
      <c r="E1980" s="114" t="s">
        <v>10492</v>
      </c>
      <c r="F1980" s="114" t="s">
        <v>2639</v>
      </c>
      <c r="G1980" s="108" t="s">
        <v>10493</v>
      </c>
      <c r="H1980" s="114" t="s">
        <v>10494</v>
      </c>
      <c r="I1980" s="115" t="s">
        <v>3459</v>
      </c>
      <c r="J1980" s="114" t="s">
        <v>10495</v>
      </c>
      <c r="K1980" s="150" t="s">
        <v>10496</v>
      </c>
    </row>
    <row r="1981" spans="1:11">
      <c r="A1981" s="158"/>
      <c r="B1981" s="122"/>
      <c r="C1981" s="39"/>
      <c r="D1981" s="106" t="s">
        <v>207</v>
      </c>
      <c r="E1981" s="114" t="s">
        <v>10497</v>
      </c>
      <c r="F1981" s="114" t="s">
        <v>2639</v>
      </c>
      <c r="G1981" s="108" t="s">
        <v>3821</v>
      </c>
      <c r="H1981" s="114" t="s">
        <v>10498</v>
      </c>
      <c r="I1981" s="115" t="s">
        <v>3459</v>
      </c>
      <c r="J1981" s="114" t="s">
        <v>10499</v>
      </c>
      <c r="K1981" s="150" t="s">
        <v>10500</v>
      </c>
    </row>
    <row r="1982" spans="1:11">
      <c r="A1982" s="158"/>
      <c r="B1982" s="122"/>
      <c r="C1982" s="39" t="s">
        <v>44</v>
      </c>
      <c r="D1982" s="106" t="s">
        <v>208</v>
      </c>
      <c r="E1982" s="114" t="s">
        <v>10501</v>
      </c>
      <c r="F1982" s="114" t="s">
        <v>2639</v>
      </c>
      <c r="G1982" s="108" t="s">
        <v>10502</v>
      </c>
      <c r="H1982" s="114" t="s">
        <v>10503</v>
      </c>
      <c r="I1982" s="115" t="s">
        <v>3453</v>
      </c>
      <c r="J1982" s="114" t="s">
        <v>10504</v>
      </c>
      <c r="K1982" s="150" t="s">
        <v>10505</v>
      </c>
    </row>
    <row r="1983" spans="1:11">
      <c r="A1983" s="158"/>
      <c r="B1983" s="122"/>
      <c r="C1983" s="39"/>
      <c r="D1983" s="106" t="s">
        <v>209</v>
      </c>
      <c r="E1983" s="114" t="s">
        <v>10506</v>
      </c>
      <c r="F1983" s="114" t="s">
        <v>2639</v>
      </c>
      <c r="G1983" s="108" t="s">
        <v>10219</v>
      </c>
      <c r="H1983" s="114" t="s">
        <v>10464</v>
      </c>
      <c r="I1983" s="115" t="s">
        <v>3459</v>
      </c>
      <c r="J1983" s="114" t="s">
        <v>10507</v>
      </c>
      <c r="K1983" s="150" t="s">
        <v>10508</v>
      </c>
    </row>
    <row r="1984" spans="1:11">
      <c r="A1984" s="158"/>
      <c r="B1984" s="122"/>
      <c r="C1984" s="39"/>
      <c r="D1984" s="106" t="s">
        <v>210</v>
      </c>
      <c r="E1984" s="114" t="s">
        <v>10509</v>
      </c>
      <c r="F1984" s="114" t="s">
        <v>2639</v>
      </c>
      <c r="G1984" s="108" t="s">
        <v>10510</v>
      </c>
      <c r="H1984" s="114" t="s">
        <v>10511</v>
      </c>
      <c r="I1984" s="115" t="s">
        <v>3459</v>
      </c>
      <c r="J1984" s="114" t="s">
        <v>10512</v>
      </c>
      <c r="K1984" s="150" t="s">
        <v>10513</v>
      </c>
    </row>
    <row r="1985" spans="1:11">
      <c r="A1985" s="158"/>
      <c r="B1985" s="122"/>
      <c r="C1985" s="39"/>
      <c r="D1985" s="106" t="s">
        <v>211</v>
      </c>
      <c r="E1985" s="114" t="s">
        <v>10514</v>
      </c>
      <c r="F1985" s="114" t="s">
        <v>2639</v>
      </c>
      <c r="G1985" s="108" t="s">
        <v>10515</v>
      </c>
      <c r="H1985" s="114" t="s">
        <v>10516</v>
      </c>
      <c r="I1985" s="115" t="s">
        <v>3459</v>
      </c>
      <c r="J1985" s="114" t="s">
        <v>10517</v>
      </c>
      <c r="K1985" s="150" t="s">
        <v>10518</v>
      </c>
    </row>
    <row r="1986" spans="1:11">
      <c r="A1986" s="158"/>
      <c r="B1986" s="122"/>
      <c r="C1986" s="39"/>
      <c r="D1986" s="106" t="s">
        <v>212</v>
      </c>
      <c r="E1986" s="114" t="s">
        <v>10519</v>
      </c>
      <c r="F1986" s="114" t="s">
        <v>2639</v>
      </c>
      <c r="G1986" s="108" t="s">
        <v>10520</v>
      </c>
      <c r="H1986" s="114" t="s">
        <v>10521</v>
      </c>
      <c r="I1986" s="115" t="s">
        <v>3459</v>
      </c>
      <c r="J1986" s="114" t="s">
        <v>10522</v>
      </c>
      <c r="K1986" s="150" t="s">
        <v>10523</v>
      </c>
    </row>
    <row r="1987" spans="1:11">
      <c r="A1987" s="158"/>
      <c r="B1987" s="122"/>
      <c r="C1987" s="39" t="s">
        <v>45</v>
      </c>
      <c r="D1987" s="106" t="s">
        <v>213</v>
      </c>
      <c r="E1987" s="114" t="s">
        <v>10524</v>
      </c>
      <c r="F1987" s="114" t="s">
        <v>2639</v>
      </c>
      <c r="G1987" s="108" t="s">
        <v>10525</v>
      </c>
      <c r="H1987" s="114" t="s">
        <v>10526</v>
      </c>
      <c r="I1987" s="115" t="s">
        <v>3459</v>
      </c>
      <c r="J1987" s="114" t="s">
        <v>10527</v>
      </c>
      <c r="K1987" s="150" t="s">
        <v>10528</v>
      </c>
    </row>
    <row r="1988" spans="1:11">
      <c r="A1988" s="158"/>
      <c r="B1988" s="122"/>
      <c r="C1988" s="39"/>
      <c r="D1988" s="106" t="s">
        <v>214</v>
      </c>
      <c r="E1988" s="114" t="s">
        <v>10529</v>
      </c>
      <c r="F1988" s="114" t="s">
        <v>2639</v>
      </c>
      <c r="G1988" s="108" t="s">
        <v>10288</v>
      </c>
      <c r="H1988" s="114" t="s">
        <v>10530</v>
      </c>
      <c r="I1988" s="115" t="s">
        <v>3459</v>
      </c>
      <c r="J1988" s="114" t="s">
        <v>10531</v>
      </c>
      <c r="K1988" s="150" t="s">
        <v>10532</v>
      </c>
    </row>
    <row r="1989" spans="1:11">
      <c r="A1989" s="158"/>
      <c r="B1989" s="122"/>
      <c r="C1989" s="39"/>
      <c r="D1989" s="106" t="s">
        <v>215</v>
      </c>
      <c r="E1989" s="114" t="s">
        <v>10533</v>
      </c>
      <c r="F1989" s="114" t="s">
        <v>2639</v>
      </c>
      <c r="G1989" s="108" t="s">
        <v>10534</v>
      </c>
      <c r="H1989" s="114" t="s">
        <v>10535</v>
      </c>
      <c r="I1989" s="115" t="s">
        <v>3459</v>
      </c>
      <c r="J1989" s="114" t="s">
        <v>10536</v>
      </c>
      <c r="K1989" s="150" t="s">
        <v>10537</v>
      </c>
    </row>
    <row r="1990" spans="1:11">
      <c r="A1990" s="158"/>
      <c r="B1990" s="122"/>
      <c r="C1990" s="39"/>
      <c r="D1990" s="106" t="s">
        <v>216</v>
      </c>
      <c r="E1990" s="114" t="s">
        <v>10538</v>
      </c>
      <c r="F1990" s="114" t="s">
        <v>2639</v>
      </c>
      <c r="G1990" s="108" t="s">
        <v>10539</v>
      </c>
      <c r="H1990" s="114" t="s">
        <v>10540</v>
      </c>
      <c r="I1990" s="115" t="s">
        <v>3459</v>
      </c>
      <c r="J1990" s="114" t="s">
        <v>10541</v>
      </c>
      <c r="K1990" s="150" t="s">
        <v>10542</v>
      </c>
    </row>
    <row r="1991" spans="1:11">
      <c r="A1991" s="158"/>
      <c r="B1991" s="122"/>
      <c r="C1991" s="39"/>
      <c r="D1991" s="106" t="s">
        <v>217</v>
      </c>
      <c r="E1991" s="114" t="s">
        <v>10543</v>
      </c>
      <c r="F1991" s="114" t="s">
        <v>2639</v>
      </c>
      <c r="G1991" s="108" t="s">
        <v>10544</v>
      </c>
      <c r="H1991" s="114" t="s">
        <v>10545</v>
      </c>
      <c r="I1991" s="115" t="s">
        <v>3459</v>
      </c>
      <c r="J1991" s="114" t="s">
        <v>10546</v>
      </c>
      <c r="K1991" s="150" t="s">
        <v>10547</v>
      </c>
    </row>
    <row r="1992" spans="1:11">
      <c r="A1992" s="158"/>
      <c r="B1992" s="122" t="s">
        <v>46</v>
      </c>
      <c r="C1992" s="39" t="s">
        <v>47</v>
      </c>
      <c r="D1992" s="106" t="s">
        <v>218</v>
      </c>
      <c r="E1992" s="114" t="s">
        <v>10548</v>
      </c>
      <c r="F1992" s="114" t="s">
        <v>2639</v>
      </c>
      <c r="G1992" s="108" t="s">
        <v>10549</v>
      </c>
      <c r="H1992" s="114" t="s">
        <v>10550</v>
      </c>
      <c r="I1992" s="115" t="s">
        <v>3459</v>
      </c>
      <c r="J1992" s="114" t="s">
        <v>10551</v>
      </c>
      <c r="K1992" s="150" t="s">
        <v>10552</v>
      </c>
    </row>
    <row r="1993" spans="1:11">
      <c r="A1993" s="158"/>
      <c r="B1993" s="122"/>
      <c r="C1993" s="39"/>
      <c r="D1993" s="106" t="s">
        <v>219</v>
      </c>
      <c r="E1993" s="114" t="s">
        <v>10553</v>
      </c>
      <c r="F1993" s="114" t="s">
        <v>2639</v>
      </c>
      <c r="G1993" s="108" t="s">
        <v>10554</v>
      </c>
      <c r="H1993" s="114" t="s">
        <v>10555</v>
      </c>
      <c r="I1993" s="115" t="s">
        <v>3459</v>
      </c>
      <c r="J1993" s="114" t="s">
        <v>10556</v>
      </c>
      <c r="K1993" s="150" t="s">
        <v>10557</v>
      </c>
    </row>
    <row r="1994" spans="1:11">
      <c r="A1994" s="158"/>
      <c r="B1994" s="122"/>
      <c r="C1994" s="39"/>
      <c r="D1994" s="106" t="s">
        <v>220</v>
      </c>
      <c r="E1994" s="114" t="s">
        <v>10558</v>
      </c>
      <c r="F1994" s="114" t="s">
        <v>2639</v>
      </c>
      <c r="G1994" s="108" t="s">
        <v>10559</v>
      </c>
      <c r="H1994" s="114" t="s">
        <v>10560</v>
      </c>
      <c r="I1994" s="115" t="s">
        <v>3459</v>
      </c>
      <c r="J1994" s="114" t="s">
        <v>10561</v>
      </c>
      <c r="K1994" s="150" t="s">
        <v>10562</v>
      </c>
    </row>
    <row r="1995" spans="1:11">
      <c r="A1995" s="158"/>
      <c r="B1995" s="122"/>
      <c r="C1995" s="39"/>
      <c r="D1995" s="106" t="s">
        <v>221</v>
      </c>
      <c r="E1995" s="114" t="s">
        <v>10563</v>
      </c>
      <c r="F1995" s="114" t="s">
        <v>2639</v>
      </c>
      <c r="G1995" s="108" t="s">
        <v>10564</v>
      </c>
      <c r="H1995" s="114" t="s">
        <v>10565</v>
      </c>
      <c r="I1995" s="115" t="s">
        <v>3459</v>
      </c>
      <c r="J1995" s="114" t="s">
        <v>10566</v>
      </c>
      <c r="K1995" s="150" t="s">
        <v>10567</v>
      </c>
    </row>
    <row r="1996" spans="1:11">
      <c r="A1996" s="158"/>
      <c r="B1996" s="122"/>
      <c r="C1996" s="39"/>
      <c r="D1996" s="106" t="s">
        <v>222</v>
      </c>
      <c r="E1996" s="114" t="s">
        <v>10568</v>
      </c>
      <c r="F1996" s="114" t="s">
        <v>2639</v>
      </c>
      <c r="G1996" s="108" t="s">
        <v>10569</v>
      </c>
      <c r="H1996" s="114" t="s">
        <v>10570</v>
      </c>
      <c r="I1996" s="115" t="s">
        <v>3459</v>
      </c>
      <c r="J1996" s="114" t="s">
        <v>10571</v>
      </c>
      <c r="K1996" s="150" t="s">
        <v>10572</v>
      </c>
    </row>
    <row r="1997" spans="1:11">
      <c r="A1997" s="158"/>
      <c r="B1997" s="122"/>
      <c r="C1997" s="39" t="s">
        <v>48</v>
      </c>
      <c r="D1997" s="106" t="s">
        <v>223</v>
      </c>
      <c r="E1997" s="114" t="s">
        <v>10573</v>
      </c>
      <c r="F1997" s="114" t="s">
        <v>2639</v>
      </c>
      <c r="G1997" s="108" t="s">
        <v>10574</v>
      </c>
      <c r="H1997" s="114" t="s">
        <v>10575</v>
      </c>
      <c r="I1997" s="115" t="s">
        <v>3459</v>
      </c>
      <c r="J1997" s="114" t="s">
        <v>10576</v>
      </c>
      <c r="K1997" s="150" t="s">
        <v>10577</v>
      </c>
    </row>
    <row r="1998" spans="1:11">
      <c r="A1998" s="158"/>
      <c r="B1998" s="122"/>
      <c r="C1998" s="39"/>
      <c r="D1998" s="106" t="s">
        <v>224</v>
      </c>
      <c r="E1998" s="114" t="s">
        <v>10578</v>
      </c>
      <c r="F1998" s="114" t="s">
        <v>2639</v>
      </c>
      <c r="G1998" s="108" t="s">
        <v>10579</v>
      </c>
      <c r="H1998" s="114" t="s">
        <v>10580</v>
      </c>
      <c r="I1998" s="115" t="s">
        <v>3459</v>
      </c>
      <c r="J1998" s="114" t="s">
        <v>10581</v>
      </c>
      <c r="K1998" s="150" t="s">
        <v>10582</v>
      </c>
    </row>
    <row r="1999" spans="1:11">
      <c r="A1999" s="158"/>
      <c r="B1999" s="122"/>
      <c r="C1999" s="39"/>
      <c r="D1999" s="106" t="s">
        <v>225</v>
      </c>
      <c r="E1999" s="114" t="s">
        <v>10583</v>
      </c>
      <c r="F1999" s="114" t="s">
        <v>2639</v>
      </c>
      <c r="G1999" s="108" t="s">
        <v>10584</v>
      </c>
      <c r="H1999" s="114" t="s">
        <v>10585</v>
      </c>
      <c r="I1999" s="115" t="s">
        <v>3459</v>
      </c>
      <c r="J1999" s="114" t="s">
        <v>10586</v>
      </c>
      <c r="K1999" s="150" t="s">
        <v>10587</v>
      </c>
    </row>
    <row r="2000" spans="1:11">
      <c r="A2000" s="158"/>
      <c r="B2000" s="122"/>
      <c r="C2000" s="39"/>
      <c r="D2000" s="106" t="s">
        <v>226</v>
      </c>
      <c r="E2000" s="114" t="s">
        <v>10588</v>
      </c>
      <c r="F2000" s="114" t="s">
        <v>2639</v>
      </c>
      <c r="G2000" s="108" t="s">
        <v>10589</v>
      </c>
      <c r="H2000" s="114" t="s">
        <v>10590</v>
      </c>
      <c r="I2000" s="115" t="s">
        <v>3459</v>
      </c>
      <c r="J2000" s="114" t="s">
        <v>10591</v>
      </c>
      <c r="K2000" s="150" t="s">
        <v>10592</v>
      </c>
    </row>
    <row r="2001" spans="1:11">
      <c r="A2001" s="158"/>
      <c r="B2001" s="122"/>
      <c r="C2001" s="39"/>
      <c r="D2001" s="106" t="s">
        <v>227</v>
      </c>
      <c r="E2001" s="114" t="s">
        <v>10593</v>
      </c>
      <c r="F2001" s="114" t="s">
        <v>2639</v>
      </c>
      <c r="G2001" s="108" t="s">
        <v>10594</v>
      </c>
      <c r="H2001" s="114" t="s">
        <v>10595</v>
      </c>
      <c r="I2001" s="115" t="s">
        <v>3453</v>
      </c>
      <c r="J2001" s="114" t="s">
        <v>10596</v>
      </c>
      <c r="K2001" s="150" t="s">
        <v>10597</v>
      </c>
    </row>
    <row r="2002" spans="1:11">
      <c r="A2002" s="158"/>
      <c r="B2002" s="122"/>
      <c r="C2002" s="39" t="s">
        <v>49</v>
      </c>
      <c r="D2002" s="106" t="s">
        <v>228</v>
      </c>
      <c r="E2002" s="114" t="s">
        <v>10598</v>
      </c>
      <c r="F2002" s="114" t="s">
        <v>2639</v>
      </c>
      <c r="G2002" s="108" t="s">
        <v>10599</v>
      </c>
      <c r="H2002" s="114" t="s">
        <v>10600</v>
      </c>
      <c r="I2002" s="115" t="s">
        <v>3459</v>
      </c>
      <c r="J2002" s="114" t="s">
        <v>10601</v>
      </c>
      <c r="K2002" s="150" t="s">
        <v>10602</v>
      </c>
    </row>
    <row r="2003" spans="1:11">
      <c r="A2003" s="158"/>
      <c r="B2003" s="122"/>
      <c r="C2003" s="39"/>
      <c r="D2003" s="106" t="s">
        <v>229</v>
      </c>
      <c r="E2003" s="114" t="s">
        <v>10603</v>
      </c>
      <c r="F2003" s="114" t="s">
        <v>2639</v>
      </c>
      <c r="G2003" s="108" t="s">
        <v>10604</v>
      </c>
      <c r="H2003" s="114" t="s">
        <v>10605</v>
      </c>
      <c r="I2003" s="115" t="s">
        <v>3459</v>
      </c>
      <c r="J2003" s="114" t="s">
        <v>10606</v>
      </c>
      <c r="K2003" s="150" t="s">
        <v>10607</v>
      </c>
    </row>
    <row r="2004" spans="1:11">
      <c r="A2004" s="158"/>
      <c r="B2004" s="122"/>
      <c r="C2004" s="39"/>
      <c r="D2004" s="106" t="s">
        <v>230</v>
      </c>
      <c r="E2004" s="114" t="s">
        <v>10608</v>
      </c>
      <c r="F2004" s="114" t="s">
        <v>2639</v>
      </c>
      <c r="G2004" s="108" t="s">
        <v>10609</v>
      </c>
      <c r="H2004" s="114" t="s">
        <v>10610</v>
      </c>
      <c r="I2004" s="115" t="s">
        <v>3453</v>
      </c>
      <c r="J2004" s="114" t="s">
        <v>10611</v>
      </c>
      <c r="K2004" s="150" t="s">
        <v>10612</v>
      </c>
    </row>
    <row r="2005" spans="1:11">
      <c r="A2005" s="158"/>
      <c r="B2005" s="122"/>
      <c r="C2005" s="39"/>
      <c r="D2005" s="106" t="s">
        <v>231</v>
      </c>
      <c r="E2005" s="114" t="s">
        <v>10613</v>
      </c>
      <c r="F2005" s="114" t="s">
        <v>2639</v>
      </c>
      <c r="G2005" s="108" t="s">
        <v>5917</v>
      </c>
      <c r="H2005" s="114" t="s">
        <v>10614</v>
      </c>
      <c r="I2005" s="115" t="s">
        <v>3459</v>
      </c>
      <c r="J2005" s="114" t="s">
        <v>10615</v>
      </c>
      <c r="K2005" s="150" t="s">
        <v>10616</v>
      </c>
    </row>
    <row r="2006" spans="1:11">
      <c r="A2006" s="158"/>
      <c r="B2006" s="122"/>
      <c r="C2006" s="39"/>
      <c r="D2006" s="106" t="s">
        <v>232</v>
      </c>
      <c r="E2006" s="114" t="s">
        <v>10617</v>
      </c>
      <c r="F2006" s="114" t="s">
        <v>2639</v>
      </c>
      <c r="G2006" s="108" t="s">
        <v>10609</v>
      </c>
      <c r="H2006" s="114" t="s">
        <v>10618</v>
      </c>
      <c r="I2006" s="115" t="s">
        <v>3459</v>
      </c>
      <c r="J2006" s="114" t="s">
        <v>10619</v>
      </c>
      <c r="K2006" s="150" t="s">
        <v>10620</v>
      </c>
    </row>
    <row r="2007" spans="1:11">
      <c r="A2007" s="158"/>
      <c r="B2007" s="122"/>
      <c r="C2007" s="39" t="s">
        <v>82</v>
      </c>
      <c r="D2007" s="106" t="s">
        <v>233</v>
      </c>
      <c r="E2007" s="114" t="s">
        <v>10621</v>
      </c>
      <c r="F2007" s="114" t="s">
        <v>2639</v>
      </c>
      <c r="G2007" s="108" t="s">
        <v>10510</v>
      </c>
      <c r="H2007" s="114" t="s">
        <v>10622</v>
      </c>
      <c r="I2007" s="115" t="s">
        <v>3459</v>
      </c>
      <c r="J2007" s="114" t="s">
        <v>10623</v>
      </c>
      <c r="K2007" s="150" t="s">
        <v>10624</v>
      </c>
    </row>
    <row r="2008" spans="1:11">
      <c r="A2008" s="158"/>
      <c r="B2008" s="122"/>
      <c r="C2008" s="39"/>
      <c r="D2008" s="106" t="s">
        <v>234</v>
      </c>
      <c r="E2008" s="114" t="s">
        <v>10625</v>
      </c>
      <c r="F2008" s="114" t="s">
        <v>2639</v>
      </c>
      <c r="G2008" s="108" t="s">
        <v>10626</v>
      </c>
      <c r="H2008" s="114" t="s">
        <v>10627</v>
      </c>
      <c r="I2008" s="115" t="s">
        <v>3459</v>
      </c>
      <c r="J2008" s="114" t="s">
        <v>10628</v>
      </c>
      <c r="K2008" s="150" t="s">
        <v>10629</v>
      </c>
    </row>
    <row r="2009" spans="1:11">
      <c r="A2009" s="158"/>
      <c r="B2009" s="122"/>
      <c r="C2009" s="39"/>
      <c r="D2009" s="106" t="s">
        <v>191</v>
      </c>
      <c r="E2009" s="114" t="s">
        <v>10418</v>
      </c>
      <c r="F2009" s="114" t="s">
        <v>2639</v>
      </c>
      <c r="G2009" s="108" t="s">
        <v>10630</v>
      </c>
      <c r="H2009" s="114" t="s">
        <v>10631</v>
      </c>
      <c r="I2009" s="115" t="s">
        <v>3459</v>
      </c>
      <c r="J2009" s="114" t="s">
        <v>10632</v>
      </c>
      <c r="K2009" s="150" t="s">
        <v>10633</v>
      </c>
    </row>
    <row r="2010" spans="1:11">
      <c r="A2010" s="158"/>
      <c r="B2010" s="122"/>
      <c r="C2010" s="39"/>
      <c r="D2010" s="106" t="s">
        <v>235</v>
      </c>
      <c r="E2010" s="114" t="s">
        <v>10634</v>
      </c>
      <c r="F2010" s="114" t="s">
        <v>2639</v>
      </c>
      <c r="G2010" s="108" t="s">
        <v>10599</v>
      </c>
      <c r="H2010" s="114" t="s">
        <v>10635</v>
      </c>
      <c r="I2010" s="115" t="s">
        <v>3459</v>
      </c>
      <c r="J2010" s="114" t="s">
        <v>10636</v>
      </c>
      <c r="K2010" s="150" t="s">
        <v>10637</v>
      </c>
    </row>
    <row r="2011" spans="1:11">
      <c r="A2011" s="158"/>
      <c r="B2011" s="122"/>
      <c r="C2011" s="39"/>
      <c r="D2011" s="106" t="s">
        <v>236</v>
      </c>
      <c r="E2011" s="114" t="s">
        <v>10638</v>
      </c>
      <c r="F2011" s="114" t="s">
        <v>2639</v>
      </c>
      <c r="G2011" s="108" t="s">
        <v>10639</v>
      </c>
      <c r="H2011" s="114" t="s">
        <v>10640</v>
      </c>
      <c r="I2011" s="115" t="s">
        <v>3459</v>
      </c>
      <c r="J2011" s="114" t="s">
        <v>10641</v>
      </c>
      <c r="K2011" s="150" t="s">
        <v>10642</v>
      </c>
    </row>
    <row r="2012" spans="1:11">
      <c r="A2012" s="158"/>
      <c r="B2012" s="122"/>
      <c r="C2012" s="39" t="s">
        <v>83</v>
      </c>
      <c r="D2012" s="106" t="s">
        <v>237</v>
      </c>
      <c r="E2012" s="114" t="s">
        <v>10643</v>
      </c>
      <c r="F2012" s="114" t="s">
        <v>2639</v>
      </c>
      <c r="G2012" s="108" t="s">
        <v>10644</v>
      </c>
      <c r="H2012" s="114" t="s">
        <v>10645</v>
      </c>
      <c r="I2012" s="115" t="s">
        <v>3459</v>
      </c>
      <c r="J2012" s="114" t="s">
        <v>10646</v>
      </c>
      <c r="K2012" s="150" t="s">
        <v>10647</v>
      </c>
    </row>
    <row r="2013" spans="1:11">
      <c r="A2013" s="158"/>
      <c r="B2013" s="122"/>
      <c r="C2013" s="39"/>
      <c r="D2013" s="106" t="s">
        <v>238</v>
      </c>
      <c r="E2013" s="114" t="s">
        <v>10648</v>
      </c>
      <c r="F2013" s="114" t="s">
        <v>2639</v>
      </c>
      <c r="G2013" s="108" t="s">
        <v>10649</v>
      </c>
      <c r="H2013" s="114" t="s">
        <v>10650</v>
      </c>
      <c r="I2013" s="115" t="s">
        <v>3459</v>
      </c>
      <c r="J2013" s="114" t="s">
        <v>10651</v>
      </c>
      <c r="K2013" s="150" t="s">
        <v>10652</v>
      </c>
    </row>
    <row r="2014" spans="1:11">
      <c r="A2014" s="158"/>
      <c r="B2014" s="122"/>
      <c r="C2014" s="39"/>
      <c r="D2014" s="106" t="s">
        <v>239</v>
      </c>
      <c r="E2014" s="114" t="s">
        <v>11648</v>
      </c>
      <c r="F2014" s="114" t="s">
        <v>2639</v>
      </c>
      <c r="G2014" s="108" t="s">
        <v>11649</v>
      </c>
      <c r="H2014" s="114" t="s">
        <v>11650</v>
      </c>
      <c r="I2014" s="115" t="s">
        <v>3459</v>
      </c>
      <c r="J2014" s="114" t="s">
        <v>11651</v>
      </c>
      <c r="K2014" s="150" t="s">
        <v>11652</v>
      </c>
    </row>
    <row r="2015" spans="1:11">
      <c r="A2015" s="158"/>
      <c r="B2015" s="122"/>
      <c r="C2015" s="39"/>
      <c r="D2015" s="106" t="s">
        <v>240</v>
      </c>
      <c r="E2015" s="114" t="s">
        <v>10653</v>
      </c>
      <c r="F2015" s="114" t="s">
        <v>2639</v>
      </c>
      <c r="G2015" s="108" t="s">
        <v>10639</v>
      </c>
      <c r="H2015" s="114" t="s">
        <v>10654</v>
      </c>
      <c r="I2015" s="115" t="s">
        <v>3459</v>
      </c>
      <c r="J2015" s="114" t="s">
        <v>10655</v>
      </c>
      <c r="K2015" s="150" t="s">
        <v>10656</v>
      </c>
    </row>
    <row r="2016" spans="1:11">
      <c r="A2016" s="158"/>
      <c r="B2016" s="122"/>
      <c r="C2016" s="39"/>
      <c r="D2016" s="106" t="s">
        <v>241</v>
      </c>
      <c r="E2016" s="114" t="s">
        <v>10657</v>
      </c>
      <c r="F2016" s="114" t="s">
        <v>2639</v>
      </c>
      <c r="G2016" s="108" t="s">
        <v>10658</v>
      </c>
      <c r="H2016" s="114" t="s">
        <v>10659</v>
      </c>
      <c r="I2016" s="115" t="s">
        <v>3459</v>
      </c>
      <c r="J2016" s="114" t="s">
        <v>10660</v>
      </c>
      <c r="K2016" s="150" t="s">
        <v>10661</v>
      </c>
    </row>
    <row r="2017" spans="1:11">
      <c r="A2017" s="158"/>
      <c r="B2017" s="122" t="s">
        <v>51</v>
      </c>
      <c r="C2017" s="39" t="s">
        <v>52</v>
      </c>
      <c r="D2017" s="106" t="s">
        <v>268</v>
      </c>
      <c r="E2017" s="114" t="s">
        <v>10662</v>
      </c>
      <c r="F2017" s="114" t="s">
        <v>2639</v>
      </c>
      <c r="G2017" s="108" t="s">
        <v>10428</v>
      </c>
      <c r="H2017" s="114" t="s">
        <v>10663</v>
      </c>
      <c r="I2017" s="115" t="s">
        <v>3453</v>
      </c>
      <c r="J2017" s="114" t="s">
        <v>10664</v>
      </c>
      <c r="K2017" s="150" t="s">
        <v>10665</v>
      </c>
    </row>
    <row r="2018" spans="1:11">
      <c r="A2018" s="158"/>
      <c r="B2018" s="122"/>
      <c r="C2018" s="39"/>
      <c r="D2018" s="106" t="s">
        <v>269</v>
      </c>
      <c r="E2018" s="114" t="s">
        <v>10666</v>
      </c>
      <c r="F2018" s="114" t="s">
        <v>2639</v>
      </c>
      <c r="G2018" s="108" t="s">
        <v>10667</v>
      </c>
      <c r="H2018" s="114" t="s">
        <v>10668</v>
      </c>
      <c r="I2018" s="115" t="s">
        <v>3459</v>
      </c>
      <c r="J2018" s="114" t="s">
        <v>10669</v>
      </c>
      <c r="K2018" s="150" t="s">
        <v>10670</v>
      </c>
    </row>
    <row r="2019" spans="1:11">
      <c r="A2019" s="158"/>
      <c r="B2019" s="122"/>
      <c r="C2019" s="39"/>
      <c r="D2019" s="106" t="s">
        <v>270</v>
      </c>
      <c r="E2019" s="114" t="s">
        <v>10671</v>
      </c>
      <c r="F2019" s="114" t="s">
        <v>2639</v>
      </c>
      <c r="G2019" s="108" t="s">
        <v>10672</v>
      </c>
      <c r="H2019" s="114" t="s">
        <v>10673</v>
      </c>
      <c r="I2019" s="115" t="s">
        <v>3459</v>
      </c>
      <c r="J2019" s="114" t="s">
        <v>10674</v>
      </c>
      <c r="K2019" s="150" t="s">
        <v>10675</v>
      </c>
    </row>
    <row r="2020" spans="1:11">
      <c r="A2020" s="158"/>
      <c r="B2020" s="122"/>
      <c r="C2020" s="39"/>
      <c r="D2020" s="106" t="s">
        <v>271</v>
      </c>
      <c r="E2020" s="114" t="s">
        <v>10676</v>
      </c>
      <c r="F2020" s="114" t="s">
        <v>2639</v>
      </c>
      <c r="G2020" s="108" t="s">
        <v>10677</v>
      </c>
      <c r="H2020" s="114" t="s">
        <v>10678</v>
      </c>
      <c r="I2020" s="115" t="s">
        <v>3453</v>
      </c>
      <c r="J2020" s="114" t="s">
        <v>10679</v>
      </c>
      <c r="K2020" s="150" t="s">
        <v>10680</v>
      </c>
    </row>
    <row r="2021" spans="1:11">
      <c r="A2021" s="158"/>
      <c r="B2021" s="122"/>
      <c r="C2021" s="39"/>
      <c r="D2021" s="106" t="s">
        <v>272</v>
      </c>
      <c r="E2021" s="114" t="s">
        <v>10681</v>
      </c>
      <c r="F2021" s="114" t="s">
        <v>2639</v>
      </c>
      <c r="G2021" s="108" t="s">
        <v>10682</v>
      </c>
      <c r="H2021" s="114" t="s">
        <v>10683</v>
      </c>
      <c r="I2021" s="115" t="s">
        <v>3459</v>
      </c>
      <c r="J2021" s="114" t="s">
        <v>10684</v>
      </c>
      <c r="K2021" s="150" t="s">
        <v>10685</v>
      </c>
    </row>
    <row r="2022" spans="1:11">
      <c r="A2022" s="158"/>
      <c r="B2022" s="122"/>
      <c r="C2022" s="39" t="s">
        <v>53</v>
      </c>
      <c r="D2022" s="106" t="s">
        <v>273</v>
      </c>
      <c r="E2022" s="114" t="s">
        <v>10686</v>
      </c>
      <c r="F2022" s="114" t="s">
        <v>2639</v>
      </c>
      <c r="G2022" s="108" t="s">
        <v>10687</v>
      </c>
      <c r="H2022" s="114" t="s">
        <v>10688</v>
      </c>
      <c r="I2022" s="115" t="s">
        <v>3459</v>
      </c>
      <c r="J2022" s="114" t="s">
        <v>10689</v>
      </c>
      <c r="K2022" s="150" t="s">
        <v>10690</v>
      </c>
    </row>
    <row r="2023" spans="1:11">
      <c r="A2023" s="158"/>
      <c r="B2023" s="122"/>
      <c r="C2023" s="39"/>
      <c r="D2023" s="106" t="s">
        <v>274</v>
      </c>
      <c r="E2023" s="114" t="s">
        <v>10691</v>
      </c>
      <c r="F2023" s="114" t="s">
        <v>2639</v>
      </c>
      <c r="G2023" s="108" t="s">
        <v>10692</v>
      </c>
      <c r="H2023" s="114" t="s">
        <v>10693</v>
      </c>
      <c r="I2023" s="115" t="s">
        <v>3459</v>
      </c>
      <c r="J2023" s="114" t="s">
        <v>10694</v>
      </c>
      <c r="K2023" s="150" t="s">
        <v>10695</v>
      </c>
    </row>
    <row r="2024" spans="1:11">
      <c r="A2024" s="158"/>
      <c r="B2024" s="122"/>
      <c r="C2024" s="39"/>
      <c r="D2024" s="106" t="s">
        <v>275</v>
      </c>
      <c r="E2024" s="114" t="s">
        <v>10696</v>
      </c>
      <c r="F2024" s="114" t="s">
        <v>2639</v>
      </c>
      <c r="G2024" s="108" t="s">
        <v>10697</v>
      </c>
      <c r="H2024" s="114" t="s">
        <v>10698</v>
      </c>
      <c r="I2024" s="115" t="s">
        <v>3459</v>
      </c>
      <c r="J2024" s="114" t="s">
        <v>10699</v>
      </c>
      <c r="K2024" s="150" t="s">
        <v>10700</v>
      </c>
    </row>
    <row r="2025" spans="1:11">
      <c r="A2025" s="158"/>
      <c r="B2025" s="122"/>
      <c r="C2025" s="39"/>
      <c r="D2025" s="106" t="s">
        <v>276</v>
      </c>
      <c r="E2025" s="114" t="s">
        <v>10701</v>
      </c>
      <c r="F2025" s="114" t="s">
        <v>2639</v>
      </c>
      <c r="G2025" s="108" t="s">
        <v>10702</v>
      </c>
      <c r="H2025" s="114" t="s">
        <v>10590</v>
      </c>
      <c r="I2025" s="115" t="s">
        <v>3459</v>
      </c>
      <c r="J2025" s="114" t="s">
        <v>10703</v>
      </c>
      <c r="K2025" s="150" t="s">
        <v>10704</v>
      </c>
    </row>
    <row r="2026" spans="1:11">
      <c r="A2026" s="158"/>
      <c r="B2026" s="122"/>
      <c r="C2026" s="39"/>
      <c r="D2026" s="106" t="s">
        <v>277</v>
      </c>
      <c r="E2026" s="114" t="s">
        <v>10705</v>
      </c>
      <c r="F2026" s="114" t="s">
        <v>2639</v>
      </c>
      <c r="G2026" s="108" t="s">
        <v>10706</v>
      </c>
      <c r="H2026" s="114" t="s">
        <v>10707</v>
      </c>
      <c r="I2026" s="115" t="s">
        <v>3459</v>
      </c>
      <c r="J2026" s="114" t="s">
        <v>10708</v>
      </c>
      <c r="K2026" s="150" t="s">
        <v>10709</v>
      </c>
    </row>
    <row r="2027" spans="1:11">
      <c r="A2027" s="158"/>
      <c r="B2027" s="122"/>
      <c r="C2027" s="39" t="s">
        <v>53</v>
      </c>
      <c r="D2027" s="106" t="s">
        <v>10710</v>
      </c>
      <c r="E2027" s="114" t="s">
        <v>10711</v>
      </c>
      <c r="F2027" s="114" t="s">
        <v>2639</v>
      </c>
      <c r="G2027" s="108" t="s">
        <v>10712</v>
      </c>
      <c r="H2027" s="114" t="s">
        <v>10713</v>
      </c>
      <c r="I2027" s="115" t="s">
        <v>3453</v>
      </c>
      <c r="J2027" s="114" t="s">
        <v>10714</v>
      </c>
      <c r="K2027" s="150" t="s">
        <v>10715</v>
      </c>
    </row>
    <row r="2028" spans="1:11">
      <c r="A2028" s="158"/>
      <c r="B2028" s="122"/>
      <c r="C2028" s="39"/>
      <c r="D2028" s="106" t="s">
        <v>278</v>
      </c>
      <c r="E2028" s="114" t="s">
        <v>10716</v>
      </c>
      <c r="F2028" s="114" t="s">
        <v>2639</v>
      </c>
      <c r="G2028" s="108" t="s">
        <v>10428</v>
      </c>
      <c r="H2028" s="114" t="s">
        <v>10717</v>
      </c>
      <c r="I2028" s="115" t="s">
        <v>3459</v>
      </c>
      <c r="J2028" s="114" t="s">
        <v>10718</v>
      </c>
      <c r="K2028" s="150" t="s">
        <v>10719</v>
      </c>
    </row>
    <row r="2029" spans="1:11">
      <c r="A2029" s="158"/>
      <c r="B2029" s="122"/>
      <c r="C2029" s="39"/>
      <c r="D2029" s="106" t="s">
        <v>279</v>
      </c>
      <c r="E2029" s="114" t="s">
        <v>10720</v>
      </c>
      <c r="F2029" s="114" t="s">
        <v>2639</v>
      </c>
      <c r="G2029" s="108" t="s">
        <v>10721</v>
      </c>
      <c r="H2029" s="114" t="s">
        <v>10722</v>
      </c>
      <c r="I2029" s="115" t="s">
        <v>3459</v>
      </c>
      <c r="J2029" s="114" t="s">
        <v>10723</v>
      </c>
      <c r="K2029" s="150" t="s">
        <v>10724</v>
      </c>
    </row>
    <row r="2030" spans="1:11">
      <c r="A2030" s="158"/>
      <c r="B2030" s="122"/>
      <c r="C2030" s="39"/>
      <c r="D2030" s="106" t="s">
        <v>280</v>
      </c>
      <c r="E2030" s="114" t="s">
        <v>10725</v>
      </c>
      <c r="F2030" s="114" t="s">
        <v>2639</v>
      </c>
      <c r="G2030" s="108" t="s">
        <v>10726</v>
      </c>
      <c r="H2030" s="114" t="s">
        <v>10727</v>
      </c>
      <c r="I2030" s="115" t="s">
        <v>3453</v>
      </c>
      <c r="J2030" s="114" t="s">
        <v>10728</v>
      </c>
      <c r="K2030" s="150" t="s">
        <v>10729</v>
      </c>
    </row>
    <row r="2031" spans="1:11">
      <c r="A2031" s="158"/>
      <c r="B2031" s="122"/>
      <c r="C2031" s="39"/>
      <c r="D2031" s="106" t="s">
        <v>281</v>
      </c>
      <c r="E2031" s="114" t="s">
        <v>10730</v>
      </c>
      <c r="F2031" s="114" t="s">
        <v>2639</v>
      </c>
      <c r="G2031" s="108" t="s">
        <v>10731</v>
      </c>
      <c r="H2031" s="114" t="s">
        <v>10668</v>
      </c>
      <c r="I2031" s="115" t="s">
        <v>3453</v>
      </c>
      <c r="J2031" s="114" t="s">
        <v>10732</v>
      </c>
      <c r="K2031" s="150" t="s">
        <v>10733</v>
      </c>
    </row>
    <row r="2032" spans="1:11">
      <c r="A2032" s="158"/>
      <c r="B2032" s="122"/>
      <c r="C2032" s="39" t="s">
        <v>54</v>
      </c>
      <c r="D2032" s="106" t="s">
        <v>10734</v>
      </c>
      <c r="E2032" s="114" t="s">
        <v>10735</v>
      </c>
      <c r="F2032" s="114" t="s">
        <v>2639</v>
      </c>
      <c r="G2032" s="108" t="s">
        <v>10736</v>
      </c>
      <c r="H2032" s="114" t="s">
        <v>10737</v>
      </c>
      <c r="I2032" s="115" t="s">
        <v>3459</v>
      </c>
      <c r="J2032" s="114" t="s">
        <v>10738</v>
      </c>
      <c r="K2032" s="150" t="s">
        <v>10739</v>
      </c>
    </row>
    <row r="2033" spans="1:11">
      <c r="A2033" s="158"/>
      <c r="B2033" s="122"/>
      <c r="C2033" s="39"/>
      <c r="D2033" s="106" t="s">
        <v>10740</v>
      </c>
      <c r="E2033" s="114" t="s">
        <v>10741</v>
      </c>
      <c r="F2033" s="114" t="s">
        <v>2639</v>
      </c>
      <c r="G2033" s="108" t="s">
        <v>10721</v>
      </c>
      <c r="H2033" s="114" t="s">
        <v>10742</v>
      </c>
      <c r="I2033" s="115" t="s">
        <v>3459</v>
      </c>
      <c r="J2033" s="114" t="s">
        <v>10743</v>
      </c>
      <c r="K2033" s="150" t="s">
        <v>10744</v>
      </c>
    </row>
    <row r="2034" spans="1:11">
      <c r="A2034" s="158"/>
      <c r="B2034" s="122"/>
      <c r="C2034" s="39"/>
      <c r="D2034" s="106" t="s">
        <v>344</v>
      </c>
      <c r="E2034" s="114" t="s">
        <v>10745</v>
      </c>
      <c r="F2034" s="114" t="s">
        <v>2639</v>
      </c>
      <c r="G2034" s="108" t="s">
        <v>10746</v>
      </c>
      <c r="H2034" s="114" t="s">
        <v>10747</v>
      </c>
      <c r="I2034" s="115" t="s">
        <v>3459</v>
      </c>
      <c r="J2034" s="114" t="s">
        <v>10748</v>
      </c>
      <c r="K2034" s="150" t="s">
        <v>10749</v>
      </c>
    </row>
    <row r="2035" spans="1:11">
      <c r="A2035" s="158"/>
      <c r="B2035" s="122"/>
      <c r="C2035" s="39"/>
      <c r="D2035" s="106" t="s">
        <v>345</v>
      </c>
      <c r="E2035" s="114" t="s">
        <v>10750</v>
      </c>
      <c r="F2035" s="114" t="s">
        <v>2639</v>
      </c>
      <c r="G2035" s="108" t="s">
        <v>10751</v>
      </c>
      <c r="H2035" s="114" t="s">
        <v>10752</v>
      </c>
      <c r="I2035" s="115" t="s">
        <v>3459</v>
      </c>
      <c r="J2035" s="114" t="s">
        <v>10753</v>
      </c>
      <c r="K2035" s="150" t="s">
        <v>10754</v>
      </c>
    </row>
    <row r="2036" spans="1:11">
      <c r="A2036" s="158"/>
      <c r="B2036" s="122"/>
      <c r="C2036" s="39"/>
      <c r="D2036" s="106" t="s">
        <v>346</v>
      </c>
      <c r="E2036" s="114" t="s">
        <v>10755</v>
      </c>
      <c r="F2036" s="114" t="s">
        <v>2639</v>
      </c>
      <c r="G2036" s="108" t="s">
        <v>10756</v>
      </c>
      <c r="H2036" s="114" t="s">
        <v>10757</v>
      </c>
      <c r="I2036" s="115" t="s">
        <v>3459</v>
      </c>
      <c r="J2036" s="114" t="s">
        <v>10758</v>
      </c>
      <c r="K2036" s="150" t="s">
        <v>10759</v>
      </c>
    </row>
    <row r="2037" spans="1:11">
      <c r="A2037" s="158"/>
      <c r="B2037" s="122"/>
      <c r="C2037" s="39" t="s">
        <v>55</v>
      </c>
      <c r="D2037" s="106" t="s">
        <v>282</v>
      </c>
      <c r="E2037" s="114" t="s">
        <v>10760</v>
      </c>
      <c r="F2037" s="114" t="s">
        <v>2639</v>
      </c>
      <c r="G2037" s="108" t="s">
        <v>10761</v>
      </c>
      <c r="H2037" s="114" t="s">
        <v>10762</v>
      </c>
      <c r="I2037" s="115" t="s">
        <v>3453</v>
      </c>
      <c r="J2037" s="114" t="s">
        <v>10763</v>
      </c>
      <c r="K2037" s="150" t="s">
        <v>10764</v>
      </c>
    </row>
    <row r="2038" spans="1:11">
      <c r="A2038" s="158"/>
      <c r="B2038" s="122"/>
      <c r="C2038" s="39"/>
      <c r="D2038" s="106" t="s">
        <v>255</v>
      </c>
      <c r="E2038" s="114" t="s">
        <v>10765</v>
      </c>
      <c r="F2038" s="114" t="s">
        <v>2639</v>
      </c>
      <c r="G2038" s="108" t="s">
        <v>10766</v>
      </c>
      <c r="H2038" s="114" t="s">
        <v>10767</v>
      </c>
      <c r="I2038" s="115" t="s">
        <v>3459</v>
      </c>
      <c r="J2038" s="114" t="s">
        <v>10768</v>
      </c>
      <c r="K2038" s="150" t="s">
        <v>10769</v>
      </c>
    </row>
    <row r="2039" spans="1:11">
      <c r="A2039" s="158"/>
      <c r="B2039" s="122"/>
      <c r="C2039" s="39"/>
      <c r="D2039" s="106" t="s">
        <v>283</v>
      </c>
      <c r="E2039" s="114" t="s">
        <v>10770</v>
      </c>
      <c r="F2039" s="114" t="s">
        <v>2639</v>
      </c>
      <c r="G2039" s="108" t="s">
        <v>10771</v>
      </c>
      <c r="H2039" s="114" t="s">
        <v>10772</v>
      </c>
      <c r="I2039" s="115" t="s">
        <v>3453</v>
      </c>
      <c r="J2039" s="114" t="s">
        <v>10773</v>
      </c>
      <c r="K2039" s="150" t="s">
        <v>10774</v>
      </c>
    </row>
    <row r="2040" spans="1:11">
      <c r="A2040" s="158"/>
      <c r="B2040" s="122"/>
      <c r="C2040" s="39"/>
      <c r="D2040" s="106" t="s">
        <v>284</v>
      </c>
      <c r="E2040" s="114" t="s">
        <v>10775</v>
      </c>
      <c r="F2040" s="114" t="s">
        <v>2639</v>
      </c>
      <c r="G2040" s="108" t="s">
        <v>10776</v>
      </c>
      <c r="H2040" s="114" t="s">
        <v>10777</v>
      </c>
      <c r="I2040" s="115" t="s">
        <v>3453</v>
      </c>
      <c r="J2040" s="114" t="s">
        <v>10778</v>
      </c>
      <c r="K2040" s="150" t="s">
        <v>10779</v>
      </c>
    </row>
    <row r="2041" spans="1:11">
      <c r="A2041" s="158"/>
      <c r="B2041" s="122"/>
      <c r="C2041" s="39"/>
      <c r="D2041" s="106" t="s">
        <v>285</v>
      </c>
      <c r="E2041" s="114" t="s">
        <v>10780</v>
      </c>
      <c r="F2041" s="114" t="s">
        <v>2639</v>
      </c>
      <c r="G2041" s="108" t="s">
        <v>10781</v>
      </c>
      <c r="H2041" s="114" t="s">
        <v>10782</v>
      </c>
      <c r="I2041" s="115" t="s">
        <v>3459</v>
      </c>
      <c r="J2041" s="114" t="s">
        <v>10783</v>
      </c>
      <c r="K2041" s="150" t="s">
        <v>10784</v>
      </c>
    </row>
    <row r="2042" spans="1:11">
      <c r="A2042" s="158"/>
      <c r="B2042" s="160" t="s">
        <v>56</v>
      </c>
      <c r="C2042" s="39" t="s">
        <v>57</v>
      </c>
      <c r="D2042" s="106" t="s">
        <v>286</v>
      </c>
      <c r="E2042" s="114" t="s">
        <v>10785</v>
      </c>
      <c r="F2042" s="114" t="s">
        <v>2639</v>
      </c>
      <c r="G2042" s="108" t="s">
        <v>10786</v>
      </c>
      <c r="H2042" s="114" t="s">
        <v>10787</v>
      </c>
      <c r="I2042" s="115" t="s">
        <v>3453</v>
      </c>
      <c r="J2042" s="114" t="s">
        <v>10788</v>
      </c>
      <c r="K2042" s="150" t="s">
        <v>10789</v>
      </c>
    </row>
    <row r="2043" spans="1:11">
      <c r="A2043" s="158"/>
      <c r="B2043" s="160"/>
      <c r="C2043" s="39"/>
      <c r="D2043" s="106" t="s">
        <v>10790</v>
      </c>
      <c r="E2043" s="114" t="s">
        <v>10791</v>
      </c>
      <c r="F2043" s="114" t="s">
        <v>2639</v>
      </c>
      <c r="G2043" s="108" t="s">
        <v>10792</v>
      </c>
      <c r="H2043" s="114" t="s">
        <v>10793</v>
      </c>
      <c r="I2043" s="115" t="s">
        <v>3459</v>
      </c>
      <c r="J2043" s="114" t="s">
        <v>10794</v>
      </c>
      <c r="K2043" s="150" t="s">
        <v>10795</v>
      </c>
    </row>
    <row r="2044" spans="1:11">
      <c r="A2044" s="158"/>
      <c r="B2044" s="160"/>
      <c r="C2044" s="39"/>
      <c r="D2044" s="106" t="s">
        <v>287</v>
      </c>
      <c r="E2044" s="114" t="s">
        <v>10796</v>
      </c>
      <c r="F2044" s="114" t="s">
        <v>2639</v>
      </c>
      <c r="G2044" s="108" t="s">
        <v>10797</v>
      </c>
      <c r="H2044" s="114" t="s">
        <v>10798</v>
      </c>
      <c r="I2044" s="115" t="s">
        <v>3459</v>
      </c>
      <c r="J2044" s="114" t="s">
        <v>10799</v>
      </c>
      <c r="K2044" s="150" t="s">
        <v>10800</v>
      </c>
    </row>
    <row r="2045" spans="1:11">
      <c r="A2045" s="158"/>
      <c r="B2045" s="160"/>
      <c r="C2045" s="39"/>
      <c r="D2045" s="106" t="s">
        <v>288</v>
      </c>
      <c r="E2045" s="114" t="s">
        <v>10801</v>
      </c>
      <c r="F2045" s="114" t="s">
        <v>2639</v>
      </c>
      <c r="G2045" s="108" t="s">
        <v>10802</v>
      </c>
      <c r="H2045" s="114" t="s">
        <v>10803</v>
      </c>
      <c r="I2045" s="115" t="s">
        <v>3459</v>
      </c>
      <c r="J2045" s="114" t="s">
        <v>10804</v>
      </c>
      <c r="K2045" s="150" t="s">
        <v>10805</v>
      </c>
    </row>
    <row r="2046" spans="1:11">
      <c r="A2046" s="158"/>
      <c r="B2046" s="160"/>
      <c r="C2046" s="39"/>
      <c r="D2046" s="106" t="s">
        <v>289</v>
      </c>
      <c r="E2046" s="114" t="s">
        <v>10806</v>
      </c>
      <c r="F2046" s="114" t="s">
        <v>2639</v>
      </c>
      <c r="G2046" s="108" t="s">
        <v>4033</v>
      </c>
      <c r="H2046" s="114" t="s">
        <v>10807</v>
      </c>
      <c r="I2046" s="115" t="s">
        <v>3459</v>
      </c>
      <c r="J2046" s="114" t="s">
        <v>10808</v>
      </c>
      <c r="K2046" s="150" t="s">
        <v>10809</v>
      </c>
    </row>
    <row r="2047" spans="1:11">
      <c r="A2047" s="158"/>
      <c r="B2047" s="160"/>
      <c r="C2047" s="39" t="s">
        <v>58</v>
      </c>
      <c r="D2047" s="106" t="s">
        <v>290</v>
      </c>
      <c r="E2047" s="114" t="s">
        <v>10810</v>
      </c>
      <c r="F2047" s="114" t="s">
        <v>2639</v>
      </c>
      <c r="G2047" s="108" t="s">
        <v>10811</v>
      </c>
      <c r="H2047" s="114" t="s">
        <v>10812</v>
      </c>
      <c r="I2047" s="115" t="s">
        <v>3459</v>
      </c>
      <c r="J2047" s="114" t="s">
        <v>10813</v>
      </c>
      <c r="K2047" s="150" t="s">
        <v>10814</v>
      </c>
    </row>
    <row r="2048" spans="1:11">
      <c r="A2048" s="158"/>
      <c r="B2048" s="160"/>
      <c r="C2048" s="39"/>
      <c r="D2048" s="106" t="s">
        <v>291</v>
      </c>
      <c r="E2048" s="114" t="s">
        <v>10815</v>
      </c>
      <c r="F2048" s="114" t="s">
        <v>2639</v>
      </c>
      <c r="G2048" s="108" t="s">
        <v>10219</v>
      </c>
      <c r="H2048" s="114" t="s">
        <v>10816</v>
      </c>
      <c r="I2048" s="115" t="s">
        <v>3453</v>
      </c>
      <c r="J2048" s="114" t="s">
        <v>10817</v>
      </c>
      <c r="K2048" s="150" t="s">
        <v>10818</v>
      </c>
    </row>
    <row r="2049" spans="1:11">
      <c r="A2049" s="158"/>
      <c r="B2049" s="160"/>
      <c r="C2049" s="39"/>
      <c r="D2049" s="106" t="s">
        <v>292</v>
      </c>
      <c r="E2049" s="114" t="s">
        <v>10819</v>
      </c>
      <c r="F2049" s="114" t="s">
        <v>2639</v>
      </c>
      <c r="G2049" s="108" t="s">
        <v>10820</v>
      </c>
      <c r="H2049" s="114" t="s">
        <v>10821</v>
      </c>
      <c r="I2049" s="115" t="s">
        <v>3459</v>
      </c>
      <c r="J2049" s="114" t="s">
        <v>10822</v>
      </c>
      <c r="K2049" s="150" t="s">
        <v>10823</v>
      </c>
    </row>
    <row r="2050" spans="1:11">
      <c r="A2050" s="158"/>
      <c r="B2050" s="160"/>
      <c r="C2050" s="39"/>
      <c r="D2050" s="106" t="s">
        <v>293</v>
      </c>
      <c r="E2050" s="114" t="s">
        <v>10824</v>
      </c>
      <c r="F2050" s="114" t="s">
        <v>2639</v>
      </c>
      <c r="G2050" s="108" t="s">
        <v>10825</v>
      </c>
      <c r="H2050" s="114" t="s">
        <v>10826</v>
      </c>
      <c r="I2050" s="115" t="s">
        <v>3453</v>
      </c>
      <c r="J2050" s="114" t="s">
        <v>10827</v>
      </c>
      <c r="K2050" s="150" t="s">
        <v>10828</v>
      </c>
    </row>
    <row r="2051" spans="1:11">
      <c r="A2051" s="158"/>
      <c r="B2051" s="160"/>
      <c r="C2051" s="39"/>
      <c r="D2051" s="106" t="s">
        <v>294</v>
      </c>
      <c r="E2051" s="114" t="s">
        <v>10829</v>
      </c>
      <c r="F2051" s="114" t="s">
        <v>2639</v>
      </c>
      <c r="G2051" s="108" t="s">
        <v>10830</v>
      </c>
      <c r="H2051" s="114" t="s">
        <v>10831</v>
      </c>
      <c r="I2051" s="115" t="s">
        <v>3459</v>
      </c>
      <c r="J2051" s="114" t="s">
        <v>10832</v>
      </c>
      <c r="K2051" s="150" t="s">
        <v>10833</v>
      </c>
    </row>
    <row r="2052" spans="1:11">
      <c r="A2052" s="158"/>
      <c r="B2052" s="160"/>
      <c r="C2052" s="39" t="s">
        <v>59</v>
      </c>
      <c r="D2052" s="106" t="s">
        <v>295</v>
      </c>
      <c r="E2052" s="114" t="s">
        <v>10834</v>
      </c>
      <c r="F2052" s="114" t="s">
        <v>2639</v>
      </c>
      <c r="G2052" s="108" t="s">
        <v>10835</v>
      </c>
      <c r="H2052" s="114" t="s">
        <v>10836</v>
      </c>
      <c r="I2052" s="115" t="s">
        <v>3453</v>
      </c>
      <c r="J2052" s="114" t="s">
        <v>10837</v>
      </c>
      <c r="K2052" s="150" t="s">
        <v>10838</v>
      </c>
    </row>
    <row r="2053" spans="1:11">
      <c r="A2053" s="158"/>
      <c r="B2053" s="160"/>
      <c r="C2053" s="39"/>
      <c r="D2053" s="106" t="s">
        <v>296</v>
      </c>
      <c r="E2053" s="114" t="s">
        <v>10839</v>
      </c>
      <c r="F2053" s="114" t="s">
        <v>2639</v>
      </c>
      <c r="G2053" s="108" t="s">
        <v>10840</v>
      </c>
      <c r="H2053" s="114" t="s">
        <v>10841</v>
      </c>
      <c r="I2053" s="115" t="s">
        <v>3459</v>
      </c>
      <c r="J2053" s="114" t="s">
        <v>10842</v>
      </c>
      <c r="K2053" s="150" t="s">
        <v>10843</v>
      </c>
    </row>
    <row r="2054" spans="1:11">
      <c r="A2054" s="158"/>
      <c r="B2054" s="160"/>
      <c r="C2054" s="39"/>
      <c r="D2054" s="106" t="s">
        <v>297</v>
      </c>
      <c r="E2054" s="114" t="s">
        <v>10844</v>
      </c>
      <c r="F2054" s="114" t="s">
        <v>2639</v>
      </c>
      <c r="G2054" s="108" t="s">
        <v>2849</v>
      </c>
      <c r="H2054" s="114" t="s">
        <v>10845</v>
      </c>
      <c r="I2054" s="115" t="s">
        <v>3459</v>
      </c>
      <c r="J2054" s="114" t="s">
        <v>10846</v>
      </c>
      <c r="K2054" s="150" t="s">
        <v>10847</v>
      </c>
    </row>
    <row r="2055" spans="1:11">
      <c r="A2055" s="158"/>
      <c r="B2055" s="160"/>
      <c r="C2055" s="39"/>
      <c r="D2055" s="106" t="s">
        <v>298</v>
      </c>
      <c r="E2055" s="114" t="s">
        <v>10848</v>
      </c>
      <c r="F2055" s="114" t="s">
        <v>2639</v>
      </c>
      <c r="G2055" s="108" t="s">
        <v>10849</v>
      </c>
      <c r="H2055" s="114" t="s">
        <v>10850</v>
      </c>
      <c r="I2055" s="115" t="s">
        <v>3459</v>
      </c>
      <c r="J2055" s="114" t="s">
        <v>10851</v>
      </c>
      <c r="K2055" s="150" t="s">
        <v>10852</v>
      </c>
    </row>
    <row r="2056" spans="1:11">
      <c r="A2056" s="158"/>
      <c r="B2056" s="160"/>
      <c r="C2056" s="39"/>
      <c r="D2056" s="106" t="s">
        <v>299</v>
      </c>
      <c r="E2056" s="114" t="s">
        <v>10853</v>
      </c>
      <c r="F2056" s="114" t="s">
        <v>2639</v>
      </c>
      <c r="G2056" s="108" t="s">
        <v>10854</v>
      </c>
      <c r="H2056" s="114" t="s">
        <v>10855</v>
      </c>
      <c r="I2056" s="115" t="s">
        <v>3459</v>
      </c>
      <c r="J2056" s="114" t="s">
        <v>10856</v>
      </c>
      <c r="K2056" s="150" t="s">
        <v>10857</v>
      </c>
    </row>
    <row r="2057" spans="1:11">
      <c r="A2057" s="158"/>
      <c r="B2057" s="160"/>
      <c r="C2057" s="39" t="s">
        <v>60</v>
      </c>
      <c r="D2057" s="106" t="s">
        <v>300</v>
      </c>
      <c r="E2057" s="114" t="s">
        <v>10858</v>
      </c>
      <c r="F2057" s="114" t="s">
        <v>2639</v>
      </c>
      <c r="G2057" s="108" t="s">
        <v>4033</v>
      </c>
      <c r="H2057" s="114" t="s">
        <v>10859</v>
      </c>
      <c r="I2057" s="115" t="s">
        <v>3453</v>
      </c>
      <c r="J2057" s="114" t="s">
        <v>10860</v>
      </c>
      <c r="K2057" s="150" t="s">
        <v>10861</v>
      </c>
    </row>
    <row r="2058" spans="1:11">
      <c r="A2058" s="158"/>
      <c r="B2058" s="160"/>
      <c r="C2058" s="39"/>
      <c r="D2058" s="106" t="s">
        <v>301</v>
      </c>
      <c r="E2058" s="114" t="s">
        <v>10862</v>
      </c>
      <c r="F2058" s="114" t="s">
        <v>2639</v>
      </c>
      <c r="G2058" s="108" t="s">
        <v>10863</v>
      </c>
      <c r="H2058" s="114" t="s">
        <v>10864</v>
      </c>
      <c r="I2058" s="115" t="s">
        <v>3459</v>
      </c>
      <c r="J2058" s="114" t="s">
        <v>10865</v>
      </c>
      <c r="K2058" s="150" t="s">
        <v>10866</v>
      </c>
    </row>
    <row r="2059" spans="1:11">
      <c r="A2059" s="158"/>
      <c r="B2059" s="160"/>
      <c r="C2059" s="39"/>
      <c r="D2059" s="106" t="s">
        <v>10867</v>
      </c>
      <c r="E2059" s="114" t="s">
        <v>10868</v>
      </c>
      <c r="F2059" s="114" t="s">
        <v>2639</v>
      </c>
      <c r="G2059" s="108" t="s">
        <v>10797</v>
      </c>
      <c r="H2059" s="114" t="s">
        <v>10869</v>
      </c>
      <c r="I2059" s="115" t="s">
        <v>3453</v>
      </c>
      <c r="J2059" s="114" t="s">
        <v>10870</v>
      </c>
      <c r="K2059" s="150" t="s">
        <v>10871</v>
      </c>
    </row>
    <row r="2060" spans="1:11">
      <c r="A2060" s="158"/>
      <c r="B2060" s="160"/>
      <c r="C2060" s="39"/>
      <c r="D2060" s="106" t="s">
        <v>305</v>
      </c>
      <c r="E2060" s="114" t="s">
        <v>10872</v>
      </c>
      <c r="F2060" s="114" t="s">
        <v>2639</v>
      </c>
      <c r="G2060" s="108" t="s">
        <v>10873</v>
      </c>
      <c r="H2060" s="114" t="s">
        <v>10874</v>
      </c>
      <c r="I2060" s="115" t="s">
        <v>3459</v>
      </c>
      <c r="J2060" s="114" t="s">
        <v>10875</v>
      </c>
      <c r="K2060" s="150" t="s">
        <v>10876</v>
      </c>
    </row>
    <row r="2061" spans="1:11">
      <c r="A2061" s="158"/>
      <c r="B2061" s="160"/>
      <c r="C2061" s="39"/>
      <c r="D2061" s="106" t="s">
        <v>306</v>
      </c>
      <c r="E2061" s="114" t="s">
        <v>10877</v>
      </c>
      <c r="F2061" s="114" t="s">
        <v>2639</v>
      </c>
      <c r="G2061" s="108" t="s">
        <v>10878</v>
      </c>
      <c r="H2061" s="114" t="s">
        <v>10798</v>
      </c>
      <c r="I2061" s="115" t="s">
        <v>3459</v>
      </c>
      <c r="J2061" s="114" t="s">
        <v>10879</v>
      </c>
      <c r="K2061" s="150" t="s">
        <v>10880</v>
      </c>
    </row>
    <row r="2062" spans="1:11">
      <c r="A2062" s="158"/>
      <c r="B2062" s="160"/>
      <c r="C2062" s="39" t="s">
        <v>60</v>
      </c>
      <c r="D2062" s="106" t="s">
        <v>307</v>
      </c>
      <c r="E2062" s="114" t="s">
        <v>10881</v>
      </c>
      <c r="F2062" s="114" t="s">
        <v>2639</v>
      </c>
      <c r="G2062" s="108" t="s">
        <v>10882</v>
      </c>
      <c r="H2062" s="114" t="s">
        <v>10803</v>
      </c>
      <c r="I2062" s="115" t="s">
        <v>3453</v>
      </c>
      <c r="J2062" s="114" t="s">
        <v>10883</v>
      </c>
      <c r="K2062" s="150" t="s">
        <v>10884</v>
      </c>
    </row>
    <row r="2063" spans="1:11">
      <c r="A2063" s="158"/>
      <c r="B2063" s="160"/>
      <c r="C2063" s="39"/>
      <c r="D2063" s="106" t="s">
        <v>308</v>
      </c>
      <c r="E2063" s="114" t="s">
        <v>10885</v>
      </c>
      <c r="F2063" s="114" t="s">
        <v>2639</v>
      </c>
      <c r="G2063" s="108" t="s">
        <v>4033</v>
      </c>
      <c r="H2063" s="114" t="s">
        <v>10886</v>
      </c>
      <c r="I2063" s="115" t="s">
        <v>3453</v>
      </c>
      <c r="J2063" s="114" t="s">
        <v>10887</v>
      </c>
      <c r="K2063" s="150" t="s">
        <v>10888</v>
      </c>
    </row>
    <row r="2064" spans="1:11">
      <c r="A2064" s="158"/>
      <c r="B2064" s="160"/>
      <c r="C2064" s="39"/>
      <c r="D2064" s="106" t="s">
        <v>10889</v>
      </c>
      <c r="E2064" s="114" t="s">
        <v>10890</v>
      </c>
      <c r="F2064" s="114" t="s">
        <v>2639</v>
      </c>
      <c r="G2064" s="108" t="s">
        <v>10891</v>
      </c>
      <c r="H2064" s="114" t="s">
        <v>10892</v>
      </c>
      <c r="I2064" s="115" t="s">
        <v>3453</v>
      </c>
      <c r="J2064" s="114" t="s">
        <v>10893</v>
      </c>
      <c r="K2064" s="150" t="s">
        <v>10894</v>
      </c>
    </row>
    <row r="2065" spans="1:11">
      <c r="A2065" s="158"/>
      <c r="B2065" s="160"/>
      <c r="C2065" s="39"/>
      <c r="D2065" s="106" t="s">
        <v>309</v>
      </c>
      <c r="E2065" s="114" t="s">
        <v>10895</v>
      </c>
      <c r="F2065" s="114" t="s">
        <v>2639</v>
      </c>
      <c r="G2065" s="108" t="s">
        <v>10896</v>
      </c>
      <c r="H2065" s="114" t="s">
        <v>10897</v>
      </c>
      <c r="I2065" s="115" t="s">
        <v>3459</v>
      </c>
      <c r="J2065" s="114" t="s">
        <v>10898</v>
      </c>
      <c r="K2065" s="150" t="s">
        <v>10899</v>
      </c>
    </row>
    <row r="2066" spans="1:11">
      <c r="A2066" s="158"/>
      <c r="B2066" s="160"/>
      <c r="C2066" s="39"/>
      <c r="D2066" s="106" t="s">
        <v>310</v>
      </c>
      <c r="E2066" s="114" t="s">
        <v>10900</v>
      </c>
      <c r="F2066" s="114" t="s">
        <v>2639</v>
      </c>
      <c r="G2066" s="108" t="s">
        <v>2856</v>
      </c>
      <c r="H2066" s="114" t="s">
        <v>10901</v>
      </c>
      <c r="I2066" s="115" t="s">
        <v>3459</v>
      </c>
      <c r="J2066" s="114" t="s">
        <v>10902</v>
      </c>
      <c r="K2066" s="150" t="s">
        <v>10903</v>
      </c>
    </row>
    <row r="2067" spans="1:11">
      <c r="A2067" s="158"/>
      <c r="B2067" s="122" t="s">
        <v>342</v>
      </c>
      <c r="C2067" s="39" t="s">
        <v>61</v>
      </c>
      <c r="D2067" s="106" t="s">
        <v>311</v>
      </c>
      <c r="E2067" s="114" t="s">
        <v>10904</v>
      </c>
      <c r="F2067" s="114" t="s">
        <v>2639</v>
      </c>
      <c r="G2067" s="108" t="s">
        <v>10905</v>
      </c>
      <c r="H2067" s="114" t="s">
        <v>10906</v>
      </c>
      <c r="I2067" s="115" t="s">
        <v>3459</v>
      </c>
      <c r="J2067" s="114" t="s">
        <v>10907</v>
      </c>
      <c r="K2067" s="150" t="s">
        <v>10908</v>
      </c>
    </row>
    <row r="2068" spans="1:11">
      <c r="A2068" s="158"/>
      <c r="B2068" s="122"/>
      <c r="C2068" s="39"/>
      <c r="D2068" s="106" t="s">
        <v>293</v>
      </c>
      <c r="E2068" s="114" t="s">
        <v>10909</v>
      </c>
      <c r="F2068" s="114" t="s">
        <v>2639</v>
      </c>
      <c r="G2068" s="108" t="s">
        <v>10288</v>
      </c>
      <c r="H2068" s="114" t="s">
        <v>10910</v>
      </c>
      <c r="I2068" s="115" t="s">
        <v>3453</v>
      </c>
      <c r="J2068" s="114" t="s">
        <v>10911</v>
      </c>
      <c r="K2068" s="150" t="s">
        <v>10912</v>
      </c>
    </row>
    <row r="2069" spans="1:11">
      <c r="A2069" s="158"/>
      <c r="B2069" s="122"/>
      <c r="C2069" s="39"/>
      <c r="D2069" s="106" t="s">
        <v>312</v>
      </c>
      <c r="E2069" s="114" t="s">
        <v>10913</v>
      </c>
      <c r="F2069" s="114" t="s">
        <v>2639</v>
      </c>
      <c r="G2069" s="108" t="s">
        <v>10914</v>
      </c>
      <c r="H2069" s="114" t="s">
        <v>10915</v>
      </c>
      <c r="I2069" s="115" t="s">
        <v>3453</v>
      </c>
      <c r="J2069" s="114" t="s">
        <v>10916</v>
      </c>
      <c r="K2069" s="150" t="s">
        <v>10917</v>
      </c>
    </row>
    <row r="2070" spans="1:11">
      <c r="A2070" s="158"/>
      <c r="B2070" s="122"/>
      <c r="C2070" s="39"/>
      <c r="D2070" s="106" t="s">
        <v>313</v>
      </c>
      <c r="E2070" s="114" t="s">
        <v>10918</v>
      </c>
      <c r="F2070" s="114" t="s">
        <v>2639</v>
      </c>
      <c r="G2070" s="108" t="s">
        <v>10919</v>
      </c>
      <c r="H2070" s="114" t="s">
        <v>10920</v>
      </c>
      <c r="I2070" s="115" t="s">
        <v>3459</v>
      </c>
      <c r="J2070" s="114" t="s">
        <v>10921</v>
      </c>
      <c r="K2070" s="150" t="s">
        <v>10922</v>
      </c>
    </row>
    <row r="2071" spans="1:11">
      <c r="A2071" s="158"/>
      <c r="B2071" s="122"/>
      <c r="C2071" s="39"/>
      <c r="D2071" s="106" t="s">
        <v>314</v>
      </c>
      <c r="E2071" s="114" t="s">
        <v>10923</v>
      </c>
      <c r="F2071" s="114" t="s">
        <v>2639</v>
      </c>
      <c r="G2071" s="108" t="s">
        <v>10924</v>
      </c>
      <c r="H2071" s="114" t="s">
        <v>10925</v>
      </c>
      <c r="I2071" s="115" t="s">
        <v>3459</v>
      </c>
      <c r="J2071" s="114" t="s">
        <v>10926</v>
      </c>
      <c r="K2071" s="150" t="s">
        <v>10927</v>
      </c>
    </row>
    <row r="2072" spans="1:11">
      <c r="A2072" s="158"/>
      <c r="B2072" s="122"/>
      <c r="C2072" s="39" t="s">
        <v>62</v>
      </c>
      <c r="D2072" s="106" t="s">
        <v>315</v>
      </c>
      <c r="E2072" s="114" t="s">
        <v>10928</v>
      </c>
      <c r="F2072" s="114" t="s">
        <v>2639</v>
      </c>
      <c r="G2072" s="108" t="s">
        <v>10863</v>
      </c>
      <c r="H2072" s="114" t="s">
        <v>10929</v>
      </c>
      <c r="I2072" s="115" t="s">
        <v>3453</v>
      </c>
      <c r="J2072" s="114" t="s">
        <v>10930</v>
      </c>
      <c r="K2072" s="150" t="s">
        <v>10931</v>
      </c>
    </row>
    <row r="2073" spans="1:11">
      <c r="A2073" s="158"/>
      <c r="B2073" s="122"/>
      <c r="C2073" s="39"/>
      <c r="D2073" s="106" t="s">
        <v>316</v>
      </c>
      <c r="E2073" s="114" t="s">
        <v>10932</v>
      </c>
      <c r="F2073" s="114" t="s">
        <v>2639</v>
      </c>
      <c r="G2073" s="108" t="s">
        <v>10933</v>
      </c>
      <c r="H2073" s="114" t="s">
        <v>10934</v>
      </c>
      <c r="I2073" s="115" t="s">
        <v>3453</v>
      </c>
      <c r="J2073" s="114" t="s">
        <v>10935</v>
      </c>
      <c r="K2073" s="150" t="s">
        <v>10936</v>
      </c>
    </row>
    <row r="2074" spans="1:11">
      <c r="A2074" s="158"/>
      <c r="B2074" s="122"/>
      <c r="C2074" s="39"/>
      <c r="D2074" s="106" t="s">
        <v>317</v>
      </c>
      <c r="E2074" s="114" t="s">
        <v>10810</v>
      </c>
      <c r="F2074" s="114" t="s">
        <v>2639</v>
      </c>
      <c r="G2074" s="108" t="s">
        <v>10937</v>
      </c>
      <c r="H2074" s="114" t="s">
        <v>10938</v>
      </c>
      <c r="I2074" s="115" t="s">
        <v>3459</v>
      </c>
      <c r="J2074" s="114" t="s">
        <v>10939</v>
      </c>
      <c r="K2074" s="150" t="s">
        <v>10940</v>
      </c>
    </row>
    <row r="2075" spans="1:11">
      <c r="A2075" s="158"/>
      <c r="B2075" s="122"/>
      <c r="C2075" s="39"/>
      <c r="D2075" s="106" t="s">
        <v>343</v>
      </c>
      <c r="E2075" s="114" t="s">
        <v>10941</v>
      </c>
      <c r="F2075" s="114" t="s">
        <v>2639</v>
      </c>
      <c r="G2075" s="108" t="s">
        <v>4019</v>
      </c>
      <c r="H2075" s="114" t="s">
        <v>10942</v>
      </c>
      <c r="I2075" s="115" t="s">
        <v>3453</v>
      </c>
      <c r="J2075" s="114" t="s">
        <v>10943</v>
      </c>
      <c r="K2075" s="150" t="s">
        <v>10944</v>
      </c>
    </row>
    <row r="2076" spans="1:11">
      <c r="A2076" s="158"/>
      <c r="B2076" s="122"/>
      <c r="C2076" s="39"/>
      <c r="D2076" s="106" t="s">
        <v>292</v>
      </c>
      <c r="E2076" s="114" t="s">
        <v>10819</v>
      </c>
      <c r="F2076" s="114" t="s">
        <v>2639</v>
      </c>
      <c r="G2076" s="108" t="s">
        <v>10945</v>
      </c>
      <c r="H2076" s="114" t="s">
        <v>10946</v>
      </c>
      <c r="I2076" s="115" t="s">
        <v>3459</v>
      </c>
      <c r="J2076" s="114" t="s">
        <v>10947</v>
      </c>
      <c r="K2076" s="150" t="s">
        <v>10948</v>
      </c>
    </row>
    <row r="2077" spans="1:11">
      <c r="A2077" s="158"/>
      <c r="B2077" s="122"/>
      <c r="C2077" s="39" t="s">
        <v>63</v>
      </c>
      <c r="D2077" s="106" t="s">
        <v>293</v>
      </c>
      <c r="E2077" s="114" t="s">
        <v>10949</v>
      </c>
      <c r="F2077" s="114" t="s">
        <v>2639</v>
      </c>
      <c r="G2077" s="108" t="s">
        <v>10950</v>
      </c>
      <c r="H2077" s="114" t="s">
        <v>10424</v>
      </c>
      <c r="I2077" s="115" t="s">
        <v>3453</v>
      </c>
      <c r="J2077" s="114" t="s">
        <v>10951</v>
      </c>
      <c r="K2077" s="150" t="s">
        <v>10952</v>
      </c>
    </row>
    <row r="2078" spans="1:11">
      <c r="A2078" s="158"/>
      <c r="B2078" s="122"/>
      <c r="C2078" s="39"/>
      <c r="D2078" s="106" t="s">
        <v>294</v>
      </c>
      <c r="E2078" s="114" t="s">
        <v>10953</v>
      </c>
      <c r="F2078" s="114" t="s">
        <v>2639</v>
      </c>
      <c r="G2078" s="108" t="s">
        <v>10924</v>
      </c>
      <c r="H2078" s="114" t="s">
        <v>10954</v>
      </c>
      <c r="I2078" s="115" t="s">
        <v>3453</v>
      </c>
      <c r="J2078" s="114" t="s">
        <v>10955</v>
      </c>
      <c r="K2078" s="150" t="s">
        <v>10956</v>
      </c>
    </row>
    <row r="2079" spans="1:11">
      <c r="A2079" s="158"/>
      <c r="B2079" s="122"/>
      <c r="C2079" s="39"/>
      <c r="D2079" s="106" t="s">
        <v>295</v>
      </c>
      <c r="E2079" s="114" t="s">
        <v>10834</v>
      </c>
      <c r="F2079" s="114" t="s">
        <v>2639</v>
      </c>
      <c r="G2079" s="108" t="s">
        <v>2856</v>
      </c>
      <c r="H2079" s="114" t="s">
        <v>10957</v>
      </c>
      <c r="I2079" s="115" t="s">
        <v>3459</v>
      </c>
      <c r="J2079" s="114" t="s">
        <v>10958</v>
      </c>
      <c r="K2079" s="150" t="s">
        <v>10959</v>
      </c>
    </row>
    <row r="2080" spans="1:11">
      <c r="A2080" s="158"/>
      <c r="B2080" s="122"/>
      <c r="C2080" s="39"/>
      <c r="D2080" s="106" t="s">
        <v>296</v>
      </c>
      <c r="E2080" s="114" t="s">
        <v>10960</v>
      </c>
      <c r="F2080" s="114" t="s">
        <v>2639</v>
      </c>
      <c r="G2080" s="108" t="s">
        <v>10961</v>
      </c>
      <c r="H2080" s="114" t="s">
        <v>10962</v>
      </c>
      <c r="I2080" s="115" t="s">
        <v>3459</v>
      </c>
      <c r="J2080" s="114" t="s">
        <v>10963</v>
      </c>
      <c r="K2080" s="150" t="s">
        <v>10964</v>
      </c>
    </row>
    <row r="2081" spans="1:11">
      <c r="A2081" s="158"/>
      <c r="B2081" s="122"/>
      <c r="C2081" s="39"/>
      <c r="D2081" s="106" t="s">
        <v>297</v>
      </c>
      <c r="E2081" s="114" t="s">
        <v>10844</v>
      </c>
      <c r="F2081" s="114" t="s">
        <v>2639</v>
      </c>
      <c r="G2081" s="108" t="s">
        <v>2849</v>
      </c>
      <c r="H2081" s="114" t="s">
        <v>10965</v>
      </c>
      <c r="I2081" s="115" t="s">
        <v>3459</v>
      </c>
      <c r="J2081" s="114" t="s">
        <v>10966</v>
      </c>
      <c r="K2081" s="150" t="s">
        <v>10967</v>
      </c>
    </row>
    <row r="2082" spans="1:11">
      <c r="A2082" s="158"/>
      <c r="B2082" s="122"/>
      <c r="C2082" s="39" t="s">
        <v>64</v>
      </c>
      <c r="D2082" s="106" t="s">
        <v>298</v>
      </c>
      <c r="E2082" s="114" t="s">
        <v>10968</v>
      </c>
      <c r="F2082" s="114" t="s">
        <v>2639</v>
      </c>
      <c r="G2082" s="108" t="s">
        <v>10969</v>
      </c>
      <c r="H2082" s="114" t="s">
        <v>10970</v>
      </c>
      <c r="I2082" s="115" t="s">
        <v>3453</v>
      </c>
      <c r="J2082" s="114" t="s">
        <v>10971</v>
      </c>
      <c r="K2082" s="150" t="s">
        <v>10972</v>
      </c>
    </row>
    <row r="2083" spans="1:11">
      <c r="A2083" s="158"/>
      <c r="B2083" s="122"/>
      <c r="C2083" s="39"/>
      <c r="D2083" s="106" t="s">
        <v>299</v>
      </c>
      <c r="E2083" s="114" t="s">
        <v>10853</v>
      </c>
      <c r="F2083" s="114" t="s">
        <v>2639</v>
      </c>
      <c r="G2083" s="108" t="s">
        <v>5740</v>
      </c>
      <c r="H2083" s="114" t="s">
        <v>10973</v>
      </c>
      <c r="I2083" s="115" t="s">
        <v>3459</v>
      </c>
      <c r="J2083" s="114" t="s">
        <v>10974</v>
      </c>
      <c r="K2083" s="150" t="s">
        <v>10975</v>
      </c>
    </row>
    <row r="2084" spans="1:11">
      <c r="A2084" s="158"/>
      <c r="B2084" s="122"/>
      <c r="C2084" s="39"/>
      <c r="D2084" s="106" t="s">
        <v>300</v>
      </c>
      <c r="E2084" s="114" t="s">
        <v>10976</v>
      </c>
      <c r="F2084" s="114" t="s">
        <v>2639</v>
      </c>
      <c r="G2084" s="108" t="s">
        <v>4033</v>
      </c>
      <c r="H2084" s="114" t="s">
        <v>10977</v>
      </c>
      <c r="I2084" s="115" t="s">
        <v>3453</v>
      </c>
      <c r="J2084" s="114" t="s">
        <v>10978</v>
      </c>
      <c r="K2084" s="150" t="s">
        <v>10979</v>
      </c>
    </row>
    <row r="2085" spans="1:11">
      <c r="A2085" s="158"/>
      <c r="B2085" s="122"/>
      <c r="C2085" s="39"/>
      <c r="D2085" s="106" t="s">
        <v>301</v>
      </c>
      <c r="E2085" s="114" t="s">
        <v>10980</v>
      </c>
      <c r="F2085" s="114" t="s">
        <v>2639</v>
      </c>
      <c r="G2085" s="108" t="s">
        <v>10981</v>
      </c>
      <c r="H2085" s="114" t="s">
        <v>10982</v>
      </c>
      <c r="I2085" s="115" t="s">
        <v>3459</v>
      </c>
      <c r="J2085" s="114" t="s">
        <v>10983</v>
      </c>
      <c r="K2085" s="150" t="s">
        <v>10984</v>
      </c>
    </row>
    <row r="2086" spans="1:11">
      <c r="A2086" s="158"/>
      <c r="B2086" s="122"/>
      <c r="C2086" s="39"/>
      <c r="D2086" s="106" t="s">
        <v>302</v>
      </c>
      <c r="E2086" s="114" t="s">
        <v>10985</v>
      </c>
      <c r="F2086" s="114" t="s">
        <v>2639</v>
      </c>
      <c r="G2086" s="108" t="s">
        <v>10802</v>
      </c>
      <c r="H2086" s="114" t="s">
        <v>10986</v>
      </c>
      <c r="I2086" s="115" t="s">
        <v>3453</v>
      </c>
      <c r="J2086" s="114" t="s">
        <v>10987</v>
      </c>
      <c r="K2086" s="150" t="s">
        <v>10988</v>
      </c>
    </row>
    <row r="2087" spans="1:11">
      <c r="A2087" s="158"/>
      <c r="B2087" s="122"/>
      <c r="C2087" s="39" t="s">
        <v>65</v>
      </c>
      <c r="D2087" s="106" t="s">
        <v>318</v>
      </c>
      <c r="E2087" s="114" t="s">
        <v>10989</v>
      </c>
      <c r="F2087" s="114" t="s">
        <v>2639</v>
      </c>
      <c r="G2087" s="108" t="s">
        <v>10990</v>
      </c>
      <c r="H2087" s="114" t="s">
        <v>10991</v>
      </c>
      <c r="I2087" s="115" t="s">
        <v>3459</v>
      </c>
      <c r="J2087" s="114" t="s">
        <v>10992</v>
      </c>
      <c r="K2087" s="150" t="s">
        <v>10993</v>
      </c>
    </row>
    <row r="2088" spans="1:11">
      <c r="A2088" s="158"/>
      <c r="B2088" s="122"/>
      <c r="C2088" s="39"/>
      <c r="D2088" s="106" t="s">
        <v>319</v>
      </c>
      <c r="E2088" s="114" t="s">
        <v>10994</v>
      </c>
      <c r="F2088" s="114" t="s">
        <v>2639</v>
      </c>
      <c r="G2088" s="108" t="s">
        <v>10995</v>
      </c>
      <c r="H2088" s="114" t="s">
        <v>10996</v>
      </c>
      <c r="I2088" s="115" t="s">
        <v>3459</v>
      </c>
      <c r="J2088" s="114" t="s">
        <v>10997</v>
      </c>
      <c r="K2088" s="150" t="s">
        <v>10998</v>
      </c>
    </row>
    <row r="2089" spans="1:11">
      <c r="A2089" s="158"/>
      <c r="B2089" s="122"/>
      <c r="C2089" s="39"/>
      <c r="D2089" s="106" t="s">
        <v>320</v>
      </c>
      <c r="E2089" s="114" t="s">
        <v>10999</v>
      </c>
      <c r="F2089" s="114" t="s">
        <v>2640</v>
      </c>
      <c r="G2089" s="108" t="s">
        <v>11000</v>
      </c>
      <c r="H2089" s="114" t="s">
        <v>11001</v>
      </c>
      <c r="I2089" s="115" t="s">
        <v>3453</v>
      </c>
      <c r="J2089" s="114" t="s">
        <v>11002</v>
      </c>
      <c r="K2089" s="150" t="s">
        <v>11003</v>
      </c>
    </row>
    <row r="2090" spans="1:11">
      <c r="A2090" s="158"/>
      <c r="B2090" s="122"/>
      <c r="C2090" s="39"/>
      <c r="D2090" s="106" t="s">
        <v>321</v>
      </c>
      <c r="E2090" s="114" t="s">
        <v>11004</v>
      </c>
      <c r="F2090" s="114" t="s">
        <v>2639</v>
      </c>
      <c r="G2090" s="108" t="s">
        <v>3661</v>
      </c>
      <c r="H2090" s="114" t="s">
        <v>3486</v>
      </c>
      <c r="I2090" s="115" t="s">
        <v>3581</v>
      </c>
      <c r="J2090" s="114" t="s">
        <v>11005</v>
      </c>
      <c r="K2090" s="150" t="s">
        <v>11006</v>
      </c>
    </row>
    <row r="2091" spans="1:11">
      <c r="A2091" s="158"/>
      <c r="B2091" s="122"/>
      <c r="C2091" s="39"/>
      <c r="D2091" s="106" t="s">
        <v>322</v>
      </c>
      <c r="E2091" s="114" t="s">
        <v>11007</v>
      </c>
      <c r="F2091" s="114" t="s">
        <v>2640</v>
      </c>
      <c r="G2091" s="108" t="s">
        <v>11008</v>
      </c>
      <c r="H2091" s="114" t="s">
        <v>11009</v>
      </c>
      <c r="I2091" s="115" t="s">
        <v>3453</v>
      </c>
      <c r="J2091" s="114" t="s">
        <v>11010</v>
      </c>
      <c r="K2091" s="150" t="s">
        <v>11011</v>
      </c>
    </row>
    <row r="2092" spans="1:11">
      <c r="A2092" s="158"/>
      <c r="B2092" s="122" t="s">
        <v>67</v>
      </c>
      <c r="C2092" s="39" t="s">
        <v>80</v>
      </c>
      <c r="D2092" s="106" t="s">
        <v>323</v>
      </c>
      <c r="E2092" s="114" t="s">
        <v>11012</v>
      </c>
      <c r="F2092" s="114" t="s">
        <v>2640</v>
      </c>
      <c r="G2092" s="108" t="s">
        <v>11013</v>
      </c>
      <c r="H2092" s="114" t="s">
        <v>11014</v>
      </c>
      <c r="I2092" s="115" t="s">
        <v>3459</v>
      </c>
      <c r="J2092" s="114" t="s">
        <v>11015</v>
      </c>
      <c r="K2092" s="150" t="s">
        <v>11016</v>
      </c>
    </row>
    <row r="2093" spans="1:11">
      <c r="A2093" s="158"/>
      <c r="B2093" s="122"/>
      <c r="C2093" s="39"/>
      <c r="D2093" s="106" t="s">
        <v>324</v>
      </c>
      <c r="E2093" s="114" t="s">
        <v>11017</v>
      </c>
      <c r="F2093" s="114" t="s">
        <v>2639</v>
      </c>
      <c r="G2093" s="108" t="s">
        <v>3160</v>
      </c>
      <c r="H2093" s="114" t="s">
        <v>11018</v>
      </c>
      <c r="I2093" s="115" t="s">
        <v>3459</v>
      </c>
      <c r="J2093" s="114" t="s">
        <v>11019</v>
      </c>
      <c r="K2093" s="150" t="s">
        <v>11020</v>
      </c>
    </row>
    <row r="2094" spans="1:11">
      <c r="A2094" s="158"/>
      <c r="B2094" s="122"/>
      <c r="C2094" s="39"/>
      <c r="D2094" s="106" t="s">
        <v>325</v>
      </c>
      <c r="E2094" s="114" t="s">
        <v>11021</v>
      </c>
      <c r="F2094" s="114" t="s">
        <v>2639</v>
      </c>
      <c r="G2094" s="108" t="s">
        <v>11022</v>
      </c>
      <c r="H2094" s="114" t="s">
        <v>11023</v>
      </c>
      <c r="I2094" s="115" t="s">
        <v>3581</v>
      </c>
      <c r="J2094" s="114" t="s">
        <v>11024</v>
      </c>
      <c r="K2094" s="150" t="s">
        <v>11025</v>
      </c>
    </row>
    <row r="2095" spans="1:11">
      <c r="A2095" s="158"/>
      <c r="B2095" s="122"/>
      <c r="C2095" s="39"/>
      <c r="D2095" s="106" t="s">
        <v>326</v>
      </c>
      <c r="E2095" s="114" t="s">
        <v>11026</v>
      </c>
      <c r="F2095" s="114" t="s">
        <v>2640</v>
      </c>
      <c r="G2095" s="108" t="s">
        <v>10510</v>
      </c>
      <c r="H2095" s="114" t="s">
        <v>11027</v>
      </c>
      <c r="I2095" s="115" t="s">
        <v>3459</v>
      </c>
      <c r="J2095" s="114" t="s">
        <v>11028</v>
      </c>
      <c r="K2095" s="150" t="s">
        <v>11029</v>
      </c>
    </row>
    <row r="2096" spans="1:11">
      <c r="A2096" s="158"/>
      <c r="B2096" s="122"/>
      <c r="C2096" s="39"/>
      <c r="D2096" s="106" t="s">
        <v>327</v>
      </c>
      <c r="E2096" s="114" t="s">
        <v>11030</v>
      </c>
      <c r="F2096" s="114" t="s">
        <v>2639</v>
      </c>
      <c r="G2096" s="108" t="s">
        <v>11031</v>
      </c>
      <c r="H2096" s="114" t="s">
        <v>11032</v>
      </c>
      <c r="I2096" s="115" t="s">
        <v>3453</v>
      </c>
      <c r="J2096" s="114" t="s">
        <v>11033</v>
      </c>
      <c r="K2096" s="150" t="s">
        <v>11034</v>
      </c>
    </row>
    <row r="2097" spans="1:11">
      <c r="A2097" s="158"/>
      <c r="B2097" s="122"/>
      <c r="C2097" s="39" t="s">
        <v>81</v>
      </c>
      <c r="D2097" s="106" t="s">
        <v>328</v>
      </c>
      <c r="E2097" s="114" t="s">
        <v>11035</v>
      </c>
      <c r="F2097" s="114" t="s">
        <v>2640</v>
      </c>
      <c r="G2097" s="108" t="s">
        <v>11036</v>
      </c>
      <c r="H2097" s="114" t="s">
        <v>11037</v>
      </c>
      <c r="I2097" s="115" t="s">
        <v>3453</v>
      </c>
      <c r="J2097" s="114" t="s">
        <v>11038</v>
      </c>
      <c r="K2097" s="150" t="s">
        <v>11039</v>
      </c>
    </row>
    <row r="2098" spans="1:11">
      <c r="A2098" s="158"/>
      <c r="B2098" s="122"/>
      <c r="C2098" s="39"/>
      <c r="D2098" s="106" t="s">
        <v>255</v>
      </c>
      <c r="E2098" s="114" t="s">
        <v>11040</v>
      </c>
      <c r="F2098" s="114" t="s">
        <v>2641</v>
      </c>
      <c r="G2098" s="108" t="s">
        <v>11031</v>
      </c>
      <c r="H2098" s="114" t="s">
        <v>11041</v>
      </c>
      <c r="I2098" s="115" t="s">
        <v>3459</v>
      </c>
      <c r="J2098" s="114" t="s">
        <v>11042</v>
      </c>
      <c r="K2098" s="150" t="s">
        <v>11043</v>
      </c>
    </row>
    <row r="2099" spans="1:11">
      <c r="A2099" s="158"/>
      <c r="B2099" s="122"/>
      <c r="C2099" s="39"/>
      <c r="D2099" s="106" t="s">
        <v>166</v>
      </c>
      <c r="E2099" s="114" t="s">
        <v>11044</v>
      </c>
      <c r="F2099" s="114" t="s">
        <v>2640</v>
      </c>
      <c r="G2099" s="108" t="s">
        <v>11045</v>
      </c>
      <c r="H2099" s="114" t="s">
        <v>11046</v>
      </c>
      <c r="I2099" s="115" t="s">
        <v>3459</v>
      </c>
      <c r="J2099" s="114" t="s">
        <v>11047</v>
      </c>
      <c r="K2099" s="150" t="s">
        <v>11048</v>
      </c>
    </row>
    <row r="2100" spans="1:11">
      <c r="A2100" s="158"/>
      <c r="B2100" s="122"/>
      <c r="C2100" s="39"/>
      <c r="D2100" s="106" t="s">
        <v>329</v>
      </c>
      <c r="E2100" s="114" t="s">
        <v>11049</v>
      </c>
      <c r="F2100" s="114" t="s">
        <v>2640</v>
      </c>
      <c r="G2100" s="108" t="s">
        <v>10924</v>
      </c>
      <c r="H2100" s="114" t="s">
        <v>11050</v>
      </c>
      <c r="I2100" s="115" t="s">
        <v>3453</v>
      </c>
      <c r="J2100" s="114" t="s">
        <v>11051</v>
      </c>
      <c r="K2100" s="150" t="s">
        <v>11052</v>
      </c>
    </row>
    <row r="2101" spans="1:11">
      <c r="A2101" s="158"/>
      <c r="B2101" s="122"/>
      <c r="C2101" s="39"/>
      <c r="D2101" s="106" t="s">
        <v>330</v>
      </c>
      <c r="E2101" s="114" t="s">
        <v>11053</v>
      </c>
      <c r="F2101" s="114" t="s">
        <v>2640</v>
      </c>
      <c r="G2101" s="108" t="s">
        <v>11054</v>
      </c>
      <c r="H2101" s="114" t="s">
        <v>11055</v>
      </c>
      <c r="I2101" s="115" t="s">
        <v>3459</v>
      </c>
      <c r="J2101" s="114" t="s">
        <v>11056</v>
      </c>
      <c r="K2101" s="150" t="s">
        <v>11057</v>
      </c>
    </row>
    <row r="2102" spans="1:11">
      <c r="A2102" s="158"/>
      <c r="B2102" s="122"/>
      <c r="C2102" s="39" t="s">
        <v>68</v>
      </c>
      <c r="D2102" s="106" t="s">
        <v>331</v>
      </c>
      <c r="E2102" s="114" t="s">
        <v>11058</v>
      </c>
      <c r="F2102" s="114" t="s">
        <v>2640</v>
      </c>
      <c r="G2102" s="108" t="s">
        <v>3282</v>
      </c>
      <c r="H2102" s="114" t="s">
        <v>11059</v>
      </c>
      <c r="I2102" s="115" t="s">
        <v>3453</v>
      </c>
      <c r="J2102" s="114" t="s">
        <v>11060</v>
      </c>
      <c r="K2102" s="150" t="s">
        <v>11061</v>
      </c>
    </row>
    <row r="2103" spans="1:11">
      <c r="A2103" s="158"/>
      <c r="B2103" s="122"/>
      <c r="C2103" s="39"/>
      <c r="D2103" s="106" t="s">
        <v>332</v>
      </c>
      <c r="E2103" s="114" t="s">
        <v>11062</v>
      </c>
      <c r="F2103" s="114" t="s">
        <v>2641</v>
      </c>
      <c r="G2103" s="108" t="s">
        <v>11063</v>
      </c>
      <c r="H2103" s="114" t="s">
        <v>11064</v>
      </c>
      <c r="I2103" s="115" t="s">
        <v>3459</v>
      </c>
      <c r="J2103" s="114" t="s">
        <v>11065</v>
      </c>
      <c r="K2103" s="150" t="s">
        <v>11066</v>
      </c>
    </row>
    <row r="2104" spans="1:11">
      <c r="A2104" s="158"/>
      <c r="B2104" s="122"/>
      <c r="C2104" s="39"/>
      <c r="D2104" s="106" t="s">
        <v>333</v>
      </c>
      <c r="E2104" s="114" t="s">
        <v>11067</v>
      </c>
      <c r="F2104" s="114" t="s">
        <v>2639</v>
      </c>
      <c r="G2104" s="108" t="s">
        <v>11068</v>
      </c>
      <c r="H2104" s="114" t="s">
        <v>11069</v>
      </c>
      <c r="I2104" s="115" t="s">
        <v>3581</v>
      </c>
      <c r="J2104" s="114" t="s">
        <v>11070</v>
      </c>
      <c r="K2104" s="150" t="s">
        <v>11071</v>
      </c>
    </row>
    <row r="2105" spans="1:11">
      <c r="A2105" s="158"/>
      <c r="B2105" s="122"/>
      <c r="C2105" s="39"/>
      <c r="D2105" s="106" t="s">
        <v>11072</v>
      </c>
      <c r="E2105" s="114" t="s">
        <v>11073</v>
      </c>
      <c r="F2105" s="114" t="s">
        <v>2640</v>
      </c>
      <c r="G2105" s="108" t="s">
        <v>11074</v>
      </c>
      <c r="H2105" s="114" t="s">
        <v>11075</v>
      </c>
      <c r="I2105" s="115" t="s">
        <v>3459</v>
      </c>
      <c r="J2105" s="114" t="s">
        <v>11076</v>
      </c>
      <c r="K2105" s="150" t="s">
        <v>11077</v>
      </c>
    </row>
    <row r="2106" spans="1:11">
      <c r="A2106" s="158"/>
      <c r="B2106" s="122"/>
      <c r="C2106" s="39"/>
      <c r="D2106" s="106" t="s">
        <v>334</v>
      </c>
      <c r="E2106" s="114" t="s">
        <v>11078</v>
      </c>
      <c r="F2106" s="114" t="s">
        <v>2641</v>
      </c>
      <c r="G2106" s="108" t="s">
        <v>11079</v>
      </c>
      <c r="H2106" s="114" t="s">
        <v>11080</v>
      </c>
      <c r="I2106" s="115" t="s">
        <v>3581</v>
      </c>
      <c r="J2106" s="114" t="s">
        <v>11081</v>
      </c>
      <c r="K2106" s="150" t="s">
        <v>11082</v>
      </c>
    </row>
    <row r="2107" spans="1:11">
      <c r="A2107" s="158"/>
      <c r="B2107" s="122"/>
      <c r="C2107" s="39" t="s">
        <v>69</v>
      </c>
      <c r="D2107" s="106" t="s">
        <v>335</v>
      </c>
      <c r="E2107" s="114" t="s">
        <v>11083</v>
      </c>
      <c r="F2107" s="114" t="s">
        <v>2639</v>
      </c>
      <c r="G2107" s="108" t="s">
        <v>11084</v>
      </c>
      <c r="H2107" s="114" t="s">
        <v>11085</v>
      </c>
      <c r="I2107" s="115" t="s">
        <v>3459</v>
      </c>
      <c r="J2107" s="114" t="s">
        <v>11086</v>
      </c>
      <c r="K2107" s="150" t="s">
        <v>11087</v>
      </c>
    </row>
    <row r="2108" spans="1:11">
      <c r="A2108" s="158"/>
      <c r="B2108" s="122"/>
      <c r="C2108" s="39"/>
      <c r="D2108" s="106" t="s">
        <v>336</v>
      </c>
      <c r="E2108" s="114" t="s">
        <v>11088</v>
      </c>
      <c r="F2108" s="114" t="s">
        <v>2640</v>
      </c>
      <c r="G2108" s="108" t="s">
        <v>11089</v>
      </c>
      <c r="H2108" s="114" t="s">
        <v>11090</v>
      </c>
      <c r="I2108" s="115" t="s">
        <v>3453</v>
      </c>
      <c r="J2108" s="114" t="s">
        <v>11091</v>
      </c>
      <c r="K2108" s="150" t="s">
        <v>11092</v>
      </c>
    </row>
    <row r="2109" spans="1:11">
      <c r="A2109" s="158"/>
      <c r="B2109" s="122"/>
      <c r="C2109" s="39"/>
      <c r="D2109" s="106" t="s">
        <v>337</v>
      </c>
      <c r="E2109" s="114" t="s">
        <v>11093</v>
      </c>
      <c r="F2109" s="114" t="s">
        <v>2641</v>
      </c>
      <c r="G2109" s="108" t="s">
        <v>11094</v>
      </c>
      <c r="H2109" s="114" t="s">
        <v>11095</v>
      </c>
      <c r="I2109" s="115" t="s">
        <v>3459</v>
      </c>
      <c r="J2109" s="114" t="s">
        <v>11096</v>
      </c>
      <c r="K2109" s="150" t="s">
        <v>11097</v>
      </c>
    </row>
    <row r="2110" spans="1:11">
      <c r="A2110" s="158"/>
      <c r="B2110" s="122"/>
      <c r="C2110" s="39"/>
      <c r="D2110" s="106" t="s">
        <v>338</v>
      </c>
      <c r="E2110" s="114" t="s">
        <v>11098</v>
      </c>
      <c r="F2110" s="114" t="s">
        <v>2640</v>
      </c>
      <c r="G2110" s="108" t="s">
        <v>11099</v>
      </c>
      <c r="H2110" s="114" t="s">
        <v>6699</v>
      </c>
      <c r="I2110" s="115" t="s">
        <v>3453</v>
      </c>
      <c r="J2110" s="114" t="s">
        <v>11100</v>
      </c>
      <c r="K2110" s="150" t="s">
        <v>11101</v>
      </c>
    </row>
    <row r="2111" spans="1:11">
      <c r="A2111" s="158"/>
      <c r="B2111" s="122"/>
      <c r="C2111" s="39"/>
      <c r="D2111" s="106" t="s">
        <v>339</v>
      </c>
      <c r="E2111" s="114" t="s">
        <v>11102</v>
      </c>
      <c r="F2111" s="114" t="s">
        <v>2641</v>
      </c>
      <c r="G2111" s="108" t="s">
        <v>11103</v>
      </c>
      <c r="H2111" s="114" t="s">
        <v>11104</v>
      </c>
      <c r="I2111" s="115" t="s">
        <v>3459</v>
      </c>
      <c r="J2111" s="114" t="s">
        <v>11105</v>
      </c>
      <c r="K2111" s="150" t="s">
        <v>11106</v>
      </c>
    </row>
    <row r="2112" spans="1:11">
      <c r="A2112" s="158"/>
      <c r="B2112" s="122"/>
      <c r="C2112" s="39" t="s">
        <v>70</v>
      </c>
      <c r="D2112" s="106" t="s">
        <v>340</v>
      </c>
      <c r="E2112" s="114" t="s">
        <v>11638</v>
      </c>
      <c r="F2112" s="114" t="s">
        <v>2639</v>
      </c>
      <c r="G2112" s="108" t="s">
        <v>11639</v>
      </c>
      <c r="H2112" s="114" t="s">
        <v>11640</v>
      </c>
      <c r="I2112" s="115" t="s">
        <v>3459</v>
      </c>
      <c r="J2112" s="114" t="s">
        <v>11641</v>
      </c>
      <c r="K2112" s="150" t="s">
        <v>11642</v>
      </c>
    </row>
    <row r="2113" spans="1:11">
      <c r="A2113" s="158"/>
      <c r="B2113" s="122"/>
      <c r="C2113" s="39"/>
      <c r="D2113" s="106" t="s">
        <v>341</v>
      </c>
      <c r="E2113" s="114" t="s">
        <v>11643</v>
      </c>
      <c r="F2113" s="114" t="s">
        <v>2641</v>
      </c>
      <c r="G2113" s="108" t="s">
        <v>11644</v>
      </c>
      <c r="H2113" s="114" t="s">
        <v>11645</v>
      </c>
      <c r="I2113" s="115" t="s">
        <v>3453</v>
      </c>
      <c r="J2113" s="114" t="s">
        <v>11646</v>
      </c>
      <c r="K2113" s="150" t="s">
        <v>11647</v>
      </c>
    </row>
    <row r="2114" spans="1:11">
      <c r="A2114" s="158"/>
      <c r="B2114" s="122"/>
      <c r="C2114" s="39"/>
      <c r="D2114" s="106" t="s">
        <v>11108</v>
      </c>
      <c r="E2114" s="114" t="s">
        <v>11109</v>
      </c>
      <c r="F2114" s="114" t="s">
        <v>2640</v>
      </c>
      <c r="G2114" s="108" t="s">
        <v>11110</v>
      </c>
      <c r="H2114" s="114" t="s">
        <v>11111</v>
      </c>
      <c r="I2114" s="115" t="s">
        <v>3459</v>
      </c>
      <c r="J2114" s="114" t="s">
        <v>11112</v>
      </c>
      <c r="K2114" s="150" t="s">
        <v>11113</v>
      </c>
    </row>
    <row r="2115" spans="1:11">
      <c r="A2115" s="158"/>
      <c r="B2115" s="122"/>
      <c r="C2115" s="39"/>
      <c r="D2115" s="106" t="s">
        <v>11114</v>
      </c>
      <c r="E2115" s="114" t="s">
        <v>11115</v>
      </c>
      <c r="F2115" s="114" t="s">
        <v>2639</v>
      </c>
      <c r="G2115" s="108" t="s">
        <v>11116</v>
      </c>
      <c r="H2115" s="114" t="s">
        <v>11117</v>
      </c>
      <c r="I2115" s="115" t="s">
        <v>3459</v>
      </c>
      <c r="J2115" s="114" t="s">
        <v>11118</v>
      </c>
      <c r="K2115" s="150" t="s">
        <v>11119</v>
      </c>
    </row>
    <row r="2116" spans="1:11">
      <c r="A2116" s="158"/>
      <c r="B2116" s="122"/>
      <c r="C2116" s="39"/>
      <c r="D2116" s="106" t="s">
        <v>292</v>
      </c>
      <c r="E2116" s="114" t="s">
        <v>11120</v>
      </c>
      <c r="F2116" s="114" t="s">
        <v>2639</v>
      </c>
      <c r="G2116" s="108" t="s">
        <v>11121</v>
      </c>
      <c r="H2116" s="114" t="s">
        <v>11122</v>
      </c>
      <c r="I2116" s="115" t="s">
        <v>3581</v>
      </c>
      <c r="J2116" s="114" t="s">
        <v>11123</v>
      </c>
      <c r="K2116" s="150" t="s">
        <v>11124</v>
      </c>
    </row>
    <row r="2117" spans="1:11">
      <c r="A2117" s="158"/>
      <c r="B2117" s="160" t="s">
        <v>71</v>
      </c>
      <c r="C2117" s="39" t="s">
        <v>57</v>
      </c>
      <c r="D2117" s="106" t="s">
        <v>11125</v>
      </c>
      <c r="E2117" s="114" t="s">
        <v>11126</v>
      </c>
      <c r="F2117" s="114" t="s">
        <v>2641</v>
      </c>
      <c r="G2117" s="108" t="s">
        <v>11127</v>
      </c>
      <c r="H2117" s="114" t="s">
        <v>11128</v>
      </c>
      <c r="I2117" s="115" t="s">
        <v>3453</v>
      </c>
      <c r="J2117" s="114" t="s">
        <v>11129</v>
      </c>
      <c r="K2117" s="150" t="s">
        <v>11130</v>
      </c>
    </row>
    <row r="2118" spans="1:11">
      <c r="A2118" s="158"/>
      <c r="B2118" s="160"/>
      <c r="C2118" s="39"/>
      <c r="D2118" s="106" t="s">
        <v>294</v>
      </c>
      <c r="E2118" s="114" t="s">
        <v>11131</v>
      </c>
      <c r="F2118" s="114" t="s">
        <v>2640</v>
      </c>
      <c r="G2118" s="108" t="s">
        <v>11132</v>
      </c>
      <c r="H2118" s="114" t="s">
        <v>11133</v>
      </c>
      <c r="I2118" s="115" t="s">
        <v>3459</v>
      </c>
      <c r="J2118" s="114" t="s">
        <v>11134</v>
      </c>
      <c r="K2118" s="150" t="s">
        <v>11135</v>
      </c>
    </row>
    <row r="2119" spans="1:11">
      <c r="A2119" s="158"/>
      <c r="B2119" s="160"/>
      <c r="C2119" s="39"/>
      <c r="D2119" s="106" t="s">
        <v>287</v>
      </c>
      <c r="E2119" s="114" t="s">
        <v>11529</v>
      </c>
      <c r="F2119" s="114" t="s">
        <v>2640</v>
      </c>
      <c r="G2119" s="108" t="s">
        <v>11530</v>
      </c>
      <c r="H2119" s="114" t="s">
        <v>11531</v>
      </c>
      <c r="I2119" s="115" t="s">
        <v>3459</v>
      </c>
      <c r="J2119" s="114" t="s">
        <v>11532</v>
      </c>
      <c r="K2119" s="150" t="s">
        <v>11533</v>
      </c>
    </row>
    <row r="2120" spans="1:11">
      <c r="A2120" s="158"/>
      <c r="B2120" s="160"/>
      <c r="C2120" s="39"/>
      <c r="D2120" s="106" t="s">
        <v>288</v>
      </c>
      <c r="E2120" s="114" t="s">
        <v>11534</v>
      </c>
      <c r="F2120" s="114" t="s">
        <v>2641</v>
      </c>
      <c r="G2120" s="108" t="s">
        <v>11535</v>
      </c>
      <c r="H2120" s="114" t="s">
        <v>11107</v>
      </c>
      <c r="I2120" s="115" t="s">
        <v>3453</v>
      </c>
      <c r="J2120" s="114" t="s">
        <v>11536</v>
      </c>
      <c r="K2120" s="150" t="s">
        <v>11537</v>
      </c>
    </row>
    <row r="2121" spans="1:11">
      <c r="A2121" s="158"/>
      <c r="B2121" s="160"/>
      <c r="C2121" s="39"/>
      <c r="D2121" s="106" t="s">
        <v>289</v>
      </c>
      <c r="E2121" s="114" t="s">
        <v>11538</v>
      </c>
      <c r="F2121" s="114" t="s">
        <v>2640</v>
      </c>
      <c r="G2121" s="108" t="s">
        <v>11539</v>
      </c>
      <c r="H2121" s="114" t="s">
        <v>11540</v>
      </c>
      <c r="I2121" s="115" t="s">
        <v>3459</v>
      </c>
      <c r="J2121" s="114" t="s">
        <v>11541</v>
      </c>
      <c r="K2121" s="150" t="s">
        <v>11542</v>
      </c>
    </row>
    <row r="2122" spans="1:11">
      <c r="A2122" s="158"/>
      <c r="B2122" s="160"/>
      <c r="C2122" s="39" t="s">
        <v>78</v>
      </c>
      <c r="D2122" s="106" t="s">
        <v>290</v>
      </c>
      <c r="E2122" s="114" t="s">
        <v>11543</v>
      </c>
      <c r="F2122" s="114" t="s">
        <v>2641</v>
      </c>
      <c r="G2122" s="108" t="s">
        <v>11544</v>
      </c>
      <c r="H2122" s="114" t="s">
        <v>11545</v>
      </c>
      <c r="I2122" s="115" t="s">
        <v>3459</v>
      </c>
      <c r="J2122" s="114" t="s">
        <v>11546</v>
      </c>
      <c r="K2122" s="150" t="s">
        <v>11547</v>
      </c>
    </row>
    <row r="2123" spans="1:11">
      <c r="A2123" s="158"/>
      <c r="B2123" s="160"/>
      <c r="C2123" s="39"/>
      <c r="D2123" s="106" t="s">
        <v>291</v>
      </c>
      <c r="E2123" s="114" t="s">
        <v>11548</v>
      </c>
      <c r="F2123" s="114" t="s">
        <v>2639</v>
      </c>
      <c r="G2123" s="108" t="s">
        <v>11549</v>
      </c>
      <c r="H2123" s="114" t="s">
        <v>11550</v>
      </c>
      <c r="I2123" s="115" t="s">
        <v>3581</v>
      </c>
      <c r="J2123" s="114" t="s">
        <v>11551</v>
      </c>
      <c r="K2123" s="150" t="s">
        <v>11552</v>
      </c>
    </row>
    <row r="2124" spans="1:11">
      <c r="A2124" s="158"/>
      <c r="B2124" s="160"/>
      <c r="C2124" s="39"/>
      <c r="D2124" s="106" t="s">
        <v>292</v>
      </c>
      <c r="E2124" s="114" t="s">
        <v>11553</v>
      </c>
      <c r="F2124" s="114" t="s">
        <v>2640</v>
      </c>
      <c r="G2124" s="108" t="s">
        <v>11554</v>
      </c>
      <c r="H2124" s="114" t="s">
        <v>11555</v>
      </c>
      <c r="I2124" s="115" t="s">
        <v>3459</v>
      </c>
      <c r="J2124" s="114" t="s">
        <v>11122</v>
      </c>
      <c r="K2124" s="150" t="s">
        <v>11556</v>
      </c>
    </row>
    <row r="2125" spans="1:11">
      <c r="A2125" s="158"/>
      <c r="B2125" s="160"/>
      <c r="C2125" s="39"/>
      <c r="D2125" s="106" t="s">
        <v>293</v>
      </c>
      <c r="E2125" s="114" t="s">
        <v>11557</v>
      </c>
      <c r="F2125" s="114" t="s">
        <v>2641</v>
      </c>
      <c r="G2125" s="108" t="s">
        <v>11558</v>
      </c>
      <c r="H2125" s="114" t="s">
        <v>11559</v>
      </c>
      <c r="I2125" s="115" t="s">
        <v>3453</v>
      </c>
      <c r="J2125" s="114" t="s">
        <v>11560</v>
      </c>
      <c r="K2125" s="150" t="s">
        <v>11561</v>
      </c>
    </row>
    <row r="2126" spans="1:11">
      <c r="A2126" s="158"/>
      <c r="B2126" s="160"/>
      <c r="C2126" s="39"/>
      <c r="D2126" s="106" t="s">
        <v>294</v>
      </c>
      <c r="E2126" s="114" t="s">
        <v>11562</v>
      </c>
      <c r="F2126" s="114" t="s">
        <v>2640</v>
      </c>
      <c r="G2126" s="108" t="s">
        <v>11563</v>
      </c>
      <c r="H2126" s="114" t="s">
        <v>11564</v>
      </c>
      <c r="I2126" s="115" t="s">
        <v>3459</v>
      </c>
      <c r="J2126" s="114" t="s">
        <v>11565</v>
      </c>
      <c r="K2126" s="150" t="s">
        <v>11566</v>
      </c>
    </row>
    <row r="2127" spans="1:11">
      <c r="A2127" s="158"/>
      <c r="B2127" s="160"/>
      <c r="C2127" s="39" t="s">
        <v>59</v>
      </c>
      <c r="D2127" s="106" t="s">
        <v>295</v>
      </c>
      <c r="E2127" s="114" t="s">
        <v>11567</v>
      </c>
      <c r="F2127" s="114" t="s">
        <v>2639</v>
      </c>
      <c r="G2127" s="108" t="s">
        <v>11568</v>
      </c>
      <c r="H2127" s="114" t="s">
        <v>11569</v>
      </c>
      <c r="I2127" s="115" t="s">
        <v>3459</v>
      </c>
      <c r="J2127" s="114" t="s">
        <v>11570</v>
      </c>
      <c r="K2127" s="150" t="s">
        <v>11571</v>
      </c>
    </row>
    <row r="2128" spans="1:11">
      <c r="A2128" s="158"/>
      <c r="B2128" s="160"/>
      <c r="C2128" s="39"/>
      <c r="D2128" s="106" t="s">
        <v>296</v>
      </c>
      <c r="E2128" s="114" t="s">
        <v>11572</v>
      </c>
      <c r="F2128" s="114" t="s">
        <v>2640</v>
      </c>
      <c r="G2128" s="108" t="s">
        <v>11573</v>
      </c>
      <c r="H2128" s="114" t="s">
        <v>11574</v>
      </c>
      <c r="I2128" s="115" t="s">
        <v>3453</v>
      </c>
      <c r="J2128" s="114" t="s">
        <v>11575</v>
      </c>
      <c r="K2128" s="150" t="s">
        <v>11576</v>
      </c>
    </row>
    <row r="2129" spans="1:11">
      <c r="A2129" s="158"/>
      <c r="B2129" s="160"/>
      <c r="C2129" s="39"/>
      <c r="D2129" s="106" t="s">
        <v>297</v>
      </c>
      <c r="E2129" s="114" t="s">
        <v>11577</v>
      </c>
      <c r="F2129" s="114" t="s">
        <v>2639</v>
      </c>
      <c r="G2129" s="108" t="s">
        <v>11578</v>
      </c>
      <c r="H2129" s="114" t="s">
        <v>11579</v>
      </c>
      <c r="I2129" s="115" t="s">
        <v>3459</v>
      </c>
      <c r="J2129" s="114" t="s">
        <v>11580</v>
      </c>
      <c r="K2129" s="150" t="s">
        <v>11581</v>
      </c>
    </row>
    <row r="2130" spans="1:11">
      <c r="A2130" s="158"/>
      <c r="B2130" s="160"/>
      <c r="C2130" s="39"/>
      <c r="D2130" s="106" t="s">
        <v>298</v>
      </c>
      <c r="E2130" s="114" t="s">
        <v>11582</v>
      </c>
      <c r="F2130" s="114" t="s">
        <v>2639</v>
      </c>
      <c r="G2130" s="108" t="s">
        <v>11583</v>
      </c>
      <c r="H2130" s="114" t="s">
        <v>11584</v>
      </c>
      <c r="I2130" s="115" t="s">
        <v>3459</v>
      </c>
      <c r="J2130" s="114" t="s">
        <v>11585</v>
      </c>
      <c r="K2130" s="150" t="s">
        <v>11586</v>
      </c>
    </row>
    <row r="2131" spans="1:11">
      <c r="A2131" s="158"/>
      <c r="B2131" s="160"/>
      <c r="C2131" s="39"/>
      <c r="D2131" s="106" t="s">
        <v>299</v>
      </c>
      <c r="E2131" s="114" t="s">
        <v>11587</v>
      </c>
      <c r="F2131" s="114" t="s">
        <v>2640</v>
      </c>
      <c r="G2131" s="108" t="s">
        <v>11588</v>
      </c>
      <c r="H2131" s="114" t="s">
        <v>11589</v>
      </c>
      <c r="I2131" s="115" t="s">
        <v>3459</v>
      </c>
      <c r="J2131" s="114" t="s">
        <v>11590</v>
      </c>
      <c r="K2131" s="150" t="s">
        <v>11591</v>
      </c>
    </row>
    <row r="2132" spans="1:11">
      <c r="A2132" s="158"/>
      <c r="B2132" s="160"/>
      <c r="C2132" s="39" t="s">
        <v>60</v>
      </c>
      <c r="D2132" s="106" t="s">
        <v>300</v>
      </c>
      <c r="E2132" s="114" t="s">
        <v>11592</v>
      </c>
      <c r="F2132" s="114" t="s">
        <v>2641</v>
      </c>
      <c r="G2132" s="108" t="s">
        <v>11593</v>
      </c>
      <c r="H2132" s="114" t="s">
        <v>11594</v>
      </c>
      <c r="I2132" s="115" t="s">
        <v>3453</v>
      </c>
      <c r="J2132" s="114" t="s">
        <v>11595</v>
      </c>
      <c r="K2132" s="150" t="s">
        <v>11596</v>
      </c>
    </row>
    <row r="2133" spans="1:11">
      <c r="A2133" s="158"/>
      <c r="B2133" s="160"/>
      <c r="C2133" s="39"/>
      <c r="D2133" s="106" t="s">
        <v>301</v>
      </c>
      <c r="E2133" s="114" t="s">
        <v>11597</v>
      </c>
      <c r="F2133" s="114" t="s">
        <v>2640</v>
      </c>
      <c r="G2133" s="108" t="s">
        <v>11598</v>
      </c>
      <c r="H2133" s="114" t="s">
        <v>11599</v>
      </c>
      <c r="I2133" s="115" t="s">
        <v>3453</v>
      </c>
      <c r="J2133" s="114" t="s">
        <v>11600</v>
      </c>
      <c r="K2133" s="150" t="s">
        <v>11601</v>
      </c>
    </row>
    <row r="2134" spans="1:11">
      <c r="A2134" s="158"/>
      <c r="B2134" s="160"/>
      <c r="C2134" s="39"/>
      <c r="D2134" s="106" t="s">
        <v>302</v>
      </c>
      <c r="E2134" s="114" t="s">
        <v>11602</v>
      </c>
      <c r="F2134" s="114" t="s">
        <v>2641</v>
      </c>
      <c r="G2134" s="108" t="s">
        <v>11603</v>
      </c>
      <c r="H2134" s="114" t="s">
        <v>11604</v>
      </c>
      <c r="I2134" s="115" t="s">
        <v>3453</v>
      </c>
      <c r="J2134" s="114" t="s">
        <v>11605</v>
      </c>
      <c r="K2134" s="150" t="s">
        <v>11606</v>
      </c>
    </row>
    <row r="2135" spans="1:11">
      <c r="A2135" s="158"/>
      <c r="B2135" s="160"/>
      <c r="C2135" s="39"/>
      <c r="D2135" s="106" t="s">
        <v>303</v>
      </c>
      <c r="E2135" s="114" t="s">
        <v>11607</v>
      </c>
      <c r="F2135" s="114" t="s">
        <v>2639</v>
      </c>
      <c r="G2135" s="108" t="s">
        <v>11608</v>
      </c>
      <c r="H2135" s="114" t="s">
        <v>11609</v>
      </c>
      <c r="I2135" s="115" t="s">
        <v>3459</v>
      </c>
      <c r="J2135" s="114" t="s">
        <v>11610</v>
      </c>
      <c r="K2135" s="150" t="s">
        <v>11611</v>
      </c>
    </row>
    <row r="2136" spans="1:11">
      <c r="A2136" s="158"/>
      <c r="B2136" s="160"/>
      <c r="C2136" s="39"/>
      <c r="D2136" s="106" t="s">
        <v>304</v>
      </c>
      <c r="E2136" s="114" t="s">
        <v>11612</v>
      </c>
      <c r="F2136" s="114" t="s">
        <v>2639</v>
      </c>
      <c r="G2136" s="108" t="s">
        <v>11613</v>
      </c>
      <c r="H2136" s="114" t="s">
        <v>11614</v>
      </c>
      <c r="I2136" s="115" t="s">
        <v>3459</v>
      </c>
      <c r="J2136" s="114" t="s">
        <v>11027</v>
      </c>
      <c r="K2136" s="150" t="s">
        <v>11615</v>
      </c>
    </row>
    <row r="2137" spans="1:11">
      <c r="A2137" s="158"/>
      <c r="B2137" s="160"/>
      <c r="C2137" s="39" t="s">
        <v>60</v>
      </c>
      <c r="D2137" s="106" t="s">
        <v>300</v>
      </c>
      <c r="E2137" s="114" t="s">
        <v>11616</v>
      </c>
      <c r="F2137" s="114" t="s">
        <v>2639</v>
      </c>
      <c r="G2137" s="108" t="s">
        <v>11593</v>
      </c>
      <c r="H2137" s="114" t="s">
        <v>11617</v>
      </c>
      <c r="I2137" s="115" t="s">
        <v>3459</v>
      </c>
      <c r="J2137" s="114" t="s">
        <v>11618</v>
      </c>
      <c r="K2137" s="150" t="s">
        <v>11619</v>
      </c>
    </row>
    <row r="2138" spans="1:11">
      <c r="A2138" s="158"/>
      <c r="B2138" s="160"/>
      <c r="C2138" s="39"/>
      <c r="D2138" s="106" t="s">
        <v>301</v>
      </c>
      <c r="E2138" s="114" t="s">
        <v>11620</v>
      </c>
      <c r="F2138" s="114" t="s">
        <v>2639</v>
      </c>
      <c r="G2138" s="108" t="s">
        <v>11598</v>
      </c>
      <c r="H2138" s="114" t="s">
        <v>11621</v>
      </c>
      <c r="I2138" s="115" t="s">
        <v>3459</v>
      </c>
      <c r="J2138" s="114" t="s">
        <v>11622</v>
      </c>
      <c r="K2138" s="150" t="s">
        <v>11623</v>
      </c>
    </row>
    <row r="2139" spans="1:11">
      <c r="A2139" s="158"/>
      <c r="B2139" s="160"/>
      <c r="C2139" s="39"/>
      <c r="D2139" s="106" t="s">
        <v>302</v>
      </c>
      <c r="E2139" s="114" t="s">
        <v>11624</v>
      </c>
      <c r="F2139" s="114" t="s">
        <v>2639</v>
      </c>
      <c r="G2139" s="108" t="s">
        <v>11603</v>
      </c>
      <c r="H2139" s="114" t="s">
        <v>11625</v>
      </c>
      <c r="I2139" s="115" t="s">
        <v>3453</v>
      </c>
      <c r="J2139" s="114" t="s">
        <v>11626</v>
      </c>
      <c r="K2139" s="150" t="s">
        <v>11627</v>
      </c>
    </row>
    <row r="2140" spans="1:11">
      <c r="A2140" s="158"/>
      <c r="B2140" s="160"/>
      <c r="C2140" s="39"/>
      <c r="D2140" s="106" t="s">
        <v>303</v>
      </c>
      <c r="E2140" s="114" t="s">
        <v>11628</v>
      </c>
      <c r="F2140" s="114" t="s">
        <v>2639</v>
      </c>
      <c r="G2140" s="108" t="s">
        <v>11629</v>
      </c>
      <c r="H2140" s="114" t="s">
        <v>11630</v>
      </c>
      <c r="I2140" s="115" t="s">
        <v>3459</v>
      </c>
      <c r="J2140" s="114" t="s">
        <v>11631</v>
      </c>
      <c r="K2140" s="150" t="s">
        <v>11632</v>
      </c>
    </row>
    <row r="2141" spans="1:11">
      <c r="A2141" s="158"/>
      <c r="B2141" s="160"/>
      <c r="C2141" s="39"/>
      <c r="D2141" s="106" t="s">
        <v>304</v>
      </c>
      <c r="E2141" s="114" t="s">
        <v>11633</v>
      </c>
      <c r="F2141" s="114" t="s">
        <v>2639</v>
      </c>
      <c r="G2141" s="108" t="s">
        <v>11634</v>
      </c>
      <c r="H2141" s="114" t="s">
        <v>11635</v>
      </c>
      <c r="I2141" s="115" t="s">
        <v>3459</v>
      </c>
      <c r="J2141" s="114" t="s">
        <v>11636</v>
      </c>
      <c r="K2141" s="150" t="s">
        <v>11637</v>
      </c>
    </row>
    <row r="2142" spans="1:11">
      <c r="A2142" s="158"/>
      <c r="B2142" s="122" t="s">
        <v>72</v>
      </c>
      <c r="C2142" s="122" t="s">
        <v>11136</v>
      </c>
      <c r="D2142" s="114" t="s">
        <v>11137</v>
      </c>
      <c r="E2142" s="58" t="s">
        <v>11138</v>
      </c>
      <c r="F2142" s="106" t="s">
        <v>2640</v>
      </c>
      <c r="G2142" s="106" t="s">
        <v>11139</v>
      </c>
      <c r="H2142" s="58" t="s">
        <v>11140</v>
      </c>
      <c r="I2142" s="115" t="s">
        <v>3453</v>
      </c>
      <c r="J2142" s="58" t="s">
        <v>11141</v>
      </c>
      <c r="K2142" s="151" t="s">
        <v>11140</v>
      </c>
    </row>
    <row r="2143" spans="1:11">
      <c r="A2143" s="158"/>
      <c r="B2143" s="122"/>
      <c r="C2143" s="122"/>
      <c r="D2143" s="114" t="s">
        <v>11142</v>
      </c>
      <c r="E2143" s="58" t="s">
        <v>11143</v>
      </c>
      <c r="F2143" s="106" t="s">
        <v>2640</v>
      </c>
      <c r="G2143" s="106" t="s">
        <v>11144</v>
      </c>
      <c r="H2143" s="58" t="s">
        <v>11145</v>
      </c>
      <c r="I2143" s="115" t="s">
        <v>3453</v>
      </c>
      <c r="J2143" s="58" t="s">
        <v>11146</v>
      </c>
      <c r="K2143" s="151" t="s">
        <v>11145</v>
      </c>
    </row>
    <row r="2144" spans="1:11">
      <c r="A2144" s="158"/>
      <c r="B2144" s="122"/>
      <c r="C2144" s="122"/>
      <c r="D2144" s="114" t="s">
        <v>11147</v>
      </c>
      <c r="E2144" s="58" t="s">
        <v>11148</v>
      </c>
      <c r="F2144" s="106" t="s">
        <v>2639</v>
      </c>
      <c r="G2144" s="106" t="s">
        <v>11149</v>
      </c>
      <c r="H2144" s="58" t="s">
        <v>11150</v>
      </c>
      <c r="I2144" s="115" t="s">
        <v>3453</v>
      </c>
      <c r="J2144" s="58" t="s">
        <v>11151</v>
      </c>
      <c r="K2144" s="151" t="s">
        <v>11150</v>
      </c>
    </row>
    <row r="2145" spans="1:11">
      <c r="A2145" s="158"/>
      <c r="B2145" s="122"/>
      <c r="C2145" s="122"/>
      <c r="D2145" s="114" t="s">
        <v>11152</v>
      </c>
      <c r="E2145" s="58" t="s">
        <v>11153</v>
      </c>
      <c r="F2145" s="106" t="s">
        <v>2639</v>
      </c>
      <c r="G2145" s="106" t="s">
        <v>11154</v>
      </c>
      <c r="H2145" s="58" t="s">
        <v>11155</v>
      </c>
      <c r="I2145" s="115" t="s">
        <v>3453</v>
      </c>
      <c r="J2145" s="58" t="s">
        <v>11156</v>
      </c>
      <c r="K2145" s="151" t="s">
        <v>11155</v>
      </c>
    </row>
    <row r="2146" spans="1:11">
      <c r="A2146" s="158"/>
      <c r="B2146" s="122"/>
      <c r="C2146" s="122"/>
      <c r="D2146" s="114" t="s">
        <v>11157</v>
      </c>
      <c r="E2146" s="58" t="s">
        <v>11158</v>
      </c>
      <c r="F2146" s="106" t="s">
        <v>2639</v>
      </c>
      <c r="G2146" s="106" t="s">
        <v>11159</v>
      </c>
      <c r="H2146" s="58" t="s">
        <v>11160</v>
      </c>
      <c r="I2146" s="115" t="s">
        <v>3453</v>
      </c>
      <c r="J2146" s="58" t="s">
        <v>11161</v>
      </c>
      <c r="K2146" s="151" t="s">
        <v>11160</v>
      </c>
    </row>
    <row r="2147" spans="1:11">
      <c r="A2147" s="158"/>
      <c r="B2147" s="122"/>
      <c r="C2147" s="123" t="s">
        <v>11162</v>
      </c>
      <c r="D2147" s="114" t="s">
        <v>11163</v>
      </c>
      <c r="E2147" s="58" t="s">
        <v>11164</v>
      </c>
      <c r="F2147" s="106" t="s">
        <v>2639</v>
      </c>
      <c r="G2147" s="106" t="s">
        <v>11165</v>
      </c>
      <c r="H2147" s="58" t="s">
        <v>11166</v>
      </c>
      <c r="I2147" s="115" t="s">
        <v>3453</v>
      </c>
      <c r="J2147" s="58" t="s">
        <v>11167</v>
      </c>
      <c r="K2147" s="151" t="s">
        <v>11166</v>
      </c>
    </row>
    <row r="2148" spans="1:11">
      <c r="A2148" s="158"/>
      <c r="B2148" s="122"/>
      <c r="C2148" s="123"/>
      <c r="D2148" s="114" t="s">
        <v>11168</v>
      </c>
      <c r="E2148" s="58" t="s">
        <v>11169</v>
      </c>
      <c r="F2148" s="106" t="s">
        <v>2639</v>
      </c>
      <c r="G2148" s="106" t="s">
        <v>11170</v>
      </c>
      <c r="H2148" s="58" t="s">
        <v>11171</v>
      </c>
      <c r="I2148" s="115" t="s">
        <v>3453</v>
      </c>
      <c r="J2148" s="58" t="s">
        <v>11172</v>
      </c>
      <c r="K2148" s="151" t="s">
        <v>11171</v>
      </c>
    </row>
    <row r="2149" spans="1:11">
      <c r="A2149" s="158"/>
      <c r="B2149" s="122"/>
      <c r="C2149" s="123"/>
      <c r="D2149" s="114" t="s">
        <v>11173</v>
      </c>
      <c r="E2149" s="58" t="s">
        <v>11174</v>
      </c>
      <c r="F2149" s="106" t="s">
        <v>2639</v>
      </c>
      <c r="G2149" s="106" t="s">
        <v>11175</v>
      </c>
      <c r="H2149" s="58" t="s">
        <v>11176</v>
      </c>
      <c r="I2149" s="115" t="s">
        <v>3453</v>
      </c>
      <c r="J2149" s="58" t="s">
        <v>11177</v>
      </c>
      <c r="K2149" s="151" t="s">
        <v>11176</v>
      </c>
    </row>
    <row r="2150" spans="1:11">
      <c r="A2150" s="158"/>
      <c r="B2150" s="122"/>
      <c r="C2150" s="123"/>
      <c r="D2150" s="114" t="s">
        <v>11178</v>
      </c>
      <c r="E2150" s="58" t="s">
        <v>11179</v>
      </c>
      <c r="F2150" s="106" t="s">
        <v>2639</v>
      </c>
      <c r="G2150" s="106" t="s">
        <v>11180</v>
      </c>
      <c r="H2150" s="58" t="s">
        <v>11181</v>
      </c>
      <c r="I2150" s="115" t="s">
        <v>3459</v>
      </c>
      <c r="J2150" s="58" t="s">
        <v>11182</v>
      </c>
      <c r="K2150" s="151" t="s">
        <v>11181</v>
      </c>
    </row>
    <row r="2151" spans="1:11">
      <c r="A2151" s="158"/>
      <c r="B2151" s="122"/>
      <c r="C2151" s="123"/>
      <c r="D2151" s="114" t="s">
        <v>11183</v>
      </c>
      <c r="E2151" s="58" t="s">
        <v>11184</v>
      </c>
      <c r="F2151" s="106" t="s">
        <v>2639</v>
      </c>
      <c r="G2151" s="106" t="s">
        <v>11185</v>
      </c>
      <c r="H2151" s="58" t="s">
        <v>11186</v>
      </c>
      <c r="I2151" s="115" t="s">
        <v>3453</v>
      </c>
      <c r="J2151" s="58" t="s">
        <v>11187</v>
      </c>
      <c r="K2151" s="151" t="s">
        <v>11186</v>
      </c>
    </row>
    <row r="2152" spans="1:11">
      <c r="A2152" s="158"/>
      <c r="B2152" s="122"/>
      <c r="C2152" s="123" t="s">
        <v>11188</v>
      </c>
      <c r="D2152" s="114" t="s">
        <v>11189</v>
      </c>
      <c r="E2152" s="58" t="s">
        <v>11190</v>
      </c>
      <c r="F2152" s="106" t="s">
        <v>2639</v>
      </c>
      <c r="G2152" s="106" t="s">
        <v>11191</v>
      </c>
      <c r="H2152" s="58" t="s">
        <v>11192</v>
      </c>
      <c r="I2152" s="115" t="s">
        <v>3453</v>
      </c>
      <c r="J2152" s="58" t="s">
        <v>11193</v>
      </c>
      <c r="K2152" s="151" t="s">
        <v>11192</v>
      </c>
    </row>
    <row r="2153" spans="1:11">
      <c r="A2153" s="158"/>
      <c r="B2153" s="122"/>
      <c r="C2153" s="123"/>
      <c r="D2153" s="114" t="s">
        <v>11194</v>
      </c>
      <c r="E2153" s="58" t="s">
        <v>11195</v>
      </c>
      <c r="F2153" s="106" t="s">
        <v>2639</v>
      </c>
      <c r="G2153" s="106" t="s">
        <v>11196</v>
      </c>
      <c r="H2153" s="58" t="s">
        <v>11197</v>
      </c>
      <c r="I2153" s="115" t="s">
        <v>3459</v>
      </c>
      <c r="J2153" s="58" t="s">
        <v>11198</v>
      </c>
      <c r="K2153" s="151" t="s">
        <v>11197</v>
      </c>
    </row>
    <row r="2154" spans="1:11">
      <c r="A2154" s="158"/>
      <c r="B2154" s="122"/>
      <c r="C2154" s="123"/>
      <c r="D2154" s="114" t="s">
        <v>11199</v>
      </c>
      <c r="E2154" s="58" t="s">
        <v>11200</v>
      </c>
      <c r="F2154" s="106" t="s">
        <v>2639</v>
      </c>
      <c r="G2154" s="106" t="s">
        <v>11201</v>
      </c>
      <c r="H2154" s="58" t="s">
        <v>11202</v>
      </c>
      <c r="I2154" s="115" t="s">
        <v>3453</v>
      </c>
      <c r="J2154" s="58" t="s">
        <v>11203</v>
      </c>
      <c r="K2154" s="151" t="s">
        <v>11202</v>
      </c>
    </row>
    <row r="2155" spans="1:11">
      <c r="A2155" s="158"/>
      <c r="B2155" s="122"/>
      <c r="C2155" s="123"/>
      <c r="D2155" s="114" t="s">
        <v>11204</v>
      </c>
      <c r="E2155" s="58" t="s">
        <v>11205</v>
      </c>
      <c r="F2155" s="106" t="s">
        <v>2639</v>
      </c>
      <c r="G2155" s="106" t="s">
        <v>11206</v>
      </c>
      <c r="H2155" s="58" t="s">
        <v>11207</v>
      </c>
      <c r="I2155" s="115" t="s">
        <v>3453</v>
      </c>
      <c r="J2155" s="58" t="s">
        <v>11208</v>
      </c>
      <c r="K2155" s="151" t="s">
        <v>11207</v>
      </c>
    </row>
    <row r="2156" spans="1:11">
      <c r="A2156" s="158"/>
      <c r="B2156" s="122"/>
      <c r="C2156" s="123"/>
      <c r="D2156" s="114" t="s">
        <v>11209</v>
      </c>
      <c r="E2156" s="58" t="s">
        <v>11210</v>
      </c>
      <c r="F2156" s="106" t="s">
        <v>2639</v>
      </c>
      <c r="G2156" s="106" t="s">
        <v>11211</v>
      </c>
      <c r="H2156" s="58" t="s">
        <v>11212</v>
      </c>
      <c r="I2156" s="115" t="s">
        <v>3453</v>
      </c>
      <c r="J2156" s="58" t="s">
        <v>11213</v>
      </c>
      <c r="K2156" s="151" t="s">
        <v>11212</v>
      </c>
    </row>
    <row r="2157" spans="1:11">
      <c r="A2157" s="158"/>
      <c r="B2157" s="122"/>
      <c r="C2157" s="123" t="s">
        <v>11214</v>
      </c>
      <c r="D2157" s="114" t="s">
        <v>11215</v>
      </c>
      <c r="E2157" s="58" t="s">
        <v>11216</v>
      </c>
      <c r="F2157" s="106" t="s">
        <v>2639</v>
      </c>
      <c r="G2157" s="106" t="s">
        <v>11217</v>
      </c>
      <c r="H2157" s="58" t="s">
        <v>11218</v>
      </c>
      <c r="I2157" s="115" t="s">
        <v>3453</v>
      </c>
      <c r="J2157" s="58" t="s">
        <v>11219</v>
      </c>
      <c r="K2157" s="151" t="s">
        <v>11218</v>
      </c>
    </row>
    <row r="2158" spans="1:11">
      <c r="A2158" s="158"/>
      <c r="B2158" s="122"/>
      <c r="C2158" s="123"/>
      <c r="D2158" s="114" t="s">
        <v>11220</v>
      </c>
      <c r="E2158" s="58" t="s">
        <v>11221</v>
      </c>
      <c r="F2158" s="106" t="s">
        <v>2639</v>
      </c>
      <c r="G2158" s="106" t="s">
        <v>11222</v>
      </c>
      <c r="H2158" s="58" t="s">
        <v>11223</v>
      </c>
      <c r="I2158" s="115" t="s">
        <v>3453</v>
      </c>
      <c r="J2158" s="58" t="s">
        <v>11224</v>
      </c>
      <c r="K2158" s="151" t="s">
        <v>11223</v>
      </c>
    </row>
    <row r="2159" spans="1:11">
      <c r="A2159" s="158"/>
      <c r="B2159" s="122"/>
      <c r="C2159" s="123"/>
      <c r="D2159" s="114" t="s">
        <v>11225</v>
      </c>
      <c r="E2159" s="58" t="s">
        <v>11226</v>
      </c>
      <c r="F2159" s="106" t="s">
        <v>2639</v>
      </c>
      <c r="G2159" s="106" t="s">
        <v>11227</v>
      </c>
      <c r="H2159" s="58" t="s">
        <v>11228</v>
      </c>
      <c r="I2159" s="115" t="s">
        <v>3453</v>
      </c>
      <c r="J2159" s="58" t="s">
        <v>11229</v>
      </c>
      <c r="K2159" s="151" t="s">
        <v>11228</v>
      </c>
    </row>
    <row r="2160" spans="1:11">
      <c r="A2160" s="158"/>
      <c r="B2160" s="122"/>
      <c r="C2160" s="123"/>
      <c r="D2160" s="114" t="s">
        <v>11230</v>
      </c>
      <c r="E2160" s="58" t="s">
        <v>11231</v>
      </c>
      <c r="F2160" s="106" t="s">
        <v>2639</v>
      </c>
      <c r="G2160" s="106" t="s">
        <v>11232</v>
      </c>
      <c r="H2160" s="58" t="s">
        <v>11233</v>
      </c>
      <c r="I2160" s="115" t="s">
        <v>3459</v>
      </c>
      <c r="J2160" s="58" t="s">
        <v>11234</v>
      </c>
      <c r="K2160" s="151" t="s">
        <v>11233</v>
      </c>
    </row>
    <row r="2161" spans="1:11">
      <c r="A2161" s="158"/>
      <c r="B2161" s="122"/>
      <c r="C2161" s="123"/>
      <c r="D2161" s="114" t="s">
        <v>11235</v>
      </c>
      <c r="E2161" s="58" t="s">
        <v>11236</v>
      </c>
      <c r="F2161" s="106" t="s">
        <v>2639</v>
      </c>
      <c r="G2161" s="106" t="s">
        <v>11237</v>
      </c>
      <c r="H2161" s="58" t="s">
        <v>11238</v>
      </c>
      <c r="I2161" s="115" t="s">
        <v>3453</v>
      </c>
      <c r="J2161" s="58" t="s">
        <v>11239</v>
      </c>
      <c r="K2161" s="151" t="s">
        <v>11238</v>
      </c>
    </row>
    <row r="2162" spans="1:11">
      <c r="A2162" s="158"/>
      <c r="B2162" s="122"/>
      <c r="C2162" s="123" t="s">
        <v>11240</v>
      </c>
      <c r="D2162" s="114" t="s">
        <v>11241</v>
      </c>
      <c r="E2162" s="58" t="s">
        <v>11242</v>
      </c>
      <c r="F2162" s="106" t="s">
        <v>2639</v>
      </c>
      <c r="G2162" s="106" t="s">
        <v>11243</v>
      </c>
      <c r="H2162" s="58" t="s">
        <v>11244</v>
      </c>
      <c r="I2162" s="115" t="s">
        <v>3453</v>
      </c>
      <c r="J2162" s="58" t="s">
        <v>11245</v>
      </c>
      <c r="K2162" s="151" t="s">
        <v>11244</v>
      </c>
    </row>
    <row r="2163" spans="1:11">
      <c r="A2163" s="158"/>
      <c r="B2163" s="122"/>
      <c r="C2163" s="123"/>
      <c r="D2163" s="114" t="s">
        <v>11246</v>
      </c>
      <c r="E2163" s="58" t="s">
        <v>11247</v>
      </c>
      <c r="F2163" s="106" t="s">
        <v>2639</v>
      </c>
      <c r="G2163" s="106" t="s">
        <v>11248</v>
      </c>
      <c r="H2163" s="58" t="s">
        <v>11249</v>
      </c>
      <c r="I2163" s="115" t="s">
        <v>3453</v>
      </c>
      <c r="J2163" s="58" t="s">
        <v>11250</v>
      </c>
      <c r="K2163" s="151" t="s">
        <v>11249</v>
      </c>
    </row>
    <row r="2164" spans="1:11">
      <c r="A2164" s="158"/>
      <c r="B2164" s="122"/>
      <c r="C2164" s="123"/>
      <c r="D2164" s="114" t="s">
        <v>11251</v>
      </c>
      <c r="E2164" s="58" t="s">
        <v>11252</v>
      </c>
      <c r="F2164" s="106" t="s">
        <v>2639</v>
      </c>
      <c r="G2164" s="106" t="s">
        <v>11253</v>
      </c>
      <c r="H2164" s="58" t="s">
        <v>11254</v>
      </c>
      <c r="I2164" s="115" t="s">
        <v>3453</v>
      </c>
      <c r="J2164" s="58" t="s">
        <v>11255</v>
      </c>
      <c r="K2164" s="151" t="s">
        <v>11254</v>
      </c>
    </row>
    <row r="2165" spans="1:11">
      <c r="A2165" s="158"/>
      <c r="B2165" s="122"/>
      <c r="C2165" s="123"/>
      <c r="D2165" s="114" t="s">
        <v>11256</v>
      </c>
      <c r="E2165" s="58" t="s">
        <v>11257</v>
      </c>
      <c r="F2165" s="106" t="s">
        <v>2639</v>
      </c>
      <c r="G2165" s="106" t="s">
        <v>11258</v>
      </c>
      <c r="H2165" s="58" t="s">
        <v>11259</v>
      </c>
      <c r="I2165" s="115" t="s">
        <v>3453</v>
      </c>
      <c r="J2165" s="58" t="s">
        <v>11260</v>
      </c>
      <c r="K2165" s="151" t="s">
        <v>11259</v>
      </c>
    </row>
    <row r="2166" spans="1:11">
      <c r="A2166" s="158"/>
      <c r="B2166" s="122"/>
      <c r="C2166" s="123"/>
      <c r="D2166" s="114" t="s">
        <v>11261</v>
      </c>
      <c r="E2166" s="58" t="s">
        <v>11262</v>
      </c>
      <c r="F2166" s="106" t="s">
        <v>2639</v>
      </c>
      <c r="G2166" s="106" t="s">
        <v>11263</v>
      </c>
      <c r="H2166" s="58" t="s">
        <v>11264</v>
      </c>
      <c r="I2166" s="115" t="s">
        <v>3453</v>
      </c>
      <c r="J2166" s="58" t="s">
        <v>11265</v>
      </c>
      <c r="K2166" s="151" t="s">
        <v>11264</v>
      </c>
    </row>
    <row r="2167" spans="1:11">
      <c r="A2167" s="158"/>
      <c r="B2167" s="122" t="s">
        <v>73</v>
      </c>
      <c r="C2167" s="122" t="s">
        <v>11266</v>
      </c>
      <c r="D2167" s="58" t="s">
        <v>11267</v>
      </c>
      <c r="E2167" s="58" t="s">
        <v>11268</v>
      </c>
      <c r="F2167" s="106" t="s">
        <v>2639</v>
      </c>
      <c r="G2167" s="106" t="s">
        <v>11269</v>
      </c>
      <c r="H2167" s="58" t="s">
        <v>11270</v>
      </c>
      <c r="I2167" s="115" t="s">
        <v>3453</v>
      </c>
      <c r="J2167" s="58" t="s">
        <v>11271</v>
      </c>
      <c r="K2167" s="151" t="s">
        <v>11270</v>
      </c>
    </row>
    <row r="2168" spans="1:11">
      <c r="A2168" s="158"/>
      <c r="B2168" s="122"/>
      <c r="C2168" s="122"/>
      <c r="D2168" s="58" t="s">
        <v>11272</v>
      </c>
      <c r="E2168" s="58" t="s">
        <v>11273</v>
      </c>
      <c r="F2168" s="106" t="s">
        <v>2639</v>
      </c>
      <c r="G2168" s="106" t="s">
        <v>11274</v>
      </c>
      <c r="H2168" s="58" t="s">
        <v>11275</v>
      </c>
      <c r="I2168" s="115" t="s">
        <v>3453</v>
      </c>
      <c r="J2168" s="58" t="s">
        <v>11276</v>
      </c>
      <c r="K2168" s="151" t="s">
        <v>11275</v>
      </c>
    </row>
    <row r="2169" spans="1:11">
      <c r="A2169" s="158"/>
      <c r="B2169" s="122"/>
      <c r="C2169" s="122"/>
      <c r="D2169" s="58" t="s">
        <v>11277</v>
      </c>
      <c r="E2169" s="58" t="s">
        <v>11278</v>
      </c>
      <c r="F2169" s="106" t="s">
        <v>2639</v>
      </c>
      <c r="G2169" s="106" t="s">
        <v>11279</v>
      </c>
      <c r="H2169" s="58" t="s">
        <v>11280</v>
      </c>
      <c r="I2169" s="115" t="s">
        <v>3453</v>
      </c>
      <c r="J2169" s="58" t="s">
        <v>11281</v>
      </c>
      <c r="K2169" s="151" t="s">
        <v>11280</v>
      </c>
    </row>
    <row r="2170" spans="1:11">
      <c r="A2170" s="158"/>
      <c r="B2170" s="122"/>
      <c r="C2170" s="122"/>
      <c r="D2170" s="58" t="s">
        <v>11282</v>
      </c>
      <c r="E2170" s="58" t="s">
        <v>11283</v>
      </c>
      <c r="F2170" s="106" t="s">
        <v>2639</v>
      </c>
      <c r="G2170" s="106" t="s">
        <v>11284</v>
      </c>
      <c r="H2170" s="58" t="s">
        <v>11285</v>
      </c>
      <c r="I2170" s="115" t="s">
        <v>3453</v>
      </c>
      <c r="J2170" s="58" t="s">
        <v>11286</v>
      </c>
      <c r="K2170" s="151" t="s">
        <v>11285</v>
      </c>
    </row>
    <row r="2171" spans="1:11">
      <c r="A2171" s="158"/>
      <c r="B2171" s="122"/>
      <c r="C2171" s="122"/>
      <c r="D2171" s="58" t="s">
        <v>11287</v>
      </c>
      <c r="E2171" s="58" t="s">
        <v>11288</v>
      </c>
      <c r="F2171" s="106" t="s">
        <v>2639</v>
      </c>
      <c r="G2171" s="106" t="s">
        <v>11289</v>
      </c>
      <c r="H2171" s="58" t="s">
        <v>9980</v>
      </c>
      <c r="I2171" s="115" t="s">
        <v>3453</v>
      </c>
      <c r="J2171" s="58" t="s">
        <v>11290</v>
      </c>
      <c r="K2171" s="151" t="s">
        <v>9980</v>
      </c>
    </row>
    <row r="2172" spans="1:11">
      <c r="A2172" s="158"/>
      <c r="B2172" s="122"/>
      <c r="C2172" s="123" t="s">
        <v>11291</v>
      </c>
      <c r="D2172" s="58" t="s">
        <v>11292</v>
      </c>
      <c r="E2172" s="58" t="s">
        <v>11293</v>
      </c>
      <c r="F2172" s="106" t="s">
        <v>2639</v>
      </c>
      <c r="G2172" s="106" t="s">
        <v>11294</v>
      </c>
      <c r="H2172" s="58" t="s">
        <v>11295</v>
      </c>
      <c r="I2172" s="115" t="s">
        <v>3453</v>
      </c>
      <c r="J2172" s="58" t="s">
        <v>11296</v>
      </c>
      <c r="K2172" s="151" t="s">
        <v>11295</v>
      </c>
    </row>
    <row r="2173" spans="1:11">
      <c r="A2173" s="158"/>
      <c r="B2173" s="122"/>
      <c r="C2173" s="123"/>
      <c r="D2173" s="58" t="s">
        <v>11297</v>
      </c>
      <c r="E2173" s="58" t="s">
        <v>11298</v>
      </c>
      <c r="F2173" s="106" t="s">
        <v>2639</v>
      </c>
      <c r="G2173" s="106" t="s">
        <v>11299</v>
      </c>
      <c r="H2173" s="58" t="s">
        <v>11300</v>
      </c>
      <c r="I2173" s="115" t="s">
        <v>3453</v>
      </c>
      <c r="J2173" s="58" t="s">
        <v>11301</v>
      </c>
      <c r="K2173" s="151" t="s">
        <v>11300</v>
      </c>
    </row>
    <row r="2174" spans="1:11">
      <c r="A2174" s="158"/>
      <c r="B2174" s="122"/>
      <c r="C2174" s="123"/>
      <c r="D2174" s="58" t="s">
        <v>11302</v>
      </c>
      <c r="E2174" s="58" t="s">
        <v>11303</v>
      </c>
      <c r="F2174" s="106" t="s">
        <v>2639</v>
      </c>
      <c r="G2174" s="106" t="s">
        <v>11304</v>
      </c>
      <c r="H2174" s="58" t="s">
        <v>11305</v>
      </c>
      <c r="I2174" s="115" t="s">
        <v>3453</v>
      </c>
      <c r="J2174" s="58" t="s">
        <v>11306</v>
      </c>
      <c r="K2174" s="151" t="s">
        <v>11305</v>
      </c>
    </row>
    <row r="2175" spans="1:11">
      <c r="A2175" s="158"/>
      <c r="B2175" s="122"/>
      <c r="C2175" s="123"/>
      <c r="D2175" s="58" t="s">
        <v>11307</v>
      </c>
      <c r="E2175" s="58" t="s">
        <v>11308</v>
      </c>
      <c r="F2175" s="106" t="s">
        <v>2639</v>
      </c>
      <c r="G2175" s="106" t="s">
        <v>11309</v>
      </c>
      <c r="H2175" s="58" t="s">
        <v>11310</v>
      </c>
      <c r="I2175" s="115" t="s">
        <v>3459</v>
      </c>
      <c r="J2175" s="58" t="s">
        <v>11311</v>
      </c>
      <c r="K2175" s="151" t="s">
        <v>11310</v>
      </c>
    </row>
    <row r="2176" spans="1:11">
      <c r="A2176" s="158"/>
      <c r="B2176" s="122"/>
      <c r="C2176" s="123"/>
      <c r="D2176" s="58" t="s">
        <v>11312</v>
      </c>
      <c r="E2176" s="58" t="s">
        <v>11313</v>
      </c>
      <c r="F2176" s="106" t="s">
        <v>2639</v>
      </c>
      <c r="G2176" s="106" t="s">
        <v>11314</v>
      </c>
      <c r="H2176" s="58" t="s">
        <v>11315</v>
      </c>
      <c r="I2176" s="115" t="s">
        <v>3453</v>
      </c>
      <c r="J2176" s="58" t="s">
        <v>11316</v>
      </c>
      <c r="K2176" s="151" t="s">
        <v>11315</v>
      </c>
    </row>
    <row r="2177" spans="1:11">
      <c r="A2177" s="158"/>
      <c r="B2177" s="122"/>
      <c r="C2177" s="123" t="s">
        <v>11317</v>
      </c>
      <c r="D2177" s="58" t="s">
        <v>11318</v>
      </c>
      <c r="E2177" s="58" t="s">
        <v>11319</v>
      </c>
      <c r="F2177" s="106" t="s">
        <v>2639</v>
      </c>
      <c r="G2177" s="106" t="s">
        <v>11320</v>
      </c>
      <c r="H2177" s="58" t="s">
        <v>11321</v>
      </c>
      <c r="I2177" s="115" t="s">
        <v>3453</v>
      </c>
      <c r="J2177" s="58" t="s">
        <v>11322</v>
      </c>
      <c r="K2177" s="151" t="s">
        <v>11321</v>
      </c>
    </row>
    <row r="2178" spans="1:11">
      <c r="A2178" s="158"/>
      <c r="B2178" s="122"/>
      <c r="C2178" s="123"/>
      <c r="D2178" s="58" t="s">
        <v>11323</v>
      </c>
      <c r="E2178" s="58" t="s">
        <v>11324</v>
      </c>
      <c r="F2178" s="106" t="s">
        <v>2639</v>
      </c>
      <c r="G2178" s="106" t="s">
        <v>11325</v>
      </c>
      <c r="H2178" s="58" t="s">
        <v>11326</v>
      </c>
      <c r="I2178" s="115" t="s">
        <v>3459</v>
      </c>
      <c r="J2178" s="58" t="s">
        <v>11327</v>
      </c>
      <c r="K2178" s="151" t="s">
        <v>11326</v>
      </c>
    </row>
    <row r="2179" spans="1:11">
      <c r="A2179" s="158"/>
      <c r="B2179" s="122"/>
      <c r="C2179" s="123"/>
      <c r="D2179" s="58" t="s">
        <v>11328</v>
      </c>
      <c r="E2179" s="58" t="s">
        <v>11329</v>
      </c>
      <c r="F2179" s="106" t="s">
        <v>2639</v>
      </c>
      <c r="G2179" s="106" t="s">
        <v>11330</v>
      </c>
      <c r="H2179" s="58" t="s">
        <v>11331</v>
      </c>
      <c r="I2179" s="115" t="s">
        <v>3453</v>
      </c>
      <c r="J2179" s="58" t="s">
        <v>11332</v>
      </c>
      <c r="K2179" s="151" t="s">
        <v>11331</v>
      </c>
    </row>
    <row r="2180" spans="1:11">
      <c r="A2180" s="158"/>
      <c r="B2180" s="122"/>
      <c r="C2180" s="123"/>
      <c r="D2180" s="58" t="s">
        <v>11333</v>
      </c>
      <c r="E2180" s="58" t="s">
        <v>11334</v>
      </c>
      <c r="F2180" s="106" t="s">
        <v>2639</v>
      </c>
      <c r="G2180" s="106" t="s">
        <v>11335</v>
      </c>
      <c r="H2180" s="58" t="s">
        <v>11336</v>
      </c>
      <c r="I2180" s="115" t="s">
        <v>3453</v>
      </c>
      <c r="J2180" s="58" t="s">
        <v>11337</v>
      </c>
      <c r="K2180" s="151" t="s">
        <v>11336</v>
      </c>
    </row>
    <row r="2181" spans="1:11">
      <c r="A2181" s="158"/>
      <c r="B2181" s="122"/>
      <c r="C2181" s="123"/>
      <c r="D2181" s="58" t="s">
        <v>11338</v>
      </c>
      <c r="E2181" s="58" t="s">
        <v>11339</v>
      </c>
      <c r="F2181" s="106" t="s">
        <v>2639</v>
      </c>
      <c r="G2181" s="106" t="s">
        <v>11340</v>
      </c>
      <c r="H2181" s="58" t="s">
        <v>11341</v>
      </c>
      <c r="I2181" s="115" t="s">
        <v>3453</v>
      </c>
      <c r="J2181" s="58" t="s">
        <v>11342</v>
      </c>
      <c r="K2181" s="151" t="s">
        <v>11341</v>
      </c>
    </row>
    <row r="2182" spans="1:11">
      <c r="A2182" s="158"/>
      <c r="B2182" s="122"/>
      <c r="C2182" s="123" t="s">
        <v>11343</v>
      </c>
      <c r="D2182" s="58" t="s">
        <v>11344</v>
      </c>
      <c r="E2182" s="58" t="s">
        <v>11345</v>
      </c>
      <c r="F2182" s="106" t="s">
        <v>2639</v>
      </c>
      <c r="G2182" s="106" t="s">
        <v>11346</v>
      </c>
      <c r="H2182" s="58" t="s">
        <v>11347</v>
      </c>
      <c r="I2182" s="115" t="s">
        <v>3453</v>
      </c>
      <c r="J2182" s="58" t="s">
        <v>11348</v>
      </c>
      <c r="K2182" s="151" t="s">
        <v>11347</v>
      </c>
    </row>
    <row r="2183" spans="1:11">
      <c r="A2183" s="158"/>
      <c r="B2183" s="122"/>
      <c r="C2183" s="123"/>
      <c r="D2183" s="58" t="s">
        <v>11349</v>
      </c>
      <c r="E2183" s="58" t="s">
        <v>11350</v>
      </c>
      <c r="F2183" s="106" t="s">
        <v>2639</v>
      </c>
      <c r="G2183" s="106" t="s">
        <v>11351</v>
      </c>
      <c r="H2183" s="58" t="s">
        <v>11352</v>
      </c>
      <c r="I2183" s="115" t="s">
        <v>3453</v>
      </c>
      <c r="J2183" s="58" t="s">
        <v>3846</v>
      </c>
      <c r="K2183" s="151" t="s">
        <v>11352</v>
      </c>
    </row>
    <row r="2184" spans="1:11">
      <c r="A2184" s="158"/>
      <c r="B2184" s="122"/>
      <c r="C2184" s="123"/>
      <c r="D2184" s="58" t="s">
        <v>11353</v>
      </c>
      <c r="E2184" s="58" t="s">
        <v>11354</v>
      </c>
      <c r="F2184" s="106" t="s">
        <v>2639</v>
      </c>
      <c r="G2184" s="106" t="s">
        <v>11355</v>
      </c>
      <c r="H2184" s="58" t="s">
        <v>11356</v>
      </c>
      <c r="I2184" s="115" t="s">
        <v>3453</v>
      </c>
      <c r="J2184" s="58" t="s">
        <v>11357</v>
      </c>
      <c r="K2184" s="151" t="s">
        <v>11356</v>
      </c>
    </row>
    <row r="2185" spans="1:11">
      <c r="A2185" s="158"/>
      <c r="B2185" s="122"/>
      <c r="C2185" s="123"/>
      <c r="D2185" s="58" t="s">
        <v>11358</v>
      </c>
      <c r="E2185" s="58" t="s">
        <v>11359</v>
      </c>
      <c r="F2185" s="106" t="s">
        <v>2639</v>
      </c>
      <c r="G2185" s="106" t="s">
        <v>11360</v>
      </c>
      <c r="H2185" s="58" t="s">
        <v>11361</v>
      </c>
      <c r="I2185" s="115" t="s">
        <v>3453</v>
      </c>
      <c r="J2185" s="58" t="s">
        <v>11362</v>
      </c>
      <c r="K2185" s="151" t="s">
        <v>11361</v>
      </c>
    </row>
    <row r="2186" spans="1:11">
      <c r="A2186" s="158"/>
      <c r="B2186" s="122"/>
      <c r="C2186" s="123"/>
      <c r="D2186" s="58" t="s">
        <v>11363</v>
      </c>
      <c r="E2186" s="58" t="s">
        <v>11364</v>
      </c>
      <c r="F2186" s="106" t="s">
        <v>2639</v>
      </c>
      <c r="G2186" s="106" t="s">
        <v>11365</v>
      </c>
      <c r="H2186" s="58" t="s">
        <v>11366</v>
      </c>
      <c r="I2186" s="115" t="s">
        <v>3453</v>
      </c>
      <c r="J2186" s="58" t="s">
        <v>11367</v>
      </c>
      <c r="K2186" s="151" t="s">
        <v>11366</v>
      </c>
    </row>
    <row r="2187" spans="1:11">
      <c r="A2187" s="158"/>
      <c r="B2187" s="122"/>
      <c r="C2187" s="123" t="s">
        <v>11368</v>
      </c>
      <c r="D2187" s="58" t="s">
        <v>11369</v>
      </c>
      <c r="E2187" s="58" t="s">
        <v>11370</v>
      </c>
      <c r="F2187" s="106" t="s">
        <v>2640</v>
      </c>
      <c r="G2187" s="106" t="s">
        <v>11371</v>
      </c>
      <c r="H2187" s="58" t="s">
        <v>11372</v>
      </c>
      <c r="I2187" s="115" t="s">
        <v>3453</v>
      </c>
      <c r="J2187" s="58" t="s">
        <v>11373</v>
      </c>
      <c r="K2187" s="151" t="s">
        <v>11372</v>
      </c>
    </row>
    <row r="2188" spans="1:11">
      <c r="A2188" s="158"/>
      <c r="B2188" s="122"/>
      <c r="C2188" s="123"/>
      <c r="D2188" s="58" t="s">
        <v>11374</v>
      </c>
      <c r="E2188" s="58" t="s">
        <v>11375</v>
      </c>
      <c r="F2188" s="106" t="s">
        <v>2640</v>
      </c>
      <c r="G2188" s="106" t="s">
        <v>11376</v>
      </c>
      <c r="H2188" s="58" t="s">
        <v>11377</v>
      </c>
      <c r="I2188" s="115" t="s">
        <v>3453</v>
      </c>
      <c r="J2188" s="58" t="s">
        <v>11378</v>
      </c>
      <c r="K2188" s="151" t="s">
        <v>11377</v>
      </c>
    </row>
    <row r="2189" spans="1:11">
      <c r="A2189" s="158"/>
      <c r="B2189" s="122"/>
      <c r="C2189" s="123"/>
      <c r="D2189" s="58" t="s">
        <v>11379</v>
      </c>
      <c r="E2189" s="58" t="s">
        <v>11380</v>
      </c>
      <c r="F2189" s="106" t="s">
        <v>2640</v>
      </c>
      <c r="G2189" s="106" t="s">
        <v>11381</v>
      </c>
      <c r="H2189" s="58" t="s">
        <v>11382</v>
      </c>
      <c r="I2189" s="115" t="s">
        <v>3453</v>
      </c>
      <c r="J2189" s="58" t="s">
        <v>11383</v>
      </c>
      <c r="K2189" s="151" t="s">
        <v>11382</v>
      </c>
    </row>
    <row r="2190" spans="1:11">
      <c r="A2190" s="158"/>
      <c r="B2190" s="122"/>
      <c r="C2190" s="123"/>
      <c r="D2190" s="58" t="s">
        <v>11384</v>
      </c>
      <c r="E2190" s="58" t="s">
        <v>11385</v>
      </c>
      <c r="F2190" s="106" t="s">
        <v>2639</v>
      </c>
      <c r="G2190" s="106" t="s">
        <v>11386</v>
      </c>
      <c r="H2190" s="58" t="s">
        <v>11387</v>
      </c>
      <c r="I2190" s="115" t="s">
        <v>3453</v>
      </c>
      <c r="J2190" s="58" t="s">
        <v>11388</v>
      </c>
      <c r="K2190" s="151" t="s">
        <v>11387</v>
      </c>
    </row>
    <row r="2191" spans="1:11">
      <c r="A2191" s="158"/>
      <c r="B2191" s="122"/>
      <c r="C2191" s="123"/>
      <c r="D2191" s="58" t="s">
        <v>11389</v>
      </c>
      <c r="E2191" s="58" t="s">
        <v>11390</v>
      </c>
      <c r="F2191" s="106" t="s">
        <v>2640</v>
      </c>
      <c r="G2191" s="106" t="s">
        <v>11391</v>
      </c>
      <c r="H2191" s="58" t="s">
        <v>11392</v>
      </c>
      <c r="I2191" s="115" t="s">
        <v>3453</v>
      </c>
      <c r="J2191" s="58" t="s">
        <v>11393</v>
      </c>
      <c r="K2191" s="151" t="s">
        <v>11392</v>
      </c>
    </row>
    <row r="2192" spans="1:11">
      <c r="A2192" s="158"/>
      <c r="B2192" s="122" t="s">
        <v>75</v>
      </c>
      <c r="C2192" s="40" t="s">
        <v>76</v>
      </c>
      <c r="D2192" s="106" t="s">
        <v>258</v>
      </c>
      <c r="E2192" s="58" t="s">
        <v>11394</v>
      </c>
      <c r="F2192" s="106" t="s">
        <v>2640</v>
      </c>
      <c r="G2192" s="106" t="s">
        <v>11395</v>
      </c>
      <c r="H2192" s="58" t="s">
        <v>11396</v>
      </c>
      <c r="I2192" s="115" t="s">
        <v>3453</v>
      </c>
      <c r="J2192" s="58" t="s">
        <v>11397</v>
      </c>
      <c r="K2192" s="151" t="s">
        <v>11396</v>
      </c>
    </row>
    <row r="2193" spans="1:11">
      <c r="A2193" s="158"/>
      <c r="B2193" s="122"/>
      <c r="C2193" s="41"/>
      <c r="D2193" s="106" t="s">
        <v>259</v>
      </c>
      <c r="E2193" s="58" t="s">
        <v>11398</v>
      </c>
      <c r="F2193" s="106" t="s">
        <v>2640</v>
      </c>
      <c r="G2193" s="106" t="s">
        <v>11399</v>
      </c>
      <c r="H2193" s="58" t="s">
        <v>11400</v>
      </c>
      <c r="I2193" s="115" t="s">
        <v>3453</v>
      </c>
      <c r="J2193" s="58" t="s">
        <v>11401</v>
      </c>
      <c r="K2193" s="151" t="s">
        <v>11400</v>
      </c>
    </row>
    <row r="2194" spans="1:11">
      <c r="A2194" s="158"/>
      <c r="B2194" s="122"/>
      <c r="C2194" s="41"/>
      <c r="D2194" s="106" t="s">
        <v>260</v>
      </c>
      <c r="E2194" s="58" t="s">
        <v>11402</v>
      </c>
      <c r="F2194" s="106" t="s">
        <v>2640</v>
      </c>
      <c r="G2194" s="106" t="s">
        <v>11403</v>
      </c>
      <c r="H2194" s="58" t="s">
        <v>11404</v>
      </c>
      <c r="I2194" s="115" t="s">
        <v>3453</v>
      </c>
      <c r="J2194" s="58" t="s">
        <v>11405</v>
      </c>
      <c r="K2194" s="151" t="s">
        <v>11404</v>
      </c>
    </row>
    <row r="2195" spans="1:11">
      <c r="A2195" s="158"/>
      <c r="B2195" s="122"/>
      <c r="C2195" s="41"/>
      <c r="D2195" s="106" t="s">
        <v>261</v>
      </c>
      <c r="E2195" s="58" t="s">
        <v>11406</v>
      </c>
      <c r="F2195" s="106" t="s">
        <v>2640</v>
      </c>
      <c r="G2195" s="106" t="s">
        <v>11407</v>
      </c>
      <c r="H2195" s="58" t="s">
        <v>11408</v>
      </c>
      <c r="I2195" s="115" t="s">
        <v>3453</v>
      </c>
      <c r="J2195" s="58" t="s">
        <v>11409</v>
      </c>
      <c r="K2195" s="151" t="s">
        <v>11408</v>
      </c>
    </row>
    <row r="2196" spans="1:11">
      <c r="A2196" s="158"/>
      <c r="B2196" s="122"/>
      <c r="C2196" s="42"/>
      <c r="D2196" s="106" t="s">
        <v>262</v>
      </c>
      <c r="E2196" s="58" t="s">
        <v>11410</v>
      </c>
      <c r="F2196" s="106" t="s">
        <v>2640</v>
      </c>
      <c r="G2196" s="106" t="s">
        <v>11411</v>
      </c>
      <c r="H2196" s="58" t="s">
        <v>11412</v>
      </c>
      <c r="I2196" s="115" t="s">
        <v>3453</v>
      </c>
      <c r="J2196" s="58" t="s">
        <v>11413</v>
      </c>
      <c r="K2196" s="151" t="s">
        <v>11412</v>
      </c>
    </row>
    <row r="2197" spans="1:11">
      <c r="A2197" s="158"/>
      <c r="B2197" s="122"/>
      <c r="C2197" s="40" t="s">
        <v>77</v>
      </c>
      <c r="D2197" s="106" t="s">
        <v>263</v>
      </c>
      <c r="E2197" s="58" t="s">
        <v>11414</v>
      </c>
      <c r="F2197" s="106" t="s">
        <v>2640</v>
      </c>
      <c r="G2197" s="106" t="s">
        <v>11415</v>
      </c>
      <c r="H2197" s="58" t="s">
        <v>11416</v>
      </c>
      <c r="I2197" s="115" t="s">
        <v>3453</v>
      </c>
      <c r="J2197" s="58" t="s">
        <v>11417</v>
      </c>
      <c r="K2197" s="151" t="s">
        <v>11416</v>
      </c>
    </row>
    <row r="2198" spans="1:11">
      <c r="A2198" s="158"/>
      <c r="B2198" s="122"/>
      <c r="C2198" s="41"/>
      <c r="D2198" s="106" t="s">
        <v>264</v>
      </c>
      <c r="E2198" s="58" t="s">
        <v>11418</v>
      </c>
      <c r="F2198" s="106" t="s">
        <v>2640</v>
      </c>
      <c r="G2198" s="106" t="s">
        <v>11419</v>
      </c>
      <c r="H2198" s="58" t="s">
        <v>11420</v>
      </c>
      <c r="I2198" s="115" t="s">
        <v>3453</v>
      </c>
      <c r="J2198" s="58" t="s">
        <v>11421</v>
      </c>
      <c r="K2198" s="151" t="s">
        <v>11422</v>
      </c>
    </row>
    <row r="2199" spans="1:11">
      <c r="A2199" s="158"/>
      <c r="B2199" s="122"/>
      <c r="C2199" s="41"/>
      <c r="D2199" s="106" t="s">
        <v>265</v>
      </c>
      <c r="E2199" s="58" t="s">
        <v>11423</v>
      </c>
      <c r="F2199" s="106" t="s">
        <v>2640</v>
      </c>
      <c r="G2199" s="106" t="s">
        <v>11424</v>
      </c>
      <c r="H2199" s="58" t="s">
        <v>11425</v>
      </c>
      <c r="I2199" s="115" t="s">
        <v>3453</v>
      </c>
      <c r="J2199" s="58" t="s">
        <v>11426</v>
      </c>
      <c r="K2199" s="151" t="s">
        <v>11427</v>
      </c>
    </row>
    <row r="2200" spans="1:11">
      <c r="A2200" s="158"/>
      <c r="B2200" s="122"/>
      <c r="C2200" s="41"/>
      <c r="D2200" s="106" t="s">
        <v>266</v>
      </c>
      <c r="E2200" s="58" t="s">
        <v>11428</v>
      </c>
      <c r="F2200" s="106" t="s">
        <v>2640</v>
      </c>
      <c r="G2200" s="106" t="s">
        <v>11429</v>
      </c>
      <c r="H2200" s="58" t="s">
        <v>11430</v>
      </c>
      <c r="I2200" s="115" t="s">
        <v>3453</v>
      </c>
      <c r="J2200" s="58" t="s">
        <v>11431</v>
      </c>
      <c r="K2200" s="151" t="s">
        <v>11432</v>
      </c>
    </row>
    <row r="2201" spans="1:11">
      <c r="A2201" s="158"/>
      <c r="B2201" s="122"/>
      <c r="C2201" s="42"/>
      <c r="D2201" s="106" t="s">
        <v>267</v>
      </c>
      <c r="E2201" s="58" t="s">
        <v>11433</v>
      </c>
      <c r="F2201" s="106" t="s">
        <v>2640</v>
      </c>
      <c r="G2201" s="106" t="s">
        <v>11434</v>
      </c>
      <c r="H2201" s="58" t="s">
        <v>11435</v>
      </c>
      <c r="I2201" s="115" t="s">
        <v>3453</v>
      </c>
      <c r="J2201" s="58" t="s">
        <v>11436</v>
      </c>
      <c r="K2201" s="151" t="s">
        <v>11437</v>
      </c>
    </row>
    <row r="2202" spans="1:11">
      <c r="A2202" s="158"/>
      <c r="B2202" s="122"/>
      <c r="C2202" s="40" t="s">
        <v>242</v>
      </c>
      <c r="D2202" s="106" t="s">
        <v>245</v>
      </c>
      <c r="E2202" s="58" t="s">
        <v>11438</v>
      </c>
      <c r="F2202" s="106" t="s">
        <v>2640</v>
      </c>
      <c r="G2202" s="106" t="s">
        <v>10825</v>
      </c>
      <c r="H2202" s="58" t="s">
        <v>11439</v>
      </c>
      <c r="I2202" s="115" t="s">
        <v>3453</v>
      </c>
      <c r="J2202" s="58" t="s">
        <v>11440</v>
      </c>
      <c r="K2202" s="151" t="s">
        <v>11441</v>
      </c>
    </row>
    <row r="2203" spans="1:11">
      <c r="A2203" s="158"/>
      <c r="B2203" s="122"/>
      <c r="C2203" s="41"/>
      <c r="D2203" s="106" t="s">
        <v>246</v>
      </c>
      <c r="E2203" s="58" t="s">
        <v>11442</v>
      </c>
      <c r="F2203" s="106" t="s">
        <v>2640</v>
      </c>
      <c r="G2203" s="106" t="s">
        <v>11443</v>
      </c>
      <c r="H2203" s="58" t="s">
        <v>11444</v>
      </c>
      <c r="I2203" s="115" t="s">
        <v>3453</v>
      </c>
      <c r="J2203" s="58" t="s">
        <v>11445</v>
      </c>
      <c r="K2203" s="151" t="s">
        <v>11446</v>
      </c>
    </row>
    <row r="2204" spans="1:11">
      <c r="A2204" s="158"/>
      <c r="B2204" s="122"/>
      <c r="C2204" s="41"/>
      <c r="D2204" s="106" t="s">
        <v>247</v>
      </c>
      <c r="E2204" s="58" t="s">
        <v>11447</v>
      </c>
      <c r="F2204" s="106" t="s">
        <v>2640</v>
      </c>
      <c r="G2204" s="106" t="s">
        <v>11448</v>
      </c>
      <c r="H2204" s="58" t="s">
        <v>11449</v>
      </c>
      <c r="I2204" s="115" t="s">
        <v>3453</v>
      </c>
      <c r="J2204" s="58" t="s">
        <v>11450</v>
      </c>
      <c r="K2204" s="151" t="s">
        <v>11451</v>
      </c>
    </row>
    <row r="2205" spans="1:11">
      <c r="A2205" s="158"/>
      <c r="B2205" s="122"/>
      <c r="C2205" s="41"/>
      <c r="D2205" s="106" t="s">
        <v>248</v>
      </c>
      <c r="E2205" s="58" t="s">
        <v>11452</v>
      </c>
      <c r="F2205" s="106" t="s">
        <v>2640</v>
      </c>
      <c r="G2205" s="106" t="s">
        <v>11453</v>
      </c>
      <c r="H2205" s="58" t="s">
        <v>11454</v>
      </c>
      <c r="I2205" s="115" t="s">
        <v>3453</v>
      </c>
      <c r="J2205" s="58" t="s">
        <v>11455</v>
      </c>
      <c r="K2205" s="151" t="s">
        <v>11456</v>
      </c>
    </row>
    <row r="2206" spans="1:11">
      <c r="A2206" s="158"/>
      <c r="B2206" s="122"/>
      <c r="C2206" s="42"/>
      <c r="D2206" s="106" t="s">
        <v>249</v>
      </c>
      <c r="E2206" s="58" t="s">
        <v>11457</v>
      </c>
      <c r="F2206" s="106" t="s">
        <v>2640</v>
      </c>
      <c r="G2206" s="106" t="s">
        <v>11458</v>
      </c>
      <c r="H2206" s="58" t="s">
        <v>11459</v>
      </c>
      <c r="I2206" s="115" t="s">
        <v>3453</v>
      </c>
      <c r="J2206" s="58" t="s">
        <v>11460</v>
      </c>
      <c r="K2206" s="151" t="s">
        <v>11461</v>
      </c>
    </row>
    <row r="2207" spans="1:11">
      <c r="A2207" s="158"/>
      <c r="B2207" s="122"/>
      <c r="C2207" s="40" t="s">
        <v>244</v>
      </c>
      <c r="D2207" s="106" t="s">
        <v>250</v>
      </c>
      <c r="E2207" s="58" t="s">
        <v>11462</v>
      </c>
      <c r="F2207" s="106" t="s">
        <v>2640</v>
      </c>
      <c r="G2207" s="106" t="s">
        <v>11463</v>
      </c>
      <c r="H2207" s="58" t="s">
        <v>11464</v>
      </c>
      <c r="I2207" s="115" t="s">
        <v>3453</v>
      </c>
      <c r="J2207" s="58" t="s">
        <v>11465</v>
      </c>
      <c r="K2207" s="151" t="s">
        <v>11466</v>
      </c>
    </row>
    <row r="2208" spans="1:11">
      <c r="A2208" s="158"/>
      <c r="B2208" s="122"/>
      <c r="C2208" s="41"/>
      <c r="D2208" s="106" t="s">
        <v>251</v>
      </c>
      <c r="E2208" s="58" t="s">
        <v>11467</v>
      </c>
      <c r="F2208" s="106" t="s">
        <v>2639</v>
      </c>
      <c r="G2208" s="106" t="s">
        <v>11468</v>
      </c>
      <c r="H2208" s="58" t="s">
        <v>11469</v>
      </c>
      <c r="I2208" s="115" t="s">
        <v>3453</v>
      </c>
      <c r="J2208" s="58" t="s">
        <v>11470</v>
      </c>
      <c r="K2208" s="151" t="s">
        <v>11471</v>
      </c>
    </row>
    <row r="2209" spans="1:11">
      <c r="A2209" s="158"/>
      <c r="B2209" s="122"/>
      <c r="C2209" s="41"/>
      <c r="D2209" s="106" t="s">
        <v>252</v>
      </c>
      <c r="E2209" s="58" t="s">
        <v>11472</v>
      </c>
      <c r="F2209" s="106" t="s">
        <v>2639</v>
      </c>
      <c r="G2209" s="106" t="s">
        <v>11473</v>
      </c>
      <c r="H2209" s="58" t="s">
        <v>11474</v>
      </c>
      <c r="I2209" s="115" t="s">
        <v>3453</v>
      </c>
      <c r="J2209" s="58" t="s">
        <v>11475</v>
      </c>
      <c r="K2209" s="151" t="s">
        <v>11476</v>
      </c>
    </row>
    <row r="2210" spans="1:11">
      <c r="A2210" s="158"/>
      <c r="B2210" s="122"/>
      <c r="C2210" s="41"/>
      <c r="D2210" s="106" t="s">
        <v>253</v>
      </c>
      <c r="E2210" s="58" t="s">
        <v>11477</v>
      </c>
      <c r="F2210" s="106" t="s">
        <v>2639</v>
      </c>
      <c r="G2210" s="106" t="s">
        <v>11478</v>
      </c>
      <c r="H2210" s="58" t="s">
        <v>11479</v>
      </c>
      <c r="I2210" s="115" t="s">
        <v>3453</v>
      </c>
      <c r="J2210" s="58" t="s">
        <v>11480</v>
      </c>
      <c r="K2210" s="151" t="s">
        <v>11481</v>
      </c>
    </row>
    <row r="2211" spans="1:11">
      <c r="A2211" s="158"/>
      <c r="B2211" s="122"/>
      <c r="C2211" s="42"/>
      <c r="D2211" s="106" t="s">
        <v>226</v>
      </c>
      <c r="E2211" s="58" t="s">
        <v>11482</v>
      </c>
      <c r="F2211" s="106" t="s">
        <v>2639</v>
      </c>
      <c r="G2211" s="106" t="s">
        <v>11483</v>
      </c>
      <c r="H2211" s="58" t="s">
        <v>11460</v>
      </c>
      <c r="I2211" s="115" t="s">
        <v>3453</v>
      </c>
      <c r="J2211" s="58" t="s">
        <v>11484</v>
      </c>
      <c r="K2211" s="151" t="s">
        <v>11485</v>
      </c>
    </row>
    <row r="2212" spans="1:11">
      <c r="A2212" s="158"/>
      <c r="B2212" s="122"/>
      <c r="C2212" s="40" t="s">
        <v>243</v>
      </c>
      <c r="D2212" s="106" t="s">
        <v>254</v>
      </c>
      <c r="E2212" s="58" t="s">
        <v>11486</v>
      </c>
      <c r="F2212" s="106" t="s">
        <v>2639</v>
      </c>
      <c r="G2212" s="106" t="s">
        <v>11487</v>
      </c>
      <c r="H2212" s="58" t="s">
        <v>11488</v>
      </c>
      <c r="I2212" s="115" t="s">
        <v>3453</v>
      </c>
      <c r="J2212" s="58" t="s">
        <v>11489</v>
      </c>
      <c r="K2212" s="151" t="s">
        <v>11490</v>
      </c>
    </row>
    <row r="2213" spans="1:11">
      <c r="A2213" s="158"/>
      <c r="B2213" s="122"/>
      <c r="C2213" s="41"/>
      <c r="D2213" s="106" t="s">
        <v>255</v>
      </c>
      <c r="E2213" s="58" t="s">
        <v>11491</v>
      </c>
      <c r="F2213" s="106" t="s">
        <v>2639</v>
      </c>
      <c r="G2213" s="106" t="s">
        <v>11492</v>
      </c>
      <c r="H2213" s="58" t="s">
        <v>11493</v>
      </c>
      <c r="I2213" s="115" t="s">
        <v>3453</v>
      </c>
      <c r="J2213" s="58" t="s">
        <v>11494</v>
      </c>
      <c r="K2213" s="151" t="s">
        <v>11495</v>
      </c>
    </row>
    <row r="2214" spans="1:11">
      <c r="A2214" s="158"/>
      <c r="B2214" s="122"/>
      <c r="C2214" s="41"/>
      <c r="D2214" s="106" t="s">
        <v>215</v>
      </c>
      <c r="E2214" s="58" t="s">
        <v>11496</v>
      </c>
      <c r="F2214" s="106" t="s">
        <v>2639</v>
      </c>
      <c r="G2214" s="106" t="s">
        <v>11497</v>
      </c>
      <c r="H2214" s="58" t="s">
        <v>11498</v>
      </c>
      <c r="I2214" s="115" t="s">
        <v>3453</v>
      </c>
      <c r="J2214" s="58" t="s">
        <v>11499</v>
      </c>
      <c r="K2214" s="151" t="s">
        <v>11500</v>
      </c>
    </row>
    <row r="2215" spans="1:11">
      <c r="A2215" s="158"/>
      <c r="B2215" s="122"/>
      <c r="C2215" s="41"/>
      <c r="D2215" s="106" t="s">
        <v>256</v>
      </c>
      <c r="E2215" s="58" t="s">
        <v>11501</v>
      </c>
      <c r="F2215" s="106" t="s">
        <v>2639</v>
      </c>
      <c r="G2215" s="106" t="s">
        <v>11502</v>
      </c>
      <c r="H2215" s="58" t="s">
        <v>11503</v>
      </c>
      <c r="I2215" s="115" t="s">
        <v>3453</v>
      </c>
      <c r="J2215" s="58" t="s">
        <v>11504</v>
      </c>
      <c r="K2215" s="151" t="s">
        <v>11505</v>
      </c>
    </row>
    <row r="2216" spans="1:11" ht="15.75" thickBot="1">
      <c r="A2216" s="159"/>
      <c r="B2216" s="161"/>
      <c r="C2216" s="152"/>
      <c r="D2216" s="153" t="s">
        <v>257</v>
      </c>
      <c r="E2216" s="154" t="s">
        <v>11506</v>
      </c>
      <c r="F2216" s="153" t="s">
        <v>2639</v>
      </c>
      <c r="G2216" s="153" t="s">
        <v>11507</v>
      </c>
      <c r="H2216" s="154" t="s">
        <v>11508</v>
      </c>
      <c r="I2216" s="155" t="s">
        <v>3453</v>
      </c>
      <c r="J2216" s="154" t="s">
        <v>11509</v>
      </c>
      <c r="K2216" s="156" t="s">
        <v>11510</v>
      </c>
    </row>
  </sheetData>
  <mergeCells count="505">
    <mergeCell ref="A2:A506"/>
    <mergeCell ref="A508:A1012"/>
    <mergeCell ref="A1014:A1383"/>
    <mergeCell ref="A1385:A1484"/>
    <mergeCell ref="A1486:A1815"/>
    <mergeCell ref="A1817:A2216"/>
    <mergeCell ref="B2192:B2216"/>
    <mergeCell ref="C2192:C2196"/>
    <mergeCell ref="C2197:C2201"/>
    <mergeCell ref="C2202:C2206"/>
    <mergeCell ref="C2207:C2211"/>
    <mergeCell ref="C2212:C2216"/>
    <mergeCell ref="B2167:B2191"/>
    <mergeCell ref="C2167:C2171"/>
    <mergeCell ref="C2172:C2176"/>
    <mergeCell ref="C2177:C2181"/>
    <mergeCell ref="C2182:C2186"/>
    <mergeCell ref="C2187:C2191"/>
    <mergeCell ref="B2142:B2166"/>
    <mergeCell ref="C2142:C2146"/>
    <mergeCell ref="C2147:C2151"/>
    <mergeCell ref="C2152:C2156"/>
    <mergeCell ref="C2157:C2161"/>
    <mergeCell ref="C2162:C2166"/>
    <mergeCell ref="B2117:B2141"/>
    <mergeCell ref="C2117:C2121"/>
    <mergeCell ref="C2122:C2126"/>
    <mergeCell ref="C2127:C2131"/>
    <mergeCell ref="C2132:C2136"/>
    <mergeCell ref="C2137:C2141"/>
    <mergeCell ref="B2092:B2116"/>
    <mergeCell ref="C2092:C2096"/>
    <mergeCell ref="C2097:C2101"/>
    <mergeCell ref="C2102:C2106"/>
    <mergeCell ref="C2107:C2111"/>
    <mergeCell ref="C2112:C2116"/>
    <mergeCell ref="B2067:B2091"/>
    <mergeCell ref="C2067:C2071"/>
    <mergeCell ref="C2072:C2076"/>
    <mergeCell ref="C2077:C2081"/>
    <mergeCell ref="C2082:C2086"/>
    <mergeCell ref="C2087:C2091"/>
    <mergeCell ref="B2042:B2066"/>
    <mergeCell ref="C2042:C2046"/>
    <mergeCell ref="C2047:C2051"/>
    <mergeCell ref="C2052:C2056"/>
    <mergeCell ref="C2057:C2061"/>
    <mergeCell ref="C2062:C2066"/>
    <mergeCell ref="B2017:B2041"/>
    <mergeCell ref="C2017:C2021"/>
    <mergeCell ref="C2022:C2026"/>
    <mergeCell ref="C2027:C2031"/>
    <mergeCell ref="C2032:C2036"/>
    <mergeCell ref="C2037:C2041"/>
    <mergeCell ref="B1992:B2016"/>
    <mergeCell ref="C1992:C1996"/>
    <mergeCell ref="C1997:C2001"/>
    <mergeCell ref="C2002:C2006"/>
    <mergeCell ref="C2007:C2011"/>
    <mergeCell ref="C2012:C2016"/>
    <mergeCell ref="B1967:B1991"/>
    <mergeCell ref="C1967:C1971"/>
    <mergeCell ref="C1972:C1976"/>
    <mergeCell ref="C1977:C1981"/>
    <mergeCell ref="C1982:C1986"/>
    <mergeCell ref="C1987:C1991"/>
    <mergeCell ref="B1942:B1966"/>
    <mergeCell ref="C1942:C1946"/>
    <mergeCell ref="C1947:C1951"/>
    <mergeCell ref="C1952:C1956"/>
    <mergeCell ref="C1957:C1961"/>
    <mergeCell ref="C1962:C1966"/>
    <mergeCell ref="B1917:B1941"/>
    <mergeCell ref="C1917:C1921"/>
    <mergeCell ref="C1922:C1926"/>
    <mergeCell ref="C1927:C1931"/>
    <mergeCell ref="C1932:C1936"/>
    <mergeCell ref="C1937:C1941"/>
    <mergeCell ref="B1892:B1916"/>
    <mergeCell ref="C1892:C1896"/>
    <mergeCell ref="C1897:C1901"/>
    <mergeCell ref="C1902:C1906"/>
    <mergeCell ref="C1907:C1911"/>
    <mergeCell ref="C1912:C1916"/>
    <mergeCell ref="C1842:C1846"/>
    <mergeCell ref="C1847:C1851"/>
    <mergeCell ref="C1852:C1856"/>
    <mergeCell ref="C1857:C1861"/>
    <mergeCell ref="C1862:C1866"/>
    <mergeCell ref="B1867:B1891"/>
    <mergeCell ref="C1867:C1871"/>
    <mergeCell ref="C1872:C1876"/>
    <mergeCell ref="C1877:C1881"/>
    <mergeCell ref="C1882:C1886"/>
    <mergeCell ref="B1817:B1841"/>
    <mergeCell ref="C1817:C1821"/>
    <mergeCell ref="C1822:C1826"/>
    <mergeCell ref="C1827:C1831"/>
    <mergeCell ref="C1832:C1836"/>
    <mergeCell ref="C1837:C1841"/>
    <mergeCell ref="B1842:B1866"/>
    <mergeCell ref="C1887:C1891"/>
    <mergeCell ref="B1791:B1815"/>
    <mergeCell ref="C1791:C1795"/>
    <mergeCell ref="C1796:C1800"/>
    <mergeCell ref="C1801:C1805"/>
    <mergeCell ref="C1806:C1810"/>
    <mergeCell ref="C1811:C1815"/>
    <mergeCell ref="B1751:B1790"/>
    <mergeCell ref="C1751:C1755"/>
    <mergeCell ref="C1756:C1760"/>
    <mergeCell ref="C1761:C1765"/>
    <mergeCell ref="C1766:C1770"/>
    <mergeCell ref="C1771:C1775"/>
    <mergeCell ref="C1776:C1780"/>
    <mergeCell ref="C1781:C1785"/>
    <mergeCell ref="C1786:C1790"/>
    <mergeCell ref="B1706:B1750"/>
    <mergeCell ref="C1706:C1710"/>
    <mergeCell ref="C1711:C1715"/>
    <mergeCell ref="C1716:C1720"/>
    <mergeCell ref="C1721:C1725"/>
    <mergeCell ref="C1726:C1730"/>
    <mergeCell ref="C1731:C1735"/>
    <mergeCell ref="C1736:C1740"/>
    <mergeCell ref="C1741:C1745"/>
    <mergeCell ref="C1746:C1750"/>
    <mergeCell ref="B1681:B1705"/>
    <mergeCell ref="C1681:C1685"/>
    <mergeCell ref="C1686:C1690"/>
    <mergeCell ref="C1691:C1695"/>
    <mergeCell ref="C1696:C1700"/>
    <mergeCell ref="C1701:C1705"/>
    <mergeCell ref="B1636:B1680"/>
    <mergeCell ref="C1636:C1640"/>
    <mergeCell ref="C1641:C1645"/>
    <mergeCell ref="C1646:C1650"/>
    <mergeCell ref="C1651:C1655"/>
    <mergeCell ref="C1656:C1660"/>
    <mergeCell ref="C1661:C1665"/>
    <mergeCell ref="C1666:C1670"/>
    <mergeCell ref="C1671:C1675"/>
    <mergeCell ref="C1676:C1680"/>
    <mergeCell ref="B1606:B1635"/>
    <mergeCell ref="C1606:C1610"/>
    <mergeCell ref="C1611:C1615"/>
    <mergeCell ref="C1616:C1620"/>
    <mergeCell ref="C1621:C1625"/>
    <mergeCell ref="C1626:C1630"/>
    <mergeCell ref="C1631:C1635"/>
    <mergeCell ref="C1566:C1570"/>
    <mergeCell ref="C1571:C1575"/>
    <mergeCell ref="C1576:C1580"/>
    <mergeCell ref="C1581:C1585"/>
    <mergeCell ref="B1586:B1605"/>
    <mergeCell ref="C1586:C1590"/>
    <mergeCell ref="C1591:C1595"/>
    <mergeCell ref="C1596:C1600"/>
    <mergeCell ref="C1601:C1605"/>
    <mergeCell ref="B1526:B1545"/>
    <mergeCell ref="C1526:C1530"/>
    <mergeCell ref="C1531:C1535"/>
    <mergeCell ref="C1536:C1540"/>
    <mergeCell ref="C1541:C1545"/>
    <mergeCell ref="B1546:B1585"/>
    <mergeCell ref="C1546:C1550"/>
    <mergeCell ref="C1551:C1555"/>
    <mergeCell ref="C1556:C1560"/>
    <mergeCell ref="C1561:C1565"/>
    <mergeCell ref="B1486:B1525"/>
    <mergeCell ref="C1486:C1490"/>
    <mergeCell ref="C1491:C1495"/>
    <mergeCell ref="C1496:C1500"/>
    <mergeCell ref="C1501:C1505"/>
    <mergeCell ref="C1506:C1510"/>
    <mergeCell ref="C1511:C1515"/>
    <mergeCell ref="C1516:C1520"/>
    <mergeCell ref="C1521:C1525"/>
    <mergeCell ref="B1460:B1484"/>
    <mergeCell ref="C1460:C1464"/>
    <mergeCell ref="C1465:C1469"/>
    <mergeCell ref="C1470:C1474"/>
    <mergeCell ref="C1475:C1479"/>
    <mergeCell ref="C1480:C1484"/>
    <mergeCell ref="B1435:B1459"/>
    <mergeCell ref="C1435:C1439"/>
    <mergeCell ref="C1440:C1444"/>
    <mergeCell ref="C1445:C1449"/>
    <mergeCell ref="C1450:C1454"/>
    <mergeCell ref="C1455:C1459"/>
    <mergeCell ref="B1410:B1434"/>
    <mergeCell ref="C1410:C1414"/>
    <mergeCell ref="C1415:C1419"/>
    <mergeCell ref="C1420:C1424"/>
    <mergeCell ref="C1425:C1429"/>
    <mergeCell ref="C1430:C1434"/>
    <mergeCell ref="B1385:B1409"/>
    <mergeCell ref="C1385:C1389"/>
    <mergeCell ref="C1390:C1394"/>
    <mergeCell ref="C1395:C1399"/>
    <mergeCell ref="C1400:C1404"/>
    <mergeCell ref="C1405:C1409"/>
    <mergeCell ref="B1359:B1383"/>
    <mergeCell ref="C1359:C1363"/>
    <mergeCell ref="C1364:C1368"/>
    <mergeCell ref="C1369:C1373"/>
    <mergeCell ref="C1374:C1378"/>
    <mergeCell ref="C1379:C1383"/>
    <mergeCell ref="B1334:B1358"/>
    <mergeCell ref="C1334:C1338"/>
    <mergeCell ref="C1339:C1343"/>
    <mergeCell ref="C1344:C1348"/>
    <mergeCell ref="C1349:C1353"/>
    <mergeCell ref="C1354:C1358"/>
    <mergeCell ref="B1309:B1333"/>
    <mergeCell ref="C1309:C1313"/>
    <mergeCell ref="C1314:C1318"/>
    <mergeCell ref="C1319:C1323"/>
    <mergeCell ref="C1324:C1328"/>
    <mergeCell ref="C1329:C1333"/>
    <mergeCell ref="B1284:B1308"/>
    <mergeCell ref="C1284:C1288"/>
    <mergeCell ref="C1289:C1293"/>
    <mergeCell ref="C1294:C1298"/>
    <mergeCell ref="C1299:C1303"/>
    <mergeCell ref="C1304:C1308"/>
    <mergeCell ref="B1259:B1283"/>
    <mergeCell ref="C1259:C1263"/>
    <mergeCell ref="C1264:C1268"/>
    <mergeCell ref="C1269:C1273"/>
    <mergeCell ref="C1274:C1278"/>
    <mergeCell ref="C1279:C1283"/>
    <mergeCell ref="B1234:B1258"/>
    <mergeCell ref="C1234:C1238"/>
    <mergeCell ref="C1239:C1243"/>
    <mergeCell ref="C1244:C1248"/>
    <mergeCell ref="C1249:C1253"/>
    <mergeCell ref="C1254:C1258"/>
    <mergeCell ref="B1209:B1233"/>
    <mergeCell ref="C1209:C1213"/>
    <mergeCell ref="C1214:C1218"/>
    <mergeCell ref="C1219:C1223"/>
    <mergeCell ref="C1224:C1228"/>
    <mergeCell ref="C1229:C1233"/>
    <mergeCell ref="C1179:C1183"/>
    <mergeCell ref="B1184:B1208"/>
    <mergeCell ref="C1184:C1188"/>
    <mergeCell ref="C1189:C1193"/>
    <mergeCell ref="C1194:C1198"/>
    <mergeCell ref="C1199:C1203"/>
    <mergeCell ref="C1204:C1208"/>
    <mergeCell ref="B1139:B1158"/>
    <mergeCell ref="C1139:C1143"/>
    <mergeCell ref="C1144:C1148"/>
    <mergeCell ref="C1149:C1153"/>
    <mergeCell ref="C1154:C1158"/>
    <mergeCell ref="B1159:B1183"/>
    <mergeCell ref="C1159:C1163"/>
    <mergeCell ref="C1164:C1168"/>
    <mergeCell ref="C1169:C1173"/>
    <mergeCell ref="C1174:C1178"/>
    <mergeCell ref="B1114:B1138"/>
    <mergeCell ref="C1114:C1118"/>
    <mergeCell ref="C1119:C1123"/>
    <mergeCell ref="C1124:C1128"/>
    <mergeCell ref="C1129:C1133"/>
    <mergeCell ref="C1134:C1138"/>
    <mergeCell ref="B1089:B1113"/>
    <mergeCell ref="C1089:C1093"/>
    <mergeCell ref="C1094:C1098"/>
    <mergeCell ref="C1099:C1103"/>
    <mergeCell ref="C1104:C1108"/>
    <mergeCell ref="C1109:C1113"/>
    <mergeCell ref="B1064:B1088"/>
    <mergeCell ref="C1064:C1068"/>
    <mergeCell ref="C1069:C1073"/>
    <mergeCell ref="C1074:C1078"/>
    <mergeCell ref="C1079:C1083"/>
    <mergeCell ref="C1084:C1088"/>
    <mergeCell ref="B1039:B1063"/>
    <mergeCell ref="C1039:C1043"/>
    <mergeCell ref="C1044:C1048"/>
    <mergeCell ref="C1049:C1053"/>
    <mergeCell ref="C1054:C1058"/>
    <mergeCell ref="C1059:C1063"/>
    <mergeCell ref="C497:C501"/>
    <mergeCell ref="C502:C506"/>
    <mergeCell ref="B1014:B1038"/>
    <mergeCell ref="C1014:C1018"/>
    <mergeCell ref="C1019:C1023"/>
    <mergeCell ref="C1024:C1028"/>
    <mergeCell ref="C1029:C1033"/>
    <mergeCell ref="C1034:C1038"/>
    <mergeCell ref="C467:C471"/>
    <mergeCell ref="C472:C476"/>
    <mergeCell ref="C477:C481"/>
    <mergeCell ref="C482:C486"/>
    <mergeCell ref="C487:C491"/>
    <mergeCell ref="C492:C496"/>
    <mergeCell ref="C437:C441"/>
    <mergeCell ref="C442:C446"/>
    <mergeCell ref="C447:C451"/>
    <mergeCell ref="C452:C456"/>
    <mergeCell ref="C457:C461"/>
    <mergeCell ref="C462:C466"/>
    <mergeCell ref="C392:C396"/>
    <mergeCell ref="C397:C401"/>
    <mergeCell ref="C402:C406"/>
    <mergeCell ref="C407:C411"/>
    <mergeCell ref="B412:B506"/>
    <mergeCell ref="C412:C416"/>
    <mergeCell ref="C417:C421"/>
    <mergeCell ref="C422:C426"/>
    <mergeCell ref="C427:C431"/>
    <mergeCell ref="C432:C436"/>
    <mergeCell ref="B347:B411"/>
    <mergeCell ref="C347:C351"/>
    <mergeCell ref="C352:C356"/>
    <mergeCell ref="C357:C361"/>
    <mergeCell ref="C362:C366"/>
    <mergeCell ref="C367:C371"/>
    <mergeCell ref="C372:C376"/>
    <mergeCell ref="C377:C381"/>
    <mergeCell ref="C382:C386"/>
    <mergeCell ref="C387:C391"/>
    <mergeCell ref="C307:C311"/>
    <mergeCell ref="C312:C316"/>
    <mergeCell ref="B317:B346"/>
    <mergeCell ref="C317:C321"/>
    <mergeCell ref="C322:C326"/>
    <mergeCell ref="C327:C331"/>
    <mergeCell ref="C332:C336"/>
    <mergeCell ref="C337:C341"/>
    <mergeCell ref="C342:C346"/>
    <mergeCell ref="C277:C281"/>
    <mergeCell ref="C282:C286"/>
    <mergeCell ref="C287:C291"/>
    <mergeCell ref="C292:C296"/>
    <mergeCell ref="C297:C301"/>
    <mergeCell ref="C302:C306"/>
    <mergeCell ref="C247:C251"/>
    <mergeCell ref="C252:C256"/>
    <mergeCell ref="C257:C261"/>
    <mergeCell ref="C262:C266"/>
    <mergeCell ref="C267:C271"/>
    <mergeCell ref="C272:C276"/>
    <mergeCell ref="C217:C221"/>
    <mergeCell ref="C222:C226"/>
    <mergeCell ref="C227:C231"/>
    <mergeCell ref="C232:C236"/>
    <mergeCell ref="C237:C241"/>
    <mergeCell ref="C242:C246"/>
    <mergeCell ref="C172:C176"/>
    <mergeCell ref="C177:C181"/>
    <mergeCell ref="C182:C186"/>
    <mergeCell ref="C187:C191"/>
    <mergeCell ref="B192:B316"/>
    <mergeCell ref="C192:C196"/>
    <mergeCell ref="C197:C201"/>
    <mergeCell ref="C202:C206"/>
    <mergeCell ref="C207:C211"/>
    <mergeCell ref="C212:C216"/>
    <mergeCell ref="C142:C146"/>
    <mergeCell ref="C147:C151"/>
    <mergeCell ref="C152:C156"/>
    <mergeCell ref="C157:C161"/>
    <mergeCell ref="C162:C166"/>
    <mergeCell ref="C167:C171"/>
    <mergeCell ref="C112:C116"/>
    <mergeCell ref="C117:C121"/>
    <mergeCell ref="C122:C126"/>
    <mergeCell ref="C127:C131"/>
    <mergeCell ref="C132:C136"/>
    <mergeCell ref="C137:C141"/>
    <mergeCell ref="C82:C86"/>
    <mergeCell ref="C87:C91"/>
    <mergeCell ref="C92:C96"/>
    <mergeCell ref="C97:C101"/>
    <mergeCell ref="C102:C106"/>
    <mergeCell ref="C107:C111"/>
    <mergeCell ref="C37:C41"/>
    <mergeCell ref="C42:C46"/>
    <mergeCell ref="C47:C51"/>
    <mergeCell ref="B52:B191"/>
    <mergeCell ref="C52:C56"/>
    <mergeCell ref="C57:C61"/>
    <mergeCell ref="C62:C66"/>
    <mergeCell ref="C67:C71"/>
    <mergeCell ref="C72:C76"/>
    <mergeCell ref="C77:C81"/>
    <mergeCell ref="C1003:C1007"/>
    <mergeCell ref="C1008:C1012"/>
    <mergeCell ref="B2:B51"/>
    <mergeCell ref="C2:C6"/>
    <mergeCell ref="C7:C11"/>
    <mergeCell ref="C12:C16"/>
    <mergeCell ref="C17:C21"/>
    <mergeCell ref="C22:C26"/>
    <mergeCell ref="C27:C31"/>
    <mergeCell ref="C32:C36"/>
    <mergeCell ref="C973:C977"/>
    <mergeCell ref="C978:C982"/>
    <mergeCell ref="C983:C987"/>
    <mergeCell ref="C988:C992"/>
    <mergeCell ref="C993:C997"/>
    <mergeCell ref="C998:C1002"/>
    <mergeCell ref="C943:C947"/>
    <mergeCell ref="C948:C952"/>
    <mergeCell ref="C953:C957"/>
    <mergeCell ref="C958:C962"/>
    <mergeCell ref="C963:C967"/>
    <mergeCell ref="C968:C972"/>
    <mergeCell ref="C898:C902"/>
    <mergeCell ref="C903:C907"/>
    <mergeCell ref="C908:C912"/>
    <mergeCell ref="C913:C917"/>
    <mergeCell ref="B918:B1012"/>
    <mergeCell ref="C918:C922"/>
    <mergeCell ref="C923:C927"/>
    <mergeCell ref="C928:C932"/>
    <mergeCell ref="C933:C937"/>
    <mergeCell ref="C938:C942"/>
    <mergeCell ref="B853:B917"/>
    <mergeCell ref="C853:C857"/>
    <mergeCell ref="C858:C862"/>
    <mergeCell ref="C863:C867"/>
    <mergeCell ref="C868:C872"/>
    <mergeCell ref="C873:C877"/>
    <mergeCell ref="C878:C882"/>
    <mergeCell ref="C883:C887"/>
    <mergeCell ref="C888:C892"/>
    <mergeCell ref="C893:C897"/>
    <mergeCell ref="B823:B852"/>
    <mergeCell ref="C823:C827"/>
    <mergeCell ref="C828:C832"/>
    <mergeCell ref="C833:C837"/>
    <mergeCell ref="C838:C842"/>
    <mergeCell ref="C843:C847"/>
    <mergeCell ref="C848:C852"/>
    <mergeCell ref="C793:C797"/>
    <mergeCell ref="C798:C802"/>
    <mergeCell ref="C803:C807"/>
    <mergeCell ref="C808:C812"/>
    <mergeCell ref="C813:C817"/>
    <mergeCell ref="C818:C822"/>
    <mergeCell ref="C763:C767"/>
    <mergeCell ref="C768:C772"/>
    <mergeCell ref="C773:C777"/>
    <mergeCell ref="C778:C782"/>
    <mergeCell ref="C783:C787"/>
    <mergeCell ref="C788:C792"/>
    <mergeCell ref="C733:C737"/>
    <mergeCell ref="C738:C742"/>
    <mergeCell ref="C743:C747"/>
    <mergeCell ref="C748:C752"/>
    <mergeCell ref="C753:C757"/>
    <mergeCell ref="C758:C762"/>
    <mergeCell ref="C688:C692"/>
    <mergeCell ref="C693:C697"/>
    <mergeCell ref="B698:B822"/>
    <mergeCell ref="C698:C702"/>
    <mergeCell ref="C703:C707"/>
    <mergeCell ref="C708:C712"/>
    <mergeCell ref="C713:C717"/>
    <mergeCell ref="C718:C722"/>
    <mergeCell ref="C723:C727"/>
    <mergeCell ref="C728:C732"/>
    <mergeCell ref="C658:C662"/>
    <mergeCell ref="C663:C667"/>
    <mergeCell ref="C668:C672"/>
    <mergeCell ref="C673:C677"/>
    <mergeCell ref="C678:C682"/>
    <mergeCell ref="C683:C687"/>
    <mergeCell ref="C628:C632"/>
    <mergeCell ref="C633:C637"/>
    <mergeCell ref="C638:C642"/>
    <mergeCell ref="C643:C647"/>
    <mergeCell ref="C648:C652"/>
    <mergeCell ref="C653:C657"/>
    <mergeCell ref="C598:C602"/>
    <mergeCell ref="C603:C607"/>
    <mergeCell ref="C608:C612"/>
    <mergeCell ref="C613:C617"/>
    <mergeCell ref="C618:C622"/>
    <mergeCell ref="C623:C627"/>
    <mergeCell ref="C553:C557"/>
    <mergeCell ref="B558:B697"/>
    <mergeCell ref="C558:C562"/>
    <mergeCell ref="C563:C567"/>
    <mergeCell ref="C568:C572"/>
    <mergeCell ref="C573:C577"/>
    <mergeCell ref="C578:C582"/>
    <mergeCell ref="C583:C587"/>
    <mergeCell ref="C588:C592"/>
    <mergeCell ref="C593:C597"/>
    <mergeCell ref="B508:B557"/>
    <mergeCell ref="C508:C512"/>
    <mergeCell ref="C513:C517"/>
    <mergeCell ref="C518:C522"/>
    <mergeCell ref="C523:C527"/>
    <mergeCell ref="C528:C532"/>
    <mergeCell ref="C533:C537"/>
    <mergeCell ref="C538:C542"/>
    <mergeCell ref="C543:C547"/>
    <mergeCell ref="C548:C552"/>
  </mergeCells>
  <conditionalFormatting sqref="F1:F506">
    <cfRule type="cellIs" dxfId="107" priority="58" operator="equal">
      <formula>$F$3</formula>
    </cfRule>
    <cfRule type="cellIs" dxfId="106" priority="59" operator="equal">
      <formula>$F$4</formula>
    </cfRule>
    <cfRule type="cellIs" dxfId="105" priority="60" operator="equal">
      <formula>"OUI"</formula>
    </cfRule>
  </conditionalFormatting>
  <conditionalFormatting sqref="I2:I506">
    <cfRule type="expression" dxfId="104" priority="61">
      <formula>I2="Faible"</formula>
    </cfRule>
    <cfRule type="expression" dxfId="103" priority="62">
      <formula>I2="Moyenne"</formula>
    </cfRule>
    <cfRule type="expression" dxfId="102" priority="63">
      <formula>I2="Élevée"</formula>
    </cfRule>
    <cfRule type="expression" dxfId="101" priority="65">
      <formula>$S$6</formula>
    </cfRule>
    <cfRule type="expression" dxfId="100" priority="66">
      <formula>F2="Élevée"</formula>
    </cfRule>
  </conditionalFormatting>
  <conditionalFormatting sqref="I2">
    <cfRule type="expression" dxfId="99" priority="64">
      <formula>$S$6</formula>
    </cfRule>
  </conditionalFormatting>
  <conditionalFormatting sqref="F507:F1012">
    <cfRule type="cellIs" dxfId="98" priority="55" operator="equal">
      <formula>$F$15</formula>
    </cfRule>
    <cfRule type="cellIs" dxfId="97" priority="56" operator="equal">
      <formula>$F$6</formula>
    </cfRule>
    <cfRule type="cellIs" dxfId="96" priority="57" operator="equal">
      <formula>$F$7</formula>
    </cfRule>
  </conditionalFormatting>
  <conditionalFormatting sqref="F1013:F1383">
    <cfRule type="cellIs" dxfId="95" priority="52" operator="equal">
      <formula>$H$7</formula>
    </cfRule>
    <cfRule type="cellIs" dxfId="94" priority="53" operator="equal">
      <formula>$H$3</formula>
    </cfRule>
    <cfRule type="cellIs" dxfId="93" priority="54" operator="equal">
      <formula>$H$6</formula>
    </cfRule>
  </conditionalFormatting>
  <conditionalFormatting sqref="I1014:I1383">
    <cfRule type="cellIs" dxfId="92" priority="48" operator="equal">
      <formula>$K$255</formula>
    </cfRule>
    <cfRule type="cellIs" dxfId="91" priority="49" operator="equal">
      <formula>$K$153</formula>
    </cfRule>
    <cfRule type="cellIs" dxfId="90" priority="50" operator="equal">
      <formula>$K$161</formula>
    </cfRule>
    <cfRule type="colorScale" priority="51">
      <colorScale>
        <cfvo type="min"/>
        <cfvo type="percentile" val="50"/>
        <cfvo type="max"/>
        <color rgb="FFF8696B"/>
        <color rgb="FFFFEB84"/>
        <color rgb="FF63BE7B"/>
      </colorScale>
    </cfRule>
  </conditionalFormatting>
  <conditionalFormatting sqref="H1167">
    <cfRule type="cellIs" dxfId="89" priority="44" operator="equal">
      <formula>$K$255</formula>
    </cfRule>
    <cfRule type="cellIs" dxfId="88" priority="45" operator="equal">
      <formula>$K$153</formula>
    </cfRule>
    <cfRule type="cellIs" dxfId="87" priority="46" operator="equal">
      <formula>$K$161</formula>
    </cfRule>
    <cfRule type="colorScale" priority="47">
      <colorScale>
        <cfvo type="min"/>
        <cfvo type="percentile" val="50"/>
        <cfvo type="max"/>
        <color rgb="FFF8696B"/>
        <color rgb="FFFFEB84"/>
        <color rgb="FF63BE7B"/>
      </colorScale>
    </cfRule>
  </conditionalFormatting>
  <conditionalFormatting sqref="H1168">
    <cfRule type="cellIs" dxfId="86" priority="40" operator="equal">
      <formula>$K$255</formula>
    </cfRule>
    <cfRule type="cellIs" dxfId="85" priority="41" operator="equal">
      <formula>$K$153</formula>
    </cfRule>
    <cfRule type="cellIs" dxfId="84" priority="42" operator="equal">
      <formula>$K$161</formula>
    </cfRule>
    <cfRule type="colorScale" priority="43">
      <colorScale>
        <cfvo type="min"/>
        <cfvo type="percentile" val="50"/>
        <cfvo type="max"/>
        <color rgb="FFF8696B"/>
        <color rgb="FFFFEB84"/>
        <color rgb="FF63BE7B"/>
      </colorScale>
    </cfRule>
  </conditionalFormatting>
  <conditionalFormatting sqref="I1386 I1470 I1461 I1467 I1455 I1452 I1449 I1443 I1440 I1434 I1425 I1419 I1416 I1407 I1401 I1398 I1395 I1392 I1389 I1479">
    <cfRule type="cellIs" dxfId="83" priority="37" operator="equal">
      <formula>$I$321</formula>
    </cfRule>
    <cfRule type="cellIs" dxfId="82" priority="38" operator="equal">
      <formula>$I$325</formula>
    </cfRule>
    <cfRule type="cellIs" dxfId="81" priority="39" operator="equal">
      <formula>$I$330</formula>
    </cfRule>
  </conditionalFormatting>
  <conditionalFormatting sqref="I1476">
    <cfRule type="cellIs" dxfId="80" priority="34" operator="equal">
      <formula>$I$321</formula>
    </cfRule>
    <cfRule type="cellIs" dxfId="79" priority="35" operator="equal">
      <formula>$I$325</formula>
    </cfRule>
    <cfRule type="cellIs" dxfId="78" priority="36" operator="equal">
      <formula>$I$330</formula>
    </cfRule>
  </conditionalFormatting>
  <conditionalFormatting sqref="I1482">
    <cfRule type="cellIs" dxfId="77" priority="31" operator="equal">
      <formula>$I$321</formula>
    </cfRule>
    <cfRule type="cellIs" dxfId="76" priority="32" operator="equal">
      <formula>$I$325</formula>
    </cfRule>
    <cfRule type="cellIs" dxfId="75" priority="33" operator="equal">
      <formula>$I$330</formula>
    </cfRule>
  </conditionalFormatting>
  <conditionalFormatting sqref="F1486:F1815">
    <cfRule type="cellIs" dxfId="74" priority="28" operator="equal">
      <formula>$F$6</formula>
    </cfRule>
    <cfRule type="cellIs" dxfId="73" priority="29" operator="equal">
      <formula>$F$8</formula>
    </cfRule>
    <cfRule type="cellIs" dxfId="72" priority="30" operator="equal">
      <formula>$F$7</formula>
    </cfRule>
  </conditionalFormatting>
  <conditionalFormatting sqref="I1486:I1815">
    <cfRule type="cellIs" dxfId="71" priority="25" operator="equal">
      <formula>$I$321</formula>
    </cfRule>
    <cfRule type="cellIs" dxfId="70" priority="26" operator="equal">
      <formula>$I$325</formula>
    </cfRule>
    <cfRule type="cellIs" dxfId="69" priority="27" operator="equal">
      <formula>$I$330</formula>
    </cfRule>
  </conditionalFormatting>
  <conditionalFormatting sqref="F1817:F2216">
    <cfRule type="cellIs" dxfId="68" priority="22" operator="equal">
      <formula>$G$11</formula>
    </cfRule>
    <cfRule type="cellIs" dxfId="67" priority="23" operator="equal">
      <formula>$G$10</formula>
    </cfRule>
    <cfRule type="cellIs" dxfId="66" priority="24" operator="equal">
      <formula>$G$12</formula>
    </cfRule>
  </conditionalFormatting>
  <conditionalFormatting sqref="I1817:I2216">
    <cfRule type="cellIs" dxfId="65" priority="19" operator="equal">
      <formula>$J$276</formula>
    </cfRule>
    <cfRule type="cellIs" dxfId="64" priority="20" operator="equal">
      <formula>$J$364</formula>
    </cfRule>
    <cfRule type="cellIs" dxfId="63" priority="21" operator="equal">
      <formula>$J$374</formula>
    </cfRule>
  </conditionalFormatting>
  <conditionalFormatting sqref="F1:F1048576">
    <cfRule type="cellIs" dxfId="62" priority="16" operator="equal">
      <formula>$F$1821</formula>
    </cfRule>
    <cfRule type="cellIs" dxfId="61" priority="17" operator="equal">
      <formula>$F$1818</formula>
    </cfRule>
    <cfRule type="cellIs" dxfId="60" priority="18" operator="equal">
      <formula>$F$1820</formula>
    </cfRule>
  </conditionalFormatting>
  <conditionalFormatting sqref="I1:I1048576">
    <cfRule type="cellIs" dxfId="59" priority="13" operator="equal">
      <formula>$I$1842</formula>
    </cfRule>
    <cfRule type="cellIs" dxfId="58" priority="14" operator="equal">
      <formula>$I$1849</formula>
    </cfRule>
    <cfRule type="cellIs" dxfId="57" priority="15" operator="equal">
      <formula>$I$1851</formula>
    </cfRule>
  </conditionalFormatting>
  <conditionalFormatting sqref="I1464">
    <cfRule type="cellIs" dxfId="56" priority="10" operator="equal">
      <formula>$I$321</formula>
    </cfRule>
    <cfRule type="cellIs" dxfId="55" priority="11" operator="equal">
      <formula>$I$325</formula>
    </cfRule>
    <cfRule type="cellIs" dxfId="54" priority="12" operator="equal">
      <formula>$I$330</formula>
    </cfRule>
  </conditionalFormatting>
  <conditionalFormatting sqref="I1428">
    <cfRule type="cellIs" dxfId="53" priority="7" operator="equal">
      <formula>$I$321</formula>
    </cfRule>
    <cfRule type="cellIs" dxfId="52" priority="8" operator="equal">
      <formula>$I$325</formula>
    </cfRule>
    <cfRule type="cellIs" dxfId="51" priority="9" operator="equal">
      <formula>$I$330</formula>
    </cfRule>
  </conditionalFormatting>
  <conditionalFormatting sqref="I1410 I1413">
    <cfRule type="cellIs" dxfId="50" priority="4" operator="equal">
      <formula>$I$321</formula>
    </cfRule>
    <cfRule type="cellIs" dxfId="49" priority="5" operator="equal">
      <formula>$I$325</formula>
    </cfRule>
    <cfRule type="cellIs" dxfId="48" priority="6" operator="equal">
      <formula>$I$330</formula>
    </cfRule>
  </conditionalFormatting>
  <conditionalFormatting sqref="I1404">
    <cfRule type="cellIs" dxfId="47" priority="1" operator="equal">
      <formula>$I$321</formula>
    </cfRule>
    <cfRule type="cellIs" dxfId="46" priority="2" operator="equal">
      <formula>$I$325</formula>
    </cfRule>
    <cfRule type="cellIs" dxfId="45" priority="3" operator="equal">
      <formula>$I$330</formula>
    </cfRule>
  </conditionalFormatting>
  <dataValidations count="4">
    <dataValidation type="list" allowBlank="1" showInputMessage="1" showErrorMessage="1" sqref="F2:F506">
      <formula1>$P$465:$P$466</formula1>
    </dataValidation>
    <dataValidation type="list" allowBlank="1" showInputMessage="1" showErrorMessage="1" sqref="I2:I506">
      <formula1>"Élevée,Moyenne,Faible"</formula1>
    </dataValidation>
    <dataValidation type="list" allowBlank="1" showInputMessage="1" showErrorMessage="1" sqref="F508:F1012 F1167:F1168 F1485:F1815">
      <formula1>"OUI,NON,PAS"</formula1>
    </dataValidation>
    <dataValidation type="list" allowBlank="1" showInputMessage="1" showErrorMessage="1" sqref="I1014:I1383">
      <formula1>"ÉLEVÉ,MOYEN,FAIBLE"</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7"/>
  <sheetViews>
    <sheetView topLeftCell="E1" workbookViewId="0">
      <selection activeCell="G11" sqref="G11"/>
    </sheetView>
  </sheetViews>
  <sheetFormatPr baseColWidth="10" defaultRowHeight="15"/>
  <cols>
    <col min="1" max="1" width="28" customWidth="1"/>
    <col min="2" max="2" width="36.85546875" style="9" customWidth="1"/>
    <col min="3" max="3" width="103.85546875" customWidth="1"/>
    <col min="4" max="4" width="74.140625" customWidth="1"/>
    <col min="5" max="5" width="15" style="13" customWidth="1"/>
    <col min="6" max="6" width="82.140625" customWidth="1"/>
    <col min="7" max="7" width="70.5703125" customWidth="1"/>
    <col min="8" max="8" width="12.7109375" style="13" bestFit="1" customWidth="1"/>
    <col min="9" max="9" width="100" customWidth="1"/>
    <col min="10" max="10" width="133.42578125" customWidth="1"/>
  </cols>
  <sheetData>
    <row r="1" spans="1:10" ht="15.75" thickBot="1"/>
    <row r="2" spans="1:10" ht="21" thickBot="1">
      <c r="A2" s="46" t="s">
        <v>347</v>
      </c>
      <c r="B2" s="43" t="s">
        <v>348</v>
      </c>
      <c r="C2" s="24" t="s">
        <v>349</v>
      </c>
      <c r="D2" s="24" t="s">
        <v>350</v>
      </c>
      <c r="E2" s="24" t="s">
        <v>2638</v>
      </c>
      <c r="F2" s="24" t="s">
        <v>1369</v>
      </c>
      <c r="G2" s="24" t="s">
        <v>2196</v>
      </c>
      <c r="H2" s="24" t="s">
        <v>2763</v>
      </c>
      <c r="I2" s="24" t="s">
        <v>352</v>
      </c>
      <c r="J2" s="80" t="s">
        <v>7181</v>
      </c>
    </row>
    <row r="3" spans="1:10" ht="17.25">
      <c r="A3" s="47" t="s">
        <v>353</v>
      </c>
      <c r="B3" s="44" t="s">
        <v>354</v>
      </c>
      <c r="C3" s="2" t="s">
        <v>355</v>
      </c>
      <c r="D3" s="49" t="s">
        <v>7182</v>
      </c>
      <c r="E3" s="166" t="s">
        <v>7183</v>
      </c>
      <c r="F3" s="50" t="s">
        <v>7184</v>
      </c>
      <c r="G3" s="50" t="s">
        <v>7185</v>
      </c>
      <c r="H3" s="81" t="s">
        <v>3449</v>
      </c>
      <c r="I3" s="50" t="s">
        <v>7186</v>
      </c>
      <c r="J3" s="48" t="s">
        <v>7187</v>
      </c>
    </row>
    <row r="4" spans="1:10" ht="17.25">
      <c r="A4" s="26"/>
      <c r="B4" s="45"/>
      <c r="C4" s="2" t="s">
        <v>357</v>
      </c>
      <c r="D4" s="49" t="s">
        <v>7188</v>
      </c>
      <c r="E4" s="166" t="s">
        <v>7189</v>
      </c>
      <c r="F4" s="50" t="s">
        <v>7190</v>
      </c>
      <c r="G4" s="50" t="s">
        <v>7191</v>
      </c>
      <c r="H4" s="53" t="s">
        <v>3450</v>
      </c>
      <c r="I4" s="50" t="s">
        <v>7192</v>
      </c>
      <c r="J4" s="48" t="s">
        <v>7193</v>
      </c>
    </row>
    <row r="5" spans="1:10" ht="17.25">
      <c r="A5" s="26"/>
      <c r="B5" s="45"/>
      <c r="C5" s="2" t="s">
        <v>359</v>
      </c>
      <c r="D5" s="49" t="s">
        <v>7194</v>
      </c>
      <c r="E5" s="166" t="s">
        <v>7183</v>
      </c>
      <c r="F5" s="50" t="s">
        <v>7195</v>
      </c>
      <c r="G5" s="50" t="s">
        <v>7196</v>
      </c>
      <c r="H5" s="53" t="s">
        <v>3449</v>
      </c>
      <c r="I5" s="50" t="s">
        <v>7197</v>
      </c>
      <c r="J5" s="48" t="s">
        <v>7198</v>
      </c>
    </row>
    <row r="6" spans="1:10" ht="17.25">
      <c r="A6" s="26"/>
      <c r="B6" s="45"/>
      <c r="C6" s="2" t="s">
        <v>361</v>
      </c>
      <c r="D6" s="49" t="s">
        <v>7199</v>
      </c>
      <c r="E6" s="166" t="s">
        <v>7183</v>
      </c>
      <c r="F6" s="50" t="s">
        <v>7200</v>
      </c>
      <c r="G6" s="50" t="s">
        <v>7201</v>
      </c>
      <c r="H6" s="53" t="s">
        <v>3449</v>
      </c>
      <c r="I6" s="50" t="s">
        <v>7202</v>
      </c>
      <c r="J6" s="48" t="s">
        <v>7203</v>
      </c>
    </row>
    <row r="7" spans="1:10" ht="17.25">
      <c r="A7" s="26"/>
      <c r="B7" s="45"/>
      <c r="C7" s="2" t="s">
        <v>363</v>
      </c>
      <c r="D7" s="49" t="s">
        <v>7204</v>
      </c>
      <c r="E7" s="166" t="s">
        <v>7189</v>
      </c>
      <c r="F7" s="50" t="s">
        <v>7205</v>
      </c>
      <c r="G7" s="50" t="s">
        <v>7206</v>
      </c>
      <c r="H7" s="53" t="s">
        <v>3449</v>
      </c>
      <c r="I7" s="50" t="s">
        <v>7207</v>
      </c>
      <c r="J7" s="48" t="s">
        <v>7208</v>
      </c>
    </row>
    <row r="8" spans="1:10" ht="17.25">
      <c r="A8" s="26"/>
      <c r="B8" s="45" t="s">
        <v>365</v>
      </c>
      <c r="C8" s="2" t="s">
        <v>366</v>
      </c>
      <c r="D8" s="49" t="s">
        <v>7209</v>
      </c>
      <c r="E8" s="166" t="s">
        <v>7183</v>
      </c>
      <c r="F8" s="50" t="s">
        <v>7210</v>
      </c>
      <c r="G8" s="50" t="s">
        <v>7211</v>
      </c>
      <c r="H8" s="53" t="s">
        <v>3449</v>
      </c>
      <c r="I8" s="50" t="s">
        <v>7212</v>
      </c>
      <c r="J8" s="48" t="s">
        <v>7213</v>
      </c>
    </row>
    <row r="9" spans="1:10" ht="17.25">
      <c r="A9" s="26"/>
      <c r="B9" s="45"/>
      <c r="C9" s="2" t="s">
        <v>368</v>
      </c>
      <c r="D9" s="49" t="s">
        <v>7214</v>
      </c>
      <c r="E9" s="166" t="s">
        <v>7189</v>
      </c>
      <c r="F9" s="50" t="s">
        <v>7215</v>
      </c>
      <c r="G9" s="50" t="s">
        <v>7216</v>
      </c>
      <c r="H9" s="54" t="s">
        <v>3450</v>
      </c>
      <c r="I9" s="50" t="s">
        <v>7217</v>
      </c>
      <c r="J9" s="48" t="s">
        <v>7218</v>
      </c>
    </row>
    <row r="10" spans="1:10" ht="17.25">
      <c r="A10" s="26"/>
      <c r="B10" s="45"/>
      <c r="C10" s="2" t="s">
        <v>370</v>
      </c>
      <c r="D10" s="49" t="s">
        <v>7219</v>
      </c>
      <c r="E10" s="166" t="s">
        <v>7183</v>
      </c>
      <c r="F10" s="50" t="s">
        <v>7220</v>
      </c>
      <c r="G10" s="50" t="s">
        <v>7221</v>
      </c>
      <c r="H10" s="54" t="s">
        <v>3450</v>
      </c>
      <c r="I10" s="50" t="s">
        <v>7222</v>
      </c>
      <c r="J10" s="48" t="s">
        <v>7223</v>
      </c>
    </row>
    <row r="11" spans="1:10" ht="17.25">
      <c r="A11" s="26"/>
      <c r="B11" s="45"/>
      <c r="C11" s="2" t="s">
        <v>372</v>
      </c>
      <c r="D11" s="49" t="s">
        <v>7224</v>
      </c>
      <c r="E11" s="166" t="s">
        <v>7183</v>
      </c>
      <c r="F11" s="50" t="s">
        <v>7225</v>
      </c>
      <c r="G11" s="50" t="s">
        <v>7226</v>
      </c>
      <c r="H11" s="54" t="s">
        <v>3449</v>
      </c>
      <c r="I11" s="50" t="s">
        <v>7227</v>
      </c>
      <c r="J11" s="48" t="s">
        <v>7228</v>
      </c>
    </row>
    <row r="12" spans="1:10" ht="17.25">
      <c r="A12" s="26"/>
      <c r="B12" s="45"/>
      <c r="C12" s="2" t="s">
        <v>374</v>
      </c>
      <c r="D12" s="49" t="s">
        <v>7229</v>
      </c>
      <c r="E12" s="166" t="s">
        <v>7189</v>
      </c>
      <c r="F12" s="50" t="s">
        <v>7230</v>
      </c>
      <c r="G12" s="50" t="s">
        <v>7231</v>
      </c>
      <c r="H12" s="54" t="s">
        <v>3449</v>
      </c>
      <c r="I12" s="50" t="s">
        <v>7232</v>
      </c>
      <c r="J12" s="48" t="s">
        <v>7233</v>
      </c>
    </row>
    <row r="13" spans="1:10" ht="17.25">
      <c r="A13" s="26"/>
      <c r="B13" s="45" t="s">
        <v>376</v>
      </c>
      <c r="C13" s="2" t="s">
        <v>377</v>
      </c>
      <c r="D13" s="49" t="s">
        <v>378</v>
      </c>
      <c r="E13" s="166" t="s">
        <v>7183</v>
      </c>
      <c r="F13" s="50" t="s">
        <v>7234</v>
      </c>
      <c r="G13" s="50" t="s">
        <v>7235</v>
      </c>
      <c r="H13" s="54" t="s">
        <v>3449</v>
      </c>
      <c r="I13" s="50" t="s">
        <v>7236</v>
      </c>
      <c r="J13" s="48" t="s">
        <v>7237</v>
      </c>
    </row>
    <row r="14" spans="1:10" ht="17.25">
      <c r="A14" s="26"/>
      <c r="B14" s="45"/>
      <c r="C14" s="2" t="s">
        <v>379</v>
      </c>
      <c r="D14" s="49" t="s">
        <v>7238</v>
      </c>
      <c r="E14" s="166" t="s">
        <v>7183</v>
      </c>
      <c r="F14" s="50" t="s">
        <v>7239</v>
      </c>
      <c r="G14" s="50" t="s">
        <v>7240</v>
      </c>
      <c r="H14" s="54" t="s">
        <v>3449</v>
      </c>
      <c r="I14" s="50" t="s">
        <v>7241</v>
      </c>
      <c r="J14" s="48" t="s">
        <v>7242</v>
      </c>
    </row>
    <row r="15" spans="1:10" ht="17.25">
      <c r="A15" s="26"/>
      <c r="B15" s="45"/>
      <c r="C15" s="2" t="s">
        <v>381</v>
      </c>
      <c r="D15" s="49" t="s">
        <v>7243</v>
      </c>
      <c r="E15" s="166" t="s">
        <v>7189</v>
      </c>
      <c r="F15" s="50" t="s">
        <v>7244</v>
      </c>
      <c r="G15" s="50" t="s">
        <v>7245</v>
      </c>
      <c r="H15" s="54" t="s">
        <v>3449</v>
      </c>
      <c r="I15" s="50" t="s">
        <v>7246</v>
      </c>
      <c r="J15" s="48" t="s">
        <v>7247</v>
      </c>
    </row>
    <row r="16" spans="1:10" ht="17.25">
      <c r="A16" s="26"/>
      <c r="B16" s="45"/>
      <c r="C16" s="2" t="s">
        <v>383</v>
      </c>
      <c r="D16" s="49" t="s">
        <v>7248</v>
      </c>
      <c r="E16" s="166" t="s">
        <v>7183</v>
      </c>
      <c r="F16" s="50" t="s">
        <v>7249</v>
      </c>
      <c r="G16" s="50" t="s">
        <v>7250</v>
      </c>
      <c r="H16" s="54" t="s">
        <v>3449</v>
      </c>
      <c r="I16" s="50" t="s">
        <v>7251</v>
      </c>
      <c r="J16" s="48" t="s">
        <v>7252</v>
      </c>
    </row>
    <row r="17" spans="1:10" ht="17.25">
      <c r="A17" s="26"/>
      <c r="B17" s="45"/>
      <c r="C17" s="2" t="s">
        <v>384</v>
      </c>
      <c r="D17" s="49" t="s">
        <v>7253</v>
      </c>
      <c r="E17" s="166" t="s">
        <v>7183</v>
      </c>
      <c r="F17" s="50" t="s">
        <v>7254</v>
      </c>
      <c r="G17" s="50" t="s">
        <v>7255</v>
      </c>
      <c r="H17" s="54" t="s">
        <v>3449</v>
      </c>
      <c r="I17" s="50" t="s">
        <v>7256</v>
      </c>
      <c r="J17" s="48" t="s">
        <v>7257</v>
      </c>
    </row>
    <row r="18" spans="1:10" ht="17.25">
      <c r="A18" s="26"/>
      <c r="B18" s="45" t="s">
        <v>386</v>
      </c>
      <c r="C18" s="2" t="s">
        <v>387</v>
      </c>
      <c r="D18" s="49" t="s">
        <v>7258</v>
      </c>
      <c r="E18" s="166" t="s">
        <v>7183</v>
      </c>
      <c r="F18" s="50" t="s">
        <v>7259</v>
      </c>
      <c r="G18" s="50" t="s">
        <v>7260</v>
      </c>
      <c r="H18" s="54" t="s">
        <v>3449</v>
      </c>
      <c r="I18" s="50" t="s">
        <v>7261</v>
      </c>
      <c r="J18" s="48" t="s">
        <v>7262</v>
      </c>
    </row>
    <row r="19" spans="1:10" ht="17.25">
      <c r="A19" s="26"/>
      <c r="B19" s="45"/>
      <c r="C19" s="2" t="s">
        <v>389</v>
      </c>
      <c r="D19" s="49" t="s">
        <v>7263</v>
      </c>
      <c r="E19" s="166" t="s">
        <v>7189</v>
      </c>
      <c r="F19" s="50" t="s">
        <v>7264</v>
      </c>
      <c r="G19" s="50" t="s">
        <v>7265</v>
      </c>
      <c r="H19" s="54" t="s">
        <v>3449</v>
      </c>
      <c r="I19" s="50" t="s">
        <v>7266</v>
      </c>
      <c r="J19" s="48" t="s">
        <v>7267</v>
      </c>
    </row>
    <row r="20" spans="1:10" ht="17.25">
      <c r="A20" s="26"/>
      <c r="B20" s="45"/>
      <c r="C20" s="2" t="s">
        <v>391</v>
      </c>
      <c r="D20" s="49" t="s">
        <v>7268</v>
      </c>
      <c r="E20" s="166" t="s">
        <v>7183</v>
      </c>
      <c r="F20" s="50" t="s">
        <v>7269</v>
      </c>
      <c r="G20" s="50" t="s">
        <v>7270</v>
      </c>
      <c r="H20" s="54" t="s">
        <v>3449</v>
      </c>
      <c r="I20" s="50" t="s">
        <v>7271</v>
      </c>
      <c r="J20" s="48" t="s">
        <v>7272</v>
      </c>
    </row>
    <row r="21" spans="1:10" ht="17.25">
      <c r="A21" s="26"/>
      <c r="B21" s="45"/>
      <c r="C21" s="2" t="s">
        <v>393</v>
      </c>
      <c r="D21" s="49" t="s">
        <v>7273</v>
      </c>
      <c r="E21" s="166" t="s">
        <v>7183</v>
      </c>
      <c r="F21" s="50" t="s">
        <v>7274</v>
      </c>
      <c r="G21" s="50" t="s">
        <v>7275</v>
      </c>
      <c r="H21" s="54" t="s">
        <v>3449</v>
      </c>
      <c r="I21" s="50" t="s">
        <v>7276</v>
      </c>
      <c r="J21" s="48" t="s">
        <v>7277</v>
      </c>
    </row>
    <row r="22" spans="1:10" ht="17.25">
      <c r="A22" s="26"/>
      <c r="B22" s="45"/>
      <c r="C22" s="2" t="s">
        <v>395</v>
      </c>
      <c r="D22" s="49" t="s">
        <v>396</v>
      </c>
      <c r="E22" s="166" t="s">
        <v>7189</v>
      </c>
      <c r="F22" s="50" t="s">
        <v>7278</v>
      </c>
      <c r="G22" s="50" t="s">
        <v>7279</v>
      </c>
      <c r="H22" s="54" t="s">
        <v>3449</v>
      </c>
      <c r="I22" s="50" t="s">
        <v>7280</v>
      </c>
      <c r="J22" s="48" t="s">
        <v>7281</v>
      </c>
    </row>
    <row r="23" spans="1:10" ht="17.25">
      <c r="A23" s="26"/>
      <c r="B23" s="45" t="s">
        <v>397</v>
      </c>
      <c r="C23" s="2" t="s">
        <v>398</v>
      </c>
      <c r="D23" s="49" t="s">
        <v>7282</v>
      </c>
      <c r="E23" s="166" t="s">
        <v>7183</v>
      </c>
      <c r="F23" s="50" t="s">
        <v>7283</v>
      </c>
      <c r="G23" s="50" t="s">
        <v>7284</v>
      </c>
      <c r="H23" s="54" t="s">
        <v>3449</v>
      </c>
      <c r="I23" s="50" t="s">
        <v>7285</v>
      </c>
      <c r="J23" s="48" t="s">
        <v>7286</v>
      </c>
    </row>
    <row r="24" spans="1:10" ht="17.25">
      <c r="A24" s="26"/>
      <c r="B24" s="45"/>
      <c r="C24" s="2" t="s">
        <v>400</v>
      </c>
      <c r="D24" s="49" t="s">
        <v>7287</v>
      </c>
      <c r="E24" s="166" t="s">
        <v>7183</v>
      </c>
      <c r="F24" s="50" t="s">
        <v>7288</v>
      </c>
      <c r="G24" s="50" t="s">
        <v>7289</v>
      </c>
      <c r="H24" s="54" t="s">
        <v>3449</v>
      </c>
      <c r="I24" s="50" t="s">
        <v>7290</v>
      </c>
      <c r="J24" s="48" t="s">
        <v>7291</v>
      </c>
    </row>
    <row r="25" spans="1:10" ht="17.25">
      <c r="A25" s="26"/>
      <c r="B25" s="45"/>
      <c r="C25" s="2" t="s">
        <v>402</v>
      </c>
      <c r="D25" s="49" t="s">
        <v>7292</v>
      </c>
      <c r="E25" s="166" t="s">
        <v>7183</v>
      </c>
      <c r="F25" s="50" t="s">
        <v>7293</v>
      </c>
      <c r="G25" s="50" t="s">
        <v>7294</v>
      </c>
      <c r="H25" s="54" t="s">
        <v>3449</v>
      </c>
      <c r="I25" s="50" t="s">
        <v>7295</v>
      </c>
      <c r="J25" s="48" t="s">
        <v>7296</v>
      </c>
    </row>
    <row r="26" spans="1:10" ht="17.25">
      <c r="A26" s="26"/>
      <c r="B26" s="45"/>
      <c r="C26" s="2" t="s">
        <v>404</v>
      </c>
      <c r="D26" s="49" t="s">
        <v>7297</v>
      </c>
      <c r="E26" s="166" t="s">
        <v>7189</v>
      </c>
      <c r="F26" s="50" t="s">
        <v>7298</v>
      </c>
      <c r="G26" s="50" t="s">
        <v>7299</v>
      </c>
      <c r="H26" s="54" t="s">
        <v>3450</v>
      </c>
      <c r="I26" s="50" t="s">
        <v>7300</v>
      </c>
      <c r="J26" s="48" t="s">
        <v>7301</v>
      </c>
    </row>
    <row r="27" spans="1:10" ht="17.25">
      <c r="A27" s="26"/>
      <c r="B27" s="45"/>
      <c r="C27" s="2" t="s">
        <v>406</v>
      </c>
      <c r="D27" s="49" t="s">
        <v>7302</v>
      </c>
      <c r="E27" s="166" t="s">
        <v>7183</v>
      </c>
      <c r="F27" s="50" t="s">
        <v>7303</v>
      </c>
      <c r="G27" s="50" t="s">
        <v>7304</v>
      </c>
      <c r="H27" s="54" t="s">
        <v>3450</v>
      </c>
      <c r="I27" s="50" t="s">
        <v>7305</v>
      </c>
      <c r="J27" s="48" t="s">
        <v>7306</v>
      </c>
    </row>
    <row r="28" spans="1:10" ht="17.25">
      <c r="A28" s="26"/>
      <c r="B28" s="45" t="s">
        <v>408</v>
      </c>
      <c r="C28" s="2" t="s">
        <v>409</v>
      </c>
      <c r="D28" s="49" t="s">
        <v>7307</v>
      </c>
      <c r="E28" s="166" t="s">
        <v>7189</v>
      </c>
      <c r="F28" s="50" t="s">
        <v>7308</v>
      </c>
      <c r="G28" s="50" t="s">
        <v>7309</v>
      </c>
      <c r="H28" s="54" t="s">
        <v>3449</v>
      </c>
      <c r="I28" s="50" t="s">
        <v>7310</v>
      </c>
      <c r="J28" s="48" t="s">
        <v>7311</v>
      </c>
    </row>
    <row r="29" spans="1:10" ht="17.25">
      <c r="A29" s="26"/>
      <c r="B29" s="45"/>
      <c r="C29" s="2" t="s">
        <v>410</v>
      </c>
      <c r="D29" s="49" t="s">
        <v>7312</v>
      </c>
      <c r="E29" s="166" t="s">
        <v>7183</v>
      </c>
      <c r="F29" s="50" t="s">
        <v>7313</v>
      </c>
      <c r="G29" s="50" t="s">
        <v>7314</v>
      </c>
      <c r="H29" s="54" t="s">
        <v>3449</v>
      </c>
      <c r="I29" s="50" t="s">
        <v>7315</v>
      </c>
      <c r="J29" s="48" t="s">
        <v>7316</v>
      </c>
    </row>
    <row r="30" spans="1:10" ht="17.25">
      <c r="A30" s="26"/>
      <c r="B30" s="45"/>
      <c r="C30" s="2" t="s">
        <v>412</v>
      </c>
      <c r="D30" s="49" t="s">
        <v>7317</v>
      </c>
      <c r="E30" s="166" t="s">
        <v>7183</v>
      </c>
      <c r="F30" s="50" t="s">
        <v>7318</v>
      </c>
      <c r="G30" s="50" t="s">
        <v>7319</v>
      </c>
      <c r="H30" s="54" t="s">
        <v>7320</v>
      </c>
      <c r="I30" s="50" t="s">
        <v>7321</v>
      </c>
      <c r="J30" s="48" t="s">
        <v>7322</v>
      </c>
    </row>
    <row r="31" spans="1:10" ht="17.25">
      <c r="A31" s="26"/>
      <c r="B31" s="45"/>
      <c r="C31" s="2" t="s">
        <v>414</v>
      </c>
      <c r="D31" s="49" t="s">
        <v>7323</v>
      </c>
      <c r="E31" s="166" t="s">
        <v>7189</v>
      </c>
      <c r="F31" s="50" t="s">
        <v>7324</v>
      </c>
      <c r="G31" s="50" t="s">
        <v>7325</v>
      </c>
      <c r="H31" s="54" t="s">
        <v>3449</v>
      </c>
      <c r="I31" s="50" t="s">
        <v>7326</v>
      </c>
      <c r="J31" s="48" t="s">
        <v>7327</v>
      </c>
    </row>
    <row r="32" spans="1:10" ht="17.25">
      <c r="A32" s="26"/>
      <c r="B32" s="45"/>
      <c r="C32" s="2" t="s">
        <v>416</v>
      </c>
      <c r="D32" s="49" t="s">
        <v>7328</v>
      </c>
      <c r="E32" s="166" t="s">
        <v>7183</v>
      </c>
      <c r="F32" s="50" t="s">
        <v>7329</v>
      </c>
      <c r="G32" s="50" t="s">
        <v>7330</v>
      </c>
      <c r="H32" s="54" t="s">
        <v>3449</v>
      </c>
      <c r="I32" s="50" t="s">
        <v>7331</v>
      </c>
      <c r="J32" s="48" t="s">
        <v>7332</v>
      </c>
    </row>
    <row r="33" spans="1:10" ht="17.25">
      <c r="A33" s="26"/>
      <c r="B33" s="45" t="s">
        <v>417</v>
      </c>
      <c r="C33" s="2" t="s">
        <v>418</v>
      </c>
      <c r="D33" s="49" t="s">
        <v>7333</v>
      </c>
      <c r="E33" s="166" t="s">
        <v>7183</v>
      </c>
      <c r="F33" s="50" t="s">
        <v>7334</v>
      </c>
      <c r="G33" s="50" t="s">
        <v>7335</v>
      </c>
      <c r="H33" s="54" t="s">
        <v>3449</v>
      </c>
      <c r="I33" s="50" t="s">
        <v>7336</v>
      </c>
      <c r="J33" s="48" t="s">
        <v>7337</v>
      </c>
    </row>
    <row r="34" spans="1:10" ht="17.25">
      <c r="A34" s="26"/>
      <c r="B34" s="45"/>
      <c r="C34" s="2" t="s">
        <v>419</v>
      </c>
      <c r="D34" s="49" t="s">
        <v>7338</v>
      </c>
      <c r="E34" s="166" t="s">
        <v>7183</v>
      </c>
      <c r="F34" s="50" t="s">
        <v>7339</v>
      </c>
      <c r="G34" s="50" t="s">
        <v>7340</v>
      </c>
      <c r="H34" s="54" t="s">
        <v>3449</v>
      </c>
      <c r="I34" s="50" t="s">
        <v>7341</v>
      </c>
      <c r="J34" s="48" t="s">
        <v>7342</v>
      </c>
    </row>
    <row r="35" spans="1:10" ht="17.25">
      <c r="A35" s="26"/>
      <c r="B35" s="45"/>
      <c r="C35" s="2" t="s">
        <v>420</v>
      </c>
      <c r="D35" s="49" t="s">
        <v>7343</v>
      </c>
      <c r="E35" s="166" t="s">
        <v>7189</v>
      </c>
      <c r="F35" s="50" t="s">
        <v>7344</v>
      </c>
      <c r="G35" s="50" t="s">
        <v>7345</v>
      </c>
      <c r="H35" s="54" t="s">
        <v>3449</v>
      </c>
      <c r="I35" s="50" t="s">
        <v>7346</v>
      </c>
      <c r="J35" s="48" t="s">
        <v>7347</v>
      </c>
    </row>
    <row r="36" spans="1:10" ht="17.25">
      <c r="A36" s="26"/>
      <c r="B36" s="45"/>
      <c r="C36" s="2" t="s">
        <v>421</v>
      </c>
      <c r="D36" s="49" t="s">
        <v>7348</v>
      </c>
      <c r="E36" s="166" t="s">
        <v>7183</v>
      </c>
      <c r="F36" s="50" t="s">
        <v>7349</v>
      </c>
      <c r="G36" s="50" t="s">
        <v>7350</v>
      </c>
      <c r="H36" s="54" t="s">
        <v>3449</v>
      </c>
      <c r="I36" s="50" t="s">
        <v>7351</v>
      </c>
      <c r="J36" s="48" t="s">
        <v>7352</v>
      </c>
    </row>
    <row r="37" spans="1:10" ht="17.25">
      <c r="A37" s="26"/>
      <c r="B37" s="45"/>
      <c r="C37" s="2" t="s">
        <v>422</v>
      </c>
      <c r="D37" s="49" t="s">
        <v>7353</v>
      </c>
      <c r="E37" s="166" t="s">
        <v>7183</v>
      </c>
      <c r="F37" s="50" t="s">
        <v>7354</v>
      </c>
      <c r="G37" s="50" t="s">
        <v>7355</v>
      </c>
      <c r="H37" s="54" t="s">
        <v>3449</v>
      </c>
      <c r="I37" s="50" t="s">
        <v>7356</v>
      </c>
      <c r="J37" s="48" t="s">
        <v>7357</v>
      </c>
    </row>
    <row r="38" spans="1:10" ht="17.25">
      <c r="A38" s="26"/>
      <c r="B38" s="45" t="s">
        <v>424</v>
      </c>
      <c r="C38" s="2" t="s">
        <v>425</v>
      </c>
      <c r="D38" s="49" t="s">
        <v>7358</v>
      </c>
      <c r="E38" s="166" t="s">
        <v>7183</v>
      </c>
      <c r="F38" s="50" t="s">
        <v>7359</v>
      </c>
      <c r="G38" s="50" t="s">
        <v>7360</v>
      </c>
      <c r="H38" s="54" t="s">
        <v>3450</v>
      </c>
      <c r="I38" s="50" t="s">
        <v>7361</v>
      </c>
      <c r="J38" s="48" t="s">
        <v>7362</v>
      </c>
    </row>
    <row r="39" spans="1:10" ht="17.25">
      <c r="A39" s="26"/>
      <c r="B39" s="45"/>
      <c r="C39" s="2" t="s">
        <v>427</v>
      </c>
      <c r="D39" s="49" t="s">
        <v>7363</v>
      </c>
      <c r="E39" s="166" t="s">
        <v>7183</v>
      </c>
      <c r="F39" s="50" t="s">
        <v>7364</v>
      </c>
      <c r="G39" s="50" t="s">
        <v>7365</v>
      </c>
      <c r="H39" s="54" t="s">
        <v>3450</v>
      </c>
      <c r="I39" s="50" t="s">
        <v>7366</v>
      </c>
      <c r="J39" s="48" t="s">
        <v>7367</v>
      </c>
    </row>
    <row r="40" spans="1:10" ht="17.25">
      <c r="A40" s="26"/>
      <c r="B40" s="45"/>
      <c r="C40" s="2" t="s">
        <v>429</v>
      </c>
      <c r="D40" s="49" t="s">
        <v>7368</v>
      </c>
      <c r="E40" s="166" t="s">
        <v>7189</v>
      </c>
      <c r="F40" s="50" t="s">
        <v>7369</v>
      </c>
      <c r="G40" s="50" t="s">
        <v>7370</v>
      </c>
      <c r="H40" s="54" t="s">
        <v>3450</v>
      </c>
      <c r="I40" s="50" t="s">
        <v>7371</v>
      </c>
      <c r="J40" s="48" t="s">
        <v>7372</v>
      </c>
    </row>
    <row r="41" spans="1:10" ht="17.25">
      <c r="A41" s="26"/>
      <c r="B41" s="45"/>
      <c r="C41" s="2" t="s">
        <v>431</v>
      </c>
      <c r="D41" s="49" t="s">
        <v>7373</v>
      </c>
      <c r="E41" s="166" t="s">
        <v>7183</v>
      </c>
      <c r="F41" s="50" t="s">
        <v>7374</v>
      </c>
      <c r="G41" s="50" t="s">
        <v>7375</v>
      </c>
      <c r="H41" s="54" t="s">
        <v>7320</v>
      </c>
      <c r="I41" s="50" t="s">
        <v>7376</v>
      </c>
      <c r="J41" s="48" t="s">
        <v>7377</v>
      </c>
    </row>
    <row r="42" spans="1:10" ht="17.25">
      <c r="A42" s="26"/>
      <c r="B42" s="45"/>
      <c r="C42" s="2" t="s">
        <v>433</v>
      </c>
      <c r="D42" s="49" t="s">
        <v>7378</v>
      </c>
      <c r="E42" s="166" t="s">
        <v>7183</v>
      </c>
      <c r="F42" s="50" t="s">
        <v>7379</v>
      </c>
      <c r="G42" s="50" t="s">
        <v>7380</v>
      </c>
      <c r="H42" s="54" t="s">
        <v>3450</v>
      </c>
      <c r="I42" s="50" t="s">
        <v>7381</v>
      </c>
      <c r="J42" s="48" t="s">
        <v>7382</v>
      </c>
    </row>
    <row r="43" spans="1:10" ht="17.25">
      <c r="A43" s="26"/>
      <c r="B43" s="45" t="s">
        <v>435</v>
      </c>
      <c r="C43" s="2" t="s">
        <v>436</v>
      </c>
      <c r="D43" s="49" t="s">
        <v>7383</v>
      </c>
      <c r="E43" s="166" t="s">
        <v>7183</v>
      </c>
      <c r="F43" s="50" t="s">
        <v>7384</v>
      </c>
      <c r="G43" s="50" t="s">
        <v>7385</v>
      </c>
      <c r="H43" s="54" t="s">
        <v>3449</v>
      </c>
      <c r="I43" s="50" t="s">
        <v>7386</v>
      </c>
      <c r="J43" s="48" t="s">
        <v>7387</v>
      </c>
    </row>
    <row r="44" spans="1:10" ht="17.25">
      <c r="A44" s="26"/>
      <c r="B44" s="45"/>
      <c r="C44" s="2" t="s">
        <v>437</v>
      </c>
      <c r="D44" s="49" t="s">
        <v>7388</v>
      </c>
      <c r="E44" s="166" t="s">
        <v>7189</v>
      </c>
      <c r="F44" s="50" t="s">
        <v>7389</v>
      </c>
      <c r="G44" s="50" t="s">
        <v>7390</v>
      </c>
      <c r="H44" s="54" t="s">
        <v>3449</v>
      </c>
      <c r="I44" s="50" t="s">
        <v>7391</v>
      </c>
      <c r="J44" s="48" t="s">
        <v>7392</v>
      </c>
    </row>
    <row r="45" spans="1:10" ht="17.25">
      <c r="A45" s="26"/>
      <c r="B45" s="45"/>
      <c r="C45" s="2" t="s">
        <v>438</v>
      </c>
      <c r="D45" s="49" t="s">
        <v>7393</v>
      </c>
      <c r="E45" s="166" t="s">
        <v>7183</v>
      </c>
      <c r="F45" s="50" t="s">
        <v>7394</v>
      </c>
      <c r="G45" s="50" t="s">
        <v>7395</v>
      </c>
      <c r="H45" s="54" t="s">
        <v>3449</v>
      </c>
      <c r="I45" s="50" t="s">
        <v>7396</v>
      </c>
      <c r="J45" s="48" t="s">
        <v>7397</v>
      </c>
    </row>
    <row r="46" spans="1:10" ht="17.25">
      <c r="A46" s="26"/>
      <c r="B46" s="45"/>
      <c r="C46" s="2" t="s">
        <v>440</v>
      </c>
      <c r="D46" s="49" t="s">
        <v>7398</v>
      </c>
      <c r="E46" s="166" t="s">
        <v>7183</v>
      </c>
      <c r="F46" s="50" t="s">
        <v>7399</v>
      </c>
      <c r="G46" s="50" t="s">
        <v>7400</v>
      </c>
      <c r="H46" s="54" t="s">
        <v>3449</v>
      </c>
      <c r="I46" s="50" t="s">
        <v>7401</v>
      </c>
      <c r="J46" s="48" t="s">
        <v>7402</v>
      </c>
    </row>
    <row r="47" spans="1:10" ht="17.25">
      <c r="A47" s="26"/>
      <c r="B47" s="45"/>
      <c r="C47" s="2" t="s">
        <v>442</v>
      </c>
      <c r="D47" s="49" t="s">
        <v>7403</v>
      </c>
      <c r="E47" s="166" t="s">
        <v>7183</v>
      </c>
      <c r="F47" s="50" t="s">
        <v>7404</v>
      </c>
      <c r="G47" s="50" t="s">
        <v>7405</v>
      </c>
      <c r="H47" s="54" t="s">
        <v>3449</v>
      </c>
      <c r="I47" s="50" t="s">
        <v>7406</v>
      </c>
      <c r="J47" s="48" t="s">
        <v>7407</v>
      </c>
    </row>
    <row r="48" spans="1:10" ht="17.25">
      <c r="A48" s="26"/>
      <c r="B48" s="45" t="s">
        <v>444</v>
      </c>
      <c r="C48" s="2" t="s">
        <v>445</v>
      </c>
      <c r="D48" s="49" t="s">
        <v>7408</v>
      </c>
      <c r="E48" s="166" t="s">
        <v>7183</v>
      </c>
      <c r="F48" s="50" t="s">
        <v>7409</v>
      </c>
      <c r="G48" s="50" t="s">
        <v>7410</v>
      </c>
      <c r="H48" s="54" t="s">
        <v>3449</v>
      </c>
      <c r="I48" s="50" t="s">
        <v>7411</v>
      </c>
      <c r="J48" s="48" t="s">
        <v>7412</v>
      </c>
    </row>
    <row r="49" spans="1:10" ht="17.25">
      <c r="A49" s="26"/>
      <c r="B49" s="45"/>
      <c r="C49" s="2" t="s">
        <v>446</v>
      </c>
      <c r="D49" s="49" t="s">
        <v>7413</v>
      </c>
      <c r="E49" s="166" t="s">
        <v>7189</v>
      </c>
      <c r="F49" s="50" t="s">
        <v>7414</v>
      </c>
      <c r="G49" s="50" t="s">
        <v>7415</v>
      </c>
      <c r="H49" s="54" t="s">
        <v>3449</v>
      </c>
      <c r="I49" s="50" t="s">
        <v>7416</v>
      </c>
      <c r="J49" s="48" t="s">
        <v>7417</v>
      </c>
    </row>
    <row r="50" spans="1:10" ht="17.25">
      <c r="A50" s="26"/>
      <c r="B50" s="45"/>
      <c r="C50" s="2" t="s">
        <v>420</v>
      </c>
      <c r="D50" s="49" t="s">
        <v>7418</v>
      </c>
      <c r="E50" s="166" t="s">
        <v>7183</v>
      </c>
      <c r="F50" s="50" t="s">
        <v>7419</v>
      </c>
      <c r="G50" s="50" t="s">
        <v>7420</v>
      </c>
      <c r="H50" s="54" t="s">
        <v>3449</v>
      </c>
      <c r="I50" s="50" t="s">
        <v>7421</v>
      </c>
      <c r="J50" s="48" t="s">
        <v>7422</v>
      </c>
    </row>
    <row r="51" spans="1:10" ht="17.25">
      <c r="A51" s="26"/>
      <c r="B51" s="45"/>
      <c r="C51" s="2" t="s">
        <v>448</v>
      </c>
      <c r="D51" s="49" t="s">
        <v>7423</v>
      </c>
      <c r="E51" s="166" t="s">
        <v>7183</v>
      </c>
      <c r="F51" s="50" t="s">
        <v>7424</v>
      </c>
      <c r="G51" s="50" t="s">
        <v>7425</v>
      </c>
      <c r="H51" s="54" t="s">
        <v>3449</v>
      </c>
      <c r="I51" s="50" t="s">
        <v>7426</v>
      </c>
      <c r="J51" s="48" t="s">
        <v>7427</v>
      </c>
    </row>
    <row r="52" spans="1:10" ht="17.25">
      <c r="A52" s="26"/>
      <c r="B52" s="45"/>
      <c r="C52" s="2" t="s">
        <v>450</v>
      </c>
      <c r="D52" s="49" t="s">
        <v>7428</v>
      </c>
      <c r="E52" s="166" t="s">
        <v>7183</v>
      </c>
      <c r="F52" s="50" t="s">
        <v>7429</v>
      </c>
      <c r="G52" s="50" t="s">
        <v>7430</v>
      </c>
      <c r="H52" s="54" t="s">
        <v>3449</v>
      </c>
      <c r="I52" s="50" t="s">
        <v>7431</v>
      </c>
      <c r="J52" s="48" t="s">
        <v>7432</v>
      </c>
    </row>
    <row r="53" spans="1:10" ht="17.25">
      <c r="A53" s="26" t="s">
        <v>451</v>
      </c>
      <c r="B53" s="45" t="s">
        <v>452</v>
      </c>
      <c r="C53" s="2" t="s">
        <v>453</v>
      </c>
      <c r="D53" s="49" t="s">
        <v>7433</v>
      </c>
      <c r="E53" s="166" t="s">
        <v>7189</v>
      </c>
      <c r="F53" s="50" t="s">
        <v>7434</v>
      </c>
      <c r="G53" s="50" t="s">
        <v>7435</v>
      </c>
      <c r="H53" s="54" t="s">
        <v>3449</v>
      </c>
      <c r="I53" s="50" t="s">
        <v>7436</v>
      </c>
      <c r="J53" s="48" t="s">
        <v>7437</v>
      </c>
    </row>
    <row r="54" spans="1:10" ht="17.25">
      <c r="A54" s="26"/>
      <c r="B54" s="45"/>
      <c r="C54" s="2" t="s">
        <v>455</v>
      </c>
      <c r="D54" s="49" t="s">
        <v>7438</v>
      </c>
      <c r="E54" s="166" t="s">
        <v>7183</v>
      </c>
      <c r="F54" s="50" t="s">
        <v>7439</v>
      </c>
      <c r="G54" s="50" t="s">
        <v>7440</v>
      </c>
      <c r="H54" s="54" t="s">
        <v>3449</v>
      </c>
      <c r="I54" s="50" t="s">
        <v>7441</v>
      </c>
      <c r="J54" s="48" t="s">
        <v>7442</v>
      </c>
    </row>
    <row r="55" spans="1:10" ht="17.25">
      <c r="A55" s="26"/>
      <c r="B55" s="45"/>
      <c r="C55" s="2" t="s">
        <v>456</v>
      </c>
      <c r="D55" s="49" t="s">
        <v>7443</v>
      </c>
      <c r="E55" s="166" t="s">
        <v>7183</v>
      </c>
      <c r="F55" s="50" t="s">
        <v>7444</v>
      </c>
      <c r="G55" s="50" t="s">
        <v>7445</v>
      </c>
      <c r="H55" s="54" t="s">
        <v>3449</v>
      </c>
      <c r="I55" s="50" t="s">
        <v>7446</v>
      </c>
      <c r="J55" s="48" t="s">
        <v>7447</v>
      </c>
    </row>
    <row r="56" spans="1:10" ht="17.25">
      <c r="A56" s="26"/>
      <c r="B56" s="45"/>
      <c r="C56" s="2" t="s">
        <v>457</v>
      </c>
      <c r="D56" s="49" t="s">
        <v>7448</v>
      </c>
      <c r="E56" s="166" t="s">
        <v>7183</v>
      </c>
      <c r="F56" s="50" t="s">
        <v>7449</v>
      </c>
      <c r="G56" s="50" t="s">
        <v>7450</v>
      </c>
      <c r="H56" s="54" t="s">
        <v>3449</v>
      </c>
      <c r="I56" s="50" t="s">
        <v>7451</v>
      </c>
      <c r="J56" s="48" t="s">
        <v>7452</v>
      </c>
    </row>
    <row r="57" spans="1:10" ht="17.25">
      <c r="A57" s="26"/>
      <c r="B57" s="45"/>
      <c r="C57" s="2" t="s">
        <v>459</v>
      </c>
      <c r="D57" s="49" t="s">
        <v>7453</v>
      </c>
      <c r="E57" s="166" t="s">
        <v>7183</v>
      </c>
      <c r="F57" s="50" t="s">
        <v>7454</v>
      </c>
      <c r="G57" s="50" t="s">
        <v>7455</v>
      </c>
      <c r="H57" s="54" t="s">
        <v>3449</v>
      </c>
      <c r="I57" s="50" t="s">
        <v>7456</v>
      </c>
      <c r="J57" s="48" t="s">
        <v>7457</v>
      </c>
    </row>
    <row r="58" spans="1:10" ht="17.25">
      <c r="A58" s="26"/>
      <c r="B58" s="45" t="s">
        <v>461</v>
      </c>
      <c r="C58" s="2" t="s">
        <v>462</v>
      </c>
      <c r="D58" s="49" t="s">
        <v>7458</v>
      </c>
      <c r="E58" s="166" t="s">
        <v>7189</v>
      </c>
      <c r="F58" s="50" t="s">
        <v>7459</v>
      </c>
      <c r="G58" s="50" t="s">
        <v>7460</v>
      </c>
      <c r="H58" s="54" t="s">
        <v>3449</v>
      </c>
      <c r="I58" s="50" t="s">
        <v>7461</v>
      </c>
      <c r="J58" s="48" t="s">
        <v>7462</v>
      </c>
    </row>
    <row r="59" spans="1:10" ht="17.25">
      <c r="A59" s="26"/>
      <c r="B59" s="45"/>
      <c r="C59" s="2" t="s">
        <v>463</v>
      </c>
      <c r="D59" s="49" t="s">
        <v>7463</v>
      </c>
      <c r="E59" s="166" t="s">
        <v>7183</v>
      </c>
      <c r="F59" s="50" t="s">
        <v>7464</v>
      </c>
      <c r="G59" s="50" t="s">
        <v>7465</v>
      </c>
      <c r="H59" s="54" t="s">
        <v>3450</v>
      </c>
      <c r="I59" s="50" t="s">
        <v>7466</v>
      </c>
      <c r="J59" s="48" t="s">
        <v>7467</v>
      </c>
    </row>
    <row r="60" spans="1:10" ht="17.25">
      <c r="A60" s="26"/>
      <c r="B60" s="45"/>
      <c r="C60" s="2" t="s">
        <v>464</v>
      </c>
      <c r="D60" s="49" t="s">
        <v>465</v>
      </c>
      <c r="E60" s="166" t="s">
        <v>7183</v>
      </c>
      <c r="F60" s="50" t="s">
        <v>7468</v>
      </c>
      <c r="G60" s="50" t="s">
        <v>7469</v>
      </c>
      <c r="H60" s="54" t="s">
        <v>3449</v>
      </c>
      <c r="I60" s="50" t="s">
        <v>7470</v>
      </c>
      <c r="J60" s="48" t="s">
        <v>7471</v>
      </c>
    </row>
    <row r="61" spans="1:10" ht="17.25">
      <c r="A61" s="26"/>
      <c r="B61" s="45"/>
      <c r="C61" s="2" t="s">
        <v>466</v>
      </c>
      <c r="D61" s="49" t="s">
        <v>467</v>
      </c>
      <c r="E61" s="166" t="s">
        <v>7183</v>
      </c>
      <c r="F61" s="50" t="s">
        <v>7472</v>
      </c>
      <c r="G61" s="50" t="s">
        <v>7473</v>
      </c>
      <c r="H61" s="54" t="s">
        <v>3449</v>
      </c>
      <c r="I61" s="50" t="s">
        <v>7474</v>
      </c>
      <c r="J61" s="48" t="s">
        <v>7475</v>
      </c>
    </row>
    <row r="62" spans="1:10" ht="17.25">
      <c r="A62" s="26"/>
      <c r="B62" s="45"/>
      <c r="C62" s="2" t="s">
        <v>468</v>
      </c>
      <c r="D62" s="49" t="s">
        <v>7476</v>
      </c>
      <c r="E62" s="166" t="s">
        <v>7183</v>
      </c>
      <c r="F62" s="50" t="s">
        <v>7477</v>
      </c>
      <c r="G62" s="50" t="s">
        <v>7478</v>
      </c>
      <c r="H62" s="54" t="s">
        <v>3449</v>
      </c>
      <c r="I62" s="50" t="s">
        <v>7479</v>
      </c>
      <c r="J62" s="48" t="s">
        <v>7480</v>
      </c>
    </row>
    <row r="63" spans="1:10" ht="17.25">
      <c r="A63" s="26"/>
      <c r="B63" s="45" t="s">
        <v>470</v>
      </c>
      <c r="C63" s="2" t="s">
        <v>471</v>
      </c>
      <c r="D63" s="49" t="s">
        <v>7481</v>
      </c>
      <c r="E63" s="166" t="s">
        <v>7189</v>
      </c>
      <c r="F63" s="50" t="s">
        <v>7482</v>
      </c>
      <c r="G63" s="50" t="s">
        <v>7483</v>
      </c>
      <c r="H63" s="54" t="s">
        <v>3450</v>
      </c>
      <c r="I63" s="50" t="s">
        <v>7484</v>
      </c>
      <c r="J63" s="48" t="s">
        <v>7485</v>
      </c>
    </row>
    <row r="64" spans="1:10" ht="17.25">
      <c r="A64" s="26"/>
      <c r="B64" s="45"/>
      <c r="C64" s="2" t="s">
        <v>473</v>
      </c>
      <c r="D64" s="49" t="s">
        <v>7486</v>
      </c>
      <c r="E64" s="166" t="s">
        <v>7183</v>
      </c>
      <c r="F64" s="50" t="s">
        <v>7487</v>
      </c>
      <c r="G64" s="50" t="s">
        <v>7488</v>
      </c>
      <c r="H64" s="54" t="s">
        <v>3450</v>
      </c>
      <c r="I64" s="50" t="s">
        <v>7489</v>
      </c>
      <c r="J64" s="48" t="s">
        <v>7490</v>
      </c>
    </row>
    <row r="65" spans="1:10" ht="17.25">
      <c r="A65" s="26"/>
      <c r="B65" s="45"/>
      <c r="C65" s="2" t="s">
        <v>474</v>
      </c>
      <c r="D65" s="49" t="s">
        <v>7491</v>
      </c>
      <c r="E65" s="166" t="s">
        <v>7183</v>
      </c>
      <c r="F65" s="50" t="s">
        <v>7492</v>
      </c>
      <c r="G65" s="50" t="s">
        <v>7493</v>
      </c>
      <c r="H65" s="54" t="s">
        <v>3449</v>
      </c>
      <c r="I65" s="50" t="s">
        <v>7494</v>
      </c>
      <c r="J65" s="48" t="s">
        <v>7495</v>
      </c>
    </row>
    <row r="66" spans="1:10" ht="17.25">
      <c r="A66" s="26"/>
      <c r="B66" s="45"/>
      <c r="C66" s="2" t="s">
        <v>476</v>
      </c>
      <c r="D66" s="49" t="s">
        <v>477</v>
      </c>
      <c r="E66" s="166" t="s">
        <v>7183</v>
      </c>
      <c r="F66" s="50" t="s">
        <v>7496</v>
      </c>
      <c r="G66" s="50" t="s">
        <v>7497</v>
      </c>
      <c r="H66" s="54" t="s">
        <v>3449</v>
      </c>
      <c r="I66" s="50" t="s">
        <v>7498</v>
      </c>
      <c r="J66" s="48" t="s">
        <v>7499</v>
      </c>
    </row>
    <row r="67" spans="1:10" ht="17.25">
      <c r="A67" s="26"/>
      <c r="B67" s="45"/>
      <c r="C67" s="2" t="s">
        <v>478</v>
      </c>
      <c r="D67" s="49" t="s">
        <v>479</v>
      </c>
      <c r="E67" s="166" t="s">
        <v>7183</v>
      </c>
      <c r="F67" s="50" t="s">
        <v>7500</v>
      </c>
      <c r="G67" s="50" t="s">
        <v>7501</v>
      </c>
      <c r="H67" s="54" t="s">
        <v>3449</v>
      </c>
      <c r="I67" s="50" t="s">
        <v>7502</v>
      </c>
      <c r="J67" s="48" t="s">
        <v>7503</v>
      </c>
    </row>
    <row r="68" spans="1:10" ht="17.25">
      <c r="A68" s="26"/>
      <c r="B68" s="45" t="s">
        <v>480</v>
      </c>
      <c r="C68" s="2" t="s">
        <v>481</v>
      </c>
      <c r="D68" s="49" t="s">
        <v>482</v>
      </c>
      <c r="E68" s="166" t="s">
        <v>7189</v>
      </c>
      <c r="F68" s="50" t="s">
        <v>7504</v>
      </c>
      <c r="G68" s="50" t="s">
        <v>7505</v>
      </c>
      <c r="H68" s="54" t="s">
        <v>3449</v>
      </c>
      <c r="I68" s="50" t="s">
        <v>7506</v>
      </c>
      <c r="J68" s="48" t="s">
        <v>7507</v>
      </c>
    </row>
    <row r="69" spans="1:10" ht="17.25">
      <c r="A69" s="26"/>
      <c r="B69" s="45"/>
      <c r="C69" s="2" t="s">
        <v>483</v>
      </c>
      <c r="D69" s="49" t="s">
        <v>7508</v>
      </c>
      <c r="E69" s="166" t="s">
        <v>7183</v>
      </c>
      <c r="F69" s="50" t="s">
        <v>7509</v>
      </c>
      <c r="G69" s="50" t="s">
        <v>7510</v>
      </c>
      <c r="H69" s="54" t="s">
        <v>3449</v>
      </c>
      <c r="I69" s="50" t="s">
        <v>7511</v>
      </c>
      <c r="J69" s="48" t="s">
        <v>7512</v>
      </c>
    </row>
    <row r="70" spans="1:10" ht="17.25">
      <c r="A70" s="26"/>
      <c r="B70" s="45"/>
      <c r="C70" s="2" t="s">
        <v>484</v>
      </c>
      <c r="D70" s="49" t="s">
        <v>7513</v>
      </c>
      <c r="E70" s="166" t="s">
        <v>7183</v>
      </c>
      <c r="F70" s="50" t="s">
        <v>7514</v>
      </c>
      <c r="G70" s="50" t="s">
        <v>7515</v>
      </c>
      <c r="H70" s="54" t="s">
        <v>3449</v>
      </c>
      <c r="I70" s="50" t="s">
        <v>7516</v>
      </c>
      <c r="J70" s="48" t="s">
        <v>7517</v>
      </c>
    </row>
    <row r="71" spans="1:10" ht="17.25">
      <c r="A71" s="26"/>
      <c r="B71" s="45"/>
      <c r="C71" s="2" t="s">
        <v>485</v>
      </c>
      <c r="D71" s="49" t="s">
        <v>7518</v>
      </c>
      <c r="E71" s="166" t="s">
        <v>7183</v>
      </c>
      <c r="F71" s="50" t="s">
        <v>7519</v>
      </c>
      <c r="G71" s="50" t="s">
        <v>7520</v>
      </c>
      <c r="H71" s="54" t="s">
        <v>3449</v>
      </c>
      <c r="I71" s="50" t="s">
        <v>7521</v>
      </c>
      <c r="J71" s="48" t="s">
        <v>7522</v>
      </c>
    </row>
    <row r="72" spans="1:10" ht="17.25">
      <c r="A72" s="26"/>
      <c r="B72" s="45"/>
      <c r="C72" s="2" t="s">
        <v>486</v>
      </c>
      <c r="D72" s="49" t="s">
        <v>7523</v>
      </c>
      <c r="E72" s="166" t="s">
        <v>7183</v>
      </c>
      <c r="F72" s="50" t="s">
        <v>7524</v>
      </c>
      <c r="G72" s="50" t="s">
        <v>7525</v>
      </c>
      <c r="H72" s="54" t="s">
        <v>3449</v>
      </c>
      <c r="I72" s="50" t="s">
        <v>7526</v>
      </c>
      <c r="J72" s="48" t="s">
        <v>7527</v>
      </c>
    </row>
    <row r="73" spans="1:10" ht="17.25">
      <c r="A73" s="26"/>
      <c r="B73" s="45" t="s">
        <v>487</v>
      </c>
      <c r="C73" s="2" t="s">
        <v>488</v>
      </c>
      <c r="D73" s="49" t="s">
        <v>7528</v>
      </c>
      <c r="E73" s="166" t="s">
        <v>7189</v>
      </c>
      <c r="F73" s="50" t="s">
        <v>7529</v>
      </c>
      <c r="G73" s="50" t="s">
        <v>7530</v>
      </c>
      <c r="H73" s="54" t="s">
        <v>3449</v>
      </c>
      <c r="I73" s="50" t="s">
        <v>7531</v>
      </c>
      <c r="J73" s="48" t="s">
        <v>7532</v>
      </c>
    </row>
    <row r="74" spans="1:10" ht="17.25">
      <c r="A74" s="26"/>
      <c r="B74" s="45"/>
      <c r="C74" s="2" t="s">
        <v>489</v>
      </c>
      <c r="D74" s="49" t="s">
        <v>7533</v>
      </c>
      <c r="E74" s="166" t="s">
        <v>7183</v>
      </c>
      <c r="F74" s="50" t="s">
        <v>7534</v>
      </c>
      <c r="G74" s="50" t="s">
        <v>7535</v>
      </c>
      <c r="H74" s="54" t="s">
        <v>3449</v>
      </c>
      <c r="I74" s="50" t="s">
        <v>7536</v>
      </c>
      <c r="J74" s="48" t="s">
        <v>7537</v>
      </c>
    </row>
    <row r="75" spans="1:10" ht="17.25">
      <c r="A75" s="26"/>
      <c r="B75" s="45"/>
      <c r="C75" s="2" t="s">
        <v>491</v>
      </c>
      <c r="D75" s="49" t="s">
        <v>7538</v>
      </c>
      <c r="E75" s="166" t="s">
        <v>7183</v>
      </c>
      <c r="F75" s="50" t="s">
        <v>7539</v>
      </c>
      <c r="G75" s="50" t="s">
        <v>7540</v>
      </c>
      <c r="H75" s="54" t="s">
        <v>3449</v>
      </c>
      <c r="I75" s="50" t="s">
        <v>7541</v>
      </c>
      <c r="J75" s="48" t="s">
        <v>7542</v>
      </c>
    </row>
    <row r="76" spans="1:10" ht="17.25">
      <c r="A76" s="26"/>
      <c r="B76" s="45"/>
      <c r="C76" s="2" t="s">
        <v>493</v>
      </c>
      <c r="D76" s="49" t="s">
        <v>7543</v>
      </c>
      <c r="E76" s="166" t="s">
        <v>7183</v>
      </c>
      <c r="F76" s="50" t="s">
        <v>7544</v>
      </c>
      <c r="G76" s="50" t="s">
        <v>7545</v>
      </c>
      <c r="H76" s="54" t="s">
        <v>3449</v>
      </c>
      <c r="I76" s="50" t="s">
        <v>7546</v>
      </c>
      <c r="J76" s="48" t="s">
        <v>7547</v>
      </c>
    </row>
    <row r="77" spans="1:10" ht="17.25">
      <c r="A77" s="26"/>
      <c r="B77" s="45"/>
      <c r="C77" s="2" t="s">
        <v>495</v>
      </c>
      <c r="D77" s="49" t="s">
        <v>7548</v>
      </c>
      <c r="E77" s="166" t="s">
        <v>7183</v>
      </c>
      <c r="F77" s="50" t="s">
        <v>7549</v>
      </c>
      <c r="G77" s="50" t="s">
        <v>7550</v>
      </c>
      <c r="H77" s="54" t="s">
        <v>3449</v>
      </c>
      <c r="I77" s="50" t="s">
        <v>7551</v>
      </c>
      <c r="J77" s="48" t="s">
        <v>7552</v>
      </c>
    </row>
    <row r="78" spans="1:10" ht="17.25">
      <c r="A78" s="26"/>
      <c r="B78" s="45" t="s">
        <v>497</v>
      </c>
      <c r="C78" s="2" t="s">
        <v>498</v>
      </c>
      <c r="D78" s="49" t="s">
        <v>7553</v>
      </c>
      <c r="E78" s="166" t="s">
        <v>7189</v>
      </c>
      <c r="F78" s="50" t="s">
        <v>7554</v>
      </c>
      <c r="G78" s="50" t="s">
        <v>7555</v>
      </c>
      <c r="H78" s="54" t="s">
        <v>3449</v>
      </c>
      <c r="I78" s="50" t="s">
        <v>7556</v>
      </c>
      <c r="J78" s="48" t="s">
        <v>7557</v>
      </c>
    </row>
    <row r="79" spans="1:10" ht="17.25">
      <c r="A79" s="26"/>
      <c r="B79" s="45"/>
      <c r="C79" s="2" t="s">
        <v>499</v>
      </c>
      <c r="D79" s="49" t="s">
        <v>7558</v>
      </c>
      <c r="E79" s="166" t="s">
        <v>7183</v>
      </c>
      <c r="F79" s="50" t="s">
        <v>7559</v>
      </c>
      <c r="G79" s="50" t="s">
        <v>7560</v>
      </c>
      <c r="H79" s="54" t="s">
        <v>3449</v>
      </c>
      <c r="I79" s="50" t="s">
        <v>7561</v>
      </c>
      <c r="J79" s="48" t="s">
        <v>7562</v>
      </c>
    </row>
    <row r="80" spans="1:10" ht="17.25">
      <c r="A80" s="26"/>
      <c r="B80" s="45"/>
      <c r="C80" s="2" t="s">
        <v>500</v>
      </c>
      <c r="D80" s="49" t="s">
        <v>7563</v>
      </c>
      <c r="E80" s="166" t="s">
        <v>7183</v>
      </c>
      <c r="F80" s="50" t="s">
        <v>7564</v>
      </c>
      <c r="G80" s="50" t="s">
        <v>7565</v>
      </c>
      <c r="H80" s="54" t="s">
        <v>3449</v>
      </c>
      <c r="I80" s="50" t="s">
        <v>7566</v>
      </c>
      <c r="J80" s="48" t="s">
        <v>7567</v>
      </c>
    </row>
    <row r="81" spans="1:10" ht="17.25">
      <c r="A81" s="26"/>
      <c r="B81" s="45"/>
      <c r="C81" s="2" t="s">
        <v>457</v>
      </c>
      <c r="D81" s="49" t="s">
        <v>7448</v>
      </c>
      <c r="E81" s="166" t="s">
        <v>7183</v>
      </c>
      <c r="F81" s="50" t="s">
        <v>7568</v>
      </c>
      <c r="G81" s="50" t="s">
        <v>7569</v>
      </c>
      <c r="H81" s="54" t="s">
        <v>3449</v>
      </c>
      <c r="I81" s="50" t="s">
        <v>7570</v>
      </c>
      <c r="J81" s="48" t="s">
        <v>7571</v>
      </c>
    </row>
    <row r="82" spans="1:10" ht="17.25">
      <c r="A82" s="26"/>
      <c r="B82" s="45"/>
      <c r="C82" s="2" t="s">
        <v>501</v>
      </c>
      <c r="D82" s="49" t="s">
        <v>7572</v>
      </c>
      <c r="E82" s="166" t="s">
        <v>7183</v>
      </c>
      <c r="F82" s="50" t="s">
        <v>7573</v>
      </c>
      <c r="G82" s="50" t="s">
        <v>7574</v>
      </c>
      <c r="H82" s="54" t="s">
        <v>3449</v>
      </c>
      <c r="I82" s="50" t="s">
        <v>7575</v>
      </c>
      <c r="J82" s="48" t="s">
        <v>7576</v>
      </c>
    </row>
    <row r="83" spans="1:10" ht="17.25">
      <c r="A83" s="26"/>
      <c r="B83" s="45" t="s">
        <v>502</v>
      </c>
      <c r="C83" s="2" t="s">
        <v>503</v>
      </c>
      <c r="D83" s="49" t="s">
        <v>7577</v>
      </c>
      <c r="E83" s="166" t="s">
        <v>7189</v>
      </c>
      <c r="F83" s="50" t="s">
        <v>7578</v>
      </c>
      <c r="G83" s="50" t="s">
        <v>7579</v>
      </c>
      <c r="H83" s="54" t="s">
        <v>3449</v>
      </c>
      <c r="I83" s="50" t="s">
        <v>7580</v>
      </c>
      <c r="J83" s="48" t="s">
        <v>7581</v>
      </c>
    </row>
    <row r="84" spans="1:10" ht="17.25">
      <c r="A84" s="26"/>
      <c r="B84" s="45"/>
      <c r="C84" s="2" t="s">
        <v>504</v>
      </c>
      <c r="D84" s="49" t="s">
        <v>7582</v>
      </c>
      <c r="E84" s="166" t="s">
        <v>7183</v>
      </c>
      <c r="F84" s="50" t="s">
        <v>7583</v>
      </c>
      <c r="G84" s="50" t="s">
        <v>7584</v>
      </c>
      <c r="H84" s="54" t="s">
        <v>3449</v>
      </c>
      <c r="I84" s="50" t="s">
        <v>7585</v>
      </c>
      <c r="J84" s="48" t="s">
        <v>7586</v>
      </c>
    </row>
    <row r="85" spans="1:10" ht="17.25">
      <c r="A85" s="26"/>
      <c r="B85" s="45"/>
      <c r="C85" s="2" t="s">
        <v>505</v>
      </c>
      <c r="D85" s="49" t="s">
        <v>7587</v>
      </c>
      <c r="E85" s="166" t="s">
        <v>7183</v>
      </c>
      <c r="F85" s="50" t="s">
        <v>7588</v>
      </c>
      <c r="G85" s="50" t="s">
        <v>7589</v>
      </c>
      <c r="H85" s="54" t="s">
        <v>3450</v>
      </c>
      <c r="I85" s="50" t="s">
        <v>7590</v>
      </c>
      <c r="J85" s="48" t="s">
        <v>7591</v>
      </c>
    </row>
    <row r="86" spans="1:10" ht="17.25">
      <c r="A86" s="26"/>
      <c r="B86" s="45"/>
      <c r="C86" s="2" t="s">
        <v>506</v>
      </c>
      <c r="D86" s="49" t="s">
        <v>7592</v>
      </c>
      <c r="E86" s="166" t="s">
        <v>7183</v>
      </c>
      <c r="F86" s="50" t="s">
        <v>7593</v>
      </c>
      <c r="G86" s="50" t="s">
        <v>7594</v>
      </c>
      <c r="H86" s="54" t="s">
        <v>3450</v>
      </c>
      <c r="I86" s="50" t="s">
        <v>7595</v>
      </c>
      <c r="J86" s="48" t="s">
        <v>7596</v>
      </c>
    </row>
    <row r="87" spans="1:10" ht="17.25">
      <c r="A87" s="26"/>
      <c r="B87" s="45"/>
      <c r="C87" s="2" t="s">
        <v>507</v>
      </c>
      <c r="D87" s="49" t="s">
        <v>7597</v>
      </c>
      <c r="E87" s="166" t="s">
        <v>7183</v>
      </c>
      <c r="F87" s="50" t="s">
        <v>7598</v>
      </c>
      <c r="G87" s="50" t="s">
        <v>7599</v>
      </c>
      <c r="H87" s="54" t="s">
        <v>3450</v>
      </c>
      <c r="I87" s="50" t="s">
        <v>7600</v>
      </c>
      <c r="J87" s="48" t="s">
        <v>7601</v>
      </c>
    </row>
    <row r="88" spans="1:10" ht="17.25">
      <c r="A88" s="26"/>
      <c r="B88" s="45" t="s">
        <v>508</v>
      </c>
      <c r="C88" s="2" t="s">
        <v>509</v>
      </c>
      <c r="D88" s="49" t="s">
        <v>7602</v>
      </c>
      <c r="E88" s="166" t="s">
        <v>7189</v>
      </c>
      <c r="F88" s="50" t="s">
        <v>7603</v>
      </c>
      <c r="G88" s="50" t="s">
        <v>7604</v>
      </c>
      <c r="H88" s="54" t="s">
        <v>3450</v>
      </c>
      <c r="I88" s="50" t="s">
        <v>7605</v>
      </c>
      <c r="J88" s="48" t="s">
        <v>7606</v>
      </c>
    </row>
    <row r="89" spans="1:10" ht="17.25">
      <c r="A89" s="26"/>
      <c r="B89" s="45"/>
      <c r="C89" s="2" t="s">
        <v>510</v>
      </c>
      <c r="D89" s="49" t="s">
        <v>7607</v>
      </c>
      <c r="E89" s="166" t="s">
        <v>7183</v>
      </c>
      <c r="F89" s="50" t="s">
        <v>7608</v>
      </c>
      <c r="G89" s="50" t="s">
        <v>7609</v>
      </c>
      <c r="H89" s="54" t="s">
        <v>3450</v>
      </c>
      <c r="I89" s="50" t="s">
        <v>7610</v>
      </c>
      <c r="J89" s="48" t="s">
        <v>7611</v>
      </c>
    </row>
    <row r="90" spans="1:10" ht="17.25">
      <c r="A90" s="26"/>
      <c r="B90" s="45"/>
      <c r="C90" s="2" t="s">
        <v>511</v>
      </c>
      <c r="D90" s="49" t="s">
        <v>7612</v>
      </c>
      <c r="E90" s="166" t="s">
        <v>7183</v>
      </c>
      <c r="F90" s="50" t="s">
        <v>7613</v>
      </c>
      <c r="G90" s="50" t="s">
        <v>7614</v>
      </c>
      <c r="H90" s="54" t="s">
        <v>3450</v>
      </c>
      <c r="I90" s="50" t="s">
        <v>7615</v>
      </c>
      <c r="J90" s="48" t="s">
        <v>7616</v>
      </c>
    </row>
    <row r="91" spans="1:10" ht="17.25">
      <c r="A91" s="26"/>
      <c r="B91" s="45"/>
      <c r="C91" s="2" t="s">
        <v>512</v>
      </c>
      <c r="D91" s="49" t="s">
        <v>7617</v>
      </c>
      <c r="E91" s="166" t="s">
        <v>7183</v>
      </c>
      <c r="F91" s="50" t="s">
        <v>7618</v>
      </c>
      <c r="G91" s="50" t="s">
        <v>7619</v>
      </c>
      <c r="H91" s="54" t="s">
        <v>3450</v>
      </c>
      <c r="I91" s="50" t="s">
        <v>7620</v>
      </c>
      <c r="J91" s="48" t="s">
        <v>7621</v>
      </c>
    </row>
    <row r="92" spans="1:10" ht="17.25">
      <c r="A92" s="26"/>
      <c r="B92" s="45"/>
      <c r="C92" s="2" t="s">
        <v>513</v>
      </c>
      <c r="D92" s="49" t="s">
        <v>7622</v>
      </c>
      <c r="E92" s="166" t="s">
        <v>7183</v>
      </c>
      <c r="F92" s="50" t="s">
        <v>7623</v>
      </c>
      <c r="G92" s="50" t="s">
        <v>7624</v>
      </c>
      <c r="H92" s="54" t="s">
        <v>3450</v>
      </c>
      <c r="I92" s="50" t="s">
        <v>7625</v>
      </c>
      <c r="J92" s="48" t="s">
        <v>7626</v>
      </c>
    </row>
    <row r="93" spans="1:10" ht="17.25">
      <c r="A93" s="26"/>
      <c r="B93" s="45" t="s">
        <v>514</v>
      </c>
      <c r="C93" s="2" t="s">
        <v>515</v>
      </c>
      <c r="D93" s="49" t="s">
        <v>7627</v>
      </c>
      <c r="E93" s="166" t="s">
        <v>7189</v>
      </c>
      <c r="F93" s="50" t="s">
        <v>7628</v>
      </c>
      <c r="G93" s="50" t="s">
        <v>7629</v>
      </c>
      <c r="H93" s="54" t="s">
        <v>3450</v>
      </c>
      <c r="I93" s="50" t="s">
        <v>7630</v>
      </c>
      <c r="J93" s="48" t="s">
        <v>7631</v>
      </c>
    </row>
    <row r="94" spans="1:10" ht="17.25">
      <c r="A94" s="26"/>
      <c r="B94" s="45"/>
      <c r="C94" s="2" t="s">
        <v>516</v>
      </c>
      <c r="D94" s="49" t="s">
        <v>7632</v>
      </c>
      <c r="E94" s="166" t="s">
        <v>7183</v>
      </c>
      <c r="F94" s="50" t="s">
        <v>7633</v>
      </c>
      <c r="G94" s="50" t="s">
        <v>7634</v>
      </c>
      <c r="H94" s="54" t="s">
        <v>3450</v>
      </c>
      <c r="I94" s="50" t="s">
        <v>7635</v>
      </c>
      <c r="J94" s="48" t="s">
        <v>7636</v>
      </c>
    </row>
    <row r="95" spans="1:10" ht="17.25">
      <c r="A95" s="26"/>
      <c r="B95" s="45"/>
      <c r="C95" s="2" t="s">
        <v>517</v>
      </c>
      <c r="D95" s="49" t="s">
        <v>7637</v>
      </c>
      <c r="E95" s="166" t="s">
        <v>7183</v>
      </c>
      <c r="F95" s="50" t="s">
        <v>7638</v>
      </c>
      <c r="G95" s="50" t="s">
        <v>7639</v>
      </c>
      <c r="H95" s="54" t="s">
        <v>3450</v>
      </c>
      <c r="I95" s="50" t="s">
        <v>7640</v>
      </c>
      <c r="J95" s="48" t="s">
        <v>7641</v>
      </c>
    </row>
    <row r="96" spans="1:10" ht="17.25">
      <c r="A96" s="26"/>
      <c r="B96" s="45"/>
      <c r="C96" s="2" t="s">
        <v>518</v>
      </c>
      <c r="D96" s="49" t="s">
        <v>7642</v>
      </c>
      <c r="E96" s="166" t="s">
        <v>7183</v>
      </c>
      <c r="F96" s="50" t="s">
        <v>7643</v>
      </c>
      <c r="G96" s="50" t="s">
        <v>7644</v>
      </c>
      <c r="H96" s="54" t="s">
        <v>3450</v>
      </c>
      <c r="I96" s="50" t="s">
        <v>7645</v>
      </c>
      <c r="J96" s="48" t="s">
        <v>7646</v>
      </c>
    </row>
    <row r="97" spans="1:10" ht="17.25">
      <c r="A97" s="26"/>
      <c r="B97" s="45"/>
      <c r="C97" s="2" t="s">
        <v>519</v>
      </c>
      <c r="D97" s="49" t="s">
        <v>7647</v>
      </c>
      <c r="E97" s="166" t="s">
        <v>7183</v>
      </c>
      <c r="F97" s="50" t="s">
        <v>7648</v>
      </c>
      <c r="G97" s="50" t="s">
        <v>7649</v>
      </c>
      <c r="H97" s="54" t="s">
        <v>7320</v>
      </c>
      <c r="I97" s="50" t="s">
        <v>7650</v>
      </c>
      <c r="J97" s="48" t="s">
        <v>7651</v>
      </c>
    </row>
    <row r="98" spans="1:10" ht="17.25">
      <c r="A98" s="26"/>
      <c r="B98" s="45" t="s">
        <v>520</v>
      </c>
      <c r="C98" s="2" t="s">
        <v>521</v>
      </c>
      <c r="D98" s="49" t="s">
        <v>7652</v>
      </c>
      <c r="E98" s="166" t="s">
        <v>7189</v>
      </c>
      <c r="F98" s="50" t="s">
        <v>7653</v>
      </c>
      <c r="G98" s="50" t="s">
        <v>7654</v>
      </c>
      <c r="H98" s="54" t="s">
        <v>3449</v>
      </c>
      <c r="I98" s="50" t="s">
        <v>7655</v>
      </c>
      <c r="J98" s="48" t="s">
        <v>7656</v>
      </c>
    </row>
    <row r="99" spans="1:10" ht="17.25">
      <c r="A99" s="26"/>
      <c r="B99" s="45"/>
      <c r="C99" s="2" t="s">
        <v>523</v>
      </c>
      <c r="D99" s="49" t="s">
        <v>7657</v>
      </c>
      <c r="E99" s="166" t="s">
        <v>7183</v>
      </c>
      <c r="F99" s="50" t="s">
        <v>7658</v>
      </c>
      <c r="G99" s="50" t="s">
        <v>7659</v>
      </c>
      <c r="H99" s="54" t="s">
        <v>3449</v>
      </c>
      <c r="I99" s="50" t="s">
        <v>7660</v>
      </c>
      <c r="J99" s="48" t="s">
        <v>7661</v>
      </c>
    </row>
    <row r="100" spans="1:10" ht="17.25">
      <c r="A100" s="26"/>
      <c r="B100" s="45"/>
      <c r="C100" s="2" t="s">
        <v>525</v>
      </c>
      <c r="D100" s="49" t="s">
        <v>7662</v>
      </c>
      <c r="E100" s="166" t="s">
        <v>7183</v>
      </c>
      <c r="F100" s="50" t="s">
        <v>7663</v>
      </c>
      <c r="G100" s="50" t="s">
        <v>7664</v>
      </c>
      <c r="H100" s="54" t="s">
        <v>3449</v>
      </c>
      <c r="I100" s="50" t="s">
        <v>7665</v>
      </c>
      <c r="J100" s="48" t="s">
        <v>7666</v>
      </c>
    </row>
    <row r="101" spans="1:10" ht="17.25">
      <c r="A101" s="26"/>
      <c r="B101" s="45"/>
      <c r="C101" s="2" t="s">
        <v>527</v>
      </c>
      <c r="D101" s="49" t="s">
        <v>7667</v>
      </c>
      <c r="E101" s="166" t="s">
        <v>7183</v>
      </c>
      <c r="F101" s="50" t="s">
        <v>7668</v>
      </c>
      <c r="G101" s="50" t="s">
        <v>7669</v>
      </c>
      <c r="H101" s="54" t="s">
        <v>3449</v>
      </c>
      <c r="I101" s="50" t="s">
        <v>7670</v>
      </c>
      <c r="J101" s="48" t="s">
        <v>7671</v>
      </c>
    </row>
    <row r="102" spans="1:10" ht="17.25">
      <c r="A102" s="26"/>
      <c r="B102" s="45"/>
      <c r="C102" s="2" t="s">
        <v>529</v>
      </c>
      <c r="D102" s="49" t="s">
        <v>7672</v>
      </c>
      <c r="E102" s="166" t="s">
        <v>7183</v>
      </c>
      <c r="F102" s="50" t="s">
        <v>7673</v>
      </c>
      <c r="G102" s="50" t="s">
        <v>7674</v>
      </c>
      <c r="H102" s="54" t="s">
        <v>3449</v>
      </c>
      <c r="I102" s="50" t="s">
        <v>7675</v>
      </c>
      <c r="J102" s="48" t="s">
        <v>7676</v>
      </c>
    </row>
    <row r="103" spans="1:10" ht="17.25">
      <c r="A103" s="26"/>
      <c r="B103" s="45" t="s">
        <v>531</v>
      </c>
      <c r="C103" s="2" t="s">
        <v>532</v>
      </c>
      <c r="D103" s="49" t="s">
        <v>7677</v>
      </c>
      <c r="E103" s="166" t="s">
        <v>7189</v>
      </c>
      <c r="F103" s="50" t="s">
        <v>7678</v>
      </c>
      <c r="G103" s="50" t="s">
        <v>7679</v>
      </c>
      <c r="H103" s="54" t="s">
        <v>3449</v>
      </c>
      <c r="I103" s="50" t="s">
        <v>7680</v>
      </c>
      <c r="J103" s="48" t="s">
        <v>7681</v>
      </c>
    </row>
    <row r="104" spans="1:10" ht="17.25">
      <c r="A104" s="26"/>
      <c r="B104" s="45"/>
      <c r="C104" s="2" t="s">
        <v>534</v>
      </c>
      <c r="D104" s="49" t="s">
        <v>7682</v>
      </c>
      <c r="E104" s="166" t="s">
        <v>7183</v>
      </c>
      <c r="F104" s="50" t="s">
        <v>7683</v>
      </c>
      <c r="G104" s="50" t="s">
        <v>7684</v>
      </c>
      <c r="H104" s="54" t="s">
        <v>3449</v>
      </c>
      <c r="I104" s="50" t="s">
        <v>7685</v>
      </c>
      <c r="J104" s="48" t="s">
        <v>7686</v>
      </c>
    </row>
    <row r="105" spans="1:10" ht="17.25">
      <c r="A105" s="26"/>
      <c r="B105" s="45"/>
      <c r="C105" s="2" t="s">
        <v>536</v>
      </c>
      <c r="D105" s="49" t="s">
        <v>7687</v>
      </c>
      <c r="E105" s="166" t="s">
        <v>7183</v>
      </c>
      <c r="F105" s="50" t="s">
        <v>7688</v>
      </c>
      <c r="G105" s="50" t="s">
        <v>7689</v>
      </c>
      <c r="H105" s="54" t="s">
        <v>3449</v>
      </c>
      <c r="I105" s="50" t="s">
        <v>7690</v>
      </c>
      <c r="J105" s="48" t="s">
        <v>7691</v>
      </c>
    </row>
    <row r="106" spans="1:10" ht="17.25">
      <c r="A106" s="26"/>
      <c r="B106" s="45"/>
      <c r="C106" s="2" t="s">
        <v>538</v>
      </c>
      <c r="D106" s="49" t="s">
        <v>7692</v>
      </c>
      <c r="E106" s="166" t="s">
        <v>7183</v>
      </c>
      <c r="F106" s="50" t="s">
        <v>7693</v>
      </c>
      <c r="G106" s="50" t="s">
        <v>7694</v>
      </c>
      <c r="H106" s="54" t="s">
        <v>3449</v>
      </c>
      <c r="I106" s="50" t="s">
        <v>7695</v>
      </c>
      <c r="J106" s="48" t="s">
        <v>7696</v>
      </c>
    </row>
    <row r="107" spans="1:10" ht="17.25">
      <c r="A107" s="26"/>
      <c r="B107" s="45"/>
      <c r="C107" s="2" t="s">
        <v>540</v>
      </c>
      <c r="D107" s="49" t="s">
        <v>7697</v>
      </c>
      <c r="E107" s="166" t="s">
        <v>7183</v>
      </c>
      <c r="F107" s="50" t="s">
        <v>7698</v>
      </c>
      <c r="G107" s="50" t="s">
        <v>7699</v>
      </c>
      <c r="H107" s="54" t="s">
        <v>3450</v>
      </c>
      <c r="I107" s="50" t="s">
        <v>7700</v>
      </c>
      <c r="J107" s="48" t="s">
        <v>7701</v>
      </c>
    </row>
    <row r="108" spans="1:10" ht="17.25">
      <c r="A108" s="26"/>
      <c r="B108" s="45" t="s">
        <v>542</v>
      </c>
      <c r="C108" s="2" t="s">
        <v>543</v>
      </c>
      <c r="D108" s="49" t="s">
        <v>7702</v>
      </c>
      <c r="E108" s="166" t="s">
        <v>7189</v>
      </c>
      <c r="F108" s="50" t="s">
        <v>7703</v>
      </c>
      <c r="G108" s="50" t="s">
        <v>7704</v>
      </c>
      <c r="H108" s="54" t="s">
        <v>3449</v>
      </c>
      <c r="I108" s="50" t="s">
        <v>7705</v>
      </c>
      <c r="J108" s="48" t="s">
        <v>7706</v>
      </c>
    </row>
    <row r="109" spans="1:10" ht="17.25">
      <c r="A109" s="26"/>
      <c r="B109" s="45"/>
      <c r="C109" s="2" t="s">
        <v>504</v>
      </c>
      <c r="D109" s="49" t="s">
        <v>7707</v>
      </c>
      <c r="E109" s="166" t="s">
        <v>7183</v>
      </c>
      <c r="F109" s="50" t="s">
        <v>7708</v>
      </c>
      <c r="G109" s="50" t="s">
        <v>7709</v>
      </c>
      <c r="H109" s="54" t="s">
        <v>3449</v>
      </c>
      <c r="I109" s="50" t="s">
        <v>7710</v>
      </c>
      <c r="J109" s="48" t="s">
        <v>7711</v>
      </c>
    </row>
    <row r="110" spans="1:10" ht="17.25">
      <c r="A110" s="26"/>
      <c r="B110" s="45"/>
      <c r="C110" s="2" t="s">
        <v>546</v>
      </c>
      <c r="D110" s="49" t="s">
        <v>7712</v>
      </c>
      <c r="E110" s="166" t="s">
        <v>7183</v>
      </c>
      <c r="F110" s="50" t="s">
        <v>7713</v>
      </c>
      <c r="G110" s="50" t="s">
        <v>7714</v>
      </c>
      <c r="H110" s="54" t="s">
        <v>3449</v>
      </c>
      <c r="I110" s="50" t="s">
        <v>7715</v>
      </c>
      <c r="J110" s="48" t="s">
        <v>7716</v>
      </c>
    </row>
    <row r="111" spans="1:10" ht="17.25">
      <c r="A111" s="26"/>
      <c r="B111" s="45"/>
      <c r="C111" s="2" t="s">
        <v>548</v>
      </c>
      <c r="D111" s="49" t="s">
        <v>7717</v>
      </c>
      <c r="E111" s="166" t="s">
        <v>7183</v>
      </c>
      <c r="F111" s="50" t="s">
        <v>7718</v>
      </c>
      <c r="G111" s="50" t="s">
        <v>7719</v>
      </c>
      <c r="H111" s="54" t="s">
        <v>3449</v>
      </c>
      <c r="I111" s="50" t="s">
        <v>7720</v>
      </c>
      <c r="J111" s="48" t="s">
        <v>7721</v>
      </c>
    </row>
    <row r="112" spans="1:10" ht="17.25">
      <c r="A112" s="26"/>
      <c r="B112" s="45"/>
      <c r="C112" s="2" t="s">
        <v>507</v>
      </c>
      <c r="D112" s="49" t="s">
        <v>7722</v>
      </c>
      <c r="E112" s="166" t="s">
        <v>7183</v>
      </c>
      <c r="F112" s="50" t="s">
        <v>7723</v>
      </c>
      <c r="G112" s="50" t="s">
        <v>7724</v>
      </c>
      <c r="H112" s="54" t="s">
        <v>3449</v>
      </c>
      <c r="I112" s="50" t="s">
        <v>7725</v>
      </c>
      <c r="J112" s="48" t="s">
        <v>7726</v>
      </c>
    </row>
    <row r="113" spans="1:10" ht="17.25">
      <c r="A113" s="26"/>
      <c r="B113" s="45" t="s">
        <v>551</v>
      </c>
      <c r="C113" s="2" t="s">
        <v>552</v>
      </c>
      <c r="D113" s="49" t="s">
        <v>7727</v>
      </c>
      <c r="E113" s="166" t="s">
        <v>7189</v>
      </c>
      <c r="F113" s="50" t="s">
        <v>7728</v>
      </c>
      <c r="G113" s="50" t="s">
        <v>7729</v>
      </c>
      <c r="H113" s="54" t="s">
        <v>3449</v>
      </c>
      <c r="I113" s="50" t="s">
        <v>7730</v>
      </c>
      <c r="J113" s="48" t="s">
        <v>7731</v>
      </c>
    </row>
    <row r="114" spans="1:10" ht="17.25">
      <c r="A114" s="26"/>
      <c r="B114" s="45"/>
      <c r="C114" s="2" t="s">
        <v>554</v>
      </c>
      <c r="D114" s="49" t="s">
        <v>7732</v>
      </c>
      <c r="E114" s="166" t="s">
        <v>7183</v>
      </c>
      <c r="F114" s="50" t="s">
        <v>7733</v>
      </c>
      <c r="G114" s="50" t="s">
        <v>7734</v>
      </c>
      <c r="H114" s="54" t="s">
        <v>3450</v>
      </c>
      <c r="I114" s="50" t="s">
        <v>7735</v>
      </c>
      <c r="J114" s="48" t="s">
        <v>7736</v>
      </c>
    </row>
    <row r="115" spans="1:10" ht="17.25">
      <c r="A115" s="26"/>
      <c r="B115" s="45"/>
      <c r="C115" s="2" t="s">
        <v>556</v>
      </c>
      <c r="D115" s="49" t="s">
        <v>7737</v>
      </c>
      <c r="E115" s="166" t="s">
        <v>7183</v>
      </c>
      <c r="F115" s="50" t="s">
        <v>7738</v>
      </c>
      <c r="G115" s="50" t="s">
        <v>7739</v>
      </c>
      <c r="H115" s="54" t="s">
        <v>3450</v>
      </c>
      <c r="I115" s="50" t="s">
        <v>7740</v>
      </c>
      <c r="J115" s="48" t="s">
        <v>7741</v>
      </c>
    </row>
    <row r="116" spans="1:10" ht="17.25">
      <c r="A116" s="26"/>
      <c r="B116" s="45"/>
      <c r="C116" s="2" t="s">
        <v>558</v>
      </c>
      <c r="D116" s="49" t="s">
        <v>7742</v>
      </c>
      <c r="E116" s="166" t="s">
        <v>7183</v>
      </c>
      <c r="F116" s="50" t="s">
        <v>7743</v>
      </c>
      <c r="G116" s="50" t="s">
        <v>7744</v>
      </c>
      <c r="H116" s="54" t="s">
        <v>3450</v>
      </c>
      <c r="I116" s="50" t="s">
        <v>7745</v>
      </c>
      <c r="J116" s="48" t="s">
        <v>7746</v>
      </c>
    </row>
    <row r="117" spans="1:10" ht="17.25">
      <c r="A117" s="26"/>
      <c r="B117" s="45"/>
      <c r="C117" s="2" t="s">
        <v>529</v>
      </c>
      <c r="D117" s="49" t="s">
        <v>7672</v>
      </c>
      <c r="E117" s="166" t="s">
        <v>7183</v>
      </c>
      <c r="F117" s="50" t="s">
        <v>7747</v>
      </c>
      <c r="G117" s="50" t="s">
        <v>7748</v>
      </c>
      <c r="H117" s="54" t="s">
        <v>7320</v>
      </c>
      <c r="I117" s="50" t="s">
        <v>7749</v>
      </c>
      <c r="J117" s="48" t="s">
        <v>7750</v>
      </c>
    </row>
    <row r="118" spans="1:10" ht="17.25">
      <c r="A118" s="26"/>
      <c r="B118" s="45" t="s">
        <v>561</v>
      </c>
      <c r="C118" s="2" t="s">
        <v>562</v>
      </c>
      <c r="D118" s="49" t="s">
        <v>7751</v>
      </c>
      <c r="E118" s="166" t="s">
        <v>7189</v>
      </c>
      <c r="F118" s="50" t="s">
        <v>7752</v>
      </c>
      <c r="G118" s="50" t="s">
        <v>7753</v>
      </c>
      <c r="H118" s="54" t="s">
        <v>3450</v>
      </c>
      <c r="I118" s="50" t="s">
        <v>7754</v>
      </c>
      <c r="J118" s="48" t="s">
        <v>7755</v>
      </c>
    </row>
    <row r="119" spans="1:10" ht="17.25">
      <c r="A119" s="26"/>
      <c r="B119" s="45"/>
      <c r="C119" s="2" t="s">
        <v>564</v>
      </c>
      <c r="D119" s="49" t="s">
        <v>7756</v>
      </c>
      <c r="E119" s="166" t="s">
        <v>7183</v>
      </c>
      <c r="F119" s="50" t="s">
        <v>7757</v>
      </c>
      <c r="G119" s="50" t="s">
        <v>7758</v>
      </c>
      <c r="H119" s="54" t="s">
        <v>3449</v>
      </c>
      <c r="I119" s="50" t="s">
        <v>7759</v>
      </c>
      <c r="J119" s="48" t="s">
        <v>7760</v>
      </c>
    </row>
    <row r="120" spans="1:10" ht="17.25">
      <c r="A120" s="26"/>
      <c r="B120" s="45"/>
      <c r="C120" s="2" t="s">
        <v>566</v>
      </c>
      <c r="D120" s="49" t="s">
        <v>7761</v>
      </c>
      <c r="E120" s="166" t="s">
        <v>7183</v>
      </c>
      <c r="F120" s="50" t="s">
        <v>7762</v>
      </c>
      <c r="G120" s="50" t="s">
        <v>7763</v>
      </c>
      <c r="H120" s="54" t="s">
        <v>3449</v>
      </c>
      <c r="I120" s="50" t="s">
        <v>7764</v>
      </c>
      <c r="J120" s="48" t="s">
        <v>7765</v>
      </c>
    </row>
    <row r="121" spans="1:10" ht="17.25">
      <c r="A121" s="26"/>
      <c r="B121" s="45"/>
      <c r="C121" s="2" t="s">
        <v>568</v>
      </c>
      <c r="D121" s="49" t="s">
        <v>7766</v>
      </c>
      <c r="E121" s="166" t="s">
        <v>7183</v>
      </c>
      <c r="F121" s="50" t="s">
        <v>7767</v>
      </c>
      <c r="G121" s="50" t="s">
        <v>7768</v>
      </c>
      <c r="H121" s="54" t="s">
        <v>3449</v>
      </c>
      <c r="I121" s="50" t="s">
        <v>7769</v>
      </c>
      <c r="J121" s="48" t="s">
        <v>7770</v>
      </c>
    </row>
    <row r="122" spans="1:10" ht="17.25">
      <c r="A122" s="26"/>
      <c r="B122" s="45"/>
      <c r="C122" s="2" t="s">
        <v>570</v>
      </c>
      <c r="D122" s="49" t="s">
        <v>7771</v>
      </c>
      <c r="E122" s="166" t="s">
        <v>7183</v>
      </c>
      <c r="F122" s="50" t="s">
        <v>7772</v>
      </c>
      <c r="G122" s="50" t="s">
        <v>7773</v>
      </c>
      <c r="H122" s="54" t="s">
        <v>3449</v>
      </c>
      <c r="I122" s="50" t="s">
        <v>7774</v>
      </c>
      <c r="J122" s="48" t="s">
        <v>7775</v>
      </c>
    </row>
    <row r="123" spans="1:10" ht="17.25">
      <c r="A123" s="26"/>
      <c r="B123" s="45" t="s">
        <v>572</v>
      </c>
      <c r="C123" s="2" t="s">
        <v>573</v>
      </c>
      <c r="D123" s="49" t="s">
        <v>7776</v>
      </c>
      <c r="E123" s="166" t="s">
        <v>7189</v>
      </c>
      <c r="F123" s="50" t="s">
        <v>7777</v>
      </c>
      <c r="G123" s="50" t="s">
        <v>7778</v>
      </c>
      <c r="H123" s="54" t="s">
        <v>3449</v>
      </c>
      <c r="I123" s="50" t="s">
        <v>7779</v>
      </c>
      <c r="J123" s="48" t="s">
        <v>7780</v>
      </c>
    </row>
    <row r="124" spans="1:10" ht="17.25">
      <c r="A124" s="26"/>
      <c r="B124" s="45"/>
      <c r="C124" s="2" t="s">
        <v>575</v>
      </c>
      <c r="D124" s="49" t="s">
        <v>7781</v>
      </c>
      <c r="E124" s="166" t="s">
        <v>7183</v>
      </c>
      <c r="F124" s="50" t="s">
        <v>7782</v>
      </c>
      <c r="G124" s="50" t="s">
        <v>7783</v>
      </c>
      <c r="H124" s="54" t="s">
        <v>3449</v>
      </c>
      <c r="I124" s="50" t="s">
        <v>7784</v>
      </c>
      <c r="J124" s="48" t="s">
        <v>7785</v>
      </c>
    </row>
    <row r="125" spans="1:10" ht="17.25">
      <c r="A125" s="26"/>
      <c r="B125" s="45"/>
      <c r="C125" s="2" t="s">
        <v>577</v>
      </c>
      <c r="D125" s="49" t="s">
        <v>7786</v>
      </c>
      <c r="E125" s="166" t="s">
        <v>7183</v>
      </c>
      <c r="F125" s="50" t="s">
        <v>7787</v>
      </c>
      <c r="G125" s="50" t="s">
        <v>7788</v>
      </c>
      <c r="H125" s="54" t="s">
        <v>3449</v>
      </c>
      <c r="I125" s="50" t="s">
        <v>7789</v>
      </c>
      <c r="J125" s="48" t="s">
        <v>7790</v>
      </c>
    </row>
    <row r="126" spans="1:10" ht="17.25">
      <c r="A126" s="26"/>
      <c r="B126" s="45"/>
      <c r="C126" s="2" t="s">
        <v>579</v>
      </c>
      <c r="D126" s="49" t="s">
        <v>7791</v>
      </c>
      <c r="E126" s="166" t="s">
        <v>7183</v>
      </c>
      <c r="F126" s="50" t="s">
        <v>7792</v>
      </c>
      <c r="G126" s="50" t="s">
        <v>7793</v>
      </c>
      <c r="H126" s="54" t="s">
        <v>3449</v>
      </c>
      <c r="I126" s="50" t="s">
        <v>7794</v>
      </c>
      <c r="J126" s="50" t="s">
        <v>7795</v>
      </c>
    </row>
    <row r="127" spans="1:10" ht="17.25">
      <c r="A127" s="26"/>
      <c r="B127" s="45"/>
      <c r="C127" s="2" t="s">
        <v>581</v>
      </c>
      <c r="D127" s="49" t="s">
        <v>7796</v>
      </c>
      <c r="E127" s="166" t="s">
        <v>7183</v>
      </c>
      <c r="F127" s="50" t="s">
        <v>7797</v>
      </c>
      <c r="G127" s="50" t="s">
        <v>7798</v>
      </c>
      <c r="H127" s="54" t="s">
        <v>3449</v>
      </c>
      <c r="I127" s="50" t="s">
        <v>7799</v>
      </c>
      <c r="J127" s="50" t="s">
        <v>7800</v>
      </c>
    </row>
    <row r="128" spans="1:10" ht="17.25">
      <c r="A128" s="26"/>
      <c r="B128" s="45" t="s">
        <v>583</v>
      </c>
      <c r="C128" s="2" t="s">
        <v>584</v>
      </c>
      <c r="D128" s="49" t="s">
        <v>7801</v>
      </c>
      <c r="E128" s="166" t="s">
        <v>7189</v>
      </c>
      <c r="F128" s="50" t="s">
        <v>7802</v>
      </c>
      <c r="G128" s="50" t="s">
        <v>7803</v>
      </c>
      <c r="H128" s="54" t="s">
        <v>3449</v>
      </c>
      <c r="I128" s="50" t="s">
        <v>7804</v>
      </c>
      <c r="J128" s="50" t="s">
        <v>7805</v>
      </c>
    </row>
    <row r="129" spans="1:10" ht="17.25">
      <c r="A129" s="26"/>
      <c r="B129" s="45"/>
      <c r="C129" s="2" t="s">
        <v>586</v>
      </c>
      <c r="D129" s="49" t="s">
        <v>7806</v>
      </c>
      <c r="E129" s="166" t="s">
        <v>7183</v>
      </c>
      <c r="F129" s="50" t="s">
        <v>7807</v>
      </c>
      <c r="G129" s="50" t="s">
        <v>7808</v>
      </c>
      <c r="H129" s="54" t="s">
        <v>3449</v>
      </c>
      <c r="I129" s="50" t="s">
        <v>7809</v>
      </c>
      <c r="J129" s="50" t="s">
        <v>7810</v>
      </c>
    </row>
    <row r="130" spans="1:10" ht="17.25">
      <c r="A130" s="26"/>
      <c r="B130" s="45"/>
      <c r="C130" s="2" t="s">
        <v>588</v>
      </c>
      <c r="D130" s="49" t="s">
        <v>7811</v>
      </c>
      <c r="E130" s="166" t="s">
        <v>7183</v>
      </c>
      <c r="F130" s="50" t="s">
        <v>7812</v>
      </c>
      <c r="G130" s="50" t="s">
        <v>7813</v>
      </c>
      <c r="H130" s="54" t="s">
        <v>3449</v>
      </c>
      <c r="I130" s="50" t="s">
        <v>7814</v>
      </c>
      <c r="J130" s="50" t="s">
        <v>7815</v>
      </c>
    </row>
    <row r="131" spans="1:10" ht="17.25">
      <c r="A131" s="26"/>
      <c r="B131" s="45"/>
      <c r="C131" s="2" t="s">
        <v>590</v>
      </c>
      <c r="D131" s="49" t="s">
        <v>7816</v>
      </c>
      <c r="E131" s="166" t="s">
        <v>7183</v>
      </c>
      <c r="F131" s="50" t="s">
        <v>7817</v>
      </c>
      <c r="G131" s="50" t="s">
        <v>7818</v>
      </c>
      <c r="H131" s="54" t="s">
        <v>3449</v>
      </c>
      <c r="I131" s="50" t="s">
        <v>7819</v>
      </c>
      <c r="J131" s="50" t="s">
        <v>7820</v>
      </c>
    </row>
    <row r="132" spans="1:10" ht="17.25">
      <c r="A132" s="26"/>
      <c r="B132" s="45"/>
      <c r="C132" s="2" t="s">
        <v>592</v>
      </c>
      <c r="D132" s="49" t="s">
        <v>7821</v>
      </c>
      <c r="E132" s="166" t="s">
        <v>7183</v>
      </c>
      <c r="F132" s="50" t="s">
        <v>7822</v>
      </c>
      <c r="G132" s="50" t="s">
        <v>7823</v>
      </c>
      <c r="H132" s="54" t="s">
        <v>3449</v>
      </c>
      <c r="I132" s="50" t="s">
        <v>7824</v>
      </c>
      <c r="J132" s="50" t="s">
        <v>7825</v>
      </c>
    </row>
    <row r="133" spans="1:10" ht="17.25">
      <c r="A133" s="26"/>
      <c r="B133" s="45" t="s">
        <v>594</v>
      </c>
      <c r="C133" s="2" t="s">
        <v>595</v>
      </c>
      <c r="D133" s="49" t="s">
        <v>7826</v>
      </c>
      <c r="E133" s="166" t="s">
        <v>7189</v>
      </c>
      <c r="F133" s="50" t="s">
        <v>7827</v>
      </c>
      <c r="G133" s="50" t="s">
        <v>7828</v>
      </c>
      <c r="H133" s="54" t="s">
        <v>3449</v>
      </c>
      <c r="I133" s="50" t="s">
        <v>7829</v>
      </c>
      <c r="J133" s="50" t="s">
        <v>7830</v>
      </c>
    </row>
    <row r="134" spans="1:10" ht="17.25">
      <c r="A134" s="26"/>
      <c r="B134" s="45"/>
      <c r="C134" s="2" t="s">
        <v>597</v>
      </c>
      <c r="D134" s="49" t="s">
        <v>7831</v>
      </c>
      <c r="E134" s="166" t="s">
        <v>7183</v>
      </c>
      <c r="F134" s="50" t="s">
        <v>7832</v>
      </c>
      <c r="G134" s="50" t="s">
        <v>7833</v>
      </c>
      <c r="H134" s="54" t="s">
        <v>3449</v>
      </c>
      <c r="I134" s="50" t="s">
        <v>7834</v>
      </c>
      <c r="J134" s="50" t="s">
        <v>7835</v>
      </c>
    </row>
    <row r="135" spans="1:10" ht="17.25">
      <c r="A135" s="26"/>
      <c r="B135" s="45"/>
      <c r="C135" s="2" t="s">
        <v>599</v>
      </c>
      <c r="D135" s="49" t="s">
        <v>7836</v>
      </c>
      <c r="E135" s="166" t="s">
        <v>7183</v>
      </c>
      <c r="F135" s="50" t="s">
        <v>7837</v>
      </c>
      <c r="G135" s="50" t="s">
        <v>7838</v>
      </c>
      <c r="H135" s="54" t="s">
        <v>3449</v>
      </c>
      <c r="I135" s="50" t="s">
        <v>7839</v>
      </c>
      <c r="J135" s="50" t="s">
        <v>7840</v>
      </c>
    </row>
    <row r="136" spans="1:10" ht="17.25">
      <c r="A136" s="26"/>
      <c r="B136" s="45"/>
      <c r="C136" s="2" t="s">
        <v>601</v>
      </c>
      <c r="D136" s="49" t="s">
        <v>7841</v>
      </c>
      <c r="E136" s="166" t="s">
        <v>7183</v>
      </c>
      <c r="F136" s="50" t="s">
        <v>7842</v>
      </c>
      <c r="G136" s="50" t="s">
        <v>7843</v>
      </c>
      <c r="H136" s="54" t="s">
        <v>3449</v>
      </c>
      <c r="I136" s="50" t="s">
        <v>7844</v>
      </c>
      <c r="J136" s="50" t="s">
        <v>7845</v>
      </c>
    </row>
    <row r="137" spans="1:10" ht="17.25">
      <c r="A137" s="26"/>
      <c r="B137" s="45"/>
      <c r="C137" s="2" t="s">
        <v>603</v>
      </c>
      <c r="D137" s="49" t="s">
        <v>7846</v>
      </c>
      <c r="E137" s="166" t="s">
        <v>7183</v>
      </c>
      <c r="F137" s="50" t="s">
        <v>7847</v>
      </c>
      <c r="G137" s="50" t="s">
        <v>7848</v>
      </c>
      <c r="H137" s="54" t="s">
        <v>3449</v>
      </c>
      <c r="I137" s="50" t="s">
        <v>7849</v>
      </c>
      <c r="J137" s="50" t="s">
        <v>7850</v>
      </c>
    </row>
    <row r="138" spans="1:10" ht="17.25">
      <c r="A138" s="26"/>
      <c r="B138" s="45" t="s">
        <v>605</v>
      </c>
      <c r="C138" s="2" t="s">
        <v>606</v>
      </c>
      <c r="D138" s="49" t="s">
        <v>7851</v>
      </c>
      <c r="E138" s="166" t="s">
        <v>7189</v>
      </c>
      <c r="F138" s="50" t="s">
        <v>7852</v>
      </c>
      <c r="G138" s="50" t="s">
        <v>7853</v>
      </c>
      <c r="H138" s="54" t="s">
        <v>3449</v>
      </c>
      <c r="I138" s="50" t="s">
        <v>7854</v>
      </c>
      <c r="J138" s="50" t="s">
        <v>7855</v>
      </c>
    </row>
    <row r="139" spans="1:10" ht="17.25">
      <c r="A139" s="26"/>
      <c r="B139" s="45"/>
      <c r="C139" s="2" t="s">
        <v>504</v>
      </c>
      <c r="D139" s="49" t="s">
        <v>7856</v>
      </c>
      <c r="E139" s="166" t="s">
        <v>7183</v>
      </c>
      <c r="F139" s="50" t="s">
        <v>7857</v>
      </c>
      <c r="G139" s="50" t="s">
        <v>7858</v>
      </c>
      <c r="H139" s="54" t="s">
        <v>3449</v>
      </c>
      <c r="I139" s="50" t="s">
        <v>7859</v>
      </c>
      <c r="J139" s="50" t="s">
        <v>7860</v>
      </c>
    </row>
    <row r="140" spans="1:10" ht="17.25">
      <c r="A140" s="26"/>
      <c r="B140" s="45"/>
      <c r="C140" s="2" t="s">
        <v>609</v>
      </c>
      <c r="D140" s="49" t="s">
        <v>7861</v>
      </c>
      <c r="E140" s="166" t="s">
        <v>7183</v>
      </c>
      <c r="F140" s="50" t="s">
        <v>7862</v>
      </c>
      <c r="G140" s="50" t="s">
        <v>7863</v>
      </c>
      <c r="H140" s="54" t="s">
        <v>3449</v>
      </c>
      <c r="I140" s="50" t="s">
        <v>7864</v>
      </c>
      <c r="J140" s="50" t="s">
        <v>7865</v>
      </c>
    </row>
    <row r="141" spans="1:10" ht="17.25">
      <c r="A141" s="26"/>
      <c r="B141" s="45"/>
      <c r="C141" s="2" t="s">
        <v>611</v>
      </c>
      <c r="D141" s="49" t="s">
        <v>7866</v>
      </c>
      <c r="E141" s="166" t="s">
        <v>7183</v>
      </c>
      <c r="F141" s="50" t="s">
        <v>7867</v>
      </c>
      <c r="G141" s="50" t="s">
        <v>7868</v>
      </c>
      <c r="H141" s="54" t="s">
        <v>3449</v>
      </c>
      <c r="I141" s="50" t="s">
        <v>7869</v>
      </c>
      <c r="J141" s="50" t="s">
        <v>7870</v>
      </c>
    </row>
    <row r="142" spans="1:10" ht="17.25">
      <c r="A142" s="26"/>
      <c r="B142" s="45"/>
      <c r="C142" s="2" t="s">
        <v>507</v>
      </c>
      <c r="D142" s="49" t="s">
        <v>7871</v>
      </c>
      <c r="E142" s="166" t="s">
        <v>7183</v>
      </c>
      <c r="F142" s="50" t="s">
        <v>7872</v>
      </c>
      <c r="G142" s="50" t="s">
        <v>7873</v>
      </c>
      <c r="H142" s="54" t="s">
        <v>3449</v>
      </c>
      <c r="I142" s="50" t="s">
        <v>7874</v>
      </c>
      <c r="J142" s="50" t="s">
        <v>7875</v>
      </c>
    </row>
    <row r="143" spans="1:10" ht="17.25">
      <c r="A143" s="26"/>
      <c r="B143" s="45" t="s">
        <v>614</v>
      </c>
      <c r="C143" s="2" t="s">
        <v>615</v>
      </c>
      <c r="D143" s="49" t="s">
        <v>7876</v>
      </c>
      <c r="E143" s="166" t="s">
        <v>7189</v>
      </c>
      <c r="F143" s="50" t="s">
        <v>7877</v>
      </c>
      <c r="G143" s="50" t="s">
        <v>7878</v>
      </c>
      <c r="H143" s="54" t="s">
        <v>3449</v>
      </c>
      <c r="I143" s="50" t="s">
        <v>7879</v>
      </c>
      <c r="J143" s="50" t="s">
        <v>7880</v>
      </c>
    </row>
    <row r="144" spans="1:10" ht="17.25">
      <c r="A144" s="26"/>
      <c r="B144" s="45"/>
      <c r="C144" s="2" t="s">
        <v>504</v>
      </c>
      <c r="D144" s="49" t="s">
        <v>7881</v>
      </c>
      <c r="E144" s="166" t="s">
        <v>7183</v>
      </c>
      <c r="F144" s="50" t="s">
        <v>7882</v>
      </c>
      <c r="G144" s="50" t="s">
        <v>7883</v>
      </c>
      <c r="H144" s="54" t="s">
        <v>3449</v>
      </c>
      <c r="I144" s="50" t="s">
        <v>7884</v>
      </c>
      <c r="J144" s="50" t="s">
        <v>7885</v>
      </c>
    </row>
    <row r="145" spans="1:10" ht="17.25">
      <c r="A145" s="26"/>
      <c r="B145" s="45"/>
      <c r="C145" s="2" t="s">
        <v>609</v>
      </c>
      <c r="D145" s="49" t="s">
        <v>7886</v>
      </c>
      <c r="E145" s="166" t="s">
        <v>7183</v>
      </c>
      <c r="F145" s="50" t="s">
        <v>7887</v>
      </c>
      <c r="G145" s="50" t="s">
        <v>7888</v>
      </c>
      <c r="H145" s="54" t="s">
        <v>3449</v>
      </c>
      <c r="I145" s="50" t="s">
        <v>7889</v>
      </c>
      <c r="J145" s="50" t="s">
        <v>7890</v>
      </c>
    </row>
    <row r="146" spans="1:10" ht="17.25">
      <c r="A146" s="26"/>
      <c r="B146" s="45"/>
      <c r="C146" s="2" t="s">
        <v>611</v>
      </c>
      <c r="D146" s="49" t="s">
        <v>7891</v>
      </c>
      <c r="E146" s="166" t="s">
        <v>7183</v>
      </c>
      <c r="F146" s="50" t="s">
        <v>7892</v>
      </c>
      <c r="G146" s="50" t="s">
        <v>7893</v>
      </c>
      <c r="H146" s="54" t="s">
        <v>3449</v>
      </c>
      <c r="I146" s="50" t="s">
        <v>7894</v>
      </c>
      <c r="J146" s="50" t="s">
        <v>7895</v>
      </c>
    </row>
    <row r="147" spans="1:10" ht="17.25">
      <c r="A147" s="26"/>
      <c r="B147" s="45"/>
      <c r="C147" s="2" t="s">
        <v>507</v>
      </c>
      <c r="D147" s="49" t="s">
        <v>7896</v>
      </c>
      <c r="E147" s="166" t="s">
        <v>7183</v>
      </c>
      <c r="F147" s="50" t="s">
        <v>7897</v>
      </c>
      <c r="G147" s="50" t="s">
        <v>7898</v>
      </c>
      <c r="H147" s="54" t="s">
        <v>3449</v>
      </c>
      <c r="I147" s="50" t="s">
        <v>7899</v>
      </c>
      <c r="J147" s="50" t="s">
        <v>7900</v>
      </c>
    </row>
    <row r="148" spans="1:10" ht="17.25">
      <c r="A148" s="26"/>
      <c r="B148" s="45" t="s">
        <v>621</v>
      </c>
      <c r="C148" s="2" t="s">
        <v>622</v>
      </c>
      <c r="D148" s="49" t="s">
        <v>7901</v>
      </c>
      <c r="E148" s="166" t="s">
        <v>7189</v>
      </c>
      <c r="F148" s="50" t="s">
        <v>7902</v>
      </c>
      <c r="G148" s="50" t="s">
        <v>7903</v>
      </c>
      <c r="H148" s="54" t="s">
        <v>3449</v>
      </c>
      <c r="I148" s="50" t="s">
        <v>7904</v>
      </c>
      <c r="J148" s="50" t="s">
        <v>7905</v>
      </c>
    </row>
    <row r="149" spans="1:10" ht="17.25">
      <c r="A149" s="26"/>
      <c r="B149" s="45"/>
      <c r="C149" s="2" t="s">
        <v>624</v>
      </c>
      <c r="D149" s="49" t="s">
        <v>7906</v>
      </c>
      <c r="E149" s="166" t="s">
        <v>7183</v>
      </c>
      <c r="F149" s="50" t="s">
        <v>7907</v>
      </c>
      <c r="G149" s="50" t="s">
        <v>7908</v>
      </c>
      <c r="H149" s="54" t="s">
        <v>3449</v>
      </c>
      <c r="I149" s="50" t="s">
        <v>7909</v>
      </c>
      <c r="J149" s="50" t="s">
        <v>7910</v>
      </c>
    </row>
    <row r="150" spans="1:10" ht="17.25">
      <c r="A150" s="26"/>
      <c r="B150" s="45"/>
      <c r="C150" s="2" t="s">
        <v>626</v>
      </c>
      <c r="D150" s="49" t="s">
        <v>7911</v>
      </c>
      <c r="E150" s="166" t="s">
        <v>7183</v>
      </c>
      <c r="F150" s="50" t="s">
        <v>7912</v>
      </c>
      <c r="G150" s="50" t="s">
        <v>7913</v>
      </c>
      <c r="H150" s="54" t="s">
        <v>3449</v>
      </c>
      <c r="I150" s="50" t="s">
        <v>7914</v>
      </c>
      <c r="J150" s="50" t="s">
        <v>7915</v>
      </c>
    </row>
    <row r="151" spans="1:10" ht="17.25">
      <c r="A151" s="26"/>
      <c r="B151" s="45"/>
      <c r="C151" s="2" t="s">
        <v>628</v>
      </c>
      <c r="D151" s="49" t="s">
        <v>7916</v>
      </c>
      <c r="E151" s="166" t="s">
        <v>7183</v>
      </c>
      <c r="F151" s="50" t="s">
        <v>7917</v>
      </c>
      <c r="G151" s="50" t="s">
        <v>7918</v>
      </c>
      <c r="H151" s="54" t="s">
        <v>3449</v>
      </c>
      <c r="I151" s="50" t="s">
        <v>7919</v>
      </c>
      <c r="J151" s="50" t="s">
        <v>7920</v>
      </c>
    </row>
    <row r="152" spans="1:10" ht="17.25">
      <c r="A152" s="26"/>
      <c r="B152" s="45"/>
      <c r="C152" s="2" t="s">
        <v>630</v>
      </c>
      <c r="D152" s="49" t="s">
        <v>7921</v>
      </c>
      <c r="E152" s="166" t="s">
        <v>7183</v>
      </c>
      <c r="F152" s="50" t="s">
        <v>7922</v>
      </c>
      <c r="G152" s="50" t="s">
        <v>7923</v>
      </c>
      <c r="H152" s="54" t="s">
        <v>3449</v>
      </c>
      <c r="I152" s="50" t="s">
        <v>7924</v>
      </c>
      <c r="J152" s="50" t="s">
        <v>7925</v>
      </c>
    </row>
    <row r="153" spans="1:10" ht="17.25">
      <c r="A153" s="26"/>
      <c r="B153" s="45" t="s">
        <v>632</v>
      </c>
      <c r="C153" s="2" t="s">
        <v>633</v>
      </c>
      <c r="D153" s="49" t="s">
        <v>7926</v>
      </c>
      <c r="E153" s="166" t="s">
        <v>7189</v>
      </c>
      <c r="F153" s="50" t="s">
        <v>7927</v>
      </c>
      <c r="G153" s="50" t="s">
        <v>7928</v>
      </c>
      <c r="H153" s="54" t="s">
        <v>3449</v>
      </c>
      <c r="I153" s="50" t="s">
        <v>7929</v>
      </c>
      <c r="J153" s="50" t="s">
        <v>7930</v>
      </c>
    </row>
    <row r="154" spans="1:10" ht="17.25">
      <c r="A154" s="26"/>
      <c r="B154" s="45"/>
      <c r="C154" s="2" t="s">
        <v>635</v>
      </c>
      <c r="D154" s="49" t="s">
        <v>7931</v>
      </c>
      <c r="E154" s="166" t="s">
        <v>7183</v>
      </c>
      <c r="F154" s="50" t="s">
        <v>7932</v>
      </c>
      <c r="G154" s="50" t="s">
        <v>7933</v>
      </c>
      <c r="H154" s="54" t="s">
        <v>3449</v>
      </c>
      <c r="I154" s="50" t="s">
        <v>7934</v>
      </c>
      <c r="J154" s="50" t="s">
        <v>7935</v>
      </c>
    </row>
    <row r="155" spans="1:10" ht="17.25">
      <c r="A155" s="26"/>
      <c r="B155" s="45"/>
      <c r="C155" s="2" t="s">
        <v>637</v>
      </c>
      <c r="D155" s="49" t="s">
        <v>7936</v>
      </c>
      <c r="E155" s="166" t="s">
        <v>7183</v>
      </c>
      <c r="F155" s="50" t="s">
        <v>7937</v>
      </c>
      <c r="G155" s="50" t="s">
        <v>7938</v>
      </c>
      <c r="H155" s="54" t="s">
        <v>3449</v>
      </c>
      <c r="I155" s="50" t="s">
        <v>7939</v>
      </c>
      <c r="J155" s="50" t="s">
        <v>7940</v>
      </c>
    </row>
    <row r="156" spans="1:10" ht="17.25">
      <c r="A156" s="26"/>
      <c r="B156" s="45"/>
      <c r="C156" s="2" t="s">
        <v>639</v>
      </c>
      <c r="D156" s="49" t="s">
        <v>7941</v>
      </c>
      <c r="E156" s="166" t="s">
        <v>7183</v>
      </c>
      <c r="F156" s="50" t="s">
        <v>7942</v>
      </c>
      <c r="G156" s="50" t="s">
        <v>7943</v>
      </c>
      <c r="H156" s="54" t="s">
        <v>3450</v>
      </c>
      <c r="I156" s="50" t="s">
        <v>7944</v>
      </c>
      <c r="J156" s="50" t="s">
        <v>7945</v>
      </c>
    </row>
    <row r="157" spans="1:10" ht="17.25">
      <c r="A157" s="26"/>
      <c r="B157" s="45"/>
      <c r="C157" s="2" t="s">
        <v>529</v>
      </c>
      <c r="D157" s="49" t="s">
        <v>7672</v>
      </c>
      <c r="E157" s="166" t="s">
        <v>7183</v>
      </c>
      <c r="F157" s="50" t="s">
        <v>7946</v>
      </c>
      <c r="G157" s="50" t="s">
        <v>7947</v>
      </c>
      <c r="H157" s="54" t="s">
        <v>3449</v>
      </c>
      <c r="I157" s="50" t="s">
        <v>7948</v>
      </c>
      <c r="J157" s="50" t="s">
        <v>7949</v>
      </c>
    </row>
    <row r="158" spans="1:10" ht="17.25">
      <c r="A158" s="26"/>
      <c r="B158" s="45" t="s">
        <v>642</v>
      </c>
      <c r="C158" s="2" t="s">
        <v>643</v>
      </c>
      <c r="D158" s="49" t="s">
        <v>7950</v>
      </c>
      <c r="E158" s="166" t="s">
        <v>7189</v>
      </c>
      <c r="F158" s="50" t="s">
        <v>7951</v>
      </c>
      <c r="G158" s="50" t="s">
        <v>7952</v>
      </c>
      <c r="H158" s="54" t="s">
        <v>3449</v>
      </c>
      <c r="I158" s="50" t="s">
        <v>7953</v>
      </c>
      <c r="J158" s="50" t="s">
        <v>7954</v>
      </c>
    </row>
    <row r="159" spans="1:10" ht="17.25">
      <c r="A159" s="26"/>
      <c r="B159" s="45"/>
      <c r="C159" s="2" t="s">
        <v>645</v>
      </c>
      <c r="D159" s="49" t="s">
        <v>7955</v>
      </c>
      <c r="E159" s="166" t="s">
        <v>7183</v>
      </c>
      <c r="F159" s="50" t="s">
        <v>7956</v>
      </c>
      <c r="G159" s="50" t="s">
        <v>7957</v>
      </c>
      <c r="H159" s="54" t="s">
        <v>3449</v>
      </c>
      <c r="I159" s="50" t="s">
        <v>7958</v>
      </c>
      <c r="J159" s="50" t="s">
        <v>7959</v>
      </c>
    </row>
    <row r="160" spans="1:10" ht="17.25">
      <c r="A160" s="26"/>
      <c r="B160" s="45"/>
      <c r="C160" s="2" t="s">
        <v>647</v>
      </c>
      <c r="D160" s="49" t="s">
        <v>7960</v>
      </c>
      <c r="E160" s="166" t="s">
        <v>7183</v>
      </c>
      <c r="F160" s="50" t="s">
        <v>7961</v>
      </c>
      <c r="G160" s="50" t="s">
        <v>7962</v>
      </c>
      <c r="H160" s="54" t="s">
        <v>3449</v>
      </c>
      <c r="I160" s="50" t="s">
        <v>7963</v>
      </c>
      <c r="J160" s="50" t="s">
        <v>7964</v>
      </c>
    </row>
    <row r="161" spans="1:10" ht="17.25">
      <c r="A161" s="26"/>
      <c r="B161" s="45"/>
      <c r="C161" s="2" t="s">
        <v>649</v>
      </c>
      <c r="D161" s="49" t="s">
        <v>7965</v>
      </c>
      <c r="E161" s="166" t="s">
        <v>7183</v>
      </c>
      <c r="F161" s="50" t="s">
        <v>7966</v>
      </c>
      <c r="G161" s="50" t="s">
        <v>7967</v>
      </c>
      <c r="H161" s="54" t="s">
        <v>3449</v>
      </c>
      <c r="I161" s="50" t="s">
        <v>7968</v>
      </c>
      <c r="J161" s="50" t="s">
        <v>7969</v>
      </c>
    </row>
    <row r="162" spans="1:10" ht="17.25">
      <c r="A162" s="26"/>
      <c r="B162" s="45"/>
      <c r="C162" s="2" t="s">
        <v>529</v>
      </c>
      <c r="D162" s="49" t="s">
        <v>7672</v>
      </c>
      <c r="E162" s="166" t="s">
        <v>7183</v>
      </c>
      <c r="F162" s="50" t="s">
        <v>7970</v>
      </c>
      <c r="G162" s="50" t="s">
        <v>7971</v>
      </c>
      <c r="H162" s="54" t="s">
        <v>3449</v>
      </c>
      <c r="I162" s="50" t="s">
        <v>7972</v>
      </c>
      <c r="J162" s="50" t="s">
        <v>7973</v>
      </c>
    </row>
    <row r="163" spans="1:10" ht="17.25">
      <c r="A163" s="26"/>
      <c r="B163" s="45" t="s">
        <v>652</v>
      </c>
      <c r="C163" s="2" t="s">
        <v>653</v>
      </c>
      <c r="D163" s="49" t="s">
        <v>7974</v>
      </c>
      <c r="E163" s="166" t="s">
        <v>7189</v>
      </c>
      <c r="F163" s="50" t="s">
        <v>7975</v>
      </c>
      <c r="G163" s="50" t="s">
        <v>7976</v>
      </c>
      <c r="H163" s="54" t="s">
        <v>3449</v>
      </c>
      <c r="I163" s="50" t="s">
        <v>7977</v>
      </c>
      <c r="J163" s="50" t="s">
        <v>7978</v>
      </c>
    </row>
    <row r="164" spans="1:10" ht="17.25">
      <c r="A164" s="26"/>
      <c r="B164" s="45"/>
      <c r="C164" s="2" t="s">
        <v>655</v>
      </c>
      <c r="D164" s="49" t="s">
        <v>7979</v>
      </c>
      <c r="E164" s="166" t="s">
        <v>7183</v>
      </c>
      <c r="F164" s="50" t="s">
        <v>7980</v>
      </c>
      <c r="G164" s="50" t="s">
        <v>7981</v>
      </c>
      <c r="H164" s="54" t="s">
        <v>3449</v>
      </c>
      <c r="I164" s="50" t="s">
        <v>7982</v>
      </c>
      <c r="J164" s="50" t="s">
        <v>7983</v>
      </c>
    </row>
    <row r="165" spans="1:10" ht="17.25">
      <c r="A165" s="26"/>
      <c r="B165" s="45"/>
      <c r="C165" s="2" t="s">
        <v>657</v>
      </c>
      <c r="D165" s="49" t="s">
        <v>7984</v>
      </c>
      <c r="E165" s="166" t="s">
        <v>7183</v>
      </c>
      <c r="F165" s="50" t="s">
        <v>7985</v>
      </c>
      <c r="G165" s="50" t="s">
        <v>7986</v>
      </c>
      <c r="H165" s="54" t="s">
        <v>3449</v>
      </c>
      <c r="I165" s="50" t="s">
        <v>7987</v>
      </c>
      <c r="J165" s="50" t="s">
        <v>7988</v>
      </c>
    </row>
    <row r="166" spans="1:10" ht="17.25">
      <c r="A166" s="26"/>
      <c r="B166" s="45"/>
      <c r="C166" s="2" t="s">
        <v>659</v>
      </c>
      <c r="D166" s="49" t="s">
        <v>7989</v>
      </c>
      <c r="E166" s="166" t="s">
        <v>7183</v>
      </c>
      <c r="F166" s="50" t="s">
        <v>7990</v>
      </c>
      <c r="G166" s="50" t="s">
        <v>7991</v>
      </c>
      <c r="H166" s="54" t="s">
        <v>3449</v>
      </c>
      <c r="I166" s="50" t="s">
        <v>7992</v>
      </c>
      <c r="J166" s="50" t="s">
        <v>7993</v>
      </c>
    </row>
    <row r="167" spans="1:10" ht="17.25">
      <c r="A167" s="26"/>
      <c r="B167" s="45"/>
      <c r="C167" s="2" t="s">
        <v>529</v>
      </c>
      <c r="D167" s="49" t="s">
        <v>7672</v>
      </c>
      <c r="E167" s="166" t="s">
        <v>7183</v>
      </c>
      <c r="F167" s="50" t="s">
        <v>7994</v>
      </c>
      <c r="G167" s="50" t="s">
        <v>7995</v>
      </c>
      <c r="H167" s="54" t="s">
        <v>3449</v>
      </c>
      <c r="I167" s="50" t="s">
        <v>7996</v>
      </c>
      <c r="J167" s="50" t="s">
        <v>7997</v>
      </c>
    </row>
    <row r="168" spans="1:10" ht="17.25">
      <c r="A168" s="26"/>
      <c r="B168" s="45" t="s">
        <v>662</v>
      </c>
      <c r="C168" s="2" t="s">
        <v>663</v>
      </c>
      <c r="D168" s="49" t="s">
        <v>7998</v>
      </c>
      <c r="E168" s="166" t="s">
        <v>7189</v>
      </c>
      <c r="F168" s="50" t="s">
        <v>7999</v>
      </c>
      <c r="G168" s="50" t="s">
        <v>8000</v>
      </c>
      <c r="H168" s="54" t="s">
        <v>3449</v>
      </c>
      <c r="I168" s="50" t="s">
        <v>8001</v>
      </c>
      <c r="J168" s="50" t="s">
        <v>8002</v>
      </c>
    </row>
    <row r="169" spans="1:10" ht="17.25">
      <c r="A169" s="26"/>
      <c r="B169" s="45"/>
      <c r="C169" s="2" t="s">
        <v>635</v>
      </c>
      <c r="D169" s="49" t="s">
        <v>8003</v>
      </c>
      <c r="E169" s="166" t="s">
        <v>7183</v>
      </c>
      <c r="F169" s="50" t="s">
        <v>8004</v>
      </c>
      <c r="G169" s="50" t="s">
        <v>8005</v>
      </c>
      <c r="H169" s="54" t="s">
        <v>3449</v>
      </c>
      <c r="I169" s="50" t="s">
        <v>8006</v>
      </c>
      <c r="J169" s="50" t="s">
        <v>8007</v>
      </c>
    </row>
    <row r="170" spans="1:10" ht="17.25">
      <c r="A170" s="26"/>
      <c r="B170" s="45"/>
      <c r="C170" s="2" t="s">
        <v>637</v>
      </c>
      <c r="D170" s="49" t="s">
        <v>7936</v>
      </c>
      <c r="E170" s="166" t="s">
        <v>7183</v>
      </c>
      <c r="F170" s="50" t="s">
        <v>8008</v>
      </c>
      <c r="G170" s="50" t="s">
        <v>8009</v>
      </c>
      <c r="H170" s="54" t="s">
        <v>3449</v>
      </c>
      <c r="I170" s="50" t="s">
        <v>8010</v>
      </c>
      <c r="J170" s="50" t="s">
        <v>8011</v>
      </c>
    </row>
    <row r="171" spans="1:10" ht="17.25">
      <c r="A171" s="26"/>
      <c r="B171" s="45"/>
      <c r="C171" s="2" t="s">
        <v>639</v>
      </c>
      <c r="D171" s="49" t="s">
        <v>7941</v>
      </c>
      <c r="E171" s="166" t="s">
        <v>7183</v>
      </c>
      <c r="F171" s="50" t="s">
        <v>8012</v>
      </c>
      <c r="G171" s="50" t="s">
        <v>8013</v>
      </c>
      <c r="H171" s="54" t="s">
        <v>3449</v>
      </c>
      <c r="I171" s="50" t="s">
        <v>8014</v>
      </c>
      <c r="J171" s="50" t="s">
        <v>8015</v>
      </c>
    </row>
    <row r="172" spans="1:10" ht="17.25">
      <c r="A172" s="26"/>
      <c r="B172" s="45"/>
      <c r="C172" s="2" t="s">
        <v>529</v>
      </c>
      <c r="D172" s="49" t="s">
        <v>7672</v>
      </c>
      <c r="E172" s="166" t="s">
        <v>7183</v>
      </c>
      <c r="F172" s="50" t="s">
        <v>8016</v>
      </c>
      <c r="G172" s="50" t="s">
        <v>8017</v>
      </c>
      <c r="H172" s="54" t="s">
        <v>3449</v>
      </c>
      <c r="I172" s="50" t="s">
        <v>8018</v>
      </c>
      <c r="J172" s="50" t="s">
        <v>8019</v>
      </c>
    </row>
    <row r="173" spans="1:10" ht="17.25">
      <c r="A173" s="26"/>
      <c r="B173" s="45" t="s">
        <v>669</v>
      </c>
      <c r="C173" s="2" t="s">
        <v>670</v>
      </c>
      <c r="D173" s="49" t="s">
        <v>8020</v>
      </c>
      <c r="E173" s="166" t="s">
        <v>7189</v>
      </c>
      <c r="F173" s="50" t="s">
        <v>8021</v>
      </c>
      <c r="G173" s="50" t="s">
        <v>8022</v>
      </c>
      <c r="H173" s="54" t="s">
        <v>3449</v>
      </c>
      <c r="I173" s="50" t="s">
        <v>8023</v>
      </c>
      <c r="J173" s="50" t="s">
        <v>8024</v>
      </c>
    </row>
    <row r="174" spans="1:10" ht="17.25">
      <c r="A174" s="26"/>
      <c r="B174" s="45"/>
      <c r="C174" s="2" t="s">
        <v>672</v>
      </c>
      <c r="D174" s="49" t="s">
        <v>8025</v>
      </c>
      <c r="E174" s="166" t="s">
        <v>7183</v>
      </c>
      <c r="F174" s="50" t="s">
        <v>8026</v>
      </c>
      <c r="G174" s="50" t="s">
        <v>8027</v>
      </c>
      <c r="H174" s="54" t="s">
        <v>3449</v>
      </c>
      <c r="I174" s="50" t="s">
        <v>8028</v>
      </c>
      <c r="J174" s="50" t="s">
        <v>8029</v>
      </c>
    </row>
    <row r="175" spans="1:10" ht="17.25">
      <c r="A175" s="26"/>
      <c r="B175" s="45"/>
      <c r="C175" s="2" t="s">
        <v>674</v>
      </c>
      <c r="D175" s="49" t="s">
        <v>8030</v>
      </c>
      <c r="E175" s="166" t="s">
        <v>7183</v>
      </c>
      <c r="F175" s="50" t="s">
        <v>8031</v>
      </c>
      <c r="G175" s="50" t="s">
        <v>8032</v>
      </c>
      <c r="H175" s="54" t="s">
        <v>3449</v>
      </c>
      <c r="I175" s="50" t="s">
        <v>8033</v>
      </c>
      <c r="J175" s="50" t="s">
        <v>8034</v>
      </c>
    </row>
    <row r="176" spans="1:10" ht="17.25">
      <c r="A176" s="26"/>
      <c r="B176" s="45"/>
      <c r="C176" s="2" t="s">
        <v>649</v>
      </c>
      <c r="D176" s="49" t="s">
        <v>7965</v>
      </c>
      <c r="E176" s="166" t="s">
        <v>7183</v>
      </c>
      <c r="F176" s="50" t="s">
        <v>8035</v>
      </c>
      <c r="G176" s="50" t="s">
        <v>8036</v>
      </c>
      <c r="H176" s="54" t="s">
        <v>3449</v>
      </c>
      <c r="I176" s="50" t="s">
        <v>8037</v>
      </c>
      <c r="J176" s="50" t="s">
        <v>8038</v>
      </c>
    </row>
    <row r="177" spans="1:10" ht="17.25">
      <c r="A177" s="26"/>
      <c r="B177" s="45"/>
      <c r="C177" s="2" t="s">
        <v>529</v>
      </c>
      <c r="D177" s="49" t="s">
        <v>7672</v>
      </c>
      <c r="E177" s="166" t="s">
        <v>7183</v>
      </c>
      <c r="F177" s="50" t="s">
        <v>8039</v>
      </c>
      <c r="G177" s="50" t="s">
        <v>8040</v>
      </c>
      <c r="H177" s="54" t="s">
        <v>3449</v>
      </c>
      <c r="I177" s="50" t="s">
        <v>8041</v>
      </c>
      <c r="J177" s="50" t="s">
        <v>8042</v>
      </c>
    </row>
    <row r="178" spans="1:10" ht="17.25">
      <c r="A178" s="26"/>
      <c r="B178" s="45" t="s">
        <v>678</v>
      </c>
      <c r="C178" s="2" t="s">
        <v>679</v>
      </c>
      <c r="D178" s="49" t="s">
        <v>8043</v>
      </c>
      <c r="E178" s="166" t="s">
        <v>7189</v>
      </c>
      <c r="F178" s="50" t="s">
        <v>8044</v>
      </c>
      <c r="G178" s="50" t="s">
        <v>8045</v>
      </c>
      <c r="H178" s="54" t="s">
        <v>3449</v>
      </c>
      <c r="I178" s="50" t="s">
        <v>8046</v>
      </c>
      <c r="J178" s="50" t="s">
        <v>8047</v>
      </c>
    </row>
    <row r="179" spans="1:10" ht="17.25">
      <c r="A179" s="26"/>
      <c r="B179" s="45"/>
      <c r="C179" s="2" t="s">
        <v>681</v>
      </c>
      <c r="D179" s="49" t="s">
        <v>8048</v>
      </c>
      <c r="E179" s="166" t="s">
        <v>7183</v>
      </c>
      <c r="F179" s="50" t="s">
        <v>8049</v>
      </c>
      <c r="G179" s="50" t="s">
        <v>8050</v>
      </c>
      <c r="H179" s="54" t="s">
        <v>3449</v>
      </c>
      <c r="I179" s="50" t="s">
        <v>8051</v>
      </c>
      <c r="J179" s="50" t="s">
        <v>8052</v>
      </c>
    </row>
    <row r="180" spans="1:10" ht="17.25">
      <c r="A180" s="26"/>
      <c r="B180" s="45"/>
      <c r="C180" s="2" t="s">
        <v>683</v>
      </c>
      <c r="D180" s="49" t="s">
        <v>8053</v>
      </c>
      <c r="E180" s="166" t="s">
        <v>7183</v>
      </c>
      <c r="F180" s="50" t="s">
        <v>8054</v>
      </c>
      <c r="G180" s="50" t="s">
        <v>8055</v>
      </c>
      <c r="H180" s="54" t="s">
        <v>3449</v>
      </c>
      <c r="I180" s="50" t="s">
        <v>8056</v>
      </c>
      <c r="J180" s="50" t="s">
        <v>8057</v>
      </c>
    </row>
    <row r="181" spans="1:10" ht="17.25">
      <c r="A181" s="26"/>
      <c r="B181" s="45"/>
      <c r="C181" s="2" t="s">
        <v>685</v>
      </c>
      <c r="D181" s="49" t="s">
        <v>8058</v>
      </c>
      <c r="E181" s="166" t="s">
        <v>7183</v>
      </c>
      <c r="F181" s="50" t="s">
        <v>8059</v>
      </c>
      <c r="G181" s="50" t="s">
        <v>8060</v>
      </c>
      <c r="H181" s="54" t="s">
        <v>3449</v>
      </c>
      <c r="I181" s="50" t="s">
        <v>8061</v>
      </c>
      <c r="J181" s="50" t="s">
        <v>8062</v>
      </c>
    </row>
    <row r="182" spans="1:10" ht="17.25">
      <c r="A182" s="26"/>
      <c r="B182" s="45"/>
      <c r="C182" s="2" t="s">
        <v>529</v>
      </c>
      <c r="D182" s="49" t="s">
        <v>7672</v>
      </c>
      <c r="E182" s="166" t="s">
        <v>7183</v>
      </c>
      <c r="F182" s="50" t="s">
        <v>8063</v>
      </c>
      <c r="G182" s="50" t="s">
        <v>8064</v>
      </c>
      <c r="H182" s="54" t="s">
        <v>3449</v>
      </c>
      <c r="I182" s="50" t="s">
        <v>8065</v>
      </c>
      <c r="J182" s="50" t="s">
        <v>8066</v>
      </c>
    </row>
    <row r="183" spans="1:10" ht="17.25">
      <c r="A183" s="26"/>
      <c r="B183" s="45" t="s">
        <v>688</v>
      </c>
      <c r="C183" s="2" t="s">
        <v>689</v>
      </c>
      <c r="D183" s="49" t="s">
        <v>8067</v>
      </c>
      <c r="E183" s="166" t="s">
        <v>7189</v>
      </c>
      <c r="F183" s="50" t="s">
        <v>8068</v>
      </c>
      <c r="G183" s="50" t="s">
        <v>8069</v>
      </c>
      <c r="H183" s="54" t="s">
        <v>3449</v>
      </c>
      <c r="I183" s="50" t="s">
        <v>8070</v>
      </c>
      <c r="J183" s="50" t="s">
        <v>8071</v>
      </c>
    </row>
    <row r="184" spans="1:10" ht="17.25">
      <c r="A184" s="26"/>
      <c r="B184" s="45"/>
      <c r="C184" s="2" t="s">
        <v>691</v>
      </c>
      <c r="D184" s="49" t="s">
        <v>8072</v>
      </c>
      <c r="E184" s="166" t="s">
        <v>7183</v>
      </c>
      <c r="F184" s="50" t="s">
        <v>8073</v>
      </c>
      <c r="G184" s="50" t="s">
        <v>8074</v>
      </c>
      <c r="H184" s="54" t="s">
        <v>3449</v>
      </c>
      <c r="I184" s="50" t="s">
        <v>8075</v>
      </c>
      <c r="J184" s="50" t="s">
        <v>8076</v>
      </c>
    </row>
    <row r="185" spans="1:10" ht="17.25">
      <c r="A185" s="26"/>
      <c r="B185" s="45"/>
      <c r="C185" s="2" t="s">
        <v>693</v>
      </c>
      <c r="D185" s="49" t="s">
        <v>8077</v>
      </c>
      <c r="E185" s="166" t="s">
        <v>7183</v>
      </c>
      <c r="F185" s="50" t="s">
        <v>8078</v>
      </c>
      <c r="G185" s="50" t="s">
        <v>8079</v>
      </c>
      <c r="H185" s="54" t="s">
        <v>3449</v>
      </c>
      <c r="I185" s="50" t="s">
        <v>8080</v>
      </c>
      <c r="J185" s="50" t="s">
        <v>8081</v>
      </c>
    </row>
    <row r="186" spans="1:10" ht="17.25">
      <c r="A186" s="26"/>
      <c r="B186" s="45"/>
      <c r="C186" s="2" t="s">
        <v>695</v>
      </c>
      <c r="D186" s="49" t="s">
        <v>8082</v>
      </c>
      <c r="E186" s="166" t="s">
        <v>7183</v>
      </c>
      <c r="F186" s="50" t="s">
        <v>8083</v>
      </c>
      <c r="G186" s="50" t="s">
        <v>8084</v>
      </c>
      <c r="H186" s="54" t="s">
        <v>3449</v>
      </c>
      <c r="I186" s="50" t="s">
        <v>8085</v>
      </c>
      <c r="J186" s="50" t="s">
        <v>8086</v>
      </c>
    </row>
    <row r="187" spans="1:10" ht="17.25">
      <c r="A187" s="26"/>
      <c r="B187" s="45"/>
      <c r="C187" s="2" t="s">
        <v>529</v>
      </c>
      <c r="D187" s="49" t="s">
        <v>7672</v>
      </c>
      <c r="E187" s="166" t="s">
        <v>7183</v>
      </c>
      <c r="F187" s="50" t="s">
        <v>8087</v>
      </c>
      <c r="G187" s="50" t="s">
        <v>8088</v>
      </c>
      <c r="H187" s="54" t="s">
        <v>3449</v>
      </c>
      <c r="I187" s="50" t="s">
        <v>8089</v>
      </c>
      <c r="J187" s="50" t="s">
        <v>8090</v>
      </c>
    </row>
    <row r="188" spans="1:10" ht="17.25">
      <c r="A188" s="26"/>
      <c r="B188" s="45" t="s">
        <v>698</v>
      </c>
      <c r="C188" s="2" t="s">
        <v>699</v>
      </c>
      <c r="D188" s="49" t="s">
        <v>8091</v>
      </c>
      <c r="E188" s="166" t="s">
        <v>7189</v>
      </c>
      <c r="F188" s="50" t="s">
        <v>8092</v>
      </c>
      <c r="G188" s="50" t="s">
        <v>8093</v>
      </c>
      <c r="H188" s="54" t="s">
        <v>3449</v>
      </c>
      <c r="I188" s="50" t="s">
        <v>8094</v>
      </c>
      <c r="J188" s="50" t="s">
        <v>8095</v>
      </c>
    </row>
    <row r="189" spans="1:10" ht="17.25">
      <c r="A189" s="26"/>
      <c r="B189" s="45"/>
      <c r="C189" s="2" t="s">
        <v>701</v>
      </c>
      <c r="D189" s="49" t="s">
        <v>8096</v>
      </c>
      <c r="E189" s="166" t="s">
        <v>7183</v>
      </c>
      <c r="F189" s="50" t="s">
        <v>8097</v>
      </c>
      <c r="G189" s="50" t="s">
        <v>8098</v>
      </c>
      <c r="H189" s="54" t="s">
        <v>3449</v>
      </c>
      <c r="I189" s="50" t="s">
        <v>8099</v>
      </c>
      <c r="J189" s="50" t="s">
        <v>8100</v>
      </c>
    </row>
    <row r="190" spans="1:10" ht="17.25">
      <c r="A190" s="26"/>
      <c r="B190" s="45"/>
      <c r="C190" s="2" t="s">
        <v>703</v>
      </c>
      <c r="D190" s="49" t="s">
        <v>8101</v>
      </c>
      <c r="E190" s="166" t="s">
        <v>7183</v>
      </c>
      <c r="F190" s="50" t="s">
        <v>8102</v>
      </c>
      <c r="G190" s="50" t="s">
        <v>8103</v>
      </c>
      <c r="H190" s="54" t="s">
        <v>3449</v>
      </c>
      <c r="I190" s="50" t="s">
        <v>8104</v>
      </c>
      <c r="J190" s="50" t="s">
        <v>8105</v>
      </c>
    </row>
    <row r="191" spans="1:10" ht="17.25">
      <c r="A191" s="26"/>
      <c r="B191" s="45"/>
      <c r="C191" s="2" t="s">
        <v>705</v>
      </c>
      <c r="D191" s="49" t="s">
        <v>8106</v>
      </c>
      <c r="E191" s="166" t="s">
        <v>7183</v>
      </c>
      <c r="F191" s="50" t="s">
        <v>8107</v>
      </c>
      <c r="G191" s="50" t="s">
        <v>8108</v>
      </c>
      <c r="H191" s="54" t="s">
        <v>3449</v>
      </c>
      <c r="I191" s="50" t="s">
        <v>8109</v>
      </c>
      <c r="J191" s="50" t="s">
        <v>8110</v>
      </c>
    </row>
    <row r="192" spans="1:10" ht="17.25">
      <c r="A192" s="26"/>
      <c r="B192" s="45"/>
      <c r="C192" s="2" t="s">
        <v>529</v>
      </c>
      <c r="D192" s="49" t="s">
        <v>7672</v>
      </c>
      <c r="E192" s="166" t="s">
        <v>7183</v>
      </c>
      <c r="F192" s="50" t="s">
        <v>8111</v>
      </c>
      <c r="G192" s="50" t="s">
        <v>8112</v>
      </c>
      <c r="H192" s="54" t="s">
        <v>3449</v>
      </c>
      <c r="I192" s="50" t="s">
        <v>8113</v>
      </c>
      <c r="J192" s="50" t="s">
        <v>8114</v>
      </c>
    </row>
    <row r="193" spans="1:10" ht="17.25">
      <c r="A193" s="26" t="s">
        <v>708</v>
      </c>
      <c r="B193" s="45" t="s">
        <v>709</v>
      </c>
      <c r="C193" s="2" t="s">
        <v>710</v>
      </c>
      <c r="D193" s="49" t="s">
        <v>8115</v>
      </c>
      <c r="E193" s="166" t="s">
        <v>7189</v>
      </c>
      <c r="F193" s="50" t="s">
        <v>8116</v>
      </c>
      <c r="G193" s="50" t="s">
        <v>8117</v>
      </c>
      <c r="H193" s="54" t="s">
        <v>3449</v>
      </c>
      <c r="I193" s="50" t="s">
        <v>8118</v>
      </c>
      <c r="J193" s="50" t="s">
        <v>8119</v>
      </c>
    </row>
    <row r="194" spans="1:10" ht="17.25">
      <c r="A194" s="26"/>
      <c r="B194" s="45"/>
      <c r="C194" s="2" t="s">
        <v>712</v>
      </c>
      <c r="D194" s="49" t="s">
        <v>8120</v>
      </c>
      <c r="E194" s="166" t="s">
        <v>7183</v>
      </c>
      <c r="F194" s="50" t="s">
        <v>8121</v>
      </c>
      <c r="G194" s="50" t="s">
        <v>8122</v>
      </c>
      <c r="H194" s="54" t="s">
        <v>3449</v>
      </c>
      <c r="I194" s="50" t="s">
        <v>8123</v>
      </c>
      <c r="J194" s="50" t="s">
        <v>8124</v>
      </c>
    </row>
    <row r="195" spans="1:10" ht="17.25">
      <c r="A195" s="26"/>
      <c r="B195" s="45"/>
      <c r="C195" s="2" t="s">
        <v>714</v>
      </c>
      <c r="D195" s="49" t="s">
        <v>8125</v>
      </c>
      <c r="E195" s="166" t="s">
        <v>7183</v>
      </c>
      <c r="F195" s="50" t="s">
        <v>8126</v>
      </c>
      <c r="G195" s="50" t="s">
        <v>8127</v>
      </c>
      <c r="H195" s="54" t="s">
        <v>3449</v>
      </c>
      <c r="I195" s="50" t="s">
        <v>8128</v>
      </c>
      <c r="J195" s="50" t="s">
        <v>8129</v>
      </c>
    </row>
    <row r="196" spans="1:10" ht="17.25">
      <c r="A196" s="26"/>
      <c r="B196" s="45"/>
      <c r="C196" s="2" t="s">
        <v>716</v>
      </c>
      <c r="D196" s="49" t="s">
        <v>717</v>
      </c>
      <c r="E196" s="166" t="s">
        <v>7183</v>
      </c>
      <c r="F196" s="50" t="s">
        <v>8130</v>
      </c>
      <c r="G196" s="50" t="s">
        <v>8131</v>
      </c>
      <c r="H196" s="54" t="s">
        <v>3449</v>
      </c>
      <c r="I196" s="50" t="s">
        <v>8132</v>
      </c>
      <c r="J196" s="50" t="s">
        <v>8133</v>
      </c>
    </row>
    <row r="197" spans="1:10" ht="17.25">
      <c r="A197" s="26"/>
      <c r="B197" s="45"/>
      <c r="C197" s="2" t="s">
        <v>718</v>
      </c>
      <c r="D197" s="49" t="s">
        <v>8134</v>
      </c>
      <c r="E197" s="166" t="s">
        <v>7183</v>
      </c>
      <c r="F197" s="50" t="s">
        <v>8135</v>
      </c>
      <c r="G197" s="50" t="s">
        <v>8136</v>
      </c>
      <c r="H197" s="54" t="s">
        <v>3449</v>
      </c>
      <c r="I197" s="50" t="s">
        <v>8137</v>
      </c>
      <c r="J197" s="50" t="s">
        <v>8138</v>
      </c>
    </row>
    <row r="198" spans="1:10" ht="17.25">
      <c r="A198" s="26"/>
      <c r="B198" s="45" t="s">
        <v>720</v>
      </c>
      <c r="C198" s="2" t="s">
        <v>721</v>
      </c>
      <c r="D198" s="49" t="s">
        <v>8139</v>
      </c>
      <c r="E198" s="166" t="s">
        <v>7189</v>
      </c>
      <c r="F198" s="50" t="s">
        <v>8140</v>
      </c>
      <c r="G198" s="50" t="s">
        <v>8141</v>
      </c>
      <c r="H198" s="54" t="s">
        <v>3449</v>
      </c>
      <c r="I198" s="50" t="s">
        <v>8142</v>
      </c>
      <c r="J198" s="50" t="s">
        <v>8143</v>
      </c>
    </row>
    <row r="199" spans="1:10" ht="17.25">
      <c r="A199" s="26"/>
      <c r="B199" s="45"/>
      <c r="C199" s="2" t="s">
        <v>723</v>
      </c>
      <c r="D199" s="49" t="s">
        <v>8144</v>
      </c>
      <c r="E199" s="166" t="s">
        <v>7183</v>
      </c>
      <c r="F199" s="50" t="s">
        <v>8145</v>
      </c>
      <c r="G199" s="50" t="s">
        <v>8146</v>
      </c>
      <c r="H199" s="54" t="s">
        <v>3449</v>
      </c>
      <c r="I199" s="50" t="s">
        <v>8147</v>
      </c>
      <c r="J199" s="50" t="s">
        <v>8148</v>
      </c>
    </row>
    <row r="200" spans="1:10" ht="17.25">
      <c r="A200" s="26"/>
      <c r="B200" s="45"/>
      <c r="C200" s="2" t="s">
        <v>725</v>
      </c>
      <c r="D200" s="49" t="s">
        <v>8149</v>
      </c>
      <c r="E200" s="166" t="s">
        <v>7183</v>
      </c>
      <c r="F200" s="50" t="s">
        <v>8150</v>
      </c>
      <c r="G200" s="50" t="s">
        <v>8151</v>
      </c>
      <c r="H200" s="54" t="s">
        <v>3449</v>
      </c>
      <c r="I200" s="50" t="s">
        <v>8152</v>
      </c>
      <c r="J200" s="50" t="s">
        <v>8153</v>
      </c>
    </row>
    <row r="201" spans="1:10" ht="17.25">
      <c r="A201" s="26"/>
      <c r="B201" s="45"/>
      <c r="C201" s="2" t="s">
        <v>727</v>
      </c>
      <c r="D201" s="49" t="s">
        <v>8154</v>
      </c>
      <c r="E201" s="166" t="s">
        <v>7183</v>
      </c>
      <c r="F201" s="50" t="s">
        <v>8155</v>
      </c>
      <c r="G201" s="50" t="s">
        <v>8156</v>
      </c>
      <c r="H201" s="54" t="s">
        <v>3449</v>
      </c>
      <c r="I201" s="50" t="s">
        <v>8157</v>
      </c>
      <c r="J201" s="50" t="s">
        <v>8158</v>
      </c>
    </row>
    <row r="202" spans="1:10" ht="17.25">
      <c r="A202" s="26"/>
      <c r="B202" s="45"/>
      <c r="C202" s="2" t="s">
        <v>729</v>
      </c>
      <c r="D202" s="49" t="s">
        <v>8159</v>
      </c>
      <c r="E202" s="166" t="s">
        <v>7183</v>
      </c>
      <c r="F202" s="50" t="s">
        <v>8160</v>
      </c>
      <c r="G202" s="50" t="s">
        <v>8161</v>
      </c>
      <c r="H202" s="54" t="s">
        <v>3449</v>
      </c>
      <c r="I202" s="50" t="s">
        <v>8162</v>
      </c>
      <c r="J202" s="50" t="s">
        <v>8163</v>
      </c>
    </row>
    <row r="203" spans="1:10" ht="17.25">
      <c r="A203" s="26"/>
      <c r="B203" s="45" t="s">
        <v>731</v>
      </c>
      <c r="C203" s="2" t="s">
        <v>732</v>
      </c>
      <c r="D203" s="49" t="s">
        <v>8164</v>
      </c>
      <c r="E203" s="166" t="s">
        <v>7189</v>
      </c>
      <c r="F203" s="50" t="s">
        <v>8165</v>
      </c>
      <c r="G203" s="50" t="s">
        <v>8166</v>
      </c>
      <c r="H203" s="54" t="s">
        <v>3449</v>
      </c>
      <c r="I203" s="50" t="s">
        <v>8167</v>
      </c>
      <c r="J203" s="50" t="s">
        <v>8168</v>
      </c>
    </row>
    <row r="204" spans="1:10" ht="17.25">
      <c r="A204" s="26"/>
      <c r="B204" s="45"/>
      <c r="C204" s="2" t="s">
        <v>734</v>
      </c>
      <c r="D204" s="49" t="s">
        <v>8169</v>
      </c>
      <c r="E204" s="166" t="s">
        <v>7183</v>
      </c>
      <c r="F204" s="50" t="s">
        <v>8170</v>
      </c>
      <c r="G204" s="50" t="s">
        <v>8171</v>
      </c>
      <c r="H204" s="54" t="s">
        <v>3449</v>
      </c>
      <c r="I204" s="50" t="s">
        <v>8172</v>
      </c>
      <c r="J204" s="50" t="s">
        <v>8173</v>
      </c>
    </row>
    <row r="205" spans="1:10" ht="17.25">
      <c r="A205" s="26"/>
      <c r="B205" s="45"/>
      <c r="C205" s="2" t="s">
        <v>736</v>
      </c>
      <c r="D205" s="49" t="s">
        <v>8174</v>
      </c>
      <c r="E205" s="166" t="s">
        <v>7183</v>
      </c>
      <c r="F205" s="50" t="s">
        <v>8175</v>
      </c>
      <c r="G205" s="50" t="s">
        <v>8176</v>
      </c>
      <c r="H205" s="54" t="s">
        <v>3449</v>
      </c>
      <c r="I205" s="50" t="s">
        <v>8177</v>
      </c>
      <c r="J205" s="50" t="s">
        <v>8178</v>
      </c>
    </row>
    <row r="206" spans="1:10" ht="17.25">
      <c r="A206" s="26"/>
      <c r="B206" s="45"/>
      <c r="C206" s="2" t="s">
        <v>738</v>
      </c>
      <c r="D206" s="49" t="s">
        <v>8179</v>
      </c>
      <c r="E206" s="166" t="s">
        <v>7183</v>
      </c>
      <c r="F206" s="50" t="s">
        <v>8180</v>
      </c>
      <c r="G206" s="50" t="s">
        <v>8181</v>
      </c>
      <c r="H206" s="54" t="s">
        <v>3449</v>
      </c>
      <c r="I206" s="50" t="s">
        <v>8182</v>
      </c>
      <c r="J206" s="50" t="s">
        <v>8183</v>
      </c>
    </row>
    <row r="207" spans="1:10" ht="17.25">
      <c r="A207" s="26"/>
      <c r="B207" s="45"/>
      <c r="C207" s="2" t="s">
        <v>740</v>
      </c>
      <c r="D207" s="49" t="s">
        <v>8184</v>
      </c>
      <c r="E207" s="166" t="s">
        <v>7183</v>
      </c>
      <c r="F207" s="50" t="s">
        <v>8185</v>
      </c>
      <c r="G207" s="50" t="s">
        <v>8186</v>
      </c>
      <c r="H207" s="54" t="s">
        <v>3449</v>
      </c>
      <c r="I207" s="50" t="s">
        <v>8187</v>
      </c>
      <c r="J207" s="50" t="s">
        <v>8188</v>
      </c>
    </row>
    <row r="208" spans="1:10" ht="17.25">
      <c r="A208" s="26"/>
      <c r="B208" s="45" t="s">
        <v>742</v>
      </c>
      <c r="C208" s="2" t="s">
        <v>743</v>
      </c>
      <c r="D208" s="49" t="s">
        <v>8189</v>
      </c>
      <c r="E208" s="166" t="s">
        <v>7189</v>
      </c>
      <c r="F208" s="50" t="s">
        <v>8190</v>
      </c>
      <c r="G208" s="50" t="s">
        <v>8191</v>
      </c>
      <c r="H208" s="54" t="s">
        <v>3449</v>
      </c>
      <c r="I208" s="50" t="s">
        <v>8192</v>
      </c>
      <c r="J208" s="50" t="s">
        <v>8193</v>
      </c>
    </row>
    <row r="209" spans="1:10" ht="17.25">
      <c r="A209" s="26"/>
      <c r="B209" s="45"/>
      <c r="C209" s="2" t="s">
        <v>745</v>
      </c>
      <c r="D209" s="49" t="s">
        <v>8194</v>
      </c>
      <c r="E209" s="166" t="s">
        <v>7183</v>
      </c>
      <c r="F209" s="50" t="s">
        <v>8195</v>
      </c>
      <c r="G209" s="50" t="s">
        <v>8196</v>
      </c>
      <c r="H209" s="54" t="s">
        <v>3449</v>
      </c>
      <c r="I209" s="50" t="s">
        <v>8197</v>
      </c>
      <c r="J209" s="50" t="s">
        <v>8198</v>
      </c>
    </row>
    <row r="210" spans="1:10" ht="17.25">
      <c r="A210" s="26"/>
      <c r="B210" s="45"/>
      <c r="C210" s="2" t="s">
        <v>747</v>
      </c>
      <c r="D210" s="49" t="s">
        <v>8199</v>
      </c>
      <c r="E210" s="166" t="s">
        <v>7183</v>
      </c>
      <c r="F210" s="50" t="s">
        <v>8200</v>
      </c>
      <c r="G210" s="50" t="s">
        <v>8201</v>
      </c>
      <c r="H210" s="54" t="s">
        <v>3449</v>
      </c>
      <c r="I210" s="50" t="s">
        <v>8202</v>
      </c>
      <c r="J210" s="50" t="s">
        <v>8203</v>
      </c>
    </row>
    <row r="211" spans="1:10" ht="17.25">
      <c r="A211" s="26"/>
      <c r="B211" s="45"/>
      <c r="C211" s="2" t="s">
        <v>749</v>
      </c>
      <c r="D211" s="49" t="s">
        <v>8204</v>
      </c>
      <c r="E211" s="166" t="s">
        <v>7183</v>
      </c>
      <c r="F211" s="50" t="s">
        <v>8205</v>
      </c>
      <c r="G211" s="50" t="s">
        <v>8206</v>
      </c>
      <c r="H211" s="54" t="s">
        <v>3449</v>
      </c>
      <c r="I211" s="50" t="s">
        <v>8207</v>
      </c>
      <c r="J211" s="50" t="s">
        <v>8208</v>
      </c>
    </row>
    <row r="212" spans="1:10" ht="17.25">
      <c r="A212" s="26"/>
      <c r="B212" s="45"/>
      <c r="C212" s="2" t="s">
        <v>751</v>
      </c>
      <c r="D212" s="49" t="s">
        <v>8209</v>
      </c>
      <c r="E212" s="166" t="s">
        <v>7183</v>
      </c>
      <c r="F212" s="50" t="s">
        <v>8210</v>
      </c>
      <c r="G212" s="50" t="s">
        <v>8211</v>
      </c>
      <c r="H212" s="54" t="s">
        <v>3449</v>
      </c>
      <c r="I212" s="50" t="s">
        <v>8212</v>
      </c>
      <c r="J212" s="50" t="s">
        <v>8213</v>
      </c>
    </row>
    <row r="213" spans="1:10" ht="17.25">
      <c r="A213" s="26"/>
      <c r="B213" s="45" t="s">
        <v>753</v>
      </c>
      <c r="C213" s="2" t="s">
        <v>754</v>
      </c>
      <c r="D213" s="49" t="s">
        <v>8214</v>
      </c>
      <c r="E213" s="166" t="s">
        <v>7189</v>
      </c>
      <c r="F213" s="50" t="s">
        <v>8215</v>
      </c>
      <c r="G213" s="50" t="s">
        <v>8216</v>
      </c>
      <c r="H213" s="54" t="s">
        <v>3449</v>
      </c>
      <c r="I213" s="50" t="s">
        <v>8217</v>
      </c>
      <c r="J213" s="50" t="s">
        <v>8218</v>
      </c>
    </row>
    <row r="214" spans="1:10" ht="17.25">
      <c r="A214" s="26"/>
      <c r="B214" s="45"/>
      <c r="C214" s="2" t="s">
        <v>756</v>
      </c>
      <c r="D214" s="49" t="s">
        <v>8219</v>
      </c>
      <c r="E214" s="166" t="s">
        <v>7183</v>
      </c>
      <c r="F214" s="50" t="s">
        <v>8220</v>
      </c>
      <c r="G214" s="50" t="s">
        <v>8221</v>
      </c>
      <c r="H214" s="54" t="s">
        <v>3449</v>
      </c>
      <c r="I214" s="50" t="s">
        <v>8222</v>
      </c>
      <c r="J214" s="50" t="s">
        <v>8223</v>
      </c>
    </row>
    <row r="215" spans="1:10" ht="17.25">
      <c r="A215" s="26"/>
      <c r="B215" s="45"/>
      <c r="C215" s="2" t="s">
        <v>758</v>
      </c>
      <c r="D215" s="49" t="s">
        <v>8224</v>
      </c>
      <c r="E215" s="166" t="s">
        <v>7183</v>
      </c>
      <c r="F215" s="50" t="s">
        <v>8225</v>
      </c>
      <c r="G215" s="50" t="s">
        <v>8226</v>
      </c>
      <c r="H215" s="54" t="s">
        <v>3449</v>
      </c>
      <c r="I215" s="50" t="s">
        <v>8227</v>
      </c>
      <c r="J215" s="50" t="s">
        <v>8228</v>
      </c>
    </row>
    <row r="216" spans="1:10" ht="17.25">
      <c r="A216" s="26"/>
      <c r="B216" s="45"/>
      <c r="C216" s="2" t="s">
        <v>760</v>
      </c>
      <c r="D216" s="49" t="s">
        <v>8229</v>
      </c>
      <c r="E216" s="166" t="s">
        <v>7183</v>
      </c>
      <c r="F216" s="50" t="s">
        <v>8230</v>
      </c>
      <c r="G216" s="50" t="s">
        <v>8231</v>
      </c>
      <c r="H216" s="54" t="s">
        <v>3449</v>
      </c>
      <c r="I216" s="50" t="s">
        <v>7431</v>
      </c>
      <c r="J216" s="50" t="s">
        <v>8232</v>
      </c>
    </row>
    <row r="217" spans="1:10" ht="17.25">
      <c r="A217" s="26"/>
      <c r="B217" s="45"/>
      <c r="C217" s="2" t="s">
        <v>762</v>
      </c>
      <c r="D217" s="49" t="s">
        <v>8233</v>
      </c>
      <c r="E217" s="166" t="s">
        <v>7183</v>
      </c>
      <c r="F217" s="50" t="s">
        <v>8234</v>
      </c>
      <c r="G217" s="50" t="s">
        <v>8235</v>
      </c>
      <c r="H217" s="54" t="s">
        <v>3449</v>
      </c>
      <c r="I217" s="50" t="s">
        <v>8236</v>
      </c>
      <c r="J217" s="50" t="s">
        <v>8237</v>
      </c>
    </row>
    <row r="218" spans="1:10" ht="17.25">
      <c r="A218" s="26"/>
      <c r="B218" s="45" t="s">
        <v>764</v>
      </c>
      <c r="C218" s="2" t="s">
        <v>765</v>
      </c>
      <c r="D218" s="49" t="s">
        <v>8238</v>
      </c>
      <c r="E218" s="166" t="s">
        <v>7189</v>
      </c>
      <c r="F218" s="50" t="s">
        <v>8239</v>
      </c>
      <c r="G218" s="50" t="s">
        <v>8240</v>
      </c>
      <c r="H218" s="54" t="s">
        <v>3449</v>
      </c>
      <c r="I218" s="50" t="s">
        <v>8241</v>
      </c>
      <c r="J218" s="50" t="s">
        <v>8242</v>
      </c>
    </row>
    <row r="219" spans="1:10" ht="17.25">
      <c r="A219" s="26"/>
      <c r="B219" s="45"/>
      <c r="C219" s="2" t="s">
        <v>767</v>
      </c>
      <c r="D219" s="49" t="s">
        <v>8243</v>
      </c>
      <c r="E219" s="166" t="s">
        <v>7183</v>
      </c>
      <c r="F219" s="50" t="s">
        <v>8244</v>
      </c>
      <c r="G219" s="50" t="s">
        <v>8245</v>
      </c>
      <c r="H219" s="54" t="s">
        <v>3449</v>
      </c>
      <c r="I219" s="50" t="s">
        <v>8246</v>
      </c>
      <c r="J219" s="50" t="s">
        <v>8247</v>
      </c>
    </row>
    <row r="220" spans="1:10" ht="17.25">
      <c r="A220" s="26"/>
      <c r="B220" s="45"/>
      <c r="C220" s="2" t="s">
        <v>769</v>
      </c>
      <c r="D220" s="49" t="s">
        <v>8248</v>
      </c>
      <c r="E220" s="166" t="s">
        <v>7183</v>
      </c>
      <c r="F220" s="50" t="s">
        <v>8249</v>
      </c>
      <c r="G220" s="50" t="s">
        <v>8250</v>
      </c>
      <c r="H220" s="54" t="s">
        <v>3449</v>
      </c>
      <c r="I220" s="50" t="s">
        <v>8251</v>
      </c>
      <c r="J220" s="50" t="s">
        <v>8252</v>
      </c>
    </row>
    <row r="221" spans="1:10" ht="17.25">
      <c r="A221" s="26"/>
      <c r="B221" s="45"/>
      <c r="C221" s="2" t="s">
        <v>771</v>
      </c>
      <c r="D221" s="49" t="s">
        <v>8253</v>
      </c>
      <c r="E221" s="166" t="s">
        <v>7183</v>
      </c>
      <c r="F221" s="50" t="s">
        <v>8254</v>
      </c>
      <c r="G221" s="50" t="s">
        <v>8255</v>
      </c>
      <c r="H221" s="54" t="s">
        <v>3449</v>
      </c>
      <c r="I221" s="50" t="s">
        <v>8256</v>
      </c>
      <c r="J221" s="50" t="s">
        <v>8257</v>
      </c>
    </row>
    <row r="222" spans="1:10" ht="17.25">
      <c r="A222" s="26"/>
      <c r="B222" s="45"/>
      <c r="C222" s="2" t="s">
        <v>773</v>
      </c>
      <c r="D222" s="49" t="s">
        <v>8258</v>
      </c>
      <c r="E222" s="166" t="s">
        <v>7183</v>
      </c>
      <c r="F222" s="50" t="s">
        <v>8259</v>
      </c>
      <c r="G222" s="50" t="s">
        <v>8260</v>
      </c>
      <c r="H222" s="54" t="s">
        <v>3449</v>
      </c>
      <c r="I222" s="50" t="s">
        <v>8261</v>
      </c>
      <c r="J222" s="50" t="s">
        <v>8262</v>
      </c>
    </row>
    <row r="223" spans="1:10" ht="17.25">
      <c r="A223" s="26"/>
      <c r="B223" s="45" t="s">
        <v>775</v>
      </c>
      <c r="C223" s="2" t="s">
        <v>776</v>
      </c>
      <c r="D223" s="49" t="s">
        <v>8263</v>
      </c>
      <c r="E223" s="166" t="s">
        <v>7189</v>
      </c>
      <c r="F223" s="50" t="s">
        <v>8264</v>
      </c>
      <c r="G223" s="50" t="s">
        <v>8265</v>
      </c>
      <c r="H223" s="54" t="s">
        <v>3449</v>
      </c>
      <c r="I223" s="50" t="s">
        <v>8266</v>
      </c>
      <c r="J223" s="50" t="s">
        <v>8267</v>
      </c>
    </row>
    <row r="224" spans="1:10" ht="17.25">
      <c r="A224" s="26"/>
      <c r="B224" s="45"/>
      <c r="C224" s="2" t="s">
        <v>778</v>
      </c>
      <c r="D224" s="49" t="s">
        <v>8268</v>
      </c>
      <c r="E224" s="166" t="s">
        <v>7183</v>
      </c>
      <c r="F224" s="50" t="s">
        <v>8269</v>
      </c>
      <c r="G224" s="50" t="s">
        <v>8270</v>
      </c>
      <c r="H224" s="54" t="s">
        <v>3449</v>
      </c>
      <c r="I224" s="50" t="s">
        <v>8271</v>
      </c>
      <c r="J224" s="50" t="s">
        <v>8272</v>
      </c>
    </row>
    <row r="225" spans="1:10" ht="17.25">
      <c r="A225" s="26"/>
      <c r="B225" s="45"/>
      <c r="C225" s="2" t="s">
        <v>780</v>
      </c>
      <c r="D225" s="49" t="s">
        <v>8273</v>
      </c>
      <c r="E225" s="166" t="s">
        <v>7183</v>
      </c>
      <c r="F225" s="50" t="s">
        <v>8274</v>
      </c>
      <c r="G225" s="50" t="s">
        <v>8275</v>
      </c>
      <c r="H225" s="54" t="s">
        <v>3449</v>
      </c>
      <c r="I225" s="50" t="s">
        <v>8276</v>
      </c>
      <c r="J225" s="50" t="s">
        <v>8277</v>
      </c>
    </row>
    <row r="226" spans="1:10" ht="17.25">
      <c r="A226" s="26"/>
      <c r="B226" s="45"/>
      <c r="C226" s="2" t="s">
        <v>782</v>
      </c>
      <c r="D226" s="49" t="s">
        <v>8278</v>
      </c>
      <c r="E226" s="166" t="s">
        <v>7183</v>
      </c>
      <c r="F226" s="50" t="s">
        <v>8279</v>
      </c>
      <c r="G226" s="50" t="s">
        <v>8280</v>
      </c>
      <c r="H226" s="54" t="s">
        <v>3449</v>
      </c>
      <c r="I226" s="50" t="s">
        <v>8281</v>
      </c>
      <c r="J226" s="50" t="s">
        <v>8282</v>
      </c>
    </row>
    <row r="227" spans="1:10" ht="17.25">
      <c r="A227" s="26"/>
      <c r="B227" s="45"/>
      <c r="C227" s="2" t="s">
        <v>784</v>
      </c>
      <c r="D227" s="49" t="s">
        <v>8283</v>
      </c>
      <c r="E227" s="166" t="s">
        <v>7183</v>
      </c>
      <c r="F227" s="50" t="s">
        <v>8284</v>
      </c>
      <c r="G227" s="50" t="s">
        <v>8285</v>
      </c>
      <c r="H227" s="54" t="s">
        <v>3449</v>
      </c>
      <c r="I227" s="50" t="s">
        <v>8286</v>
      </c>
      <c r="J227" s="50" t="s">
        <v>8287</v>
      </c>
    </row>
    <row r="228" spans="1:10" ht="17.25">
      <c r="A228" s="26"/>
      <c r="B228" s="45" t="s">
        <v>786</v>
      </c>
      <c r="C228" s="2" t="s">
        <v>787</v>
      </c>
      <c r="D228" s="49" t="s">
        <v>8288</v>
      </c>
      <c r="E228" s="166" t="s">
        <v>7189</v>
      </c>
      <c r="F228" s="50" t="s">
        <v>8289</v>
      </c>
      <c r="G228" s="50" t="s">
        <v>8290</v>
      </c>
      <c r="H228" s="54" t="s">
        <v>3449</v>
      </c>
      <c r="I228" s="50" t="s">
        <v>8291</v>
      </c>
      <c r="J228" s="50" t="s">
        <v>8292</v>
      </c>
    </row>
    <row r="229" spans="1:10" ht="17.25">
      <c r="A229" s="26"/>
      <c r="B229" s="45"/>
      <c r="C229" s="2" t="s">
        <v>789</v>
      </c>
      <c r="D229" s="49" t="s">
        <v>8293</v>
      </c>
      <c r="E229" s="166" t="s">
        <v>7183</v>
      </c>
      <c r="F229" s="50" t="s">
        <v>8294</v>
      </c>
      <c r="G229" s="50" t="s">
        <v>8295</v>
      </c>
      <c r="H229" s="54" t="s">
        <v>3449</v>
      </c>
      <c r="I229" s="50" t="s">
        <v>8296</v>
      </c>
      <c r="J229" s="50" t="s">
        <v>8297</v>
      </c>
    </row>
    <row r="230" spans="1:10" ht="17.25">
      <c r="A230" s="26"/>
      <c r="B230" s="45"/>
      <c r="C230" s="2" t="s">
        <v>791</v>
      </c>
      <c r="D230" s="49" t="s">
        <v>8298</v>
      </c>
      <c r="E230" s="166" t="s">
        <v>7183</v>
      </c>
      <c r="F230" s="50" t="s">
        <v>8299</v>
      </c>
      <c r="G230" s="50" t="s">
        <v>8300</v>
      </c>
      <c r="H230" s="54" t="s">
        <v>3449</v>
      </c>
      <c r="I230" s="50" t="s">
        <v>8301</v>
      </c>
      <c r="J230" s="50" t="s">
        <v>8302</v>
      </c>
    </row>
    <row r="231" spans="1:10" ht="17.25">
      <c r="A231" s="26"/>
      <c r="B231" s="45"/>
      <c r="C231" s="2" t="s">
        <v>793</v>
      </c>
      <c r="D231" s="49" t="s">
        <v>8303</v>
      </c>
      <c r="E231" s="166" t="s">
        <v>7183</v>
      </c>
      <c r="F231" s="50" t="s">
        <v>8304</v>
      </c>
      <c r="G231" s="50" t="s">
        <v>8305</v>
      </c>
      <c r="H231" s="54" t="s">
        <v>3449</v>
      </c>
      <c r="I231" s="50" t="s">
        <v>8306</v>
      </c>
      <c r="J231" s="50" t="s">
        <v>8307</v>
      </c>
    </row>
    <row r="232" spans="1:10" ht="17.25">
      <c r="A232" s="26"/>
      <c r="B232" s="45"/>
      <c r="C232" s="2" t="s">
        <v>795</v>
      </c>
      <c r="D232" s="49" t="s">
        <v>8308</v>
      </c>
      <c r="E232" s="166" t="s">
        <v>7183</v>
      </c>
      <c r="F232" s="50" t="s">
        <v>8309</v>
      </c>
      <c r="G232" s="50" t="s">
        <v>8310</v>
      </c>
      <c r="H232" s="54" t="s">
        <v>3449</v>
      </c>
      <c r="I232" s="50" t="s">
        <v>8311</v>
      </c>
      <c r="J232" s="50" t="s">
        <v>8312</v>
      </c>
    </row>
    <row r="233" spans="1:10" ht="17.25">
      <c r="A233" s="26"/>
      <c r="B233" s="45" t="s">
        <v>797</v>
      </c>
      <c r="C233" s="2" t="s">
        <v>798</v>
      </c>
      <c r="D233" s="49" t="s">
        <v>8313</v>
      </c>
      <c r="E233" s="166" t="s">
        <v>7189</v>
      </c>
      <c r="F233" s="50" t="s">
        <v>8314</v>
      </c>
      <c r="G233" s="50" t="s">
        <v>8315</v>
      </c>
      <c r="H233" s="54" t="s">
        <v>3449</v>
      </c>
      <c r="I233" s="50" t="s">
        <v>8316</v>
      </c>
      <c r="J233" s="50" t="s">
        <v>8317</v>
      </c>
    </row>
    <row r="234" spans="1:10" ht="17.25">
      <c r="A234" s="26"/>
      <c r="B234" s="45"/>
      <c r="C234" s="2" t="s">
        <v>597</v>
      </c>
      <c r="D234" s="49" t="s">
        <v>8318</v>
      </c>
      <c r="E234" s="166" t="s">
        <v>7183</v>
      </c>
      <c r="F234" s="50" t="s">
        <v>8319</v>
      </c>
      <c r="G234" s="50" t="s">
        <v>8320</v>
      </c>
      <c r="H234" s="54" t="s">
        <v>3449</v>
      </c>
      <c r="I234" s="50" t="s">
        <v>8321</v>
      </c>
      <c r="J234" s="50" t="s">
        <v>8322</v>
      </c>
    </row>
    <row r="235" spans="1:10" ht="17.25">
      <c r="A235" s="26"/>
      <c r="B235" s="45"/>
      <c r="C235" s="2" t="s">
        <v>801</v>
      </c>
      <c r="D235" s="49" t="s">
        <v>8323</v>
      </c>
      <c r="E235" s="166" t="s">
        <v>7183</v>
      </c>
      <c r="F235" s="50" t="s">
        <v>8324</v>
      </c>
      <c r="G235" s="50" t="s">
        <v>8325</v>
      </c>
      <c r="H235" s="54" t="s">
        <v>3449</v>
      </c>
      <c r="I235" s="50" t="s">
        <v>8326</v>
      </c>
      <c r="J235" s="50" t="s">
        <v>8327</v>
      </c>
    </row>
    <row r="236" spans="1:10" ht="17.25">
      <c r="A236" s="26"/>
      <c r="B236" s="45"/>
      <c r="C236" s="2" t="s">
        <v>803</v>
      </c>
      <c r="D236" s="49" t="s">
        <v>8328</v>
      </c>
      <c r="E236" s="166" t="s">
        <v>7183</v>
      </c>
      <c r="F236" s="50" t="s">
        <v>8329</v>
      </c>
      <c r="G236" s="50" t="s">
        <v>8330</v>
      </c>
      <c r="H236" s="54" t="s">
        <v>3450</v>
      </c>
      <c r="I236" s="50" t="s">
        <v>8331</v>
      </c>
      <c r="J236" s="50" t="s">
        <v>8332</v>
      </c>
    </row>
    <row r="237" spans="1:10" ht="17.25">
      <c r="A237" s="26"/>
      <c r="B237" s="45"/>
      <c r="C237" s="2" t="s">
        <v>805</v>
      </c>
      <c r="D237" s="49" t="s">
        <v>8333</v>
      </c>
      <c r="E237" s="166" t="s">
        <v>7183</v>
      </c>
      <c r="F237" s="50" t="s">
        <v>8334</v>
      </c>
      <c r="G237" s="50" t="s">
        <v>8335</v>
      </c>
      <c r="H237" s="54" t="s">
        <v>3450</v>
      </c>
      <c r="I237" s="50" t="s">
        <v>8336</v>
      </c>
      <c r="J237" s="50" t="s">
        <v>8337</v>
      </c>
    </row>
    <row r="238" spans="1:10" ht="17.25">
      <c r="A238" s="26"/>
      <c r="B238" s="45" t="s">
        <v>807</v>
      </c>
      <c r="C238" s="2" t="s">
        <v>808</v>
      </c>
      <c r="D238" s="49" t="s">
        <v>8338</v>
      </c>
      <c r="E238" s="166" t="s">
        <v>7189</v>
      </c>
      <c r="F238" s="50" t="s">
        <v>8339</v>
      </c>
      <c r="G238" s="50" t="s">
        <v>8340</v>
      </c>
      <c r="H238" s="54" t="s">
        <v>3450</v>
      </c>
      <c r="I238" s="50" t="s">
        <v>8341</v>
      </c>
      <c r="J238" s="50" t="s">
        <v>8342</v>
      </c>
    </row>
    <row r="239" spans="1:10" ht="17.25">
      <c r="A239" s="26"/>
      <c r="B239" s="45"/>
      <c r="C239" s="2" t="s">
        <v>810</v>
      </c>
      <c r="D239" s="49" t="s">
        <v>8343</v>
      </c>
      <c r="E239" s="166" t="s">
        <v>7183</v>
      </c>
      <c r="F239" s="50" t="s">
        <v>8344</v>
      </c>
      <c r="G239" s="50" t="s">
        <v>8345</v>
      </c>
      <c r="H239" s="54" t="s">
        <v>7320</v>
      </c>
      <c r="I239" s="50" t="s">
        <v>8346</v>
      </c>
      <c r="J239" s="50" t="s">
        <v>8347</v>
      </c>
    </row>
    <row r="240" spans="1:10" ht="17.25">
      <c r="A240" s="26"/>
      <c r="B240" s="45"/>
      <c r="C240" s="2" t="s">
        <v>812</v>
      </c>
      <c r="D240" s="49" t="s">
        <v>8348</v>
      </c>
      <c r="E240" s="166" t="s">
        <v>7183</v>
      </c>
      <c r="F240" s="50" t="s">
        <v>8349</v>
      </c>
      <c r="G240" s="50" t="s">
        <v>8350</v>
      </c>
      <c r="H240" s="54" t="s">
        <v>3450</v>
      </c>
      <c r="I240" s="50" t="s">
        <v>8351</v>
      </c>
      <c r="J240" s="50" t="s">
        <v>8352</v>
      </c>
    </row>
    <row r="241" spans="1:10" ht="17.25">
      <c r="A241" s="26"/>
      <c r="B241" s="45"/>
      <c r="C241" s="2" t="s">
        <v>628</v>
      </c>
      <c r="D241" s="49" t="s">
        <v>7916</v>
      </c>
      <c r="E241" s="166" t="s">
        <v>7183</v>
      </c>
      <c r="F241" s="50" t="s">
        <v>8353</v>
      </c>
      <c r="G241" s="50" t="s">
        <v>8354</v>
      </c>
      <c r="H241" s="54" t="s">
        <v>7320</v>
      </c>
      <c r="I241" s="50" t="s">
        <v>8355</v>
      </c>
      <c r="J241" s="50" t="s">
        <v>8356</v>
      </c>
    </row>
    <row r="242" spans="1:10" ht="17.25">
      <c r="A242" s="26"/>
      <c r="B242" s="45"/>
      <c r="C242" s="2" t="s">
        <v>630</v>
      </c>
      <c r="D242" s="49" t="s">
        <v>8357</v>
      </c>
      <c r="E242" s="166" t="s">
        <v>7183</v>
      </c>
      <c r="F242" s="50" t="s">
        <v>8358</v>
      </c>
      <c r="G242" s="50" t="s">
        <v>8359</v>
      </c>
      <c r="H242" s="54" t="s">
        <v>3449</v>
      </c>
      <c r="I242" s="50" t="s">
        <v>8360</v>
      </c>
      <c r="J242" s="50" t="s">
        <v>8361</v>
      </c>
    </row>
    <row r="243" spans="1:10" ht="17.25">
      <c r="A243" s="26"/>
      <c r="B243" s="45" t="s">
        <v>816</v>
      </c>
      <c r="C243" s="2" t="s">
        <v>817</v>
      </c>
      <c r="D243" s="49" t="s">
        <v>8362</v>
      </c>
      <c r="E243" s="166" t="s">
        <v>7189</v>
      </c>
      <c r="F243" s="50" t="s">
        <v>8363</v>
      </c>
      <c r="G243" s="50" t="s">
        <v>8364</v>
      </c>
      <c r="H243" s="54" t="s">
        <v>3449</v>
      </c>
      <c r="I243" s="50" t="s">
        <v>8365</v>
      </c>
      <c r="J243" s="50" t="s">
        <v>8366</v>
      </c>
    </row>
    <row r="244" spans="1:10" ht="17.25">
      <c r="A244" s="26"/>
      <c r="B244" s="45"/>
      <c r="C244" s="2" t="s">
        <v>819</v>
      </c>
      <c r="D244" s="49" t="s">
        <v>8367</v>
      </c>
      <c r="E244" s="166" t="s">
        <v>7183</v>
      </c>
      <c r="F244" s="50" t="s">
        <v>8368</v>
      </c>
      <c r="G244" s="50" t="s">
        <v>8369</v>
      </c>
      <c r="H244" s="54" t="s">
        <v>3449</v>
      </c>
      <c r="I244" s="50" t="s">
        <v>8370</v>
      </c>
      <c r="J244" s="50" t="s">
        <v>8371</v>
      </c>
    </row>
    <row r="245" spans="1:10" ht="17.25">
      <c r="A245" s="26"/>
      <c r="B245" s="45"/>
      <c r="C245" s="2" t="s">
        <v>821</v>
      </c>
      <c r="D245" s="49" t="s">
        <v>8372</v>
      </c>
      <c r="E245" s="166" t="s">
        <v>7183</v>
      </c>
      <c r="F245" s="50" t="s">
        <v>8373</v>
      </c>
      <c r="G245" s="50" t="s">
        <v>8374</v>
      </c>
      <c r="H245" s="54" t="s">
        <v>3449</v>
      </c>
      <c r="I245" s="50" t="s">
        <v>8375</v>
      </c>
      <c r="J245" s="50" t="s">
        <v>8376</v>
      </c>
    </row>
    <row r="246" spans="1:10" ht="17.25">
      <c r="A246" s="26"/>
      <c r="B246" s="45"/>
      <c r="C246" s="2" t="s">
        <v>823</v>
      </c>
      <c r="D246" s="49" t="s">
        <v>8377</v>
      </c>
      <c r="E246" s="166" t="s">
        <v>7183</v>
      </c>
      <c r="F246" s="50" t="s">
        <v>8378</v>
      </c>
      <c r="G246" s="50" t="s">
        <v>8379</v>
      </c>
      <c r="H246" s="54" t="s">
        <v>3449</v>
      </c>
      <c r="I246" s="50" t="s">
        <v>8380</v>
      </c>
      <c r="J246" s="50" t="s">
        <v>8381</v>
      </c>
    </row>
    <row r="247" spans="1:10" ht="17.25">
      <c r="A247" s="26"/>
      <c r="B247" s="45"/>
      <c r="C247" s="2" t="s">
        <v>529</v>
      </c>
      <c r="D247" s="49" t="s">
        <v>8382</v>
      </c>
      <c r="E247" s="166" t="s">
        <v>7183</v>
      </c>
      <c r="F247" s="50" t="s">
        <v>8383</v>
      </c>
      <c r="G247" s="50" t="s">
        <v>8384</v>
      </c>
      <c r="H247" s="54" t="s">
        <v>3449</v>
      </c>
      <c r="I247" s="50" t="s">
        <v>8385</v>
      </c>
      <c r="J247" s="50" t="s">
        <v>8386</v>
      </c>
    </row>
    <row r="248" spans="1:10" ht="17.25">
      <c r="A248" s="26"/>
      <c r="B248" s="45" t="s">
        <v>826</v>
      </c>
      <c r="C248" s="2" t="s">
        <v>827</v>
      </c>
      <c r="D248" s="49" t="s">
        <v>8387</v>
      </c>
      <c r="E248" s="166" t="s">
        <v>7189</v>
      </c>
      <c r="F248" s="50" t="s">
        <v>8388</v>
      </c>
      <c r="G248" s="50" t="s">
        <v>8389</v>
      </c>
      <c r="H248" s="54" t="s">
        <v>3449</v>
      </c>
      <c r="I248" s="50" t="s">
        <v>8390</v>
      </c>
      <c r="J248" s="50" t="s">
        <v>8391</v>
      </c>
    </row>
    <row r="249" spans="1:10" ht="17.25">
      <c r="A249" s="26"/>
      <c r="B249" s="45"/>
      <c r="C249" s="2" t="s">
        <v>575</v>
      </c>
      <c r="D249" s="49" t="s">
        <v>8392</v>
      </c>
      <c r="E249" s="166" t="s">
        <v>7183</v>
      </c>
      <c r="F249" s="50" t="s">
        <v>8393</v>
      </c>
      <c r="G249" s="50" t="s">
        <v>8394</v>
      </c>
      <c r="H249" s="54" t="s">
        <v>3449</v>
      </c>
      <c r="I249" s="50" t="s">
        <v>8395</v>
      </c>
      <c r="J249" s="50" t="s">
        <v>8396</v>
      </c>
    </row>
    <row r="250" spans="1:10" ht="17.25">
      <c r="A250" s="26"/>
      <c r="B250" s="45"/>
      <c r="C250" s="2" t="s">
        <v>830</v>
      </c>
      <c r="D250" s="51" t="s">
        <v>8397</v>
      </c>
      <c r="E250" s="166" t="s">
        <v>7183</v>
      </c>
      <c r="F250" s="50" t="s">
        <v>8398</v>
      </c>
      <c r="G250" s="50" t="s">
        <v>8399</v>
      </c>
      <c r="H250" s="54" t="s">
        <v>3449</v>
      </c>
      <c r="I250" s="50" t="s">
        <v>8400</v>
      </c>
      <c r="J250" s="50" t="s">
        <v>8401</v>
      </c>
    </row>
    <row r="251" spans="1:10" ht="17.25">
      <c r="A251" s="26"/>
      <c r="B251" s="45"/>
      <c r="C251" s="2" t="s">
        <v>832</v>
      </c>
      <c r="D251" s="49" t="s">
        <v>8402</v>
      </c>
      <c r="E251" s="166" t="s">
        <v>7183</v>
      </c>
      <c r="F251" s="50" t="s">
        <v>8403</v>
      </c>
      <c r="G251" s="50" t="s">
        <v>8404</v>
      </c>
      <c r="H251" s="54" t="s">
        <v>3449</v>
      </c>
      <c r="I251" s="50" t="s">
        <v>8405</v>
      </c>
      <c r="J251" s="50" t="s">
        <v>8406</v>
      </c>
    </row>
    <row r="252" spans="1:10" ht="17.25">
      <c r="A252" s="26"/>
      <c r="B252" s="45"/>
      <c r="C252" s="2" t="s">
        <v>581</v>
      </c>
      <c r="D252" s="49" t="s">
        <v>8407</v>
      </c>
      <c r="E252" s="166" t="s">
        <v>7183</v>
      </c>
      <c r="F252" s="50" t="s">
        <v>8408</v>
      </c>
      <c r="G252" s="50" t="s">
        <v>8409</v>
      </c>
      <c r="H252" s="54" t="s">
        <v>3449</v>
      </c>
      <c r="I252" s="50" t="s">
        <v>8410</v>
      </c>
      <c r="J252" s="50" t="s">
        <v>8411</v>
      </c>
    </row>
    <row r="253" spans="1:10" ht="17.25">
      <c r="A253" s="26"/>
      <c r="B253" s="45" t="s">
        <v>835</v>
      </c>
      <c r="C253" s="2" t="s">
        <v>836</v>
      </c>
      <c r="D253" s="49" t="s">
        <v>8412</v>
      </c>
      <c r="E253" s="166" t="s">
        <v>7189</v>
      </c>
      <c r="F253" s="50" t="s">
        <v>8413</v>
      </c>
      <c r="G253" s="50" t="s">
        <v>8414</v>
      </c>
      <c r="H253" s="54" t="s">
        <v>3449</v>
      </c>
      <c r="I253" s="50" t="s">
        <v>8415</v>
      </c>
      <c r="J253" s="50" t="s">
        <v>8416</v>
      </c>
    </row>
    <row r="254" spans="1:10" ht="17.25">
      <c r="A254" s="26"/>
      <c r="B254" s="45"/>
      <c r="C254" s="2" t="s">
        <v>837</v>
      </c>
      <c r="D254" s="49" t="s">
        <v>8417</v>
      </c>
      <c r="E254" s="166" t="s">
        <v>7183</v>
      </c>
      <c r="F254" s="50" t="s">
        <v>8418</v>
      </c>
      <c r="G254" s="50" t="s">
        <v>8419</v>
      </c>
      <c r="H254" s="54" t="s">
        <v>3449</v>
      </c>
      <c r="I254" s="50" t="s">
        <v>8420</v>
      </c>
      <c r="J254" s="50" t="s">
        <v>8421</v>
      </c>
    </row>
    <row r="255" spans="1:10" ht="17.25">
      <c r="A255" s="26"/>
      <c r="B255" s="45"/>
      <c r="C255" s="2" t="s">
        <v>838</v>
      </c>
      <c r="D255" s="49" t="s">
        <v>8422</v>
      </c>
      <c r="E255" s="166" t="s">
        <v>7183</v>
      </c>
      <c r="F255" s="50" t="s">
        <v>8423</v>
      </c>
      <c r="G255" s="50" t="s">
        <v>8424</v>
      </c>
      <c r="H255" s="54" t="s">
        <v>3449</v>
      </c>
      <c r="I255" s="50" t="s">
        <v>8425</v>
      </c>
      <c r="J255" s="50" t="s">
        <v>8426</v>
      </c>
    </row>
    <row r="256" spans="1:10" ht="17.25">
      <c r="A256" s="26"/>
      <c r="B256" s="45"/>
      <c r="C256" s="2" t="s">
        <v>839</v>
      </c>
      <c r="D256" s="49" t="s">
        <v>8427</v>
      </c>
      <c r="E256" s="166" t="s">
        <v>7183</v>
      </c>
      <c r="F256" s="50" t="s">
        <v>8428</v>
      </c>
      <c r="G256" s="50" t="s">
        <v>8429</v>
      </c>
      <c r="H256" s="54" t="s">
        <v>3449</v>
      </c>
      <c r="I256" s="50" t="s">
        <v>8430</v>
      </c>
      <c r="J256" s="50" t="s">
        <v>8431</v>
      </c>
    </row>
    <row r="257" spans="1:10" ht="17.25">
      <c r="A257" s="26"/>
      <c r="B257" s="45"/>
      <c r="C257" s="2" t="s">
        <v>840</v>
      </c>
      <c r="D257" s="49" t="s">
        <v>8432</v>
      </c>
      <c r="E257" s="166" t="s">
        <v>7183</v>
      </c>
      <c r="F257" s="50" t="s">
        <v>8433</v>
      </c>
      <c r="G257" s="50" t="s">
        <v>8434</v>
      </c>
      <c r="H257" s="54" t="s">
        <v>3449</v>
      </c>
      <c r="I257" s="50" t="s">
        <v>8435</v>
      </c>
      <c r="J257" s="50" t="s">
        <v>8436</v>
      </c>
    </row>
    <row r="258" spans="1:10" ht="17.25">
      <c r="A258" s="26"/>
      <c r="B258" s="45" t="s">
        <v>841</v>
      </c>
      <c r="C258" s="2" t="s">
        <v>842</v>
      </c>
      <c r="D258" s="49" t="s">
        <v>8437</v>
      </c>
      <c r="E258" s="166" t="s">
        <v>7189</v>
      </c>
      <c r="F258" s="50" t="s">
        <v>8438</v>
      </c>
      <c r="G258" s="50" t="s">
        <v>8439</v>
      </c>
      <c r="H258" s="54" t="s">
        <v>3449</v>
      </c>
      <c r="I258" s="50" t="s">
        <v>8440</v>
      </c>
      <c r="J258" s="50" t="s">
        <v>8441</v>
      </c>
    </row>
    <row r="259" spans="1:10" ht="17.25">
      <c r="A259" s="26"/>
      <c r="B259" s="45"/>
      <c r="C259" s="2" t="s">
        <v>789</v>
      </c>
      <c r="D259" s="49" t="s">
        <v>8442</v>
      </c>
      <c r="E259" s="166" t="s">
        <v>7183</v>
      </c>
      <c r="F259" s="50" t="s">
        <v>8443</v>
      </c>
      <c r="G259" s="50" t="s">
        <v>8444</v>
      </c>
      <c r="H259" s="54" t="s">
        <v>3449</v>
      </c>
      <c r="I259" s="50" t="s">
        <v>8445</v>
      </c>
      <c r="J259" s="50" t="s">
        <v>8446</v>
      </c>
    </row>
    <row r="260" spans="1:10" ht="17.25">
      <c r="A260" s="26"/>
      <c r="B260" s="45"/>
      <c r="C260" s="2" t="s">
        <v>791</v>
      </c>
      <c r="D260" s="49" t="s">
        <v>8447</v>
      </c>
      <c r="E260" s="166" t="s">
        <v>7183</v>
      </c>
      <c r="F260" s="50" t="s">
        <v>8448</v>
      </c>
      <c r="G260" s="50" t="s">
        <v>8449</v>
      </c>
      <c r="H260" s="54" t="s">
        <v>3449</v>
      </c>
      <c r="I260" s="50" t="s">
        <v>8450</v>
      </c>
      <c r="J260" s="50" t="s">
        <v>8451</v>
      </c>
    </row>
    <row r="261" spans="1:10" ht="17.25">
      <c r="A261" s="26"/>
      <c r="B261" s="45"/>
      <c r="C261" s="2" t="s">
        <v>846</v>
      </c>
      <c r="D261" s="49" t="s">
        <v>8452</v>
      </c>
      <c r="E261" s="166" t="s">
        <v>7183</v>
      </c>
      <c r="F261" s="50" t="s">
        <v>8453</v>
      </c>
      <c r="G261" s="50" t="s">
        <v>8454</v>
      </c>
      <c r="H261" s="54" t="s">
        <v>3449</v>
      </c>
      <c r="I261" s="50" t="s">
        <v>8455</v>
      </c>
      <c r="J261" s="50" t="s">
        <v>8456</v>
      </c>
    </row>
    <row r="262" spans="1:10" ht="17.25">
      <c r="A262" s="26"/>
      <c r="B262" s="45"/>
      <c r="C262" s="2" t="s">
        <v>795</v>
      </c>
      <c r="D262" s="49" t="s">
        <v>8457</v>
      </c>
      <c r="E262" s="166" t="s">
        <v>7183</v>
      </c>
      <c r="F262" s="50" t="s">
        <v>8458</v>
      </c>
      <c r="G262" s="50" t="s">
        <v>8459</v>
      </c>
      <c r="H262" s="54" t="s">
        <v>3449</v>
      </c>
      <c r="I262" s="50" t="s">
        <v>8460</v>
      </c>
      <c r="J262" s="50" t="s">
        <v>8461</v>
      </c>
    </row>
    <row r="263" spans="1:10" ht="17.25">
      <c r="A263" s="26"/>
      <c r="B263" s="45" t="s">
        <v>849</v>
      </c>
      <c r="C263" s="2" t="s">
        <v>850</v>
      </c>
      <c r="D263" s="49" t="s">
        <v>8462</v>
      </c>
      <c r="E263" s="166" t="s">
        <v>7189</v>
      </c>
      <c r="F263" s="50" t="s">
        <v>8463</v>
      </c>
      <c r="G263" s="50" t="s">
        <v>8464</v>
      </c>
      <c r="H263" s="54" t="s">
        <v>3449</v>
      </c>
      <c r="I263" s="50" t="s">
        <v>8465</v>
      </c>
      <c r="J263" s="50" t="s">
        <v>8466</v>
      </c>
    </row>
    <row r="264" spans="1:10" ht="17.25">
      <c r="A264" s="26"/>
      <c r="B264" s="45"/>
      <c r="C264" s="2" t="s">
        <v>852</v>
      </c>
      <c r="D264" s="49" t="s">
        <v>8467</v>
      </c>
      <c r="E264" s="166" t="s">
        <v>7183</v>
      </c>
      <c r="F264" s="50" t="s">
        <v>8468</v>
      </c>
      <c r="G264" s="50" t="s">
        <v>8469</v>
      </c>
      <c r="H264" s="54" t="s">
        <v>3449</v>
      </c>
      <c r="I264" s="50" t="s">
        <v>8470</v>
      </c>
      <c r="J264" s="50" t="s">
        <v>8471</v>
      </c>
    </row>
    <row r="265" spans="1:10" ht="17.25">
      <c r="A265" s="26"/>
      <c r="B265" s="45"/>
      <c r="C265" s="2" t="s">
        <v>854</v>
      </c>
      <c r="D265" s="49" t="s">
        <v>8472</v>
      </c>
      <c r="E265" s="166" t="s">
        <v>7183</v>
      </c>
      <c r="F265" s="50" t="s">
        <v>7283</v>
      </c>
      <c r="G265" s="50" t="s">
        <v>8473</v>
      </c>
      <c r="H265" s="54" t="s">
        <v>3449</v>
      </c>
      <c r="I265" s="50" t="s">
        <v>8474</v>
      </c>
      <c r="J265" s="50" t="s">
        <v>8475</v>
      </c>
    </row>
    <row r="266" spans="1:10" ht="17.25">
      <c r="A266" s="26"/>
      <c r="B266" s="45"/>
      <c r="C266" s="2" t="s">
        <v>856</v>
      </c>
      <c r="D266" s="49" t="s">
        <v>8476</v>
      </c>
      <c r="E266" s="166" t="s">
        <v>7183</v>
      </c>
      <c r="F266" s="50" t="s">
        <v>8477</v>
      </c>
      <c r="G266" s="50" t="s">
        <v>8478</v>
      </c>
      <c r="H266" s="54" t="s">
        <v>3449</v>
      </c>
      <c r="I266" s="50" t="s">
        <v>8479</v>
      </c>
      <c r="J266" s="50" t="s">
        <v>8480</v>
      </c>
    </row>
    <row r="267" spans="1:10" ht="17.25">
      <c r="A267" s="26"/>
      <c r="B267" s="45"/>
      <c r="C267" s="2" t="s">
        <v>858</v>
      </c>
      <c r="D267" s="49" t="s">
        <v>8199</v>
      </c>
      <c r="E267" s="166" t="s">
        <v>7183</v>
      </c>
      <c r="F267" s="50" t="s">
        <v>8481</v>
      </c>
      <c r="G267" s="50" t="s">
        <v>8482</v>
      </c>
      <c r="H267" s="54" t="s">
        <v>3449</v>
      </c>
      <c r="I267" s="50" t="s">
        <v>8483</v>
      </c>
      <c r="J267" s="50" t="s">
        <v>8484</v>
      </c>
    </row>
    <row r="268" spans="1:10" ht="17.25">
      <c r="A268" s="26"/>
      <c r="B268" s="45" t="s">
        <v>860</v>
      </c>
      <c r="C268" s="2" t="s">
        <v>861</v>
      </c>
      <c r="D268" s="49" t="s">
        <v>8485</v>
      </c>
      <c r="E268" s="166" t="s">
        <v>7189</v>
      </c>
      <c r="F268" s="50" t="s">
        <v>8486</v>
      </c>
      <c r="G268" s="50" t="s">
        <v>8487</v>
      </c>
      <c r="H268" s="54" t="s">
        <v>3449</v>
      </c>
      <c r="I268" s="50" t="s">
        <v>8488</v>
      </c>
      <c r="J268" s="50" t="s">
        <v>8489</v>
      </c>
    </row>
    <row r="269" spans="1:10" ht="17.25">
      <c r="A269" s="26"/>
      <c r="B269" s="45"/>
      <c r="C269" s="2" t="s">
        <v>863</v>
      </c>
      <c r="D269" s="49" t="s">
        <v>8490</v>
      </c>
      <c r="E269" s="166" t="s">
        <v>7183</v>
      </c>
      <c r="F269" s="50" t="s">
        <v>8491</v>
      </c>
      <c r="G269" s="50" t="s">
        <v>8492</v>
      </c>
      <c r="H269" s="54" t="s">
        <v>3449</v>
      </c>
      <c r="I269" s="50" t="s">
        <v>8493</v>
      </c>
      <c r="J269" s="50" t="s">
        <v>8494</v>
      </c>
    </row>
    <row r="270" spans="1:10" ht="17.25">
      <c r="A270" s="26"/>
      <c r="B270" s="45"/>
      <c r="C270" s="2" t="s">
        <v>865</v>
      </c>
      <c r="D270" s="49" t="s">
        <v>8495</v>
      </c>
      <c r="E270" s="166" t="s">
        <v>7183</v>
      </c>
      <c r="F270" s="50" t="s">
        <v>8496</v>
      </c>
      <c r="G270" s="50" t="s">
        <v>8497</v>
      </c>
      <c r="H270" s="54" t="s">
        <v>3449</v>
      </c>
      <c r="I270" s="50" t="s">
        <v>8498</v>
      </c>
      <c r="J270" s="50" t="s">
        <v>8499</v>
      </c>
    </row>
    <row r="271" spans="1:10" ht="17.25">
      <c r="A271" s="26"/>
      <c r="B271" s="45"/>
      <c r="C271" s="2" t="s">
        <v>867</v>
      </c>
      <c r="D271" s="49" t="s">
        <v>8500</v>
      </c>
      <c r="E271" s="166" t="s">
        <v>7183</v>
      </c>
      <c r="F271" s="50" t="s">
        <v>8501</v>
      </c>
      <c r="G271" s="50" t="s">
        <v>8502</v>
      </c>
      <c r="H271" s="54" t="s">
        <v>3449</v>
      </c>
      <c r="I271" s="50" t="s">
        <v>8503</v>
      </c>
      <c r="J271" s="50" t="s">
        <v>8504</v>
      </c>
    </row>
    <row r="272" spans="1:10" ht="17.25">
      <c r="A272" s="26"/>
      <c r="B272" s="45"/>
      <c r="C272" s="2" t="s">
        <v>869</v>
      </c>
      <c r="D272" s="49" t="s">
        <v>8505</v>
      </c>
      <c r="E272" s="166" t="s">
        <v>7183</v>
      </c>
      <c r="F272" s="50" t="s">
        <v>7293</v>
      </c>
      <c r="G272" s="50" t="s">
        <v>8506</v>
      </c>
      <c r="H272" s="54" t="s">
        <v>3449</v>
      </c>
      <c r="I272" s="50" t="s">
        <v>8507</v>
      </c>
      <c r="J272" s="50" t="s">
        <v>8508</v>
      </c>
    </row>
    <row r="273" spans="1:10" ht="17.25">
      <c r="A273" s="26"/>
      <c r="B273" s="45" t="s">
        <v>871</v>
      </c>
      <c r="C273" s="2" t="s">
        <v>872</v>
      </c>
      <c r="D273" s="49" t="s">
        <v>8509</v>
      </c>
      <c r="E273" s="166" t="s">
        <v>7189</v>
      </c>
      <c r="F273" s="50" t="s">
        <v>8510</v>
      </c>
      <c r="G273" s="50" t="s">
        <v>8511</v>
      </c>
      <c r="H273" s="54" t="s">
        <v>3449</v>
      </c>
      <c r="I273" s="50" t="s">
        <v>8512</v>
      </c>
      <c r="J273" s="50" t="s">
        <v>8513</v>
      </c>
    </row>
    <row r="274" spans="1:10" ht="17.25">
      <c r="A274" s="26"/>
      <c r="B274" s="45"/>
      <c r="C274" s="2" t="s">
        <v>863</v>
      </c>
      <c r="D274" s="49" t="s">
        <v>8514</v>
      </c>
      <c r="E274" s="166" t="s">
        <v>7183</v>
      </c>
      <c r="F274" s="50" t="s">
        <v>8515</v>
      </c>
      <c r="G274" s="50" t="s">
        <v>8516</v>
      </c>
      <c r="H274" s="54" t="s">
        <v>3449</v>
      </c>
      <c r="I274" s="50" t="s">
        <v>8517</v>
      </c>
      <c r="J274" s="50" t="s">
        <v>8518</v>
      </c>
    </row>
    <row r="275" spans="1:10" ht="17.25">
      <c r="A275" s="26"/>
      <c r="B275" s="45"/>
      <c r="C275" s="2" t="s">
        <v>875</v>
      </c>
      <c r="D275" s="49" t="s">
        <v>8519</v>
      </c>
      <c r="E275" s="166" t="s">
        <v>7183</v>
      </c>
      <c r="F275" s="50" t="s">
        <v>8520</v>
      </c>
      <c r="G275" s="50" t="s">
        <v>8521</v>
      </c>
      <c r="H275" s="54" t="s">
        <v>3449</v>
      </c>
      <c r="I275" s="50" t="s">
        <v>8522</v>
      </c>
      <c r="J275" s="50" t="s">
        <v>8523</v>
      </c>
    </row>
    <row r="276" spans="1:10" ht="17.25">
      <c r="A276" s="26"/>
      <c r="B276" s="45"/>
      <c r="C276" s="2" t="s">
        <v>877</v>
      </c>
      <c r="D276" s="49" t="s">
        <v>8524</v>
      </c>
      <c r="E276" s="166" t="s">
        <v>7183</v>
      </c>
      <c r="F276" s="50" t="s">
        <v>8525</v>
      </c>
      <c r="G276" s="50" t="s">
        <v>8526</v>
      </c>
      <c r="H276" s="54" t="s">
        <v>3449</v>
      </c>
      <c r="I276" s="50" t="s">
        <v>8527</v>
      </c>
      <c r="J276" s="50" t="s">
        <v>8528</v>
      </c>
    </row>
    <row r="277" spans="1:10" ht="17.25">
      <c r="A277" s="26"/>
      <c r="B277" s="45"/>
      <c r="C277" s="2" t="s">
        <v>879</v>
      </c>
      <c r="D277" s="49" t="s">
        <v>8529</v>
      </c>
      <c r="E277" s="166" t="s">
        <v>7183</v>
      </c>
      <c r="F277" s="50" t="s">
        <v>8530</v>
      </c>
      <c r="G277" s="50" t="s">
        <v>8531</v>
      </c>
      <c r="H277" s="54" t="s">
        <v>3449</v>
      </c>
      <c r="I277" s="50" t="s">
        <v>8532</v>
      </c>
      <c r="J277" s="50" t="s">
        <v>8533</v>
      </c>
    </row>
    <row r="278" spans="1:10" ht="17.25">
      <c r="A278" s="26"/>
      <c r="B278" s="45" t="s">
        <v>881</v>
      </c>
      <c r="C278" s="2" t="s">
        <v>882</v>
      </c>
      <c r="D278" s="49" t="s">
        <v>8534</v>
      </c>
      <c r="E278" s="166" t="s">
        <v>7189</v>
      </c>
      <c r="F278" s="50" t="s">
        <v>8535</v>
      </c>
      <c r="G278" s="50" t="s">
        <v>8536</v>
      </c>
      <c r="H278" s="54" t="s">
        <v>3449</v>
      </c>
      <c r="I278" s="50" t="s">
        <v>8537</v>
      </c>
      <c r="J278" s="50" t="s">
        <v>8538</v>
      </c>
    </row>
    <row r="279" spans="1:10" ht="17.25">
      <c r="A279" s="26"/>
      <c r="B279" s="45"/>
      <c r="C279" s="2" t="s">
        <v>884</v>
      </c>
      <c r="D279" s="49" t="s">
        <v>8539</v>
      </c>
      <c r="E279" s="166" t="s">
        <v>7183</v>
      </c>
      <c r="F279" s="50" t="s">
        <v>8540</v>
      </c>
      <c r="G279" s="50" t="s">
        <v>8541</v>
      </c>
      <c r="H279" s="54" t="s">
        <v>3449</v>
      </c>
      <c r="I279" s="50" t="s">
        <v>8542</v>
      </c>
      <c r="J279" s="50" t="s">
        <v>8543</v>
      </c>
    </row>
    <row r="280" spans="1:10" ht="17.25">
      <c r="A280" s="26"/>
      <c r="B280" s="45"/>
      <c r="C280" s="2" t="s">
        <v>886</v>
      </c>
      <c r="D280" s="49" t="s">
        <v>8544</v>
      </c>
      <c r="E280" s="166" t="s">
        <v>7183</v>
      </c>
      <c r="F280" s="50" t="s">
        <v>7464</v>
      </c>
      <c r="G280" s="50" t="s">
        <v>8545</v>
      </c>
      <c r="H280" s="54" t="s">
        <v>3449</v>
      </c>
      <c r="I280" s="50" t="s">
        <v>8546</v>
      </c>
      <c r="J280" s="50" t="s">
        <v>8547</v>
      </c>
    </row>
    <row r="281" spans="1:10" ht="17.25">
      <c r="A281" s="26"/>
      <c r="B281" s="45"/>
      <c r="C281" s="2" t="s">
        <v>888</v>
      </c>
      <c r="D281" s="49" t="s">
        <v>8548</v>
      </c>
      <c r="E281" s="166" t="s">
        <v>7183</v>
      </c>
      <c r="F281" s="50" t="s">
        <v>8549</v>
      </c>
      <c r="G281" s="50" t="s">
        <v>8550</v>
      </c>
      <c r="H281" s="54" t="s">
        <v>3449</v>
      </c>
      <c r="I281" s="50" t="s">
        <v>8551</v>
      </c>
      <c r="J281" s="50" t="s">
        <v>8552</v>
      </c>
    </row>
    <row r="282" spans="1:10" ht="17.25">
      <c r="A282" s="26"/>
      <c r="B282" s="45"/>
      <c r="C282" s="2" t="s">
        <v>890</v>
      </c>
      <c r="D282" s="49" t="s">
        <v>8553</v>
      </c>
      <c r="E282" s="166" t="s">
        <v>7183</v>
      </c>
      <c r="F282" s="50" t="s">
        <v>8554</v>
      </c>
      <c r="G282" s="50" t="s">
        <v>8555</v>
      </c>
      <c r="H282" s="54" t="s">
        <v>3449</v>
      </c>
      <c r="I282" s="50" t="s">
        <v>8556</v>
      </c>
      <c r="J282" s="50" t="s">
        <v>8557</v>
      </c>
    </row>
    <row r="283" spans="1:10" ht="17.25">
      <c r="A283" s="26"/>
      <c r="B283" s="45" t="s">
        <v>892</v>
      </c>
      <c r="C283" s="2" t="s">
        <v>882</v>
      </c>
      <c r="D283" s="49" t="s">
        <v>8558</v>
      </c>
      <c r="E283" s="166" t="s">
        <v>7189</v>
      </c>
      <c r="F283" s="50" t="s">
        <v>8559</v>
      </c>
      <c r="G283" s="50" t="s">
        <v>8560</v>
      </c>
      <c r="H283" s="54" t="s">
        <v>3449</v>
      </c>
      <c r="I283" s="50" t="s">
        <v>8561</v>
      </c>
      <c r="J283" s="50" t="s">
        <v>8562</v>
      </c>
    </row>
    <row r="284" spans="1:10" ht="17.25">
      <c r="A284" s="26"/>
      <c r="B284" s="45"/>
      <c r="C284" s="2" t="s">
        <v>894</v>
      </c>
      <c r="D284" s="49" t="s">
        <v>8563</v>
      </c>
      <c r="E284" s="166" t="s">
        <v>7183</v>
      </c>
      <c r="F284" s="50" t="s">
        <v>7588</v>
      </c>
      <c r="G284" s="50" t="s">
        <v>8564</v>
      </c>
      <c r="H284" s="54" t="s">
        <v>3449</v>
      </c>
      <c r="I284" s="50" t="s">
        <v>8565</v>
      </c>
      <c r="J284" s="50" t="s">
        <v>8566</v>
      </c>
    </row>
    <row r="285" spans="1:10" ht="17.25">
      <c r="A285" s="26"/>
      <c r="B285" s="45"/>
      <c r="C285" s="2" t="s">
        <v>886</v>
      </c>
      <c r="D285" s="49" t="s">
        <v>8567</v>
      </c>
      <c r="E285" s="166" t="s">
        <v>7183</v>
      </c>
      <c r="F285" s="50" t="s">
        <v>8568</v>
      </c>
      <c r="G285" s="50" t="s">
        <v>8569</v>
      </c>
      <c r="H285" s="54" t="s">
        <v>3449</v>
      </c>
      <c r="I285" s="50" t="s">
        <v>8570</v>
      </c>
      <c r="J285" s="50" t="s">
        <v>8571</v>
      </c>
    </row>
    <row r="286" spans="1:10" ht="17.25">
      <c r="A286" s="26"/>
      <c r="B286" s="45"/>
      <c r="C286" s="2" t="s">
        <v>888</v>
      </c>
      <c r="D286" s="49" t="s">
        <v>8572</v>
      </c>
      <c r="E286" s="166" t="s">
        <v>7183</v>
      </c>
      <c r="F286" s="50" t="s">
        <v>8573</v>
      </c>
      <c r="G286" s="50" t="s">
        <v>8574</v>
      </c>
      <c r="H286" s="54" t="s">
        <v>3449</v>
      </c>
      <c r="I286" s="50" t="s">
        <v>8575</v>
      </c>
      <c r="J286" s="50" t="s">
        <v>8576</v>
      </c>
    </row>
    <row r="287" spans="1:10" ht="17.25">
      <c r="A287" s="26"/>
      <c r="B287" s="45"/>
      <c r="C287" s="2" t="s">
        <v>898</v>
      </c>
      <c r="D287" s="49" t="s">
        <v>8577</v>
      </c>
      <c r="E287" s="166" t="s">
        <v>7183</v>
      </c>
      <c r="F287" s="50" t="s">
        <v>8578</v>
      </c>
      <c r="G287" s="50" t="s">
        <v>8579</v>
      </c>
      <c r="H287" s="54" t="s">
        <v>3449</v>
      </c>
      <c r="I287" s="50" t="s">
        <v>8580</v>
      </c>
      <c r="J287" s="50" t="s">
        <v>8581</v>
      </c>
    </row>
    <row r="288" spans="1:10" ht="17.25">
      <c r="A288" s="26"/>
      <c r="B288" s="45" t="s">
        <v>900</v>
      </c>
      <c r="C288" s="2" t="s">
        <v>901</v>
      </c>
      <c r="D288" s="49" t="s">
        <v>8582</v>
      </c>
      <c r="E288" s="166" t="s">
        <v>7189</v>
      </c>
      <c r="F288" s="50" t="s">
        <v>8583</v>
      </c>
      <c r="G288" s="50" t="s">
        <v>8584</v>
      </c>
      <c r="H288" s="54" t="s">
        <v>3449</v>
      </c>
      <c r="I288" s="50" t="s">
        <v>8585</v>
      </c>
      <c r="J288" s="50" t="s">
        <v>8586</v>
      </c>
    </row>
    <row r="289" spans="1:10" ht="17.25">
      <c r="A289" s="26"/>
      <c r="B289" s="45"/>
      <c r="C289" s="2" t="s">
        <v>903</v>
      </c>
      <c r="D289" s="49" t="s">
        <v>8587</v>
      </c>
      <c r="E289" s="166" t="s">
        <v>7183</v>
      </c>
      <c r="F289" s="50" t="s">
        <v>8588</v>
      </c>
      <c r="G289" s="50" t="s">
        <v>8589</v>
      </c>
      <c r="H289" s="54" t="s">
        <v>3449</v>
      </c>
      <c r="I289" s="50" t="s">
        <v>8590</v>
      </c>
      <c r="J289" s="50" t="s">
        <v>8591</v>
      </c>
    </row>
    <row r="290" spans="1:10" ht="17.25">
      <c r="A290" s="26"/>
      <c r="B290" s="45"/>
      <c r="C290" s="2" t="s">
        <v>905</v>
      </c>
      <c r="D290" s="49" t="s">
        <v>8592</v>
      </c>
      <c r="E290" s="166" t="s">
        <v>7183</v>
      </c>
      <c r="F290" s="50" t="s">
        <v>8593</v>
      </c>
      <c r="G290" s="50" t="s">
        <v>8594</v>
      </c>
      <c r="H290" s="54" t="s">
        <v>3449</v>
      </c>
      <c r="I290" s="50" t="s">
        <v>8595</v>
      </c>
      <c r="J290" s="50" t="s">
        <v>8596</v>
      </c>
    </row>
    <row r="291" spans="1:10" ht="17.25">
      <c r="A291" s="26"/>
      <c r="B291" s="45"/>
      <c r="C291" s="2" t="s">
        <v>907</v>
      </c>
      <c r="D291" s="49" t="s">
        <v>8597</v>
      </c>
      <c r="E291" s="166" t="s">
        <v>7183</v>
      </c>
      <c r="F291" s="50" t="s">
        <v>7439</v>
      </c>
      <c r="G291" s="50" t="s">
        <v>8598</v>
      </c>
      <c r="H291" s="54" t="s">
        <v>3449</v>
      </c>
      <c r="I291" s="50" t="s">
        <v>8599</v>
      </c>
      <c r="J291" s="50" t="s">
        <v>8600</v>
      </c>
    </row>
    <row r="292" spans="1:10" ht="17.25">
      <c r="A292" s="26"/>
      <c r="B292" s="45"/>
      <c r="C292" s="2" t="s">
        <v>879</v>
      </c>
      <c r="D292" s="49" t="s">
        <v>8601</v>
      </c>
      <c r="E292" s="166" t="s">
        <v>7183</v>
      </c>
      <c r="F292" s="50" t="s">
        <v>8602</v>
      </c>
      <c r="G292" s="50" t="s">
        <v>8603</v>
      </c>
      <c r="H292" s="54" t="s">
        <v>3449</v>
      </c>
      <c r="I292" s="50" t="s">
        <v>8604</v>
      </c>
      <c r="J292" s="50" t="s">
        <v>8605</v>
      </c>
    </row>
    <row r="293" spans="1:10" ht="17.25">
      <c r="A293" s="26"/>
      <c r="B293" s="45" t="s">
        <v>910</v>
      </c>
      <c r="C293" s="2" t="s">
        <v>911</v>
      </c>
      <c r="D293" s="49" t="s">
        <v>8606</v>
      </c>
      <c r="E293" s="166" t="s">
        <v>7189</v>
      </c>
      <c r="F293" s="50" t="s">
        <v>8607</v>
      </c>
      <c r="G293" s="50" t="s">
        <v>8608</v>
      </c>
      <c r="H293" s="54" t="s">
        <v>3450</v>
      </c>
      <c r="I293" s="50" t="s">
        <v>8609</v>
      </c>
      <c r="J293" s="50" t="s">
        <v>8610</v>
      </c>
    </row>
    <row r="294" spans="1:10" ht="17.25">
      <c r="A294" s="26"/>
      <c r="B294" s="45"/>
      <c r="C294" s="2" t="s">
        <v>913</v>
      </c>
      <c r="D294" s="49" t="s">
        <v>8611</v>
      </c>
      <c r="E294" s="166" t="s">
        <v>7183</v>
      </c>
      <c r="F294" s="50" t="s">
        <v>7364</v>
      </c>
      <c r="G294" s="50" t="s">
        <v>8612</v>
      </c>
      <c r="H294" s="54" t="s">
        <v>3449</v>
      </c>
      <c r="I294" s="50" t="s">
        <v>8613</v>
      </c>
      <c r="J294" s="50" t="s">
        <v>8614</v>
      </c>
    </row>
    <row r="295" spans="1:10" ht="17.25">
      <c r="A295" s="26"/>
      <c r="B295" s="45"/>
      <c r="C295" s="2" t="s">
        <v>915</v>
      </c>
      <c r="D295" s="49" t="s">
        <v>8615</v>
      </c>
      <c r="E295" s="166" t="s">
        <v>7183</v>
      </c>
      <c r="F295" s="50" t="s">
        <v>8616</v>
      </c>
      <c r="G295" s="50" t="s">
        <v>8617</v>
      </c>
      <c r="H295" s="54" t="s">
        <v>3449</v>
      </c>
      <c r="I295" s="50" t="s">
        <v>8618</v>
      </c>
      <c r="J295" s="50" t="s">
        <v>8619</v>
      </c>
    </row>
    <row r="296" spans="1:10" ht="17.25">
      <c r="A296" s="26"/>
      <c r="B296" s="45"/>
      <c r="C296" s="2" t="s">
        <v>907</v>
      </c>
      <c r="D296" s="49" t="s">
        <v>8620</v>
      </c>
      <c r="E296" s="166" t="s">
        <v>7183</v>
      </c>
      <c r="F296" s="50" t="s">
        <v>8621</v>
      </c>
      <c r="G296" s="50" t="s">
        <v>8622</v>
      </c>
      <c r="H296" s="54" t="s">
        <v>3449</v>
      </c>
      <c r="I296" s="50" t="s">
        <v>8623</v>
      </c>
      <c r="J296" s="50" t="s">
        <v>8624</v>
      </c>
    </row>
    <row r="297" spans="1:10" ht="17.25">
      <c r="A297" s="26"/>
      <c r="B297" s="45"/>
      <c r="C297" s="2" t="s">
        <v>918</v>
      </c>
      <c r="D297" s="49" t="s">
        <v>8625</v>
      </c>
      <c r="E297" s="166" t="s">
        <v>7183</v>
      </c>
      <c r="F297" s="50" t="s">
        <v>8626</v>
      </c>
      <c r="G297" s="50" t="s">
        <v>8627</v>
      </c>
      <c r="H297" s="54" t="s">
        <v>3449</v>
      </c>
      <c r="I297" s="50" t="s">
        <v>8628</v>
      </c>
      <c r="J297" s="50" t="s">
        <v>8629</v>
      </c>
    </row>
    <row r="298" spans="1:10" ht="17.25">
      <c r="A298" s="26"/>
      <c r="B298" s="45" t="s">
        <v>920</v>
      </c>
      <c r="C298" s="2" t="s">
        <v>921</v>
      </c>
      <c r="D298" s="49" t="s">
        <v>8630</v>
      </c>
      <c r="E298" s="166" t="s">
        <v>7189</v>
      </c>
      <c r="F298" s="50" t="s">
        <v>8631</v>
      </c>
      <c r="G298" s="50" t="s">
        <v>8632</v>
      </c>
      <c r="H298" s="54" t="s">
        <v>3449</v>
      </c>
      <c r="I298" s="50" t="s">
        <v>8633</v>
      </c>
      <c r="J298" s="50" t="s">
        <v>8634</v>
      </c>
    </row>
    <row r="299" spans="1:10" ht="17.25">
      <c r="A299" s="26"/>
      <c r="B299" s="45"/>
      <c r="C299" s="2" t="s">
        <v>923</v>
      </c>
      <c r="D299" s="49" t="s">
        <v>8635</v>
      </c>
      <c r="E299" s="166" t="s">
        <v>7183</v>
      </c>
      <c r="F299" s="50" t="s">
        <v>7399</v>
      </c>
      <c r="G299" s="50" t="s">
        <v>8636</v>
      </c>
      <c r="H299" s="54" t="s">
        <v>3449</v>
      </c>
      <c r="I299" s="50" t="s">
        <v>8637</v>
      </c>
      <c r="J299" s="50" t="s">
        <v>8638</v>
      </c>
    </row>
    <row r="300" spans="1:10" ht="17.25">
      <c r="A300" s="26"/>
      <c r="B300" s="45"/>
      <c r="C300" s="2" t="s">
        <v>925</v>
      </c>
      <c r="D300" s="49" t="s">
        <v>8639</v>
      </c>
      <c r="E300" s="166" t="s">
        <v>7183</v>
      </c>
      <c r="F300" s="50" t="s">
        <v>8640</v>
      </c>
      <c r="G300" s="50" t="s">
        <v>8641</v>
      </c>
      <c r="H300" s="54" t="s">
        <v>3449</v>
      </c>
      <c r="I300" s="50" t="s">
        <v>8642</v>
      </c>
      <c r="J300" s="50" t="s">
        <v>8643</v>
      </c>
    </row>
    <row r="301" spans="1:10" ht="17.25">
      <c r="A301" s="26"/>
      <c r="B301" s="45"/>
      <c r="C301" s="2" t="s">
        <v>927</v>
      </c>
      <c r="D301" s="49" t="s">
        <v>8644</v>
      </c>
      <c r="E301" s="166" t="s">
        <v>7183</v>
      </c>
      <c r="F301" s="50" t="s">
        <v>7477</v>
      </c>
      <c r="G301" s="50" t="s">
        <v>8645</v>
      </c>
      <c r="H301" s="54" t="s">
        <v>3449</v>
      </c>
      <c r="I301" s="50" t="s">
        <v>8646</v>
      </c>
      <c r="J301" s="50" t="s">
        <v>8647</v>
      </c>
    </row>
    <row r="302" spans="1:10" ht="17.25">
      <c r="A302" s="26"/>
      <c r="B302" s="45"/>
      <c r="C302" s="2" t="s">
        <v>929</v>
      </c>
      <c r="D302" s="49" t="s">
        <v>8648</v>
      </c>
      <c r="E302" s="166" t="s">
        <v>7183</v>
      </c>
      <c r="F302" s="50" t="s">
        <v>8649</v>
      </c>
      <c r="G302" s="50" t="s">
        <v>8650</v>
      </c>
      <c r="H302" s="54" t="s">
        <v>3449</v>
      </c>
      <c r="I302" s="50" t="s">
        <v>8651</v>
      </c>
      <c r="J302" s="50" t="s">
        <v>8652</v>
      </c>
    </row>
    <row r="303" spans="1:10" ht="17.25">
      <c r="A303" s="26"/>
      <c r="B303" s="45" t="s">
        <v>931</v>
      </c>
      <c r="C303" s="2" t="s">
        <v>932</v>
      </c>
      <c r="D303" s="49" t="s">
        <v>8653</v>
      </c>
      <c r="E303" s="166" t="s">
        <v>7189</v>
      </c>
      <c r="F303" s="50" t="s">
        <v>8654</v>
      </c>
      <c r="G303" s="50" t="s">
        <v>8655</v>
      </c>
      <c r="H303" s="54" t="s">
        <v>3449</v>
      </c>
      <c r="I303" s="50" t="s">
        <v>8656</v>
      </c>
      <c r="J303" s="50" t="s">
        <v>8657</v>
      </c>
    </row>
    <row r="304" spans="1:10" ht="17.25">
      <c r="A304" s="26"/>
      <c r="B304" s="45"/>
      <c r="C304" s="2" t="s">
        <v>933</v>
      </c>
      <c r="D304" s="49" t="s">
        <v>8658</v>
      </c>
      <c r="E304" s="166" t="s">
        <v>7183</v>
      </c>
      <c r="F304" s="50" t="s">
        <v>8659</v>
      </c>
      <c r="G304" s="50" t="s">
        <v>8660</v>
      </c>
      <c r="H304" s="54" t="s">
        <v>3449</v>
      </c>
      <c r="I304" s="50" t="s">
        <v>8661</v>
      </c>
      <c r="J304" s="50" t="s">
        <v>8662</v>
      </c>
    </row>
    <row r="305" spans="1:10" ht="17.25">
      <c r="A305" s="26"/>
      <c r="B305" s="45"/>
      <c r="C305" s="2" t="s">
        <v>935</v>
      </c>
      <c r="D305" s="49" t="s">
        <v>8663</v>
      </c>
      <c r="E305" s="166" t="s">
        <v>7183</v>
      </c>
      <c r="F305" s="50" t="s">
        <v>8664</v>
      </c>
      <c r="G305" s="50" t="s">
        <v>8665</v>
      </c>
      <c r="H305" s="54" t="s">
        <v>3449</v>
      </c>
      <c r="I305" s="50" t="s">
        <v>8666</v>
      </c>
      <c r="J305" s="50" t="s">
        <v>8667</v>
      </c>
    </row>
    <row r="306" spans="1:10" ht="17.25">
      <c r="A306" s="26"/>
      <c r="B306" s="45"/>
      <c r="C306" s="2" t="s">
        <v>937</v>
      </c>
      <c r="D306" s="49" t="s">
        <v>8668</v>
      </c>
      <c r="E306" s="166" t="s">
        <v>7183</v>
      </c>
      <c r="F306" s="50" t="s">
        <v>8669</v>
      </c>
      <c r="G306" s="50" t="s">
        <v>8670</v>
      </c>
      <c r="H306" s="54" t="s">
        <v>3449</v>
      </c>
      <c r="I306" s="50" t="s">
        <v>8671</v>
      </c>
      <c r="J306" s="50" t="s">
        <v>8672</v>
      </c>
    </row>
    <row r="307" spans="1:10" ht="17.25">
      <c r="A307" s="26"/>
      <c r="B307" s="45"/>
      <c r="C307" s="2" t="s">
        <v>939</v>
      </c>
      <c r="D307" s="49" t="s">
        <v>8673</v>
      </c>
      <c r="E307" s="166" t="s">
        <v>7183</v>
      </c>
      <c r="F307" s="50" t="s">
        <v>8674</v>
      </c>
      <c r="G307" s="50" t="s">
        <v>8675</v>
      </c>
      <c r="H307" s="54" t="s">
        <v>3449</v>
      </c>
      <c r="I307" s="50" t="s">
        <v>8676</v>
      </c>
      <c r="J307" s="50" t="s">
        <v>8677</v>
      </c>
    </row>
    <row r="308" spans="1:10" ht="17.25">
      <c r="A308" s="26"/>
      <c r="B308" s="45" t="s">
        <v>940</v>
      </c>
      <c r="C308" s="2" t="s">
        <v>941</v>
      </c>
      <c r="D308" s="49" t="s">
        <v>8678</v>
      </c>
      <c r="E308" s="166" t="s">
        <v>7189</v>
      </c>
      <c r="F308" s="50" t="s">
        <v>8679</v>
      </c>
      <c r="G308" s="50" t="s">
        <v>8680</v>
      </c>
      <c r="H308" s="54" t="s">
        <v>3449</v>
      </c>
      <c r="I308" s="50" t="s">
        <v>8681</v>
      </c>
      <c r="J308" s="50" t="s">
        <v>8682</v>
      </c>
    </row>
    <row r="309" spans="1:10" ht="17.25">
      <c r="A309" s="26"/>
      <c r="B309" s="45"/>
      <c r="C309" s="2" t="s">
        <v>933</v>
      </c>
      <c r="D309" s="49" t="s">
        <v>8357</v>
      </c>
      <c r="E309" s="166" t="s">
        <v>7183</v>
      </c>
      <c r="F309" s="50" t="s">
        <v>8683</v>
      </c>
      <c r="G309" s="50" t="s">
        <v>8684</v>
      </c>
      <c r="H309" s="54" t="s">
        <v>3449</v>
      </c>
      <c r="I309" s="50" t="s">
        <v>8685</v>
      </c>
      <c r="J309" s="50" t="s">
        <v>8686</v>
      </c>
    </row>
    <row r="310" spans="1:10" ht="17.25">
      <c r="A310" s="26"/>
      <c r="B310" s="45"/>
      <c r="C310" s="2" t="s">
        <v>935</v>
      </c>
      <c r="D310" s="49" t="s">
        <v>8687</v>
      </c>
      <c r="E310" s="166" t="s">
        <v>7183</v>
      </c>
      <c r="F310" s="50" t="s">
        <v>8688</v>
      </c>
      <c r="G310" s="50" t="s">
        <v>8689</v>
      </c>
      <c r="H310" s="54" t="s">
        <v>3449</v>
      </c>
      <c r="I310" s="50" t="s">
        <v>8690</v>
      </c>
      <c r="J310" s="50" t="s">
        <v>8691</v>
      </c>
    </row>
    <row r="311" spans="1:10" ht="17.25">
      <c r="A311" s="26"/>
      <c r="B311" s="45"/>
      <c r="C311" s="2" t="s">
        <v>937</v>
      </c>
      <c r="D311" s="49" t="s">
        <v>8692</v>
      </c>
      <c r="E311" s="166" t="s">
        <v>7183</v>
      </c>
      <c r="F311" s="50" t="s">
        <v>8693</v>
      </c>
      <c r="G311" s="50" t="s">
        <v>8694</v>
      </c>
      <c r="H311" s="54" t="s">
        <v>7320</v>
      </c>
      <c r="I311" s="50" t="s">
        <v>8695</v>
      </c>
      <c r="J311" s="50" t="s">
        <v>8696</v>
      </c>
    </row>
    <row r="312" spans="1:10" ht="17.25">
      <c r="A312" s="26"/>
      <c r="B312" s="45"/>
      <c r="C312" s="2" t="s">
        <v>939</v>
      </c>
      <c r="D312" s="49" t="s">
        <v>8697</v>
      </c>
      <c r="E312" s="166" t="s">
        <v>7183</v>
      </c>
      <c r="F312" s="50" t="s">
        <v>8698</v>
      </c>
      <c r="G312" s="50" t="s">
        <v>8699</v>
      </c>
      <c r="H312" s="54" t="s">
        <v>3449</v>
      </c>
      <c r="I312" s="50" t="s">
        <v>8700</v>
      </c>
      <c r="J312" s="50" t="s">
        <v>8701</v>
      </c>
    </row>
    <row r="313" spans="1:10" ht="17.25">
      <c r="A313" s="26"/>
      <c r="B313" s="45" t="s">
        <v>947</v>
      </c>
      <c r="C313" s="2" t="s">
        <v>948</v>
      </c>
      <c r="D313" s="49" t="s">
        <v>8702</v>
      </c>
      <c r="E313" s="166" t="s">
        <v>7189</v>
      </c>
      <c r="F313" s="50" t="s">
        <v>8703</v>
      </c>
      <c r="G313" s="50" t="s">
        <v>8704</v>
      </c>
      <c r="H313" s="54" t="s">
        <v>3449</v>
      </c>
      <c r="I313" s="50" t="s">
        <v>8705</v>
      </c>
      <c r="J313" s="50" t="s">
        <v>8706</v>
      </c>
    </row>
    <row r="314" spans="1:10" ht="17.25">
      <c r="A314" s="26"/>
      <c r="B314" s="45"/>
      <c r="C314" s="2" t="s">
        <v>950</v>
      </c>
      <c r="D314" s="49" t="s">
        <v>8707</v>
      </c>
      <c r="E314" s="166" t="s">
        <v>7183</v>
      </c>
      <c r="F314" s="50" t="s">
        <v>7190</v>
      </c>
      <c r="G314" s="50" t="s">
        <v>8708</v>
      </c>
      <c r="H314" s="54" t="s">
        <v>3449</v>
      </c>
      <c r="I314" s="50" t="s">
        <v>8709</v>
      </c>
      <c r="J314" s="50" t="s">
        <v>8710</v>
      </c>
    </row>
    <row r="315" spans="1:10" ht="17.25">
      <c r="A315" s="26"/>
      <c r="B315" s="45"/>
      <c r="C315" s="2" t="s">
        <v>952</v>
      </c>
      <c r="D315" s="49" t="s">
        <v>8711</v>
      </c>
      <c r="E315" s="166" t="s">
        <v>7183</v>
      </c>
      <c r="F315" s="50" t="s">
        <v>8712</v>
      </c>
      <c r="G315" s="50" t="s">
        <v>8713</v>
      </c>
      <c r="H315" s="54" t="s">
        <v>3449</v>
      </c>
      <c r="I315" s="50" t="s">
        <v>8714</v>
      </c>
      <c r="J315" s="50" t="s">
        <v>8715</v>
      </c>
    </row>
    <row r="316" spans="1:10" ht="17.25">
      <c r="A316" s="26"/>
      <c r="B316" s="45"/>
      <c r="C316" s="2" t="s">
        <v>628</v>
      </c>
      <c r="D316" s="49" t="s">
        <v>8716</v>
      </c>
      <c r="E316" s="166" t="s">
        <v>7183</v>
      </c>
      <c r="F316" s="50" t="s">
        <v>8717</v>
      </c>
      <c r="G316" s="50" t="s">
        <v>8718</v>
      </c>
      <c r="H316" s="54" t="s">
        <v>3449</v>
      </c>
      <c r="I316" s="50" t="s">
        <v>8719</v>
      </c>
      <c r="J316" s="50" t="s">
        <v>8720</v>
      </c>
    </row>
    <row r="317" spans="1:10" ht="17.25">
      <c r="A317" s="26"/>
      <c r="B317" s="45"/>
      <c r="C317" s="2" t="s">
        <v>630</v>
      </c>
      <c r="D317" s="49" t="s">
        <v>8721</v>
      </c>
      <c r="E317" s="166" t="s">
        <v>7183</v>
      </c>
      <c r="F317" s="50" t="s">
        <v>7215</v>
      </c>
      <c r="G317" s="50" t="s">
        <v>8722</v>
      </c>
      <c r="H317" s="54" t="s">
        <v>3449</v>
      </c>
      <c r="I317" s="50" t="s">
        <v>8723</v>
      </c>
      <c r="J317" s="50" t="s">
        <v>8724</v>
      </c>
    </row>
    <row r="318" spans="1:10" ht="17.25">
      <c r="A318" s="26" t="s">
        <v>956</v>
      </c>
      <c r="B318" s="45" t="s">
        <v>957</v>
      </c>
      <c r="C318" s="2" t="s">
        <v>958</v>
      </c>
      <c r="D318" s="49" t="s">
        <v>8725</v>
      </c>
      <c r="E318" s="166" t="s">
        <v>7189</v>
      </c>
      <c r="F318" s="50" t="s">
        <v>8726</v>
      </c>
      <c r="G318" s="50" t="s">
        <v>8727</v>
      </c>
      <c r="H318" s="54" t="s">
        <v>3449</v>
      </c>
      <c r="I318" s="50" t="s">
        <v>8728</v>
      </c>
      <c r="J318" s="50" t="s">
        <v>8729</v>
      </c>
    </row>
    <row r="319" spans="1:10" ht="17.25">
      <c r="A319" s="26"/>
      <c r="B319" s="45"/>
      <c r="C319" s="2" t="s">
        <v>960</v>
      </c>
      <c r="D319" s="49" t="s">
        <v>8524</v>
      </c>
      <c r="E319" s="166" t="s">
        <v>7183</v>
      </c>
      <c r="F319" s="50" t="s">
        <v>8730</v>
      </c>
      <c r="G319" s="50" t="s">
        <v>8731</v>
      </c>
      <c r="H319" s="54" t="s">
        <v>3449</v>
      </c>
      <c r="I319" s="50" t="s">
        <v>8732</v>
      </c>
      <c r="J319" s="50" t="s">
        <v>8733</v>
      </c>
    </row>
    <row r="320" spans="1:10" ht="17.25">
      <c r="A320" s="26"/>
      <c r="B320" s="45"/>
      <c r="C320" s="2" t="s">
        <v>962</v>
      </c>
      <c r="D320" s="49" t="s">
        <v>8734</v>
      </c>
      <c r="E320" s="166" t="s">
        <v>7183</v>
      </c>
      <c r="F320" s="50" t="s">
        <v>8735</v>
      </c>
      <c r="G320" s="50" t="s">
        <v>8736</v>
      </c>
      <c r="H320" s="54" t="s">
        <v>3449</v>
      </c>
      <c r="I320" s="50" t="s">
        <v>8395</v>
      </c>
      <c r="J320" s="50" t="s">
        <v>8737</v>
      </c>
    </row>
    <row r="321" spans="1:10" ht="17.25">
      <c r="A321" s="26"/>
      <c r="B321" s="45"/>
      <c r="C321" s="2" t="s">
        <v>964</v>
      </c>
      <c r="D321" s="49" t="s">
        <v>8738</v>
      </c>
      <c r="E321" s="166" t="s">
        <v>7183</v>
      </c>
      <c r="F321" s="50" t="s">
        <v>8739</v>
      </c>
      <c r="G321" s="50" t="s">
        <v>8740</v>
      </c>
      <c r="H321" s="54" t="s">
        <v>3449</v>
      </c>
      <c r="I321" s="50" t="s">
        <v>8741</v>
      </c>
      <c r="J321" s="50" t="s">
        <v>8742</v>
      </c>
    </row>
    <row r="322" spans="1:10" ht="17.25">
      <c r="A322" s="26"/>
      <c r="B322" s="45"/>
      <c r="C322" s="2" t="s">
        <v>966</v>
      </c>
      <c r="D322" s="49" t="s">
        <v>8743</v>
      </c>
      <c r="E322" s="166" t="s">
        <v>7183</v>
      </c>
      <c r="F322" s="50" t="s">
        <v>8744</v>
      </c>
      <c r="G322" s="50" t="s">
        <v>8745</v>
      </c>
      <c r="H322" s="54" t="s">
        <v>3449</v>
      </c>
      <c r="I322" s="50" t="s">
        <v>8746</v>
      </c>
      <c r="J322" s="50" t="s">
        <v>8747</v>
      </c>
    </row>
    <row r="323" spans="1:10" ht="17.25">
      <c r="A323" s="26"/>
      <c r="B323" s="45" t="s">
        <v>968</v>
      </c>
      <c r="C323" s="2" t="s">
        <v>969</v>
      </c>
      <c r="D323" s="49" t="s">
        <v>8748</v>
      </c>
      <c r="E323" s="166" t="s">
        <v>7189</v>
      </c>
      <c r="F323" s="50" t="s">
        <v>8749</v>
      </c>
      <c r="G323" s="50" t="s">
        <v>8750</v>
      </c>
      <c r="H323" s="54" t="s">
        <v>3449</v>
      </c>
      <c r="I323" s="50" t="s">
        <v>8751</v>
      </c>
      <c r="J323" s="50" t="s">
        <v>8752</v>
      </c>
    </row>
    <row r="324" spans="1:10" ht="17.25">
      <c r="A324" s="26"/>
      <c r="B324" s="45"/>
      <c r="C324" s="2" t="s">
        <v>971</v>
      </c>
      <c r="D324" s="49" t="s">
        <v>8753</v>
      </c>
      <c r="E324" s="166" t="s">
        <v>7183</v>
      </c>
      <c r="F324" s="50" t="s">
        <v>7264</v>
      </c>
      <c r="G324" s="50" t="s">
        <v>8754</v>
      </c>
      <c r="H324" s="54" t="s">
        <v>3449</v>
      </c>
      <c r="I324" s="50" t="s">
        <v>8755</v>
      </c>
      <c r="J324" s="50" t="s">
        <v>8756</v>
      </c>
    </row>
    <row r="325" spans="1:10" ht="17.25">
      <c r="A325" s="26"/>
      <c r="B325" s="45"/>
      <c r="C325" s="2" t="s">
        <v>973</v>
      </c>
      <c r="D325" s="49" t="s">
        <v>8757</v>
      </c>
      <c r="E325" s="166" t="s">
        <v>7183</v>
      </c>
      <c r="F325" s="50" t="s">
        <v>8758</v>
      </c>
      <c r="G325" s="50" t="s">
        <v>8759</v>
      </c>
      <c r="H325" s="54" t="s">
        <v>3449</v>
      </c>
      <c r="I325" s="50" t="s">
        <v>8760</v>
      </c>
      <c r="J325" s="50" t="s">
        <v>8761</v>
      </c>
    </row>
    <row r="326" spans="1:10" ht="17.25">
      <c r="A326" s="26"/>
      <c r="B326" s="45"/>
      <c r="C326" s="2" t="s">
        <v>975</v>
      </c>
      <c r="D326" s="49" t="s">
        <v>8762</v>
      </c>
      <c r="E326" s="166" t="s">
        <v>7183</v>
      </c>
      <c r="F326" s="50" t="s">
        <v>8763</v>
      </c>
      <c r="G326" s="50" t="s">
        <v>8764</v>
      </c>
      <c r="H326" s="54" t="s">
        <v>3449</v>
      </c>
      <c r="I326" s="50" t="s">
        <v>8765</v>
      </c>
      <c r="J326" s="50" t="s">
        <v>8766</v>
      </c>
    </row>
    <row r="327" spans="1:10" ht="17.25">
      <c r="A327" s="26"/>
      <c r="B327" s="45"/>
      <c r="C327" s="2" t="s">
        <v>977</v>
      </c>
      <c r="D327" s="49" t="s">
        <v>8767</v>
      </c>
      <c r="E327" s="166" t="s">
        <v>7183</v>
      </c>
      <c r="F327" s="50" t="s">
        <v>8768</v>
      </c>
      <c r="G327" s="50" t="s">
        <v>8769</v>
      </c>
      <c r="H327" s="54" t="s">
        <v>3449</v>
      </c>
      <c r="I327" s="50" t="s">
        <v>8770</v>
      </c>
      <c r="J327" s="50" t="s">
        <v>8771</v>
      </c>
    </row>
    <row r="328" spans="1:10" ht="17.25">
      <c r="A328" s="26"/>
      <c r="B328" s="45" t="s">
        <v>979</v>
      </c>
      <c r="C328" s="2" t="s">
        <v>980</v>
      </c>
      <c r="D328" s="49" t="s">
        <v>8772</v>
      </c>
      <c r="E328" s="166" t="s">
        <v>7189</v>
      </c>
      <c r="F328" s="50" t="s">
        <v>8773</v>
      </c>
      <c r="G328" s="50" t="s">
        <v>8774</v>
      </c>
      <c r="H328" s="54" t="s">
        <v>3449</v>
      </c>
      <c r="I328" s="50" t="s">
        <v>8775</v>
      </c>
      <c r="J328" s="50" t="s">
        <v>8776</v>
      </c>
    </row>
    <row r="329" spans="1:10" ht="17.25">
      <c r="A329" s="26"/>
      <c r="B329" s="45"/>
      <c r="C329" s="2" t="s">
        <v>982</v>
      </c>
      <c r="D329" s="49" t="s">
        <v>8777</v>
      </c>
      <c r="E329" s="166" t="s">
        <v>7183</v>
      </c>
      <c r="F329" s="50" t="s">
        <v>8778</v>
      </c>
      <c r="G329" s="50" t="s">
        <v>8779</v>
      </c>
      <c r="H329" s="54" t="s">
        <v>3449</v>
      </c>
      <c r="I329" s="50" t="s">
        <v>8780</v>
      </c>
      <c r="J329" s="50" t="s">
        <v>8781</v>
      </c>
    </row>
    <row r="330" spans="1:10" ht="17.25">
      <c r="A330" s="26"/>
      <c r="B330" s="45"/>
      <c r="C330" s="2" t="s">
        <v>984</v>
      </c>
      <c r="D330" s="49" t="s">
        <v>8782</v>
      </c>
      <c r="E330" s="166" t="s">
        <v>7183</v>
      </c>
      <c r="F330" s="50" t="s">
        <v>8783</v>
      </c>
      <c r="G330" s="50" t="s">
        <v>8784</v>
      </c>
      <c r="H330" s="54" t="s">
        <v>3449</v>
      </c>
      <c r="I330" s="50" t="s">
        <v>8785</v>
      </c>
      <c r="J330" s="50" t="s">
        <v>8786</v>
      </c>
    </row>
    <row r="331" spans="1:10" ht="17.25">
      <c r="A331" s="26"/>
      <c r="B331" s="45"/>
      <c r="C331" s="2" t="s">
        <v>986</v>
      </c>
      <c r="D331" s="49" t="s">
        <v>8787</v>
      </c>
      <c r="E331" s="166" t="s">
        <v>7183</v>
      </c>
      <c r="F331" s="50" t="s">
        <v>8788</v>
      </c>
      <c r="G331" s="50" t="s">
        <v>8789</v>
      </c>
      <c r="H331" s="54" t="s">
        <v>3449</v>
      </c>
      <c r="I331" s="50" t="s">
        <v>8790</v>
      </c>
      <c r="J331" s="50" t="s">
        <v>8791</v>
      </c>
    </row>
    <row r="332" spans="1:10" ht="17.25">
      <c r="A332" s="26"/>
      <c r="B332" s="45"/>
      <c r="C332" s="2" t="s">
        <v>988</v>
      </c>
      <c r="D332" s="49" t="s">
        <v>8792</v>
      </c>
      <c r="E332" s="166" t="s">
        <v>7183</v>
      </c>
      <c r="F332" s="50" t="s">
        <v>8793</v>
      </c>
      <c r="G332" s="50" t="s">
        <v>8794</v>
      </c>
      <c r="H332" s="54" t="s">
        <v>3449</v>
      </c>
      <c r="I332" s="50" t="s">
        <v>8795</v>
      </c>
      <c r="J332" s="50" t="s">
        <v>8796</v>
      </c>
    </row>
    <row r="333" spans="1:10" ht="17.25">
      <c r="A333" s="26"/>
      <c r="B333" s="45" t="s">
        <v>990</v>
      </c>
      <c r="C333" s="2" t="s">
        <v>991</v>
      </c>
      <c r="D333" s="49" t="s">
        <v>8797</v>
      </c>
      <c r="E333" s="166" t="s">
        <v>7189</v>
      </c>
      <c r="F333" s="50" t="s">
        <v>7344</v>
      </c>
      <c r="G333" s="50" t="s">
        <v>8798</v>
      </c>
      <c r="H333" s="54" t="s">
        <v>3449</v>
      </c>
      <c r="I333" s="50" t="s">
        <v>8799</v>
      </c>
      <c r="J333" s="50" t="s">
        <v>8800</v>
      </c>
    </row>
    <row r="334" spans="1:10" ht="17.25">
      <c r="A334" s="26"/>
      <c r="B334" s="45"/>
      <c r="C334" s="2" t="s">
        <v>993</v>
      </c>
      <c r="D334" s="49" t="s">
        <v>8801</v>
      </c>
      <c r="E334" s="166" t="s">
        <v>7183</v>
      </c>
      <c r="F334" s="50" t="s">
        <v>8802</v>
      </c>
      <c r="G334" s="50" t="s">
        <v>8803</v>
      </c>
      <c r="H334" s="54" t="s">
        <v>3449</v>
      </c>
      <c r="I334" s="50" t="s">
        <v>8804</v>
      </c>
      <c r="J334" s="50" t="s">
        <v>8805</v>
      </c>
    </row>
    <row r="335" spans="1:10" ht="17.25">
      <c r="A335" s="26"/>
      <c r="B335" s="45"/>
      <c r="C335" s="2" t="s">
        <v>995</v>
      </c>
      <c r="D335" s="49" t="s">
        <v>8806</v>
      </c>
      <c r="E335" s="166" t="s">
        <v>7183</v>
      </c>
      <c r="F335" s="50" t="s">
        <v>8807</v>
      </c>
      <c r="G335" s="50" t="s">
        <v>8808</v>
      </c>
      <c r="H335" s="54" t="s">
        <v>3449</v>
      </c>
      <c r="I335" s="50" t="s">
        <v>8809</v>
      </c>
      <c r="J335" s="50" t="s">
        <v>8810</v>
      </c>
    </row>
    <row r="336" spans="1:10" ht="17.25">
      <c r="A336" s="26"/>
      <c r="B336" s="45"/>
      <c r="C336" s="2" t="s">
        <v>997</v>
      </c>
      <c r="D336" s="49" t="s">
        <v>8811</v>
      </c>
      <c r="E336" s="166" t="s">
        <v>7183</v>
      </c>
      <c r="F336" s="50" t="s">
        <v>8812</v>
      </c>
      <c r="G336" s="50" t="s">
        <v>8813</v>
      </c>
      <c r="H336" s="54" t="s">
        <v>3449</v>
      </c>
      <c r="I336" s="50" t="s">
        <v>8814</v>
      </c>
      <c r="J336" s="50" t="s">
        <v>8815</v>
      </c>
    </row>
    <row r="337" spans="1:10" ht="17.25">
      <c r="A337" s="26"/>
      <c r="B337" s="45"/>
      <c r="C337" s="2" t="s">
        <v>999</v>
      </c>
      <c r="D337" s="49" t="s">
        <v>8816</v>
      </c>
      <c r="E337" s="166" t="s">
        <v>7183</v>
      </c>
      <c r="F337" s="50" t="s">
        <v>8817</v>
      </c>
      <c r="G337" s="50" t="s">
        <v>8818</v>
      </c>
      <c r="H337" s="54" t="s">
        <v>3450</v>
      </c>
      <c r="I337" s="50" t="s">
        <v>8819</v>
      </c>
      <c r="J337" s="50" t="s">
        <v>8820</v>
      </c>
    </row>
    <row r="338" spans="1:10" ht="17.25">
      <c r="A338" s="26"/>
      <c r="B338" s="45" t="s">
        <v>1001</v>
      </c>
      <c r="C338" s="2" t="s">
        <v>1002</v>
      </c>
      <c r="D338" s="49" t="s">
        <v>8821</v>
      </c>
      <c r="E338" s="166" t="s">
        <v>7189</v>
      </c>
      <c r="F338" s="50" t="s">
        <v>8822</v>
      </c>
      <c r="G338" s="50" t="s">
        <v>8823</v>
      </c>
      <c r="H338" s="54" t="s">
        <v>3449</v>
      </c>
      <c r="I338" s="50" t="s">
        <v>8824</v>
      </c>
      <c r="J338" s="50" t="s">
        <v>8825</v>
      </c>
    </row>
    <row r="339" spans="1:10" ht="17.25">
      <c r="A339" s="26"/>
      <c r="B339" s="45"/>
      <c r="C339" s="2" t="s">
        <v>1004</v>
      </c>
      <c r="D339" s="49" t="s">
        <v>8826</v>
      </c>
      <c r="E339" s="166" t="s">
        <v>7183</v>
      </c>
      <c r="F339" s="50" t="s">
        <v>8827</v>
      </c>
      <c r="G339" s="50" t="s">
        <v>8828</v>
      </c>
      <c r="H339" s="54" t="s">
        <v>3450</v>
      </c>
      <c r="I339" s="50" t="s">
        <v>8829</v>
      </c>
      <c r="J339" s="50" t="s">
        <v>8830</v>
      </c>
    </row>
    <row r="340" spans="1:10" ht="17.25">
      <c r="A340" s="26"/>
      <c r="B340" s="45"/>
      <c r="C340" s="2" t="s">
        <v>1006</v>
      </c>
      <c r="D340" s="49" t="s">
        <v>8831</v>
      </c>
      <c r="E340" s="166" t="s">
        <v>7183</v>
      </c>
      <c r="F340" s="50" t="s">
        <v>8832</v>
      </c>
      <c r="G340" s="50" t="s">
        <v>8833</v>
      </c>
      <c r="H340" s="54" t="s">
        <v>3449</v>
      </c>
      <c r="I340" s="50" t="s">
        <v>8834</v>
      </c>
      <c r="J340" s="50" t="s">
        <v>8835</v>
      </c>
    </row>
    <row r="341" spans="1:10" ht="17.25">
      <c r="A341" s="26"/>
      <c r="B341" s="45"/>
      <c r="C341" s="2" t="s">
        <v>1008</v>
      </c>
      <c r="D341" s="49" t="s">
        <v>8836</v>
      </c>
      <c r="E341" s="166" t="s">
        <v>7183</v>
      </c>
      <c r="F341" s="50" t="s">
        <v>8837</v>
      </c>
      <c r="G341" s="50" t="s">
        <v>8838</v>
      </c>
      <c r="H341" s="54" t="s">
        <v>3450</v>
      </c>
      <c r="I341" s="50" t="s">
        <v>8839</v>
      </c>
      <c r="J341" s="50" t="s">
        <v>8840</v>
      </c>
    </row>
    <row r="342" spans="1:10" ht="17.25">
      <c r="A342" s="26"/>
      <c r="B342" s="45"/>
      <c r="C342" s="2" t="s">
        <v>1010</v>
      </c>
      <c r="D342" s="49" t="s">
        <v>8841</v>
      </c>
      <c r="E342" s="166" t="s">
        <v>7183</v>
      </c>
      <c r="F342" s="50" t="s">
        <v>8842</v>
      </c>
      <c r="G342" s="50" t="s">
        <v>8843</v>
      </c>
      <c r="H342" s="54" t="s">
        <v>3449</v>
      </c>
      <c r="I342" s="50" t="s">
        <v>8844</v>
      </c>
      <c r="J342" s="50" t="s">
        <v>8845</v>
      </c>
    </row>
    <row r="343" spans="1:10" ht="17.25">
      <c r="A343" s="26"/>
      <c r="B343" s="45" t="s">
        <v>1012</v>
      </c>
      <c r="C343" s="2" t="s">
        <v>1013</v>
      </c>
      <c r="D343" s="49" t="s">
        <v>8846</v>
      </c>
      <c r="E343" s="166" t="s">
        <v>7189</v>
      </c>
      <c r="F343" s="50" t="s">
        <v>8847</v>
      </c>
      <c r="G343" s="50" t="s">
        <v>8848</v>
      </c>
      <c r="H343" s="54" t="s">
        <v>3449</v>
      </c>
      <c r="I343" s="50" t="s">
        <v>8849</v>
      </c>
      <c r="J343" s="50" t="s">
        <v>8850</v>
      </c>
    </row>
    <row r="344" spans="1:10" ht="17.25">
      <c r="A344" s="26"/>
      <c r="B344" s="45"/>
      <c r="C344" s="2" t="s">
        <v>1015</v>
      </c>
      <c r="D344" s="49" t="s">
        <v>8851</v>
      </c>
      <c r="E344" s="166" t="s">
        <v>7183</v>
      </c>
      <c r="F344" s="50" t="s">
        <v>8852</v>
      </c>
      <c r="G344" s="50" t="s">
        <v>8853</v>
      </c>
      <c r="H344" s="54" t="s">
        <v>3449</v>
      </c>
      <c r="I344" s="50" t="s">
        <v>8854</v>
      </c>
      <c r="J344" s="50" t="s">
        <v>8855</v>
      </c>
    </row>
    <row r="345" spans="1:10" ht="17.25">
      <c r="A345" s="26"/>
      <c r="B345" s="45"/>
      <c r="C345" s="2" t="s">
        <v>1017</v>
      </c>
      <c r="D345" s="49" t="s">
        <v>8856</v>
      </c>
      <c r="E345" s="166" t="s">
        <v>7183</v>
      </c>
      <c r="F345" s="50" t="s">
        <v>8857</v>
      </c>
      <c r="G345" s="50" t="s">
        <v>8858</v>
      </c>
      <c r="H345" s="54" t="s">
        <v>3449</v>
      </c>
      <c r="I345" s="50" t="s">
        <v>8859</v>
      </c>
      <c r="J345" s="50" t="s">
        <v>8860</v>
      </c>
    </row>
    <row r="346" spans="1:10" ht="17.25">
      <c r="A346" s="26"/>
      <c r="B346" s="45"/>
      <c r="C346" s="2" t="s">
        <v>1019</v>
      </c>
      <c r="D346" s="49" t="s">
        <v>8861</v>
      </c>
      <c r="E346" s="166" t="s">
        <v>7183</v>
      </c>
      <c r="F346" s="50" t="s">
        <v>8862</v>
      </c>
      <c r="G346" s="50" t="s">
        <v>8863</v>
      </c>
      <c r="H346" s="54" t="s">
        <v>3449</v>
      </c>
      <c r="I346" s="50" t="s">
        <v>8864</v>
      </c>
      <c r="J346" s="50" t="s">
        <v>8865</v>
      </c>
    </row>
    <row r="347" spans="1:10" ht="17.25">
      <c r="A347" s="26"/>
      <c r="B347" s="45"/>
      <c r="C347" s="2" t="s">
        <v>977</v>
      </c>
      <c r="D347" s="49" t="s">
        <v>8866</v>
      </c>
      <c r="E347" s="166" t="s">
        <v>7183</v>
      </c>
      <c r="F347" s="50" t="s">
        <v>8867</v>
      </c>
      <c r="G347" s="50" t="s">
        <v>8868</v>
      </c>
      <c r="H347" s="54" t="s">
        <v>3449</v>
      </c>
      <c r="I347" s="50" t="s">
        <v>8869</v>
      </c>
      <c r="J347" s="50" t="s">
        <v>8870</v>
      </c>
    </row>
    <row r="348" spans="1:10" ht="17.25">
      <c r="A348" s="26" t="s">
        <v>1022</v>
      </c>
      <c r="B348" s="45" t="s">
        <v>1023</v>
      </c>
      <c r="C348" s="2" t="s">
        <v>1024</v>
      </c>
      <c r="D348" s="49" t="s">
        <v>8871</v>
      </c>
      <c r="E348" s="166" t="s">
        <v>7189</v>
      </c>
      <c r="F348" s="50" t="s">
        <v>8872</v>
      </c>
      <c r="G348" s="50" t="s">
        <v>8873</v>
      </c>
      <c r="H348" s="54" t="s">
        <v>3449</v>
      </c>
      <c r="I348" s="50" t="s">
        <v>8874</v>
      </c>
      <c r="J348" s="50" t="s">
        <v>8875</v>
      </c>
    </row>
    <row r="349" spans="1:10" ht="17.25">
      <c r="A349" s="26"/>
      <c r="B349" s="45"/>
      <c r="C349" s="2" t="s">
        <v>1026</v>
      </c>
      <c r="D349" s="49" t="s">
        <v>8876</v>
      </c>
      <c r="E349" s="166" t="s">
        <v>7183</v>
      </c>
      <c r="F349" s="50" t="s">
        <v>8877</v>
      </c>
      <c r="G349" s="50" t="s">
        <v>8878</v>
      </c>
      <c r="H349" s="54" t="s">
        <v>3449</v>
      </c>
      <c r="I349" s="50" t="s">
        <v>8879</v>
      </c>
      <c r="J349" s="50" t="s">
        <v>8880</v>
      </c>
    </row>
    <row r="350" spans="1:10" ht="17.25">
      <c r="A350" s="26"/>
      <c r="B350" s="45"/>
      <c r="C350" s="2" t="s">
        <v>1028</v>
      </c>
      <c r="D350" s="49" t="s">
        <v>8881</v>
      </c>
      <c r="E350" s="166" t="s">
        <v>7183</v>
      </c>
      <c r="F350" s="50" t="s">
        <v>8882</v>
      </c>
      <c r="G350" s="50" t="s">
        <v>8883</v>
      </c>
      <c r="H350" s="54" t="s">
        <v>3449</v>
      </c>
      <c r="I350" s="50" t="s">
        <v>8884</v>
      </c>
      <c r="J350" s="50" t="s">
        <v>8885</v>
      </c>
    </row>
    <row r="351" spans="1:10" ht="17.25">
      <c r="A351" s="26"/>
      <c r="B351" s="45"/>
      <c r="C351" s="2" t="s">
        <v>1030</v>
      </c>
      <c r="D351" s="49" t="s">
        <v>8886</v>
      </c>
      <c r="E351" s="166" t="s">
        <v>7183</v>
      </c>
      <c r="F351" s="50" t="s">
        <v>7728</v>
      </c>
      <c r="G351" s="50" t="s">
        <v>8887</v>
      </c>
      <c r="H351" s="54" t="s">
        <v>3449</v>
      </c>
      <c r="I351" s="50" t="s">
        <v>8888</v>
      </c>
      <c r="J351" s="50" t="s">
        <v>8889</v>
      </c>
    </row>
    <row r="352" spans="1:10" ht="17.25">
      <c r="A352" s="26"/>
      <c r="B352" s="45"/>
      <c r="C352" s="2" t="s">
        <v>1032</v>
      </c>
      <c r="D352" s="49" t="s">
        <v>8890</v>
      </c>
      <c r="E352" s="166" t="s">
        <v>7183</v>
      </c>
      <c r="F352" s="50" t="s">
        <v>7733</v>
      </c>
      <c r="G352" s="50" t="s">
        <v>8891</v>
      </c>
      <c r="H352" s="54" t="s">
        <v>3449</v>
      </c>
      <c r="I352" s="50" t="s">
        <v>8892</v>
      </c>
      <c r="J352" s="50" t="s">
        <v>8893</v>
      </c>
    </row>
    <row r="353" spans="1:10" ht="17.25">
      <c r="A353" s="26"/>
      <c r="B353" s="45" t="s">
        <v>1034</v>
      </c>
      <c r="C353" s="2" t="s">
        <v>1035</v>
      </c>
      <c r="D353" s="49" t="s">
        <v>8894</v>
      </c>
      <c r="E353" s="166" t="s">
        <v>7189</v>
      </c>
      <c r="F353" s="50" t="s">
        <v>8895</v>
      </c>
      <c r="G353" s="50" t="s">
        <v>8896</v>
      </c>
      <c r="H353" s="54" t="s">
        <v>3449</v>
      </c>
      <c r="I353" s="50" t="s">
        <v>8897</v>
      </c>
      <c r="J353" s="50" t="s">
        <v>8898</v>
      </c>
    </row>
    <row r="354" spans="1:10" ht="17.25">
      <c r="A354" s="26"/>
      <c r="B354" s="45"/>
      <c r="C354" s="2" t="s">
        <v>1037</v>
      </c>
      <c r="D354" s="49" t="s">
        <v>8899</v>
      </c>
      <c r="E354" s="166" t="s">
        <v>7183</v>
      </c>
      <c r="F354" s="50" t="s">
        <v>7588</v>
      </c>
      <c r="G354" s="50" t="s">
        <v>8900</v>
      </c>
      <c r="H354" s="54" t="s">
        <v>3449</v>
      </c>
      <c r="I354" s="50" t="s">
        <v>8901</v>
      </c>
      <c r="J354" s="50" t="s">
        <v>8902</v>
      </c>
    </row>
    <row r="355" spans="1:10" ht="17.25">
      <c r="A355" s="26"/>
      <c r="B355" s="45"/>
      <c r="C355" s="2" t="s">
        <v>1039</v>
      </c>
      <c r="D355" s="49" t="s">
        <v>8903</v>
      </c>
      <c r="E355" s="166" t="s">
        <v>7183</v>
      </c>
      <c r="F355" s="50" t="s">
        <v>8904</v>
      </c>
      <c r="G355" s="50" t="s">
        <v>8905</v>
      </c>
      <c r="H355" s="54" t="s">
        <v>3449</v>
      </c>
      <c r="I355" s="50" t="s">
        <v>8507</v>
      </c>
      <c r="J355" s="50" t="s">
        <v>8906</v>
      </c>
    </row>
    <row r="356" spans="1:10" ht="17.25">
      <c r="A356" s="26"/>
      <c r="B356" s="45"/>
      <c r="C356" s="2" t="s">
        <v>1041</v>
      </c>
      <c r="D356" s="49" t="s">
        <v>8907</v>
      </c>
      <c r="E356" s="166" t="s">
        <v>7183</v>
      </c>
      <c r="F356" s="50" t="s">
        <v>8908</v>
      </c>
      <c r="G356" s="50" t="s">
        <v>8909</v>
      </c>
      <c r="H356" s="54" t="s">
        <v>3449</v>
      </c>
      <c r="I356" s="50" t="s">
        <v>8910</v>
      </c>
      <c r="J356" s="50" t="s">
        <v>8911</v>
      </c>
    </row>
    <row r="357" spans="1:10" ht="17.25">
      <c r="A357" s="26"/>
      <c r="B357" s="45"/>
      <c r="C357" s="2" t="s">
        <v>1043</v>
      </c>
      <c r="D357" s="49" t="s">
        <v>8912</v>
      </c>
      <c r="E357" s="166" t="s">
        <v>7183</v>
      </c>
      <c r="F357" s="50" t="s">
        <v>8913</v>
      </c>
      <c r="G357" s="50" t="s">
        <v>8914</v>
      </c>
      <c r="H357" s="54" t="s">
        <v>3449</v>
      </c>
      <c r="I357" s="50" t="s">
        <v>8915</v>
      </c>
      <c r="J357" s="50" t="s">
        <v>8916</v>
      </c>
    </row>
    <row r="358" spans="1:10" ht="17.25">
      <c r="A358" s="26"/>
      <c r="B358" s="45" t="s">
        <v>1045</v>
      </c>
      <c r="C358" s="2" t="s">
        <v>1046</v>
      </c>
      <c r="D358" s="49" t="s">
        <v>8917</v>
      </c>
      <c r="E358" s="166" t="s">
        <v>7189</v>
      </c>
      <c r="F358" s="50" t="s">
        <v>8918</v>
      </c>
      <c r="G358" s="50" t="s">
        <v>8919</v>
      </c>
      <c r="H358" s="54" t="s">
        <v>3449</v>
      </c>
      <c r="I358" s="50" t="s">
        <v>8920</v>
      </c>
      <c r="J358" s="50" t="s">
        <v>8921</v>
      </c>
    </row>
    <row r="359" spans="1:10" ht="17.25">
      <c r="A359" s="26"/>
      <c r="B359" s="45"/>
      <c r="C359" s="2" t="s">
        <v>1048</v>
      </c>
      <c r="D359" s="49" t="s">
        <v>8922</v>
      </c>
      <c r="E359" s="166" t="s">
        <v>7183</v>
      </c>
      <c r="F359" s="50" t="s">
        <v>7468</v>
      </c>
      <c r="G359" s="50" t="s">
        <v>8923</v>
      </c>
      <c r="H359" s="54" t="s">
        <v>3449</v>
      </c>
      <c r="I359" s="50" t="s">
        <v>8924</v>
      </c>
      <c r="J359" s="50" t="s">
        <v>8925</v>
      </c>
    </row>
    <row r="360" spans="1:10" ht="17.25">
      <c r="A360" s="26"/>
      <c r="B360" s="45"/>
      <c r="C360" s="2" t="s">
        <v>1050</v>
      </c>
      <c r="D360" s="49" t="s">
        <v>8926</v>
      </c>
      <c r="E360" s="166" t="s">
        <v>7183</v>
      </c>
      <c r="F360" s="50" t="s">
        <v>8927</v>
      </c>
      <c r="G360" s="50" t="s">
        <v>8928</v>
      </c>
      <c r="H360" s="54" t="s">
        <v>3449</v>
      </c>
      <c r="I360" s="50" t="s">
        <v>8929</v>
      </c>
      <c r="J360" s="50" t="s">
        <v>8930</v>
      </c>
    </row>
    <row r="361" spans="1:10" ht="17.25">
      <c r="A361" s="26"/>
      <c r="B361" s="45"/>
      <c r="C361" s="2" t="s">
        <v>1052</v>
      </c>
      <c r="D361" s="49" t="s">
        <v>8931</v>
      </c>
      <c r="E361" s="166" t="s">
        <v>7183</v>
      </c>
      <c r="F361" s="50" t="s">
        <v>8932</v>
      </c>
      <c r="G361" s="50" t="s">
        <v>8933</v>
      </c>
      <c r="H361" s="54" t="s">
        <v>3449</v>
      </c>
      <c r="I361" s="50" t="s">
        <v>8934</v>
      </c>
      <c r="J361" s="50" t="s">
        <v>8935</v>
      </c>
    </row>
    <row r="362" spans="1:10" ht="17.25">
      <c r="A362" s="26"/>
      <c r="B362" s="45"/>
      <c r="C362" s="2" t="s">
        <v>1054</v>
      </c>
      <c r="D362" s="49" t="s">
        <v>8936</v>
      </c>
      <c r="E362" s="166" t="s">
        <v>7183</v>
      </c>
      <c r="F362" s="50" t="s">
        <v>8937</v>
      </c>
      <c r="G362" s="50" t="s">
        <v>8938</v>
      </c>
      <c r="H362" s="54" t="s">
        <v>3449</v>
      </c>
      <c r="I362" s="50" t="s">
        <v>8939</v>
      </c>
      <c r="J362" s="50" t="s">
        <v>8940</v>
      </c>
    </row>
    <row r="363" spans="1:10" ht="17.25">
      <c r="A363" s="26"/>
      <c r="B363" s="45" t="s">
        <v>1056</v>
      </c>
      <c r="C363" s="2" t="s">
        <v>1057</v>
      </c>
      <c r="D363" s="49" t="s">
        <v>8941</v>
      </c>
      <c r="E363" s="166" t="s">
        <v>7189</v>
      </c>
      <c r="F363" s="50" t="s">
        <v>8942</v>
      </c>
      <c r="G363" s="50" t="s">
        <v>8943</v>
      </c>
      <c r="H363" s="54" t="s">
        <v>3449</v>
      </c>
      <c r="I363" s="50" t="s">
        <v>8944</v>
      </c>
      <c r="J363" s="50" t="s">
        <v>8945</v>
      </c>
    </row>
    <row r="364" spans="1:10" ht="17.25">
      <c r="A364" s="26"/>
      <c r="B364" s="45"/>
      <c r="C364" s="2" t="s">
        <v>1059</v>
      </c>
      <c r="D364" s="49" t="s">
        <v>8946</v>
      </c>
      <c r="E364" s="166" t="s">
        <v>7183</v>
      </c>
      <c r="F364" s="50" t="s">
        <v>8947</v>
      </c>
      <c r="G364" s="50" t="s">
        <v>8948</v>
      </c>
      <c r="H364" s="54" t="s">
        <v>3449</v>
      </c>
      <c r="I364" s="50" t="s">
        <v>8949</v>
      </c>
      <c r="J364" s="50" t="s">
        <v>8950</v>
      </c>
    </row>
    <row r="365" spans="1:10" ht="17.25">
      <c r="A365" s="26"/>
      <c r="B365" s="45"/>
      <c r="C365" s="2" t="s">
        <v>1061</v>
      </c>
      <c r="D365" s="49" t="s">
        <v>8951</v>
      </c>
      <c r="E365" s="166" t="s">
        <v>7183</v>
      </c>
      <c r="F365" s="50" t="s">
        <v>8952</v>
      </c>
      <c r="G365" s="50" t="s">
        <v>8953</v>
      </c>
      <c r="H365" s="54" t="s">
        <v>3449</v>
      </c>
      <c r="I365" s="50" t="s">
        <v>8954</v>
      </c>
      <c r="J365" s="50" t="s">
        <v>8955</v>
      </c>
    </row>
    <row r="366" spans="1:10" ht="17.25">
      <c r="A366" s="26"/>
      <c r="B366" s="45"/>
      <c r="C366" s="2" t="s">
        <v>1063</v>
      </c>
      <c r="D366" s="49" t="s">
        <v>8956</v>
      </c>
      <c r="E366" s="166" t="s">
        <v>7183</v>
      </c>
      <c r="F366" s="50" t="s">
        <v>8957</v>
      </c>
      <c r="G366" s="50" t="s">
        <v>8958</v>
      </c>
      <c r="H366" s="54" t="s">
        <v>3449</v>
      </c>
      <c r="I366" s="50" t="s">
        <v>8959</v>
      </c>
      <c r="J366" s="50" t="s">
        <v>8960</v>
      </c>
    </row>
    <row r="367" spans="1:10" ht="17.25">
      <c r="A367" s="26"/>
      <c r="B367" s="45"/>
      <c r="C367" s="2" t="s">
        <v>1065</v>
      </c>
      <c r="D367" s="49" t="s">
        <v>8961</v>
      </c>
      <c r="E367" s="166" t="s">
        <v>7183</v>
      </c>
      <c r="F367" s="50" t="s">
        <v>8962</v>
      </c>
      <c r="G367" s="50" t="s">
        <v>8963</v>
      </c>
      <c r="H367" s="54" t="s">
        <v>3449</v>
      </c>
      <c r="I367" s="50" t="s">
        <v>8964</v>
      </c>
      <c r="J367" s="50" t="s">
        <v>8965</v>
      </c>
    </row>
    <row r="368" spans="1:10" ht="17.25">
      <c r="A368" s="26"/>
      <c r="B368" s="45" t="s">
        <v>1067</v>
      </c>
      <c r="C368" s="2" t="s">
        <v>1068</v>
      </c>
      <c r="D368" s="49" t="s">
        <v>8966</v>
      </c>
      <c r="E368" s="166" t="s">
        <v>7189</v>
      </c>
      <c r="F368" s="50" t="s">
        <v>8967</v>
      </c>
      <c r="G368" s="50" t="s">
        <v>8968</v>
      </c>
      <c r="H368" s="54" t="s">
        <v>3449</v>
      </c>
      <c r="I368" s="50" t="s">
        <v>8969</v>
      </c>
      <c r="J368" s="50" t="s">
        <v>8970</v>
      </c>
    </row>
    <row r="369" spans="1:10" ht="17.25">
      <c r="A369" s="26"/>
      <c r="B369" s="45"/>
      <c r="C369" s="2" t="s">
        <v>1070</v>
      </c>
      <c r="D369" s="49" t="s">
        <v>8971</v>
      </c>
      <c r="E369" s="166" t="s">
        <v>7183</v>
      </c>
      <c r="F369" s="50" t="s">
        <v>8972</v>
      </c>
      <c r="G369" s="50" t="s">
        <v>8973</v>
      </c>
      <c r="H369" s="54" t="s">
        <v>3449</v>
      </c>
      <c r="I369" s="50" t="s">
        <v>8974</v>
      </c>
      <c r="J369" s="50" t="s">
        <v>8975</v>
      </c>
    </row>
    <row r="370" spans="1:10" ht="17.25">
      <c r="A370" s="26"/>
      <c r="B370" s="45"/>
      <c r="C370" s="2" t="s">
        <v>1072</v>
      </c>
      <c r="D370" s="49" t="s">
        <v>8976</v>
      </c>
      <c r="E370" s="166" t="s">
        <v>7183</v>
      </c>
      <c r="F370" s="50" t="s">
        <v>8977</v>
      </c>
      <c r="G370" s="50" t="s">
        <v>8978</v>
      </c>
      <c r="H370" s="54" t="s">
        <v>3449</v>
      </c>
      <c r="I370" s="50" t="s">
        <v>8979</v>
      </c>
      <c r="J370" s="50" t="s">
        <v>8980</v>
      </c>
    </row>
    <row r="371" spans="1:10" ht="17.25">
      <c r="A371" s="26"/>
      <c r="B371" s="45"/>
      <c r="C371" s="2" t="s">
        <v>1074</v>
      </c>
      <c r="D371" s="49" t="s">
        <v>8981</v>
      </c>
      <c r="E371" s="166" t="s">
        <v>7183</v>
      </c>
      <c r="F371" s="50" t="s">
        <v>8982</v>
      </c>
      <c r="G371" s="50" t="s">
        <v>8983</v>
      </c>
      <c r="H371" s="54" t="s">
        <v>3449</v>
      </c>
      <c r="I371" s="50" t="s">
        <v>8984</v>
      </c>
      <c r="J371" s="50" t="s">
        <v>8985</v>
      </c>
    </row>
    <row r="372" spans="1:10" ht="17.25">
      <c r="A372" s="26"/>
      <c r="B372" s="45"/>
      <c r="C372" s="2" t="s">
        <v>1076</v>
      </c>
      <c r="D372" s="49" t="s">
        <v>8986</v>
      </c>
      <c r="E372" s="166" t="s">
        <v>7183</v>
      </c>
      <c r="F372" s="50" t="s">
        <v>8987</v>
      </c>
      <c r="G372" s="50" t="s">
        <v>8988</v>
      </c>
      <c r="H372" s="54" t="s">
        <v>7320</v>
      </c>
      <c r="I372" s="50" t="s">
        <v>8989</v>
      </c>
      <c r="J372" s="50" t="s">
        <v>8990</v>
      </c>
    </row>
    <row r="373" spans="1:10" ht="17.25">
      <c r="A373" s="26"/>
      <c r="B373" s="45" t="s">
        <v>1078</v>
      </c>
      <c r="C373" s="2" t="s">
        <v>1079</v>
      </c>
      <c r="D373" s="49" t="s">
        <v>8991</v>
      </c>
      <c r="E373" s="166" t="s">
        <v>7189</v>
      </c>
      <c r="F373" s="50" t="s">
        <v>7459</v>
      </c>
      <c r="G373" s="50" t="s">
        <v>8992</v>
      </c>
      <c r="H373" s="54" t="s">
        <v>3449</v>
      </c>
      <c r="I373" s="50" t="s">
        <v>8993</v>
      </c>
      <c r="J373" s="50" t="s">
        <v>8994</v>
      </c>
    </row>
    <row r="374" spans="1:10" ht="17.25">
      <c r="A374" s="26"/>
      <c r="B374" s="45"/>
      <c r="C374" s="2" t="s">
        <v>1081</v>
      </c>
      <c r="D374" s="49" t="s">
        <v>8995</v>
      </c>
      <c r="E374" s="166" t="s">
        <v>7183</v>
      </c>
      <c r="F374" s="50" t="s">
        <v>8996</v>
      </c>
      <c r="G374" s="50" t="s">
        <v>8997</v>
      </c>
      <c r="H374" s="54" t="s">
        <v>3449</v>
      </c>
      <c r="I374" s="50" t="s">
        <v>8998</v>
      </c>
      <c r="J374" s="50" t="s">
        <v>8999</v>
      </c>
    </row>
    <row r="375" spans="1:10" ht="17.25">
      <c r="A375" s="26"/>
      <c r="B375" s="45"/>
      <c r="C375" s="2" t="s">
        <v>1083</v>
      </c>
      <c r="D375" s="49" t="s">
        <v>9000</v>
      </c>
      <c r="E375" s="166" t="s">
        <v>7183</v>
      </c>
      <c r="F375" s="50" t="s">
        <v>9001</v>
      </c>
      <c r="G375" s="50" t="s">
        <v>9002</v>
      </c>
      <c r="H375" s="54" t="s">
        <v>3449</v>
      </c>
      <c r="I375" s="50" t="s">
        <v>9003</v>
      </c>
      <c r="J375" s="50" t="s">
        <v>9004</v>
      </c>
    </row>
    <row r="376" spans="1:10" ht="17.25">
      <c r="A376" s="26"/>
      <c r="B376" s="45"/>
      <c r="C376" s="2" t="s">
        <v>1085</v>
      </c>
      <c r="D376" s="49" t="s">
        <v>9005</v>
      </c>
      <c r="E376" s="166" t="s">
        <v>7183</v>
      </c>
      <c r="F376" s="50" t="s">
        <v>9006</v>
      </c>
      <c r="G376" s="50" t="s">
        <v>9007</v>
      </c>
      <c r="H376" s="54" t="s">
        <v>3449</v>
      </c>
      <c r="I376" s="50" t="s">
        <v>9008</v>
      </c>
      <c r="J376" s="50" t="s">
        <v>9009</v>
      </c>
    </row>
    <row r="377" spans="1:10" ht="17.25">
      <c r="A377" s="26"/>
      <c r="B377" s="45"/>
      <c r="C377" s="2" t="s">
        <v>1087</v>
      </c>
      <c r="D377" s="49" t="s">
        <v>9010</v>
      </c>
      <c r="E377" s="166" t="s">
        <v>7183</v>
      </c>
      <c r="F377" s="50" t="s">
        <v>7354</v>
      </c>
      <c r="G377" s="50" t="s">
        <v>9011</v>
      </c>
      <c r="H377" s="54" t="s">
        <v>3449</v>
      </c>
      <c r="I377" s="50" t="s">
        <v>9012</v>
      </c>
      <c r="J377" s="50" t="s">
        <v>9013</v>
      </c>
    </row>
    <row r="378" spans="1:10" ht="17.25">
      <c r="A378" s="26"/>
      <c r="B378" s="45" t="s">
        <v>1089</v>
      </c>
      <c r="C378" s="2" t="s">
        <v>1090</v>
      </c>
      <c r="D378" s="49" t="s">
        <v>9014</v>
      </c>
      <c r="E378" s="166" t="s">
        <v>7189</v>
      </c>
      <c r="F378" s="50" t="s">
        <v>9015</v>
      </c>
      <c r="G378" s="50" t="s">
        <v>9016</v>
      </c>
      <c r="H378" s="54" t="s">
        <v>3449</v>
      </c>
      <c r="I378" s="50" t="s">
        <v>9017</v>
      </c>
      <c r="J378" s="50" t="s">
        <v>9018</v>
      </c>
    </row>
    <row r="379" spans="1:10" ht="17.25">
      <c r="A379" s="26"/>
      <c r="B379" s="45"/>
      <c r="C379" s="2" t="s">
        <v>1092</v>
      </c>
      <c r="D379" s="49" t="s">
        <v>9019</v>
      </c>
      <c r="E379" s="166" t="s">
        <v>7183</v>
      </c>
      <c r="F379" s="50" t="s">
        <v>9020</v>
      </c>
      <c r="G379" s="50" t="s">
        <v>9021</v>
      </c>
      <c r="H379" s="54" t="s">
        <v>3449</v>
      </c>
      <c r="I379" s="50" t="s">
        <v>9022</v>
      </c>
      <c r="J379" s="50" t="s">
        <v>9023</v>
      </c>
    </row>
    <row r="380" spans="1:10" ht="17.25">
      <c r="A380" s="26"/>
      <c r="B380" s="45"/>
      <c r="C380" s="2" t="s">
        <v>1094</v>
      </c>
      <c r="D380" s="49" t="s">
        <v>9024</v>
      </c>
      <c r="E380" s="166" t="s">
        <v>7183</v>
      </c>
      <c r="F380" s="50" t="s">
        <v>9025</v>
      </c>
      <c r="G380" s="50" t="s">
        <v>9026</v>
      </c>
      <c r="H380" s="54" t="s">
        <v>3449</v>
      </c>
      <c r="I380" s="50" t="s">
        <v>9027</v>
      </c>
      <c r="J380" s="50" t="s">
        <v>9028</v>
      </c>
    </row>
    <row r="381" spans="1:10" ht="17.25">
      <c r="A381" s="26"/>
      <c r="B381" s="45"/>
      <c r="C381" s="2" t="s">
        <v>1096</v>
      </c>
      <c r="D381" s="49" t="s">
        <v>9029</v>
      </c>
      <c r="E381" s="166" t="s">
        <v>7183</v>
      </c>
      <c r="F381" s="50" t="s">
        <v>9030</v>
      </c>
      <c r="G381" s="50" t="s">
        <v>9031</v>
      </c>
      <c r="H381" s="54" t="s">
        <v>3449</v>
      </c>
      <c r="I381" s="50" t="s">
        <v>9032</v>
      </c>
      <c r="J381" s="50" t="s">
        <v>9033</v>
      </c>
    </row>
    <row r="382" spans="1:10" ht="17.25">
      <c r="A382" s="26"/>
      <c r="B382" s="45"/>
      <c r="C382" s="2" t="s">
        <v>1098</v>
      </c>
      <c r="D382" s="49" t="s">
        <v>9034</v>
      </c>
      <c r="E382" s="166" t="s">
        <v>7183</v>
      </c>
      <c r="F382" s="50" t="s">
        <v>9035</v>
      </c>
      <c r="G382" s="50" t="s">
        <v>9036</v>
      </c>
      <c r="H382" s="54" t="s">
        <v>3449</v>
      </c>
      <c r="I382" s="50" t="s">
        <v>9037</v>
      </c>
      <c r="J382" s="50" t="s">
        <v>9038</v>
      </c>
    </row>
    <row r="383" spans="1:10" ht="17.25">
      <c r="A383" s="26"/>
      <c r="B383" s="45" t="s">
        <v>1100</v>
      </c>
      <c r="C383" s="2" t="s">
        <v>1101</v>
      </c>
      <c r="D383" s="49" t="s">
        <v>9039</v>
      </c>
      <c r="E383" s="166" t="s">
        <v>7189</v>
      </c>
      <c r="F383" s="50" t="s">
        <v>9040</v>
      </c>
      <c r="G383" s="50" t="s">
        <v>9041</v>
      </c>
      <c r="H383" s="54" t="s">
        <v>3449</v>
      </c>
      <c r="I383" s="50" t="s">
        <v>9042</v>
      </c>
      <c r="J383" s="50" t="s">
        <v>9043</v>
      </c>
    </row>
    <row r="384" spans="1:10" ht="17.25">
      <c r="A384" s="26"/>
      <c r="B384" s="45"/>
      <c r="C384" s="2" t="s">
        <v>1103</v>
      </c>
      <c r="D384" s="49" t="s">
        <v>9044</v>
      </c>
      <c r="E384" s="166" t="s">
        <v>7183</v>
      </c>
      <c r="F384" s="50" t="s">
        <v>7598</v>
      </c>
      <c r="G384" s="50" t="s">
        <v>9045</v>
      </c>
      <c r="H384" s="54" t="s">
        <v>3449</v>
      </c>
      <c r="I384" s="50" t="s">
        <v>9046</v>
      </c>
      <c r="J384" s="50" t="s">
        <v>9047</v>
      </c>
    </row>
    <row r="385" spans="1:10" ht="17.25">
      <c r="A385" s="26"/>
      <c r="B385" s="45"/>
      <c r="C385" s="2" t="s">
        <v>1105</v>
      </c>
      <c r="D385" s="49" t="s">
        <v>9048</v>
      </c>
      <c r="E385" s="166" t="s">
        <v>7183</v>
      </c>
      <c r="F385" s="50" t="s">
        <v>9049</v>
      </c>
      <c r="G385" s="50" t="s">
        <v>9050</v>
      </c>
      <c r="H385" s="54" t="s">
        <v>3449</v>
      </c>
      <c r="I385" s="50" t="s">
        <v>9051</v>
      </c>
      <c r="J385" s="50" t="s">
        <v>9052</v>
      </c>
    </row>
    <row r="386" spans="1:10" ht="17.25">
      <c r="A386" s="26"/>
      <c r="B386" s="45"/>
      <c r="C386" s="2" t="s">
        <v>1107</v>
      </c>
      <c r="D386" s="49" t="s">
        <v>9053</v>
      </c>
      <c r="E386" s="166" t="s">
        <v>7183</v>
      </c>
      <c r="F386" s="50" t="s">
        <v>9054</v>
      </c>
      <c r="G386" s="50" t="s">
        <v>9055</v>
      </c>
      <c r="H386" s="54" t="s">
        <v>3449</v>
      </c>
      <c r="I386" s="50" t="s">
        <v>9056</v>
      </c>
      <c r="J386" s="50" t="s">
        <v>9057</v>
      </c>
    </row>
    <row r="387" spans="1:10" ht="17.25">
      <c r="A387" s="26"/>
      <c r="B387" s="45"/>
      <c r="C387" s="2" t="s">
        <v>1109</v>
      </c>
      <c r="D387" s="49" t="s">
        <v>9058</v>
      </c>
      <c r="E387" s="166" t="s">
        <v>7183</v>
      </c>
      <c r="F387" s="50" t="s">
        <v>9059</v>
      </c>
      <c r="G387" s="50" t="s">
        <v>9060</v>
      </c>
      <c r="H387" s="54" t="s">
        <v>3449</v>
      </c>
      <c r="I387" s="50" t="s">
        <v>9061</v>
      </c>
      <c r="J387" s="50" t="s">
        <v>9062</v>
      </c>
    </row>
    <row r="388" spans="1:10" ht="17.25">
      <c r="A388" s="26"/>
      <c r="B388" s="45" t="s">
        <v>1111</v>
      </c>
      <c r="C388" s="2" t="s">
        <v>1112</v>
      </c>
      <c r="D388" s="49" t="s">
        <v>9063</v>
      </c>
      <c r="E388" s="166" t="s">
        <v>7189</v>
      </c>
      <c r="F388" s="50" t="s">
        <v>9064</v>
      </c>
      <c r="G388" s="50" t="s">
        <v>9065</v>
      </c>
      <c r="H388" s="54" t="s">
        <v>3449</v>
      </c>
      <c r="I388" s="50" t="s">
        <v>9066</v>
      </c>
      <c r="J388" s="50" t="s">
        <v>9067</v>
      </c>
    </row>
    <row r="389" spans="1:10" ht="17.25">
      <c r="A389" s="26"/>
      <c r="B389" s="45"/>
      <c r="C389" s="2" t="s">
        <v>1114</v>
      </c>
      <c r="D389" s="49" t="s">
        <v>9068</v>
      </c>
      <c r="E389" s="166" t="s">
        <v>7183</v>
      </c>
      <c r="F389" s="50" t="s">
        <v>9069</v>
      </c>
      <c r="G389" s="50" t="s">
        <v>9070</v>
      </c>
      <c r="H389" s="54" t="s">
        <v>3449</v>
      </c>
      <c r="I389" s="50" t="s">
        <v>9071</v>
      </c>
      <c r="J389" s="50" t="s">
        <v>9072</v>
      </c>
    </row>
    <row r="390" spans="1:10" ht="17.25">
      <c r="A390" s="26"/>
      <c r="B390" s="45"/>
      <c r="C390" s="2" t="s">
        <v>1116</v>
      </c>
      <c r="D390" s="49" t="s">
        <v>9073</v>
      </c>
      <c r="E390" s="166" t="s">
        <v>7183</v>
      </c>
      <c r="F390" s="50" t="s">
        <v>9074</v>
      </c>
      <c r="G390" s="50" t="s">
        <v>9075</v>
      </c>
      <c r="H390" s="54" t="s">
        <v>3449</v>
      </c>
      <c r="I390" s="50" t="s">
        <v>9076</v>
      </c>
      <c r="J390" s="50" t="s">
        <v>9077</v>
      </c>
    </row>
    <row r="391" spans="1:10" ht="17.25">
      <c r="A391" s="26"/>
      <c r="B391" s="45"/>
      <c r="C391" s="2" t="s">
        <v>1118</v>
      </c>
      <c r="D391" s="49" t="s">
        <v>9078</v>
      </c>
      <c r="E391" s="166" t="s">
        <v>7183</v>
      </c>
      <c r="F391" s="50" t="s">
        <v>9079</v>
      </c>
      <c r="G391" s="50" t="s">
        <v>9080</v>
      </c>
      <c r="H391" s="54" t="s">
        <v>3449</v>
      </c>
      <c r="I391" s="50" t="s">
        <v>9081</v>
      </c>
      <c r="J391" s="50" t="s">
        <v>9082</v>
      </c>
    </row>
    <row r="392" spans="1:10" ht="17.25">
      <c r="A392" s="26"/>
      <c r="B392" s="45"/>
      <c r="C392" s="2" t="s">
        <v>1098</v>
      </c>
      <c r="D392" s="49" t="s">
        <v>9083</v>
      </c>
      <c r="E392" s="166" t="s">
        <v>7183</v>
      </c>
      <c r="F392" s="50" t="s">
        <v>9084</v>
      </c>
      <c r="G392" s="50" t="s">
        <v>9085</v>
      </c>
      <c r="H392" s="54" t="s">
        <v>3449</v>
      </c>
      <c r="I392" s="50" t="s">
        <v>9086</v>
      </c>
      <c r="J392" s="50" t="s">
        <v>9087</v>
      </c>
    </row>
    <row r="393" spans="1:10" ht="17.25">
      <c r="A393" s="26"/>
      <c r="B393" s="45" t="s">
        <v>1121</v>
      </c>
      <c r="C393" s="2" t="s">
        <v>1122</v>
      </c>
      <c r="D393" s="49" t="s">
        <v>9088</v>
      </c>
      <c r="E393" s="166" t="s">
        <v>7189</v>
      </c>
      <c r="F393" s="50" t="s">
        <v>9089</v>
      </c>
      <c r="G393" s="50" t="s">
        <v>9090</v>
      </c>
      <c r="H393" s="54" t="s">
        <v>3449</v>
      </c>
      <c r="I393" s="50" t="s">
        <v>9091</v>
      </c>
      <c r="J393" s="50" t="s">
        <v>9092</v>
      </c>
    </row>
    <row r="394" spans="1:10" ht="17.25">
      <c r="A394" s="26"/>
      <c r="B394" s="45"/>
      <c r="C394" s="2" t="s">
        <v>1124</v>
      </c>
      <c r="D394" s="49" t="s">
        <v>9093</v>
      </c>
      <c r="E394" s="166" t="s">
        <v>7183</v>
      </c>
      <c r="F394" s="50" t="s">
        <v>9094</v>
      </c>
      <c r="G394" s="50" t="s">
        <v>9095</v>
      </c>
      <c r="H394" s="54" t="s">
        <v>3449</v>
      </c>
      <c r="I394" s="50" t="s">
        <v>9096</v>
      </c>
      <c r="J394" s="50" t="s">
        <v>9097</v>
      </c>
    </row>
    <row r="395" spans="1:10" ht="17.25">
      <c r="A395" s="26"/>
      <c r="B395" s="45"/>
      <c r="C395" s="2" t="s">
        <v>1126</v>
      </c>
      <c r="D395" s="49" t="s">
        <v>9098</v>
      </c>
      <c r="E395" s="166" t="s">
        <v>7183</v>
      </c>
      <c r="F395" s="50" t="s">
        <v>9099</v>
      </c>
      <c r="G395" s="50" t="s">
        <v>9100</v>
      </c>
      <c r="H395" s="54" t="s">
        <v>3449</v>
      </c>
      <c r="I395" s="50" t="s">
        <v>9101</v>
      </c>
      <c r="J395" s="50" t="s">
        <v>9102</v>
      </c>
    </row>
    <row r="396" spans="1:10" ht="17.25">
      <c r="A396" s="26"/>
      <c r="B396" s="45"/>
      <c r="C396" s="2" t="s">
        <v>1128</v>
      </c>
      <c r="D396" s="49" t="s">
        <v>9103</v>
      </c>
      <c r="E396" s="166" t="s">
        <v>7183</v>
      </c>
      <c r="F396" s="50" t="s">
        <v>9104</v>
      </c>
      <c r="G396" s="50" t="s">
        <v>9105</v>
      </c>
      <c r="H396" s="54" t="s">
        <v>3450</v>
      </c>
      <c r="I396" s="50" t="s">
        <v>9106</v>
      </c>
      <c r="J396" s="50" t="s">
        <v>9107</v>
      </c>
    </row>
    <row r="397" spans="1:10" ht="17.25">
      <c r="A397" s="26"/>
      <c r="B397" s="45"/>
      <c r="C397" s="2" t="s">
        <v>1130</v>
      </c>
      <c r="D397" s="49" t="s">
        <v>9108</v>
      </c>
      <c r="E397" s="166" t="s">
        <v>7183</v>
      </c>
      <c r="F397" s="50" t="s">
        <v>9109</v>
      </c>
      <c r="G397" s="50" t="s">
        <v>9110</v>
      </c>
      <c r="H397" s="54" t="s">
        <v>3449</v>
      </c>
      <c r="I397" s="50" t="s">
        <v>9111</v>
      </c>
      <c r="J397" s="50" t="s">
        <v>9112</v>
      </c>
    </row>
    <row r="398" spans="1:10" ht="17.25">
      <c r="A398" s="26"/>
      <c r="B398" s="45" t="s">
        <v>1132</v>
      </c>
      <c r="C398" s="2" t="s">
        <v>1133</v>
      </c>
      <c r="D398" s="49" t="s">
        <v>9113</v>
      </c>
      <c r="E398" s="166" t="s">
        <v>7189</v>
      </c>
      <c r="F398" s="50" t="s">
        <v>9114</v>
      </c>
      <c r="G398" s="50" t="s">
        <v>9115</v>
      </c>
      <c r="H398" s="54" t="s">
        <v>3449</v>
      </c>
      <c r="I398" s="50" t="s">
        <v>9116</v>
      </c>
      <c r="J398" s="50" t="s">
        <v>9117</v>
      </c>
    </row>
    <row r="399" spans="1:10" ht="17.25">
      <c r="A399" s="26"/>
      <c r="B399" s="45"/>
      <c r="C399" s="2" t="s">
        <v>1135</v>
      </c>
      <c r="D399" s="49" t="s">
        <v>9118</v>
      </c>
      <c r="E399" s="166" t="s">
        <v>7183</v>
      </c>
      <c r="F399" s="50" t="s">
        <v>9119</v>
      </c>
      <c r="G399" s="50" t="s">
        <v>9120</v>
      </c>
      <c r="H399" s="54" t="s">
        <v>3450</v>
      </c>
      <c r="I399" s="50" t="s">
        <v>9121</v>
      </c>
      <c r="J399" s="50" t="s">
        <v>9122</v>
      </c>
    </row>
    <row r="400" spans="1:10" ht="17.25">
      <c r="A400" s="26"/>
      <c r="B400" s="45"/>
      <c r="C400" s="2" t="s">
        <v>1137</v>
      </c>
      <c r="D400" s="49" t="s">
        <v>9123</v>
      </c>
      <c r="E400" s="166" t="s">
        <v>7183</v>
      </c>
      <c r="F400" s="50" t="s">
        <v>9124</v>
      </c>
      <c r="G400" s="50" t="s">
        <v>9125</v>
      </c>
      <c r="H400" s="54" t="s">
        <v>3449</v>
      </c>
      <c r="I400" s="50" t="s">
        <v>9126</v>
      </c>
      <c r="J400" s="50" t="s">
        <v>9127</v>
      </c>
    </row>
    <row r="401" spans="1:10" ht="17.25">
      <c r="A401" s="26"/>
      <c r="B401" s="45"/>
      <c r="C401" s="2" t="s">
        <v>1139</v>
      </c>
      <c r="D401" s="49" t="s">
        <v>9128</v>
      </c>
      <c r="E401" s="166" t="s">
        <v>7183</v>
      </c>
      <c r="F401" s="50" t="s">
        <v>9129</v>
      </c>
      <c r="G401" s="50" t="s">
        <v>9130</v>
      </c>
      <c r="H401" s="54" t="s">
        <v>3449</v>
      </c>
      <c r="I401" s="50" t="s">
        <v>9131</v>
      </c>
      <c r="J401" s="50" t="s">
        <v>9132</v>
      </c>
    </row>
    <row r="402" spans="1:10" ht="17.25">
      <c r="A402" s="26"/>
      <c r="B402" s="45"/>
      <c r="C402" s="2" t="s">
        <v>1141</v>
      </c>
      <c r="D402" s="49" t="s">
        <v>9133</v>
      </c>
      <c r="E402" s="166" t="s">
        <v>7183</v>
      </c>
      <c r="F402" s="50" t="s">
        <v>9134</v>
      </c>
      <c r="G402" s="50" t="s">
        <v>9135</v>
      </c>
      <c r="H402" s="54" t="s">
        <v>3449</v>
      </c>
      <c r="I402" s="50" t="s">
        <v>9136</v>
      </c>
      <c r="J402" s="50" t="s">
        <v>9137</v>
      </c>
    </row>
    <row r="403" spans="1:10" ht="17.25">
      <c r="A403" s="26"/>
      <c r="B403" s="45" t="s">
        <v>1143</v>
      </c>
      <c r="C403" s="2" t="s">
        <v>1144</v>
      </c>
      <c r="D403" s="49" t="s">
        <v>9138</v>
      </c>
      <c r="E403" s="166" t="s">
        <v>7189</v>
      </c>
      <c r="F403" s="50" t="s">
        <v>9139</v>
      </c>
      <c r="G403" s="50" t="s">
        <v>9140</v>
      </c>
      <c r="H403" s="54" t="s">
        <v>3449</v>
      </c>
      <c r="I403" s="50" t="s">
        <v>9141</v>
      </c>
      <c r="J403" s="50" t="s">
        <v>9142</v>
      </c>
    </row>
    <row r="404" spans="1:10" ht="17.25">
      <c r="A404" s="26"/>
      <c r="B404" s="45"/>
      <c r="C404" s="2" t="s">
        <v>1146</v>
      </c>
      <c r="D404" s="49" t="s">
        <v>9143</v>
      </c>
      <c r="E404" s="166" t="s">
        <v>7183</v>
      </c>
      <c r="F404" s="50" t="s">
        <v>9144</v>
      </c>
      <c r="G404" s="50" t="s">
        <v>9145</v>
      </c>
      <c r="H404" s="54" t="s">
        <v>3449</v>
      </c>
      <c r="I404" s="50" t="s">
        <v>9146</v>
      </c>
      <c r="J404" s="50" t="s">
        <v>9147</v>
      </c>
    </row>
    <row r="405" spans="1:10" ht="17.25">
      <c r="A405" s="26"/>
      <c r="B405" s="45"/>
      <c r="C405" s="2" t="s">
        <v>1148</v>
      </c>
      <c r="D405" s="49" t="s">
        <v>9148</v>
      </c>
      <c r="E405" s="166" t="s">
        <v>7183</v>
      </c>
      <c r="F405" s="50" t="s">
        <v>9149</v>
      </c>
      <c r="G405" s="50" t="s">
        <v>9150</v>
      </c>
      <c r="H405" s="54" t="s">
        <v>3449</v>
      </c>
      <c r="I405" s="50" t="s">
        <v>9151</v>
      </c>
      <c r="J405" s="50" t="s">
        <v>9152</v>
      </c>
    </row>
    <row r="406" spans="1:10" ht="17.25">
      <c r="A406" s="26"/>
      <c r="B406" s="45"/>
      <c r="C406" s="2" t="s">
        <v>1150</v>
      </c>
      <c r="D406" s="49" t="s">
        <v>9153</v>
      </c>
      <c r="E406" s="166" t="s">
        <v>7183</v>
      </c>
      <c r="F406" s="50" t="s">
        <v>9154</v>
      </c>
      <c r="G406" s="50" t="s">
        <v>9155</v>
      </c>
      <c r="H406" s="54" t="s">
        <v>3450</v>
      </c>
      <c r="I406" s="50" t="s">
        <v>9156</v>
      </c>
      <c r="J406" s="50" t="s">
        <v>9157</v>
      </c>
    </row>
    <row r="407" spans="1:10" ht="17.25">
      <c r="A407" s="26"/>
      <c r="B407" s="45"/>
      <c r="C407" s="2" t="s">
        <v>1152</v>
      </c>
      <c r="D407" s="49" t="s">
        <v>9158</v>
      </c>
      <c r="E407" s="166" t="s">
        <v>7183</v>
      </c>
      <c r="F407" s="50" t="s">
        <v>9159</v>
      </c>
      <c r="G407" s="50" t="s">
        <v>9160</v>
      </c>
      <c r="H407" s="54" t="s">
        <v>3449</v>
      </c>
      <c r="I407" s="50" t="s">
        <v>9161</v>
      </c>
      <c r="J407" s="50" t="s">
        <v>9162</v>
      </c>
    </row>
    <row r="408" spans="1:10" ht="17.25">
      <c r="A408" s="26"/>
      <c r="B408" s="45" t="s">
        <v>1154</v>
      </c>
      <c r="C408" s="2" t="s">
        <v>1155</v>
      </c>
      <c r="D408" s="49" t="s">
        <v>9163</v>
      </c>
      <c r="E408" s="166" t="s">
        <v>7189</v>
      </c>
      <c r="F408" s="50" t="s">
        <v>9164</v>
      </c>
      <c r="G408" s="50" t="s">
        <v>9165</v>
      </c>
      <c r="H408" s="54" t="s">
        <v>3449</v>
      </c>
      <c r="I408" s="50" t="s">
        <v>9166</v>
      </c>
      <c r="J408" s="50" t="s">
        <v>9167</v>
      </c>
    </row>
    <row r="409" spans="1:10" ht="17.25">
      <c r="A409" s="26"/>
      <c r="B409" s="45"/>
      <c r="C409" s="2" t="s">
        <v>1157</v>
      </c>
      <c r="D409" s="49" t="s">
        <v>9168</v>
      </c>
      <c r="E409" s="166" t="s">
        <v>7183</v>
      </c>
      <c r="F409" s="50" t="s">
        <v>9169</v>
      </c>
      <c r="G409" s="50" t="s">
        <v>9170</v>
      </c>
      <c r="H409" s="54" t="s">
        <v>3449</v>
      </c>
      <c r="I409" s="50" t="s">
        <v>9171</v>
      </c>
      <c r="J409" s="50" t="s">
        <v>9172</v>
      </c>
    </row>
    <row r="410" spans="1:10" ht="17.25">
      <c r="A410" s="26"/>
      <c r="B410" s="45"/>
      <c r="C410" s="2" t="s">
        <v>1159</v>
      </c>
      <c r="D410" s="49" t="s">
        <v>9173</v>
      </c>
      <c r="E410" s="166" t="s">
        <v>7183</v>
      </c>
      <c r="F410" s="50" t="s">
        <v>9174</v>
      </c>
      <c r="G410" s="50" t="s">
        <v>9175</v>
      </c>
      <c r="H410" s="54" t="s">
        <v>3449</v>
      </c>
      <c r="I410" s="50" t="s">
        <v>9176</v>
      </c>
      <c r="J410" s="50" t="s">
        <v>9177</v>
      </c>
    </row>
    <row r="411" spans="1:10" ht="17.25">
      <c r="A411" s="26"/>
      <c r="B411" s="45"/>
      <c r="C411" s="2" t="s">
        <v>1161</v>
      </c>
      <c r="D411" s="49" t="s">
        <v>9178</v>
      </c>
      <c r="E411" s="166" t="s">
        <v>7183</v>
      </c>
      <c r="F411" s="50" t="s">
        <v>9179</v>
      </c>
      <c r="G411" s="50" t="s">
        <v>9180</v>
      </c>
      <c r="H411" s="54" t="s">
        <v>3449</v>
      </c>
      <c r="I411" s="50" t="s">
        <v>9181</v>
      </c>
      <c r="J411" s="50" t="s">
        <v>9182</v>
      </c>
    </row>
    <row r="412" spans="1:10" ht="17.25">
      <c r="A412" s="26"/>
      <c r="B412" s="45"/>
      <c r="C412" s="2" t="s">
        <v>1163</v>
      </c>
      <c r="D412" s="49" t="s">
        <v>9183</v>
      </c>
      <c r="E412" s="166" t="s">
        <v>7183</v>
      </c>
      <c r="F412" s="50" t="s">
        <v>9184</v>
      </c>
      <c r="G412" s="50" t="s">
        <v>9185</v>
      </c>
      <c r="H412" s="54" t="s">
        <v>3449</v>
      </c>
      <c r="I412" s="50" t="s">
        <v>9186</v>
      </c>
      <c r="J412" s="50" t="s">
        <v>9187</v>
      </c>
    </row>
    <row r="413" spans="1:10" ht="17.25">
      <c r="A413" s="26" t="s">
        <v>1165</v>
      </c>
      <c r="B413" s="45" t="s">
        <v>1166</v>
      </c>
      <c r="C413" s="2" t="s">
        <v>1167</v>
      </c>
      <c r="D413" s="49" t="s">
        <v>9188</v>
      </c>
      <c r="E413" s="166" t="s">
        <v>7189</v>
      </c>
      <c r="F413" s="50" t="s">
        <v>7215</v>
      </c>
      <c r="G413" s="50" t="s">
        <v>9189</v>
      </c>
      <c r="H413" s="54" t="s">
        <v>3449</v>
      </c>
      <c r="I413" s="50" t="s">
        <v>9190</v>
      </c>
      <c r="J413" s="50" t="s">
        <v>9191</v>
      </c>
    </row>
    <row r="414" spans="1:10" ht="17.25">
      <c r="A414" s="26"/>
      <c r="B414" s="45"/>
      <c r="C414" s="2" t="s">
        <v>1169</v>
      </c>
      <c r="D414" s="49" t="s">
        <v>9192</v>
      </c>
      <c r="E414" s="166" t="s">
        <v>7183</v>
      </c>
      <c r="F414" s="50" t="s">
        <v>9193</v>
      </c>
      <c r="G414" s="50" t="s">
        <v>9194</v>
      </c>
      <c r="H414" s="54" t="s">
        <v>3449</v>
      </c>
      <c r="I414" s="50" t="s">
        <v>9195</v>
      </c>
      <c r="J414" s="50" t="s">
        <v>9196</v>
      </c>
    </row>
    <row r="415" spans="1:10" ht="17.25">
      <c r="A415" s="26"/>
      <c r="B415" s="45"/>
      <c r="C415" s="2" t="s">
        <v>1171</v>
      </c>
      <c r="D415" s="49" t="s">
        <v>9197</v>
      </c>
      <c r="E415" s="166" t="s">
        <v>7183</v>
      </c>
      <c r="F415" s="50" t="s">
        <v>9198</v>
      </c>
      <c r="G415" s="50" t="s">
        <v>9199</v>
      </c>
      <c r="H415" s="54" t="s">
        <v>3449</v>
      </c>
      <c r="I415" s="50" t="s">
        <v>9200</v>
      </c>
      <c r="J415" s="50" t="s">
        <v>9201</v>
      </c>
    </row>
    <row r="416" spans="1:10" ht="17.25">
      <c r="A416" s="26"/>
      <c r="B416" s="45"/>
      <c r="C416" s="2" t="s">
        <v>1173</v>
      </c>
      <c r="D416" s="49" t="s">
        <v>9202</v>
      </c>
      <c r="E416" s="166" t="s">
        <v>7183</v>
      </c>
      <c r="F416" s="50" t="s">
        <v>9203</v>
      </c>
      <c r="G416" s="50" t="s">
        <v>9204</v>
      </c>
      <c r="H416" s="54" t="s">
        <v>3449</v>
      </c>
      <c r="I416" s="50" t="s">
        <v>9205</v>
      </c>
      <c r="J416" s="50" t="s">
        <v>9206</v>
      </c>
    </row>
    <row r="417" spans="1:10" ht="17.25">
      <c r="A417" s="26"/>
      <c r="B417" s="45"/>
      <c r="C417" s="2" t="s">
        <v>1175</v>
      </c>
      <c r="D417" s="49" t="s">
        <v>9207</v>
      </c>
      <c r="E417" s="166" t="s">
        <v>7183</v>
      </c>
      <c r="F417" s="50" t="s">
        <v>9208</v>
      </c>
      <c r="G417" s="50" t="s">
        <v>9209</v>
      </c>
      <c r="H417" s="54" t="s">
        <v>3449</v>
      </c>
      <c r="I417" s="50" t="s">
        <v>9210</v>
      </c>
      <c r="J417" s="50" t="s">
        <v>9211</v>
      </c>
    </row>
    <row r="418" spans="1:10" ht="17.25">
      <c r="A418" s="26"/>
      <c r="B418" s="45" t="s">
        <v>1177</v>
      </c>
      <c r="C418" s="2" t="s">
        <v>1178</v>
      </c>
      <c r="D418" s="49" t="s">
        <v>9212</v>
      </c>
      <c r="E418" s="166" t="s">
        <v>7189</v>
      </c>
      <c r="F418" s="50" t="s">
        <v>9213</v>
      </c>
      <c r="G418" s="50" t="s">
        <v>9214</v>
      </c>
      <c r="H418" s="54" t="s">
        <v>3449</v>
      </c>
      <c r="I418" s="50" t="s">
        <v>9215</v>
      </c>
      <c r="J418" s="50" t="s">
        <v>9216</v>
      </c>
    </row>
    <row r="419" spans="1:10" ht="17.25">
      <c r="A419" s="26"/>
      <c r="B419" s="45"/>
      <c r="C419" s="2" t="s">
        <v>1180</v>
      </c>
      <c r="D419" s="49" t="s">
        <v>9217</v>
      </c>
      <c r="E419" s="166" t="s">
        <v>7183</v>
      </c>
      <c r="F419" s="50" t="s">
        <v>9218</v>
      </c>
      <c r="G419" s="50" t="s">
        <v>9219</v>
      </c>
      <c r="H419" s="54" t="s">
        <v>3449</v>
      </c>
      <c r="I419" s="50" t="s">
        <v>9220</v>
      </c>
      <c r="J419" s="50" t="s">
        <v>9221</v>
      </c>
    </row>
    <row r="420" spans="1:10" ht="17.25">
      <c r="A420" s="26"/>
      <c r="B420" s="45"/>
      <c r="C420" s="2" t="s">
        <v>1182</v>
      </c>
      <c r="D420" s="49" t="s">
        <v>9222</v>
      </c>
      <c r="E420" s="166" t="s">
        <v>7183</v>
      </c>
      <c r="F420" s="50" t="s">
        <v>9223</v>
      </c>
      <c r="G420" s="50" t="s">
        <v>9224</v>
      </c>
      <c r="H420" s="54" t="s">
        <v>3449</v>
      </c>
      <c r="I420" s="50" t="s">
        <v>9225</v>
      </c>
      <c r="J420" s="50" t="s">
        <v>9226</v>
      </c>
    </row>
    <row r="421" spans="1:10" ht="17.25">
      <c r="A421" s="26"/>
      <c r="B421" s="45"/>
      <c r="C421" s="2" t="s">
        <v>1184</v>
      </c>
      <c r="D421" s="49" t="s">
        <v>9227</v>
      </c>
      <c r="E421" s="166" t="s">
        <v>7183</v>
      </c>
      <c r="F421" s="50" t="s">
        <v>9228</v>
      </c>
      <c r="G421" s="50" t="s">
        <v>9229</v>
      </c>
      <c r="H421" s="54" t="s">
        <v>3449</v>
      </c>
      <c r="I421" s="50" t="s">
        <v>9230</v>
      </c>
      <c r="J421" s="50" t="s">
        <v>9231</v>
      </c>
    </row>
    <row r="422" spans="1:10" ht="17.25">
      <c r="A422" s="26"/>
      <c r="B422" s="45"/>
      <c r="C422" s="2" t="s">
        <v>1186</v>
      </c>
      <c r="D422" s="49" t="s">
        <v>9232</v>
      </c>
      <c r="E422" s="166" t="s">
        <v>7183</v>
      </c>
      <c r="F422" s="50" t="s">
        <v>9233</v>
      </c>
      <c r="G422" s="50" t="s">
        <v>9234</v>
      </c>
      <c r="H422" s="54" t="s">
        <v>3449</v>
      </c>
      <c r="I422" s="50" t="s">
        <v>9235</v>
      </c>
      <c r="J422" s="50" t="s">
        <v>9236</v>
      </c>
    </row>
    <row r="423" spans="1:10" ht="17.25">
      <c r="A423" s="26"/>
      <c r="B423" s="45" t="s">
        <v>1188</v>
      </c>
      <c r="C423" s="2" t="s">
        <v>1189</v>
      </c>
      <c r="D423" s="49" t="s">
        <v>9237</v>
      </c>
      <c r="E423" s="166" t="s">
        <v>7189</v>
      </c>
      <c r="F423" s="50" t="s">
        <v>9238</v>
      </c>
      <c r="G423" s="50" t="s">
        <v>9239</v>
      </c>
      <c r="H423" s="54" t="s">
        <v>3449</v>
      </c>
      <c r="I423" s="50" t="s">
        <v>9240</v>
      </c>
      <c r="J423" s="50" t="s">
        <v>9241</v>
      </c>
    </row>
    <row r="424" spans="1:10" ht="17.25">
      <c r="A424" s="26"/>
      <c r="B424" s="45"/>
      <c r="C424" s="2" t="s">
        <v>1191</v>
      </c>
      <c r="D424" s="49" t="s">
        <v>9242</v>
      </c>
      <c r="E424" s="166" t="s">
        <v>7183</v>
      </c>
      <c r="F424" s="50" t="s">
        <v>9243</v>
      </c>
      <c r="G424" s="50" t="s">
        <v>9244</v>
      </c>
      <c r="H424" s="54" t="s">
        <v>3449</v>
      </c>
      <c r="I424" s="50" t="s">
        <v>9245</v>
      </c>
      <c r="J424" s="50" t="s">
        <v>9246</v>
      </c>
    </row>
    <row r="425" spans="1:10" ht="17.25">
      <c r="A425" s="26"/>
      <c r="B425" s="45"/>
      <c r="C425" s="2" t="s">
        <v>1193</v>
      </c>
      <c r="D425" s="49" t="s">
        <v>9247</v>
      </c>
      <c r="E425" s="166" t="s">
        <v>7183</v>
      </c>
      <c r="F425" s="50" t="s">
        <v>9248</v>
      </c>
      <c r="G425" s="50" t="s">
        <v>9249</v>
      </c>
      <c r="H425" s="54" t="s">
        <v>3449</v>
      </c>
      <c r="I425" s="50" t="s">
        <v>9250</v>
      </c>
      <c r="J425" s="50" t="s">
        <v>9251</v>
      </c>
    </row>
    <row r="426" spans="1:10" ht="17.25">
      <c r="A426" s="26"/>
      <c r="B426" s="45"/>
      <c r="C426" s="2" t="s">
        <v>1195</v>
      </c>
      <c r="D426" s="49" t="s">
        <v>9252</v>
      </c>
      <c r="E426" s="166" t="s">
        <v>7183</v>
      </c>
      <c r="F426" s="50" t="s">
        <v>9253</v>
      </c>
      <c r="G426" s="50" t="s">
        <v>9254</v>
      </c>
      <c r="H426" s="54" t="s">
        <v>3450</v>
      </c>
      <c r="I426" s="50" t="s">
        <v>9255</v>
      </c>
      <c r="J426" s="50" t="s">
        <v>9256</v>
      </c>
    </row>
    <row r="427" spans="1:10" ht="17.25">
      <c r="A427" s="26"/>
      <c r="B427" s="45"/>
      <c r="C427" s="2" t="s">
        <v>1197</v>
      </c>
      <c r="D427" s="49" t="s">
        <v>9257</v>
      </c>
      <c r="E427" s="166" t="s">
        <v>7183</v>
      </c>
      <c r="F427" s="50" t="s">
        <v>8842</v>
      </c>
      <c r="G427" s="50" t="s">
        <v>9258</v>
      </c>
      <c r="H427" s="54" t="s">
        <v>3449</v>
      </c>
      <c r="I427" s="50" t="s">
        <v>9259</v>
      </c>
      <c r="J427" s="50" t="s">
        <v>9260</v>
      </c>
    </row>
    <row r="428" spans="1:10" ht="17.25">
      <c r="A428" s="26"/>
      <c r="B428" s="45" t="s">
        <v>1199</v>
      </c>
      <c r="C428" s="2" t="s">
        <v>1200</v>
      </c>
      <c r="D428" s="49" t="s">
        <v>9261</v>
      </c>
      <c r="E428" s="166" t="s">
        <v>7189</v>
      </c>
      <c r="F428" s="50" t="s">
        <v>9262</v>
      </c>
      <c r="G428" s="50" t="s">
        <v>9263</v>
      </c>
      <c r="H428" s="54" t="s">
        <v>3449</v>
      </c>
      <c r="I428" s="50" t="s">
        <v>9264</v>
      </c>
      <c r="J428" s="50" t="s">
        <v>9265</v>
      </c>
    </row>
    <row r="429" spans="1:10" ht="17.25">
      <c r="A429" s="26"/>
      <c r="B429" s="45"/>
      <c r="C429" s="2" t="s">
        <v>1202</v>
      </c>
      <c r="D429" s="49" t="s">
        <v>9266</v>
      </c>
      <c r="E429" s="166" t="s">
        <v>7183</v>
      </c>
      <c r="F429" s="50" t="s">
        <v>8758</v>
      </c>
      <c r="G429" s="50" t="s">
        <v>9267</v>
      </c>
      <c r="H429" s="54" t="s">
        <v>3450</v>
      </c>
      <c r="I429" s="50" t="s">
        <v>9268</v>
      </c>
      <c r="J429" s="50" t="s">
        <v>9269</v>
      </c>
    </row>
    <row r="430" spans="1:10" ht="17.25">
      <c r="A430" s="26"/>
      <c r="B430" s="45"/>
      <c r="C430" s="2" t="s">
        <v>1204</v>
      </c>
      <c r="D430" s="49" t="s">
        <v>9270</v>
      </c>
      <c r="E430" s="166" t="s">
        <v>7183</v>
      </c>
      <c r="F430" s="50" t="s">
        <v>9271</v>
      </c>
      <c r="G430" s="50" t="s">
        <v>9272</v>
      </c>
      <c r="H430" s="54" t="s">
        <v>3449</v>
      </c>
      <c r="I430" s="50" t="s">
        <v>9273</v>
      </c>
      <c r="J430" s="50" t="s">
        <v>9274</v>
      </c>
    </row>
    <row r="431" spans="1:10" ht="17.25">
      <c r="A431" s="26"/>
      <c r="B431" s="45"/>
      <c r="C431" s="2" t="s">
        <v>1206</v>
      </c>
      <c r="D431" s="49" t="s">
        <v>9275</v>
      </c>
      <c r="E431" s="166" t="s">
        <v>7183</v>
      </c>
      <c r="F431" s="50" t="s">
        <v>9276</v>
      </c>
      <c r="G431" s="50" t="s">
        <v>9277</v>
      </c>
      <c r="H431" s="54" t="s">
        <v>3449</v>
      </c>
      <c r="I431" s="50" t="s">
        <v>9278</v>
      </c>
      <c r="J431" s="50" t="s">
        <v>9279</v>
      </c>
    </row>
    <row r="432" spans="1:10" ht="17.25">
      <c r="A432" s="26"/>
      <c r="B432" s="45"/>
      <c r="C432" s="2" t="s">
        <v>1208</v>
      </c>
      <c r="D432" s="49" t="s">
        <v>9280</v>
      </c>
      <c r="E432" s="166" t="s">
        <v>7183</v>
      </c>
      <c r="F432" s="50" t="s">
        <v>8768</v>
      </c>
      <c r="G432" s="50" t="s">
        <v>9281</v>
      </c>
      <c r="H432" s="54" t="s">
        <v>3449</v>
      </c>
      <c r="I432" s="50" t="s">
        <v>9282</v>
      </c>
      <c r="J432" s="50" t="s">
        <v>9283</v>
      </c>
    </row>
    <row r="433" spans="1:10" ht="17.25">
      <c r="A433" s="26"/>
      <c r="B433" s="45" t="s">
        <v>1210</v>
      </c>
      <c r="C433" s="2" t="s">
        <v>1211</v>
      </c>
      <c r="D433" s="49" t="s">
        <v>9284</v>
      </c>
      <c r="E433" s="166" t="s">
        <v>7189</v>
      </c>
      <c r="F433" s="50" t="s">
        <v>9285</v>
      </c>
      <c r="G433" s="50" t="s">
        <v>9286</v>
      </c>
      <c r="H433" s="54" t="s">
        <v>3449</v>
      </c>
      <c r="I433" s="50" t="s">
        <v>9287</v>
      </c>
      <c r="J433" s="50" t="s">
        <v>9288</v>
      </c>
    </row>
    <row r="434" spans="1:10" ht="17.25">
      <c r="A434" s="26"/>
      <c r="B434" s="45"/>
      <c r="C434" s="2" t="s">
        <v>1213</v>
      </c>
      <c r="D434" s="49" t="s">
        <v>9289</v>
      </c>
      <c r="E434" s="166" t="s">
        <v>7183</v>
      </c>
      <c r="F434" s="50" t="s">
        <v>9290</v>
      </c>
      <c r="G434" s="50" t="s">
        <v>9291</v>
      </c>
      <c r="H434" s="54" t="s">
        <v>3449</v>
      </c>
      <c r="I434" s="50" t="s">
        <v>9292</v>
      </c>
      <c r="J434" s="50" t="s">
        <v>9293</v>
      </c>
    </row>
    <row r="435" spans="1:10" ht="17.25">
      <c r="A435" s="26"/>
      <c r="B435" s="45"/>
      <c r="C435" s="2" t="s">
        <v>1215</v>
      </c>
      <c r="D435" s="49" t="s">
        <v>9294</v>
      </c>
      <c r="E435" s="166" t="s">
        <v>7183</v>
      </c>
      <c r="F435" s="50" t="s">
        <v>7339</v>
      </c>
      <c r="G435" s="50" t="s">
        <v>9295</v>
      </c>
      <c r="H435" s="54" t="s">
        <v>3449</v>
      </c>
      <c r="I435" s="50" t="s">
        <v>9296</v>
      </c>
      <c r="J435" s="50" t="s">
        <v>9297</v>
      </c>
    </row>
    <row r="436" spans="1:10" ht="17.25">
      <c r="A436" s="26"/>
      <c r="B436" s="45"/>
      <c r="C436" s="2" t="s">
        <v>1217</v>
      </c>
      <c r="D436" s="49" t="s">
        <v>9298</v>
      </c>
      <c r="E436" s="166" t="s">
        <v>7183</v>
      </c>
      <c r="F436" s="50" t="s">
        <v>9299</v>
      </c>
      <c r="G436" s="50" t="s">
        <v>9300</v>
      </c>
      <c r="H436" s="54" t="s">
        <v>3449</v>
      </c>
      <c r="I436" s="50" t="s">
        <v>9301</v>
      </c>
      <c r="J436" s="50" t="s">
        <v>9302</v>
      </c>
    </row>
    <row r="437" spans="1:10" ht="17.25">
      <c r="A437" s="26"/>
      <c r="B437" s="45"/>
      <c r="C437" s="2" t="s">
        <v>1219</v>
      </c>
      <c r="D437" s="49" t="s">
        <v>9303</v>
      </c>
      <c r="E437" s="166" t="s">
        <v>7183</v>
      </c>
      <c r="F437" s="50" t="s">
        <v>9304</v>
      </c>
      <c r="G437" s="50" t="s">
        <v>9305</v>
      </c>
      <c r="H437" s="54" t="s">
        <v>3449</v>
      </c>
      <c r="I437" s="50" t="s">
        <v>9306</v>
      </c>
      <c r="J437" s="50" t="s">
        <v>9307</v>
      </c>
    </row>
    <row r="438" spans="1:10" ht="17.25">
      <c r="A438" s="26"/>
      <c r="B438" s="45" t="s">
        <v>1221</v>
      </c>
      <c r="C438" s="2" t="s">
        <v>1222</v>
      </c>
      <c r="D438" s="49" t="s">
        <v>9308</v>
      </c>
      <c r="E438" s="166" t="s">
        <v>7189</v>
      </c>
      <c r="F438" s="50" t="s">
        <v>9309</v>
      </c>
      <c r="G438" s="50" t="s">
        <v>9310</v>
      </c>
      <c r="H438" s="54" t="s">
        <v>3449</v>
      </c>
      <c r="I438" s="50" t="s">
        <v>9311</v>
      </c>
      <c r="J438" s="50" t="s">
        <v>9312</v>
      </c>
    </row>
    <row r="439" spans="1:10" ht="17.25">
      <c r="A439" s="26"/>
      <c r="B439" s="45"/>
      <c r="C439" s="2" t="s">
        <v>1224</v>
      </c>
      <c r="D439" s="49" t="s">
        <v>9313</v>
      </c>
      <c r="E439" s="166" t="s">
        <v>7183</v>
      </c>
      <c r="F439" s="50" t="s">
        <v>9314</v>
      </c>
      <c r="G439" s="50" t="s">
        <v>9315</v>
      </c>
      <c r="H439" s="54" t="s">
        <v>3449</v>
      </c>
      <c r="I439" s="50" t="s">
        <v>9316</v>
      </c>
      <c r="J439" s="50" t="s">
        <v>9317</v>
      </c>
    </row>
    <row r="440" spans="1:10" ht="17.25">
      <c r="A440" s="26"/>
      <c r="B440" s="45"/>
      <c r="C440" s="2" t="s">
        <v>1226</v>
      </c>
      <c r="D440" s="49" t="s">
        <v>9318</v>
      </c>
      <c r="E440" s="166" t="s">
        <v>7183</v>
      </c>
      <c r="F440" s="50" t="s">
        <v>9319</v>
      </c>
      <c r="G440" s="50" t="s">
        <v>9320</v>
      </c>
      <c r="H440" s="54" t="s">
        <v>3449</v>
      </c>
      <c r="I440" s="50" t="s">
        <v>9321</v>
      </c>
      <c r="J440" s="50" t="s">
        <v>9322</v>
      </c>
    </row>
    <row r="441" spans="1:10" ht="17.25">
      <c r="A441" s="26"/>
      <c r="B441" s="45"/>
      <c r="C441" s="2" t="s">
        <v>1228</v>
      </c>
      <c r="D441" s="49" t="s">
        <v>9323</v>
      </c>
      <c r="E441" s="166" t="s">
        <v>7183</v>
      </c>
      <c r="F441" s="50" t="s">
        <v>9324</v>
      </c>
      <c r="G441" s="50" t="s">
        <v>9325</v>
      </c>
      <c r="H441" s="54" t="s">
        <v>3449</v>
      </c>
      <c r="I441" s="50" t="s">
        <v>9326</v>
      </c>
      <c r="J441" s="50" t="s">
        <v>9327</v>
      </c>
    </row>
    <row r="442" spans="1:10" ht="17.25">
      <c r="A442" s="26"/>
      <c r="B442" s="45"/>
      <c r="C442" s="2" t="s">
        <v>1230</v>
      </c>
      <c r="D442" s="49" t="s">
        <v>9328</v>
      </c>
      <c r="E442" s="166" t="s">
        <v>7183</v>
      </c>
      <c r="F442" s="50" t="s">
        <v>9329</v>
      </c>
      <c r="G442" s="50" t="s">
        <v>9330</v>
      </c>
      <c r="H442" s="54" t="s">
        <v>3449</v>
      </c>
      <c r="I442" s="50" t="s">
        <v>9331</v>
      </c>
      <c r="J442" s="50" t="s">
        <v>9332</v>
      </c>
    </row>
    <row r="443" spans="1:10" ht="17.25">
      <c r="A443" s="26"/>
      <c r="B443" s="45" t="s">
        <v>1232</v>
      </c>
      <c r="C443" s="2" t="s">
        <v>1233</v>
      </c>
      <c r="D443" s="49" t="s">
        <v>9333</v>
      </c>
      <c r="E443" s="166" t="s">
        <v>7189</v>
      </c>
      <c r="F443" s="50" t="s">
        <v>9334</v>
      </c>
      <c r="G443" s="50" t="s">
        <v>9335</v>
      </c>
      <c r="H443" s="54" t="s">
        <v>3449</v>
      </c>
      <c r="I443" s="50" t="s">
        <v>9336</v>
      </c>
      <c r="J443" s="50" t="s">
        <v>9337</v>
      </c>
    </row>
    <row r="444" spans="1:10" ht="17.25">
      <c r="A444" s="26"/>
      <c r="B444" s="45"/>
      <c r="C444" s="2" t="s">
        <v>1235</v>
      </c>
      <c r="D444" s="49" t="s">
        <v>9338</v>
      </c>
      <c r="E444" s="166" t="s">
        <v>7183</v>
      </c>
      <c r="F444" s="50" t="s">
        <v>9339</v>
      </c>
      <c r="G444" s="50" t="s">
        <v>9340</v>
      </c>
      <c r="H444" s="54" t="s">
        <v>3449</v>
      </c>
      <c r="I444" s="50" t="s">
        <v>9341</v>
      </c>
      <c r="J444" s="50" t="s">
        <v>9342</v>
      </c>
    </row>
    <row r="445" spans="1:10" ht="17.25">
      <c r="A445" s="26"/>
      <c r="B445" s="45"/>
      <c r="C445" s="2" t="s">
        <v>1237</v>
      </c>
      <c r="D445" s="49" t="s">
        <v>9343</v>
      </c>
      <c r="E445" s="166" t="s">
        <v>7183</v>
      </c>
      <c r="F445" s="50" t="s">
        <v>9344</v>
      </c>
      <c r="G445" s="50" t="s">
        <v>9345</v>
      </c>
      <c r="H445" s="54" t="s">
        <v>3449</v>
      </c>
      <c r="I445" s="50" t="s">
        <v>9346</v>
      </c>
      <c r="J445" s="50" t="s">
        <v>9347</v>
      </c>
    </row>
    <row r="446" spans="1:10" ht="17.25">
      <c r="A446" s="26"/>
      <c r="B446" s="45"/>
      <c r="C446" s="2" t="s">
        <v>1239</v>
      </c>
      <c r="D446" s="49" t="s">
        <v>9348</v>
      </c>
      <c r="E446" s="166" t="s">
        <v>7183</v>
      </c>
      <c r="F446" s="50" t="s">
        <v>9349</v>
      </c>
      <c r="G446" s="50" t="s">
        <v>9350</v>
      </c>
      <c r="H446" s="54" t="s">
        <v>3449</v>
      </c>
      <c r="I446" s="50" t="s">
        <v>9351</v>
      </c>
      <c r="J446" s="50" t="s">
        <v>9352</v>
      </c>
    </row>
    <row r="447" spans="1:10" ht="17.25">
      <c r="A447" s="26"/>
      <c r="B447" s="45"/>
      <c r="C447" s="2" t="s">
        <v>1241</v>
      </c>
      <c r="D447" s="49" t="s">
        <v>9353</v>
      </c>
      <c r="E447" s="166" t="s">
        <v>7183</v>
      </c>
      <c r="F447" s="50" t="s">
        <v>9354</v>
      </c>
      <c r="G447" s="50" t="s">
        <v>9355</v>
      </c>
      <c r="H447" s="54" t="s">
        <v>3449</v>
      </c>
      <c r="I447" s="50" t="s">
        <v>9356</v>
      </c>
      <c r="J447" s="50" t="s">
        <v>9357</v>
      </c>
    </row>
    <row r="448" spans="1:10" ht="17.25">
      <c r="A448" s="26"/>
      <c r="B448" s="45" t="s">
        <v>9358</v>
      </c>
      <c r="C448" s="2" t="s">
        <v>1244</v>
      </c>
      <c r="D448" s="49" t="s">
        <v>9359</v>
      </c>
      <c r="E448" s="166" t="s">
        <v>7189</v>
      </c>
      <c r="F448" s="50" t="s">
        <v>9360</v>
      </c>
      <c r="G448" s="50" t="s">
        <v>9361</v>
      </c>
      <c r="H448" s="54" t="s">
        <v>3449</v>
      </c>
      <c r="I448" s="50" t="s">
        <v>9362</v>
      </c>
      <c r="J448" s="50" t="s">
        <v>9363</v>
      </c>
    </row>
    <row r="449" spans="1:10" ht="17.25">
      <c r="A449" s="26"/>
      <c r="B449" s="45"/>
      <c r="C449" s="2" t="s">
        <v>1246</v>
      </c>
      <c r="D449" s="49" t="s">
        <v>9364</v>
      </c>
      <c r="E449" s="166" t="s">
        <v>7183</v>
      </c>
      <c r="F449" s="50" t="s">
        <v>7259</v>
      </c>
      <c r="G449" s="50" t="s">
        <v>9365</v>
      </c>
      <c r="H449" s="54" t="s">
        <v>3449</v>
      </c>
      <c r="I449" s="50" t="s">
        <v>9366</v>
      </c>
      <c r="J449" s="50" t="s">
        <v>9367</v>
      </c>
    </row>
    <row r="450" spans="1:10" ht="17.25">
      <c r="A450" s="26"/>
      <c r="B450" s="45"/>
      <c r="C450" s="2" t="s">
        <v>1248</v>
      </c>
      <c r="D450" s="49" t="s">
        <v>9368</v>
      </c>
      <c r="E450" s="166" t="s">
        <v>7183</v>
      </c>
      <c r="F450" s="50" t="s">
        <v>9369</v>
      </c>
      <c r="G450" s="50" t="s">
        <v>9370</v>
      </c>
      <c r="H450" s="54" t="s">
        <v>3449</v>
      </c>
      <c r="I450" s="50" t="s">
        <v>9371</v>
      </c>
      <c r="J450" s="50" t="s">
        <v>9372</v>
      </c>
    </row>
    <row r="451" spans="1:10" ht="17.25">
      <c r="A451" s="26"/>
      <c r="B451" s="45"/>
      <c r="C451" s="2" t="s">
        <v>1250</v>
      </c>
      <c r="D451" s="49" t="s">
        <v>9373</v>
      </c>
      <c r="E451" s="166" t="s">
        <v>7183</v>
      </c>
      <c r="F451" s="50" t="s">
        <v>9374</v>
      </c>
      <c r="G451" s="50" t="s">
        <v>9375</v>
      </c>
      <c r="H451" s="54" t="s">
        <v>3449</v>
      </c>
      <c r="I451" s="50" t="s">
        <v>9376</v>
      </c>
      <c r="J451" s="50" t="s">
        <v>9377</v>
      </c>
    </row>
    <row r="452" spans="1:10" ht="17.25">
      <c r="A452" s="26"/>
      <c r="B452" s="45"/>
      <c r="C452" s="2" t="s">
        <v>1252</v>
      </c>
      <c r="D452" s="49" t="s">
        <v>9378</v>
      </c>
      <c r="E452" s="166" t="s">
        <v>7183</v>
      </c>
      <c r="F452" s="50" t="s">
        <v>9379</v>
      </c>
      <c r="G452" s="50" t="s">
        <v>9380</v>
      </c>
      <c r="H452" s="54" t="s">
        <v>3449</v>
      </c>
      <c r="I452" s="50" t="s">
        <v>9381</v>
      </c>
      <c r="J452" s="50" t="s">
        <v>9382</v>
      </c>
    </row>
    <row r="453" spans="1:10" ht="17.25">
      <c r="A453" s="26"/>
      <c r="B453" s="45" t="s">
        <v>1254</v>
      </c>
      <c r="C453" s="2" t="s">
        <v>743</v>
      </c>
      <c r="D453" s="49" t="s">
        <v>9383</v>
      </c>
      <c r="E453" s="166" t="s">
        <v>7189</v>
      </c>
      <c r="F453" s="50" t="s">
        <v>9384</v>
      </c>
      <c r="G453" s="50" t="s">
        <v>9385</v>
      </c>
      <c r="H453" s="54" t="s">
        <v>3449</v>
      </c>
      <c r="I453" s="50" t="s">
        <v>9386</v>
      </c>
      <c r="J453" s="50" t="s">
        <v>9387</v>
      </c>
    </row>
    <row r="454" spans="1:10" ht="17.25">
      <c r="A454" s="26"/>
      <c r="B454" s="45"/>
      <c r="C454" s="2" t="s">
        <v>1256</v>
      </c>
      <c r="D454" s="49" t="s">
        <v>9388</v>
      </c>
      <c r="E454" s="166" t="s">
        <v>7183</v>
      </c>
      <c r="F454" s="50" t="s">
        <v>9389</v>
      </c>
      <c r="G454" s="50" t="s">
        <v>9390</v>
      </c>
      <c r="H454" s="54" t="s">
        <v>3449</v>
      </c>
      <c r="I454" s="50" t="s">
        <v>9391</v>
      </c>
      <c r="J454" s="50" t="s">
        <v>9392</v>
      </c>
    </row>
    <row r="455" spans="1:10" ht="17.25">
      <c r="A455" s="26"/>
      <c r="B455" s="45"/>
      <c r="C455" s="2" t="s">
        <v>1248</v>
      </c>
      <c r="D455" s="49" t="s">
        <v>9393</v>
      </c>
      <c r="E455" s="166" t="s">
        <v>7183</v>
      </c>
      <c r="F455" s="50" t="s">
        <v>9276</v>
      </c>
      <c r="G455" s="50" t="s">
        <v>9394</v>
      </c>
      <c r="H455" s="54" t="s">
        <v>3449</v>
      </c>
      <c r="I455" s="50" t="s">
        <v>9395</v>
      </c>
      <c r="J455" s="50" t="s">
        <v>9396</v>
      </c>
    </row>
    <row r="456" spans="1:10" ht="17.25">
      <c r="A456" s="26"/>
      <c r="B456" s="45"/>
      <c r="C456" s="2" t="s">
        <v>1259</v>
      </c>
      <c r="D456" s="49" t="s">
        <v>9397</v>
      </c>
      <c r="E456" s="166" t="s">
        <v>7183</v>
      </c>
      <c r="F456" s="50" t="s">
        <v>9398</v>
      </c>
      <c r="G456" s="50" t="s">
        <v>9399</v>
      </c>
      <c r="H456" s="54" t="s">
        <v>3449</v>
      </c>
      <c r="I456" s="50" t="s">
        <v>9400</v>
      </c>
      <c r="J456" s="50" t="s">
        <v>9401</v>
      </c>
    </row>
    <row r="457" spans="1:10" ht="17.25">
      <c r="A457" s="26"/>
      <c r="B457" s="45"/>
      <c r="C457" s="2" t="s">
        <v>1261</v>
      </c>
      <c r="D457" s="49" t="s">
        <v>9402</v>
      </c>
      <c r="E457" s="166" t="s">
        <v>7183</v>
      </c>
      <c r="F457" s="50" t="s">
        <v>9403</v>
      </c>
      <c r="G457" s="50" t="s">
        <v>9404</v>
      </c>
      <c r="H457" s="54" t="s">
        <v>3449</v>
      </c>
      <c r="I457" s="50" t="s">
        <v>9405</v>
      </c>
      <c r="J457" s="50" t="s">
        <v>9406</v>
      </c>
    </row>
    <row r="458" spans="1:10" ht="17.25">
      <c r="A458" s="26"/>
      <c r="B458" s="45" t="s">
        <v>1263</v>
      </c>
      <c r="C458" s="2" t="s">
        <v>1264</v>
      </c>
      <c r="D458" s="49" t="s">
        <v>9407</v>
      </c>
      <c r="E458" s="166" t="s">
        <v>7189</v>
      </c>
      <c r="F458" s="50" t="s">
        <v>9408</v>
      </c>
      <c r="G458" s="50" t="s">
        <v>9409</v>
      </c>
      <c r="H458" s="54" t="s">
        <v>3449</v>
      </c>
      <c r="I458" s="50" t="s">
        <v>9410</v>
      </c>
      <c r="J458" s="50" t="s">
        <v>9411</v>
      </c>
    </row>
    <row r="459" spans="1:10" ht="17.25">
      <c r="A459" s="26"/>
      <c r="B459" s="45"/>
      <c r="C459" s="2" t="s">
        <v>1266</v>
      </c>
      <c r="D459" s="49" t="s">
        <v>9412</v>
      </c>
      <c r="E459" s="166" t="s">
        <v>7183</v>
      </c>
      <c r="F459" s="50" t="s">
        <v>9413</v>
      </c>
      <c r="G459" s="50" t="s">
        <v>9414</v>
      </c>
      <c r="H459" s="54" t="s">
        <v>3449</v>
      </c>
      <c r="I459" s="50" t="s">
        <v>9415</v>
      </c>
      <c r="J459" s="50" t="s">
        <v>9416</v>
      </c>
    </row>
    <row r="460" spans="1:10" ht="17.25">
      <c r="A460" s="26"/>
      <c r="B460" s="45"/>
      <c r="C460" s="2" t="s">
        <v>1268</v>
      </c>
      <c r="D460" s="49" t="s">
        <v>9417</v>
      </c>
      <c r="E460" s="166" t="s">
        <v>7183</v>
      </c>
      <c r="F460" s="50" t="s">
        <v>9418</v>
      </c>
      <c r="G460" s="50" t="s">
        <v>9419</v>
      </c>
      <c r="H460" s="54" t="s">
        <v>3449</v>
      </c>
      <c r="I460" s="50" t="s">
        <v>9420</v>
      </c>
      <c r="J460" s="50" t="s">
        <v>9421</v>
      </c>
    </row>
    <row r="461" spans="1:10" ht="17.25">
      <c r="A461" s="26"/>
      <c r="B461" s="45"/>
      <c r="C461" s="2" t="s">
        <v>1270</v>
      </c>
      <c r="D461" s="49" t="s">
        <v>9422</v>
      </c>
      <c r="E461" s="166" t="s">
        <v>7183</v>
      </c>
      <c r="F461" s="50" t="s">
        <v>9423</v>
      </c>
      <c r="G461" s="50" t="s">
        <v>9424</v>
      </c>
      <c r="H461" s="54" t="s">
        <v>3449</v>
      </c>
      <c r="I461" s="50" t="s">
        <v>9425</v>
      </c>
      <c r="J461" s="50" t="s">
        <v>9426</v>
      </c>
    </row>
    <row r="462" spans="1:10" ht="17.25">
      <c r="A462" s="26"/>
      <c r="B462" s="45"/>
      <c r="C462" s="2" t="s">
        <v>1272</v>
      </c>
      <c r="D462" s="49" t="s">
        <v>9427</v>
      </c>
      <c r="E462" s="166" t="s">
        <v>7183</v>
      </c>
      <c r="F462" s="50" t="s">
        <v>9428</v>
      </c>
      <c r="G462" s="50" t="s">
        <v>9429</v>
      </c>
      <c r="H462" s="54" t="s">
        <v>3449</v>
      </c>
      <c r="I462" s="50" t="s">
        <v>9430</v>
      </c>
      <c r="J462" s="50" t="s">
        <v>9431</v>
      </c>
    </row>
    <row r="463" spans="1:10" ht="17.25">
      <c r="A463" s="26"/>
      <c r="B463" s="45" t="s">
        <v>1274</v>
      </c>
      <c r="C463" s="2" t="s">
        <v>1275</v>
      </c>
      <c r="D463" s="49" t="s">
        <v>9432</v>
      </c>
      <c r="E463" s="166" t="s">
        <v>7189</v>
      </c>
      <c r="F463" s="50" t="s">
        <v>9433</v>
      </c>
      <c r="G463" s="50" t="s">
        <v>9434</v>
      </c>
      <c r="H463" s="54" t="s">
        <v>3449</v>
      </c>
      <c r="I463" s="50" t="s">
        <v>9435</v>
      </c>
      <c r="J463" s="50" t="s">
        <v>9436</v>
      </c>
    </row>
    <row r="464" spans="1:10" ht="17.25">
      <c r="A464" s="26"/>
      <c r="B464" s="45"/>
      <c r="C464" s="2" t="s">
        <v>1277</v>
      </c>
      <c r="D464" s="49" t="s">
        <v>9437</v>
      </c>
      <c r="E464" s="166" t="s">
        <v>7183</v>
      </c>
      <c r="F464" s="50" t="s">
        <v>9438</v>
      </c>
      <c r="G464" s="50" t="s">
        <v>9439</v>
      </c>
      <c r="H464" s="54" t="s">
        <v>3449</v>
      </c>
      <c r="I464" s="50" t="s">
        <v>9440</v>
      </c>
      <c r="J464" s="50" t="s">
        <v>9441</v>
      </c>
    </row>
    <row r="465" spans="1:10" ht="17.25">
      <c r="A465" s="26"/>
      <c r="B465" s="45"/>
      <c r="C465" s="2" t="s">
        <v>1279</v>
      </c>
      <c r="D465" s="49" t="s">
        <v>9442</v>
      </c>
      <c r="E465" s="166" t="s">
        <v>7183</v>
      </c>
      <c r="F465" s="50" t="s">
        <v>9443</v>
      </c>
      <c r="G465" s="50" t="s">
        <v>9444</v>
      </c>
      <c r="H465" s="54" t="s">
        <v>3449</v>
      </c>
      <c r="I465" s="50" t="s">
        <v>9445</v>
      </c>
      <c r="J465" s="50" t="s">
        <v>9446</v>
      </c>
    </row>
    <row r="466" spans="1:10" ht="17.25">
      <c r="A466" s="26"/>
      <c r="B466" s="45"/>
      <c r="C466" s="2" t="s">
        <v>1281</v>
      </c>
      <c r="D466" s="49" t="s">
        <v>9447</v>
      </c>
      <c r="E466" s="166" t="s">
        <v>7183</v>
      </c>
      <c r="F466" s="50" t="s">
        <v>9448</v>
      </c>
      <c r="G466" s="50" t="s">
        <v>9449</v>
      </c>
      <c r="H466" s="54" t="s">
        <v>3449</v>
      </c>
      <c r="I466" s="50" t="s">
        <v>9450</v>
      </c>
      <c r="J466" s="50" t="s">
        <v>9451</v>
      </c>
    </row>
    <row r="467" spans="1:10" ht="17.25">
      <c r="A467" s="26"/>
      <c r="B467" s="45"/>
      <c r="C467" s="2" t="s">
        <v>1283</v>
      </c>
      <c r="D467" s="49" t="s">
        <v>9452</v>
      </c>
      <c r="E467" s="166" t="s">
        <v>7183</v>
      </c>
      <c r="F467" s="50" t="s">
        <v>9453</v>
      </c>
      <c r="G467" s="50" t="s">
        <v>9454</v>
      </c>
      <c r="H467" s="54" t="s">
        <v>3449</v>
      </c>
      <c r="I467" s="50" t="s">
        <v>9455</v>
      </c>
      <c r="J467" s="50" t="s">
        <v>9456</v>
      </c>
    </row>
    <row r="468" spans="1:10" ht="17.25">
      <c r="A468" s="26"/>
      <c r="B468" s="45" t="s">
        <v>1285</v>
      </c>
      <c r="C468" s="2" t="s">
        <v>1233</v>
      </c>
      <c r="D468" s="49" t="s">
        <v>9457</v>
      </c>
      <c r="E468" s="166" t="s">
        <v>7189</v>
      </c>
      <c r="F468" s="50" t="s">
        <v>9458</v>
      </c>
      <c r="G468" s="50" t="s">
        <v>9459</v>
      </c>
      <c r="H468" s="54" t="s">
        <v>3449</v>
      </c>
      <c r="I468" s="50" t="s">
        <v>9460</v>
      </c>
      <c r="J468" s="50" t="s">
        <v>9461</v>
      </c>
    </row>
    <row r="469" spans="1:10" ht="17.25">
      <c r="A469" s="26"/>
      <c r="B469" s="45"/>
      <c r="C469" s="2" t="s">
        <v>1287</v>
      </c>
      <c r="D469" s="49" t="s">
        <v>9462</v>
      </c>
      <c r="E469" s="166" t="s">
        <v>7183</v>
      </c>
      <c r="F469" s="50" t="s">
        <v>9463</v>
      </c>
      <c r="G469" s="50" t="s">
        <v>9464</v>
      </c>
      <c r="H469" s="54" t="s">
        <v>3449</v>
      </c>
      <c r="I469" s="50" t="s">
        <v>9465</v>
      </c>
      <c r="J469" s="50" t="s">
        <v>9466</v>
      </c>
    </row>
    <row r="470" spans="1:10" ht="17.25">
      <c r="A470" s="26"/>
      <c r="B470" s="45"/>
      <c r="C470" s="2" t="s">
        <v>1289</v>
      </c>
      <c r="D470" s="49" t="s">
        <v>9467</v>
      </c>
      <c r="E470" s="166" t="s">
        <v>7183</v>
      </c>
      <c r="F470" s="50" t="s">
        <v>9468</v>
      </c>
      <c r="G470" s="50" t="s">
        <v>9469</v>
      </c>
      <c r="H470" s="54" t="s">
        <v>3449</v>
      </c>
      <c r="I470" s="50" t="s">
        <v>9470</v>
      </c>
      <c r="J470" s="50" t="s">
        <v>9471</v>
      </c>
    </row>
    <row r="471" spans="1:10" ht="17.25">
      <c r="A471" s="26"/>
      <c r="B471" s="45"/>
      <c r="C471" s="2" t="s">
        <v>1291</v>
      </c>
      <c r="D471" s="49" t="s">
        <v>9472</v>
      </c>
      <c r="E471" s="166" t="s">
        <v>7183</v>
      </c>
      <c r="F471" s="50" t="s">
        <v>9473</v>
      </c>
      <c r="G471" s="50" t="s">
        <v>9474</v>
      </c>
      <c r="H471" s="54" t="s">
        <v>3449</v>
      </c>
      <c r="I471" s="50" t="s">
        <v>9475</v>
      </c>
      <c r="J471" s="50" t="s">
        <v>9476</v>
      </c>
    </row>
    <row r="472" spans="1:10" ht="17.25">
      <c r="A472" s="26"/>
      <c r="B472" s="45"/>
      <c r="C472" s="2" t="s">
        <v>1293</v>
      </c>
      <c r="D472" s="49" t="s">
        <v>9477</v>
      </c>
      <c r="E472" s="166" t="s">
        <v>7183</v>
      </c>
      <c r="F472" s="50" t="s">
        <v>9478</v>
      </c>
      <c r="G472" s="50" t="s">
        <v>9479</v>
      </c>
      <c r="H472" s="54" t="s">
        <v>3449</v>
      </c>
      <c r="I472" s="50" t="s">
        <v>9480</v>
      </c>
      <c r="J472" s="50" t="s">
        <v>9481</v>
      </c>
    </row>
    <row r="473" spans="1:10" ht="17.25">
      <c r="A473" s="26"/>
      <c r="B473" s="45" t="s">
        <v>1295</v>
      </c>
      <c r="C473" s="2" t="s">
        <v>1296</v>
      </c>
      <c r="D473" s="49" t="s">
        <v>9482</v>
      </c>
      <c r="E473" s="166" t="s">
        <v>7189</v>
      </c>
      <c r="F473" s="50" t="s">
        <v>9483</v>
      </c>
      <c r="G473" s="50" t="s">
        <v>9484</v>
      </c>
      <c r="H473" s="54" t="s">
        <v>3449</v>
      </c>
      <c r="I473" s="50" t="s">
        <v>9485</v>
      </c>
      <c r="J473" s="50" t="s">
        <v>9486</v>
      </c>
    </row>
    <row r="474" spans="1:10" ht="17.25">
      <c r="A474" s="26"/>
      <c r="B474" s="45"/>
      <c r="C474" s="2" t="s">
        <v>1298</v>
      </c>
      <c r="D474" s="49" t="s">
        <v>9487</v>
      </c>
      <c r="E474" s="166" t="s">
        <v>7183</v>
      </c>
      <c r="F474" s="50" t="s">
        <v>9488</v>
      </c>
      <c r="G474" s="50" t="s">
        <v>9489</v>
      </c>
      <c r="H474" s="54" t="s">
        <v>3449</v>
      </c>
      <c r="I474" s="50" t="s">
        <v>9490</v>
      </c>
      <c r="J474" s="50" t="s">
        <v>9491</v>
      </c>
    </row>
    <row r="475" spans="1:10" ht="17.25">
      <c r="A475" s="26"/>
      <c r="B475" s="45"/>
      <c r="C475" s="2" t="s">
        <v>1300</v>
      </c>
      <c r="D475" s="49" t="s">
        <v>9492</v>
      </c>
      <c r="E475" s="166" t="s">
        <v>7183</v>
      </c>
      <c r="F475" s="50" t="s">
        <v>9493</v>
      </c>
      <c r="G475" s="50" t="s">
        <v>9494</v>
      </c>
      <c r="H475" s="54" t="s">
        <v>3449</v>
      </c>
      <c r="I475" s="50" t="s">
        <v>9495</v>
      </c>
      <c r="J475" s="50" t="s">
        <v>9496</v>
      </c>
    </row>
    <row r="476" spans="1:10" ht="17.25">
      <c r="A476" s="26"/>
      <c r="B476" s="45"/>
      <c r="C476" s="2" t="s">
        <v>1302</v>
      </c>
      <c r="D476" s="49" t="s">
        <v>9497</v>
      </c>
      <c r="E476" s="166" t="s">
        <v>7183</v>
      </c>
      <c r="F476" s="50" t="s">
        <v>9498</v>
      </c>
      <c r="G476" s="50" t="s">
        <v>9499</v>
      </c>
      <c r="H476" s="54" t="s">
        <v>3449</v>
      </c>
      <c r="I476" s="50" t="s">
        <v>9500</v>
      </c>
      <c r="J476" s="50" t="s">
        <v>9501</v>
      </c>
    </row>
    <row r="477" spans="1:10" ht="17.25">
      <c r="A477" s="26"/>
      <c r="B477" s="45"/>
      <c r="C477" s="2" t="s">
        <v>1304</v>
      </c>
      <c r="D477" s="49" t="s">
        <v>9502</v>
      </c>
      <c r="E477" s="166" t="s">
        <v>7183</v>
      </c>
      <c r="F477" s="50" t="s">
        <v>9503</v>
      </c>
      <c r="G477" s="50" t="s">
        <v>9504</v>
      </c>
      <c r="H477" s="54" t="s">
        <v>3449</v>
      </c>
      <c r="I477" s="50" t="s">
        <v>9505</v>
      </c>
      <c r="J477" s="50" t="s">
        <v>9506</v>
      </c>
    </row>
    <row r="478" spans="1:10" ht="17.25">
      <c r="A478" s="26"/>
      <c r="B478" s="45" t="s">
        <v>1306</v>
      </c>
      <c r="C478" s="2" t="s">
        <v>1307</v>
      </c>
      <c r="D478" s="49" t="s">
        <v>9507</v>
      </c>
      <c r="E478" s="166" t="s">
        <v>7189</v>
      </c>
      <c r="F478" s="50" t="s">
        <v>9508</v>
      </c>
      <c r="G478" s="50" t="s">
        <v>9509</v>
      </c>
      <c r="H478" s="54" t="s">
        <v>3449</v>
      </c>
      <c r="I478" s="50" t="s">
        <v>9510</v>
      </c>
      <c r="J478" s="50" t="s">
        <v>9511</v>
      </c>
    </row>
    <row r="479" spans="1:10" ht="17.25">
      <c r="A479" s="26"/>
      <c r="B479" s="45"/>
      <c r="C479" s="2" t="s">
        <v>1309</v>
      </c>
      <c r="D479" s="49" t="s">
        <v>9512</v>
      </c>
      <c r="E479" s="166" t="s">
        <v>7183</v>
      </c>
      <c r="F479" s="50" t="s">
        <v>9513</v>
      </c>
      <c r="G479" s="50" t="s">
        <v>9514</v>
      </c>
      <c r="H479" s="54" t="s">
        <v>3449</v>
      </c>
      <c r="I479" s="50" t="s">
        <v>9515</v>
      </c>
      <c r="J479" s="50" t="s">
        <v>9516</v>
      </c>
    </row>
    <row r="480" spans="1:10" ht="17.25">
      <c r="A480" s="26"/>
      <c r="B480" s="45"/>
      <c r="C480" s="2" t="s">
        <v>1311</v>
      </c>
      <c r="D480" s="49" t="s">
        <v>9517</v>
      </c>
      <c r="E480" s="166" t="s">
        <v>7183</v>
      </c>
      <c r="F480" s="50" t="s">
        <v>9518</v>
      </c>
      <c r="G480" s="50" t="s">
        <v>9519</v>
      </c>
      <c r="H480" s="54" t="s">
        <v>3449</v>
      </c>
      <c r="I480" s="50" t="s">
        <v>9520</v>
      </c>
      <c r="J480" s="50" t="s">
        <v>9521</v>
      </c>
    </row>
    <row r="481" spans="1:10" ht="17.25">
      <c r="A481" s="26"/>
      <c r="B481" s="45"/>
      <c r="C481" s="2" t="s">
        <v>1313</v>
      </c>
      <c r="D481" s="49" t="s">
        <v>9522</v>
      </c>
      <c r="E481" s="166" t="s">
        <v>7183</v>
      </c>
      <c r="F481" s="50" t="s">
        <v>9403</v>
      </c>
      <c r="G481" s="50" t="s">
        <v>9523</v>
      </c>
      <c r="H481" s="54" t="s">
        <v>3449</v>
      </c>
      <c r="I481" s="50" t="s">
        <v>9524</v>
      </c>
      <c r="J481" s="50" t="s">
        <v>9525</v>
      </c>
    </row>
    <row r="482" spans="1:10" ht="17.25">
      <c r="A482" s="26"/>
      <c r="B482" s="45"/>
      <c r="C482" s="2" t="s">
        <v>1315</v>
      </c>
      <c r="D482" s="49" t="s">
        <v>9526</v>
      </c>
      <c r="E482" s="166" t="s">
        <v>7183</v>
      </c>
      <c r="F482" s="50" t="s">
        <v>9527</v>
      </c>
      <c r="G482" s="50" t="s">
        <v>9528</v>
      </c>
      <c r="H482" s="54" t="s">
        <v>3449</v>
      </c>
      <c r="I482" s="50" t="s">
        <v>9529</v>
      </c>
      <c r="J482" s="50" t="s">
        <v>9530</v>
      </c>
    </row>
    <row r="483" spans="1:10" ht="17.25">
      <c r="A483" s="26"/>
      <c r="B483" s="45" t="s">
        <v>1317</v>
      </c>
      <c r="C483" s="2" t="s">
        <v>1318</v>
      </c>
      <c r="D483" s="49" t="s">
        <v>9531</v>
      </c>
      <c r="E483" s="166" t="s">
        <v>7189</v>
      </c>
      <c r="F483" s="50" t="s">
        <v>9532</v>
      </c>
      <c r="G483" s="50" t="s">
        <v>9533</v>
      </c>
      <c r="H483" s="54" t="s">
        <v>3449</v>
      </c>
      <c r="I483" s="50" t="s">
        <v>9534</v>
      </c>
      <c r="J483" s="50" t="s">
        <v>9535</v>
      </c>
    </row>
    <row r="484" spans="1:10" ht="17.25">
      <c r="A484" s="26"/>
      <c r="B484" s="45"/>
      <c r="C484" s="2" t="s">
        <v>1320</v>
      </c>
      <c r="D484" s="49" t="s">
        <v>9536</v>
      </c>
      <c r="E484" s="166" t="s">
        <v>7183</v>
      </c>
      <c r="F484" s="50" t="s">
        <v>9537</v>
      </c>
      <c r="G484" s="50" t="s">
        <v>9538</v>
      </c>
      <c r="H484" s="54" t="s">
        <v>3449</v>
      </c>
      <c r="I484" s="50" t="s">
        <v>9539</v>
      </c>
      <c r="J484" s="50" t="s">
        <v>9540</v>
      </c>
    </row>
    <row r="485" spans="1:10" ht="17.25">
      <c r="A485" s="26"/>
      <c r="B485" s="45"/>
      <c r="C485" s="2" t="s">
        <v>1322</v>
      </c>
      <c r="D485" s="49" t="s">
        <v>9541</v>
      </c>
      <c r="E485" s="166" t="s">
        <v>7183</v>
      </c>
      <c r="F485" s="50" t="s">
        <v>9542</v>
      </c>
      <c r="G485" s="50" t="s">
        <v>9543</v>
      </c>
      <c r="H485" s="54" t="s">
        <v>3449</v>
      </c>
      <c r="I485" s="50" t="s">
        <v>9544</v>
      </c>
      <c r="J485" s="50" t="s">
        <v>9545</v>
      </c>
    </row>
    <row r="486" spans="1:10" ht="17.25">
      <c r="A486" s="26"/>
      <c r="B486" s="45"/>
      <c r="C486" s="2" t="s">
        <v>1324</v>
      </c>
      <c r="D486" s="49" t="s">
        <v>9546</v>
      </c>
      <c r="E486" s="166" t="s">
        <v>7183</v>
      </c>
      <c r="F486" s="50" t="s">
        <v>9547</v>
      </c>
      <c r="G486" s="50" t="s">
        <v>9548</v>
      </c>
      <c r="H486" s="54" t="s">
        <v>3449</v>
      </c>
      <c r="I486" s="50" t="s">
        <v>9549</v>
      </c>
      <c r="J486" s="50" t="s">
        <v>9550</v>
      </c>
    </row>
    <row r="487" spans="1:10" ht="17.25">
      <c r="A487" s="26"/>
      <c r="B487" s="45"/>
      <c r="C487" s="2" t="s">
        <v>1326</v>
      </c>
      <c r="D487" s="49" t="s">
        <v>9551</v>
      </c>
      <c r="E487" s="166" t="s">
        <v>7183</v>
      </c>
      <c r="F487" s="50" t="s">
        <v>9552</v>
      </c>
      <c r="G487" s="50" t="s">
        <v>9553</v>
      </c>
      <c r="H487" s="54" t="s">
        <v>3450</v>
      </c>
      <c r="I487" s="50" t="s">
        <v>9554</v>
      </c>
      <c r="J487" s="50" t="s">
        <v>9555</v>
      </c>
    </row>
    <row r="488" spans="1:10" ht="17.25">
      <c r="A488" s="26"/>
      <c r="B488" s="45" t="s">
        <v>1328</v>
      </c>
      <c r="C488" s="2" t="s">
        <v>1329</v>
      </c>
      <c r="D488" s="49" t="s">
        <v>9556</v>
      </c>
      <c r="E488" s="166" t="s">
        <v>7189</v>
      </c>
      <c r="F488" s="50" t="s">
        <v>9557</v>
      </c>
      <c r="G488" s="50" t="s">
        <v>9558</v>
      </c>
      <c r="H488" s="54" t="s">
        <v>3449</v>
      </c>
      <c r="I488" s="50" t="s">
        <v>9559</v>
      </c>
      <c r="J488" s="50" t="s">
        <v>9560</v>
      </c>
    </row>
    <row r="489" spans="1:10" ht="17.25">
      <c r="A489" s="26"/>
      <c r="B489" s="45"/>
      <c r="C489" s="2" t="s">
        <v>1331</v>
      </c>
      <c r="D489" s="49" t="s">
        <v>9561</v>
      </c>
      <c r="E489" s="166" t="s">
        <v>7183</v>
      </c>
      <c r="F489" s="50" t="s">
        <v>9562</v>
      </c>
      <c r="G489" s="50" t="s">
        <v>9563</v>
      </c>
      <c r="H489" s="54" t="s">
        <v>3449</v>
      </c>
      <c r="I489" s="50" t="s">
        <v>9564</v>
      </c>
      <c r="J489" s="50" t="s">
        <v>9565</v>
      </c>
    </row>
    <row r="490" spans="1:10" ht="17.25">
      <c r="A490" s="26"/>
      <c r="B490" s="45"/>
      <c r="C490" s="2" t="s">
        <v>1248</v>
      </c>
      <c r="D490" s="49" t="s">
        <v>9566</v>
      </c>
      <c r="E490" s="166" t="s">
        <v>7183</v>
      </c>
      <c r="F490" s="50" t="s">
        <v>9567</v>
      </c>
      <c r="G490" s="50" t="s">
        <v>9568</v>
      </c>
      <c r="H490" s="54" t="s">
        <v>3449</v>
      </c>
      <c r="I490" s="50" t="s">
        <v>9569</v>
      </c>
      <c r="J490" s="50" t="s">
        <v>9570</v>
      </c>
    </row>
    <row r="491" spans="1:10" ht="17.25">
      <c r="A491" s="26"/>
      <c r="B491" s="45"/>
      <c r="C491" s="2" t="s">
        <v>1334</v>
      </c>
      <c r="D491" s="49" t="s">
        <v>9422</v>
      </c>
      <c r="E491" s="166" t="s">
        <v>7183</v>
      </c>
      <c r="F491" s="50" t="s">
        <v>9571</v>
      </c>
      <c r="G491" s="50" t="s">
        <v>9572</v>
      </c>
      <c r="H491" s="54" t="s">
        <v>3449</v>
      </c>
      <c r="I491" s="50" t="s">
        <v>9573</v>
      </c>
      <c r="J491" s="50" t="s">
        <v>9574</v>
      </c>
    </row>
    <row r="492" spans="1:10" ht="17.25">
      <c r="A492" s="26"/>
      <c r="B492" s="45"/>
      <c r="C492" s="2" t="s">
        <v>1252</v>
      </c>
      <c r="D492" s="49" t="s">
        <v>9575</v>
      </c>
      <c r="E492" s="166" t="s">
        <v>7183</v>
      </c>
      <c r="F492" s="50" t="s">
        <v>9576</v>
      </c>
      <c r="G492" s="50" t="s">
        <v>9577</v>
      </c>
      <c r="H492" s="54" t="s">
        <v>3449</v>
      </c>
      <c r="I492" s="50" t="s">
        <v>9578</v>
      </c>
      <c r="J492" s="50" t="s">
        <v>9579</v>
      </c>
    </row>
    <row r="493" spans="1:10" ht="17.25">
      <c r="A493" s="26"/>
      <c r="B493" s="45" t="s">
        <v>1337</v>
      </c>
      <c r="C493" s="2" t="s">
        <v>1338</v>
      </c>
      <c r="D493" s="49" t="s">
        <v>9580</v>
      </c>
      <c r="E493" s="166" t="s">
        <v>7189</v>
      </c>
      <c r="F493" s="50" t="s">
        <v>9581</v>
      </c>
      <c r="G493" s="50" t="s">
        <v>9582</v>
      </c>
      <c r="H493" s="54" t="s">
        <v>3449</v>
      </c>
      <c r="I493" s="50" t="s">
        <v>9583</v>
      </c>
      <c r="J493" s="50" t="s">
        <v>9584</v>
      </c>
    </row>
    <row r="494" spans="1:10" ht="17.25">
      <c r="A494" s="26"/>
      <c r="B494" s="45"/>
      <c r="C494" s="2" t="s">
        <v>1340</v>
      </c>
      <c r="D494" s="49" t="s">
        <v>9585</v>
      </c>
      <c r="E494" s="166" t="s">
        <v>7183</v>
      </c>
      <c r="F494" s="50" t="s">
        <v>9586</v>
      </c>
      <c r="G494" s="50" t="s">
        <v>9587</v>
      </c>
      <c r="H494" s="54" t="s">
        <v>3449</v>
      </c>
      <c r="I494" s="50" t="s">
        <v>9588</v>
      </c>
      <c r="J494" s="50" t="s">
        <v>9589</v>
      </c>
    </row>
    <row r="495" spans="1:10" ht="17.25">
      <c r="A495" s="26"/>
      <c r="B495" s="45"/>
      <c r="C495" s="2" t="s">
        <v>1342</v>
      </c>
      <c r="D495" s="49" t="s">
        <v>9590</v>
      </c>
      <c r="E495" s="166" t="s">
        <v>7183</v>
      </c>
      <c r="F495" s="50" t="s">
        <v>9591</v>
      </c>
      <c r="G495" s="50" t="s">
        <v>9592</v>
      </c>
      <c r="H495" s="54" t="s">
        <v>3449</v>
      </c>
      <c r="I495" s="50" t="s">
        <v>9593</v>
      </c>
      <c r="J495" s="50" t="s">
        <v>9594</v>
      </c>
    </row>
    <row r="496" spans="1:10" ht="17.25">
      <c r="A496" s="26"/>
      <c r="B496" s="45"/>
      <c r="C496" s="2" t="s">
        <v>1344</v>
      </c>
      <c r="D496" s="49" t="s">
        <v>9595</v>
      </c>
      <c r="E496" s="166" t="s">
        <v>7183</v>
      </c>
      <c r="F496" s="50" t="s">
        <v>9596</v>
      </c>
      <c r="G496" s="50" t="s">
        <v>9597</v>
      </c>
      <c r="H496" s="54" t="s">
        <v>3449</v>
      </c>
      <c r="I496" s="50" t="s">
        <v>9598</v>
      </c>
      <c r="J496" s="50" t="s">
        <v>9599</v>
      </c>
    </row>
    <row r="497" spans="1:10" ht="17.25">
      <c r="A497" s="26"/>
      <c r="B497" s="45"/>
      <c r="C497" s="2" t="s">
        <v>1346</v>
      </c>
      <c r="D497" s="49" t="s">
        <v>9600</v>
      </c>
      <c r="E497" s="166" t="s">
        <v>7183</v>
      </c>
      <c r="F497" s="50" t="s">
        <v>9601</v>
      </c>
      <c r="G497" s="50" t="s">
        <v>9602</v>
      </c>
      <c r="H497" s="54" t="s">
        <v>3449</v>
      </c>
      <c r="I497" s="50" t="s">
        <v>9603</v>
      </c>
      <c r="J497" s="50" t="s">
        <v>9604</v>
      </c>
    </row>
    <row r="498" spans="1:10" ht="17.25">
      <c r="A498" s="26"/>
      <c r="B498" s="45" t="s">
        <v>1348</v>
      </c>
      <c r="C498" s="2" t="s">
        <v>1349</v>
      </c>
      <c r="D498" s="49" t="s">
        <v>9605</v>
      </c>
      <c r="E498" s="166" t="s">
        <v>7189</v>
      </c>
      <c r="F498" s="50" t="s">
        <v>9606</v>
      </c>
      <c r="G498" s="50" t="s">
        <v>9607</v>
      </c>
      <c r="H498" s="54" t="s">
        <v>3449</v>
      </c>
      <c r="I498" s="50" t="s">
        <v>9608</v>
      </c>
      <c r="J498" s="50" t="s">
        <v>9609</v>
      </c>
    </row>
    <row r="499" spans="1:10" ht="17.25">
      <c r="A499" s="26"/>
      <c r="B499" s="45"/>
      <c r="C499" s="2" t="s">
        <v>1351</v>
      </c>
      <c r="D499" s="50" t="s">
        <v>9610</v>
      </c>
      <c r="E499" s="166" t="s">
        <v>7183</v>
      </c>
      <c r="F499" s="50" t="s">
        <v>9611</v>
      </c>
      <c r="G499" s="50" t="s">
        <v>9612</v>
      </c>
      <c r="H499" s="54" t="s">
        <v>3449</v>
      </c>
      <c r="I499" s="50" t="s">
        <v>9613</v>
      </c>
      <c r="J499" s="50" t="s">
        <v>9614</v>
      </c>
    </row>
    <row r="500" spans="1:10" ht="17.25">
      <c r="A500" s="26"/>
      <c r="B500" s="45"/>
      <c r="C500" s="2" t="s">
        <v>1353</v>
      </c>
      <c r="D500" s="50" t="s">
        <v>9615</v>
      </c>
      <c r="E500" s="166" t="s">
        <v>7183</v>
      </c>
      <c r="F500" s="50" t="s">
        <v>9616</v>
      </c>
      <c r="G500" s="50" t="s">
        <v>9617</v>
      </c>
      <c r="H500" s="54" t="s">
        <v>3449</v>
      </c>
      <c r="I500" s="50" t="s">
        <v>9618</v>
      </c>
      <c r="J500" s="50" t="s">
        <v>9619</v>
      </c>
    </row>
    <row r="501" spans="1:10" ht="17.25">
      <c r="A501" s="26"/>
      <c r="B501" s="45"/>
      <c r="C501" s="2" t="s">
        <v>1239</v>
      </c>
      <c r="D501" s="50" t="s">
        <v>9620</v>
      </c>
      <c r="E501" s="166" t="s">
        <v>7183</v>
      </c>
      <c r="F501" s="50" t="s">
        <v>9621</v>
      </c>
      <c r="G501" s="50" t="s">
        <v>9622</v>
      </c>
      <c r="H501" s="54" t="s">
        <v>3449</v>
      </c>
      <c r="I501" s="50" t="s">
        <v>9623</v>
      </c>
      <c r="J501" s="50" t="s">
        <v>9624</v>
      </c>
    </row>
    <row r="502" spans="1:10" ht="17.25">
      <c r="A502" s="26"/>
      <c r="B502" s="45"/>
      <c r="C502" s="2" t="s">
        <v>1356</v>
      </c>
      <c r="D502" s="50" t="s">
        <v>9625</v>
      </c>
      <c r="E502" s="166" t="s">
        <v>7183</v>
      </c>
      <c r="F502" s="50" t="s">
        <v>9626</v>
      </c>
      <c r="G502" s="50" t="s">
        <v>9627</v>
      </c>
      <c r="H502" s="54" t="s">
        <v>3449</v>
      </c>
      <c r="I502" s="50" t="s">
        <v>9628</v>
      </c>
      <c r="J502" s="50" t="s">
        <v>9629</v>
      </c>
    </row>
    <row r="503" spans="1:10" ht="17.25">
      <c r="A503" s="26"/>
      <c r="B503" s="45" t="s">
        <v>1358</v>
      </c>
      <c r="C503" s="2" t="s">
        <v>1359</v>
      </c>
      <c r="D503" s="50" t="s">
        <v>9630</v>
      </c>
      <c r="E503" s="166" t="s">
        <v>7183</v>
      </c>
      <c r="F503" s="50" t="s">
        <v>9631</v>
      </c>
      <c r="G503" s="50" t="s">
        <v>9632</v>
      </c>
      <c r="H503" s="54" t="s">
        <v>3449</v>
      </c>
      <c r="I503" s="50" t="s">
        <v>9633</v>
      </c>
      <c r="J503" s="50" t="s">
        <v>9634</v>
      </c>
    </row>
    <row r="504" spans="1:10" ht="17.25">
      <c r="A504" s="26"/>
      <c r="B504" s="45"/>
      <c r="C504" s="2" t="s">
        <v>1361</v>
      </c>
      <c r="D504" s="50" t="s">
        <v>9635</v>
      </c>
      <c r="E504" s="166" t="s">
        <v>7189</v>
      </c>
      <c r="F504" s="50" t="s">
        <v>9636</v>
      </c>
      <c r="G504" s="50" t="s">
        <v>9637</v>
      </c>
      <c r="H504" s="54" t="s">
        <v>3450</v>
      </c>
      <c r="I504" s="50" t="s">
        <v>9638</v>
      </c>
      <c r="J504" s="50" t="s">
        <v>9639</v>
      </c>
    </row>
    <row r="505" spans="1:10" ht="17.25">
      <c r="A505" s="26"/>
      <c r="B505" s="45"/>
      <c r="C505" s="2" t="s">
        <v>1363</v>
      </c>
      <c r="D505" s="51" t="s">
        <v>9640</v>
      </c>
      <c r="E505" s="166" t="s">
        <v>7183</v>
      </c>
      <c r="F505" s="50" t="s">
        <v>9641</v>
      </c>
      <c r="G505" s="50" t="s">
        <v>9642</v>
      </c>
      <c r="H505" s="54" t="s">
        <v>3449</v>
      </c>
      <c r="I505" s="50" t="s">
        <v>9643</v>
      </c>
      <c r="J505" s="50" t="s">
        <v>9644</v>
      </c>
    </row>
    <row r="506" spans="1:10" ht="17.25">
      <c r="A506" s="26"/>
      <c r="B506" s="45"/>
      <c r="C506" s="2" t="s">
        <v>1365</v>
      </c>
      <c r="D506" s="51" t="s">
        <v>9645</v>
      </c>
      <c r="E506" s="166" t="s">
        <v>7183</v>
      </c>
      <c r="F506" s="50" t="s">
        <v>9646</v>
      </c>
      <c r="G506" s="50" t="s">
        <v>9647</v>
      </c>
      <c r="H506" s="54" t="s">
        <v>3449</v>
      </c>
      <c r="I506" s="50" t="s">
        <v>9648</v>
      </c>
      <c r="J506" s="50" t="s">
        <v>9649</v>
      </c>
    </row>
    <row r="507" spans="1:10" ht="17.25">
      <c r="A507" s="26"/>
      <c r="B507" s="45"/>
      <c r="C507" s="2" t="s">
        <v>1367</v>
      </c>
      <c r="D507" s="51" t="s">
        <v>9650</v>
      </c>
      <c r="E507" s="166" t="s">
        <v>7183</v>
      </c>
      <c r="F507" s="50" t="s">
        <v>9651</v>
      </c>
      <c r="G507" s="50" t="s">
        <v>9652</v>
      </c>
      <c r="H507" s="54" t="s">
        <v>3449</v>
      </c>
      <c r="I507" s="50" t="s">
        <v>9653</v>
      </c>
      <c r="J507" s="50" t="s">
        <v>9654</v>
      </c>
    </row>
  </sheetData>
  <dataConsolidate/>
  <mergeCells count="107">
    <mergeCell ref="B493:B497"/>
    <mergeCell ref="B498:B502"/>
    <mergeCell ref="B503:B507"/>
    <mergeCell ref="B463:B467"/>
    <mergeCell ref="B468:B472"/>
    <mergeCell ref="B473:B477"/>
    <mergeCell ref="B478:B482"/>
    <mergeCell ref="B483:B487"/>
    <mergeCell ref="B488:B492"/>
    <mergeCell ref="B433:B437"/>
    <mergeCell ref="B438:B442"/>
    <mergeCell ref="B443:B447"/>
    <mergeCell ref="B448:B452"/>
    <mergeCell ref="B453:B457"/>
    <mergeCell ref="B458:B462"/>
    <mergeCell ref="B388:B392"/>
    <mergeCell ref="B393:B397"/>
    <mergeCell ref="B398:B402"/>
    <mergeCell ref="B403:B407"/>
    <mergeCell ref="B408:B412"/>
    <mergeCell ref="A413:A507"/>
    <mergeCell ref="B413:B417"/>
    <mergeCell ref="B418:B422"/>
    <mergeCell ref="B423:B427"/>
    <mergeCell ref="B428:B432"/>
    <mergeCell ref="B343:B347"/>
    <mergeCell ref="A348:A412"/>
    <mergeCell ref="B348:B352"/>
    <mergeCell ref="B353:B357"/>
    <mergeCell ref="B358:B362"/>
    <mergeCell ref="B363:B367"/>
    <mergeCell ref="B368:B372"/>
    <mergeCell ref="B373:B377"/>
    <mergeCell ref="B378:B382"/>
    <mergeCell ref="B383:B387"/>
    <mergeCell ref="B298:B302"/>
    <mergeCell ref="B303:B307"/>
    <mergeCell ref="B308:B312"/>
    <mergeCell ref="B313:B317"/>
    <mergeCell ref="A318:A347"/>
    <mergeCell ref="B318:B322"/>
    <mergeCell ref="B323:B327"/>
    <mergeCell ref="B328:B332"/>
    <mergeCell ref="B333:B337"/>
    <mergeCell ref="B338:B342"/>
    <mergeCell ref="B268:B272"/>
    <mergeCell ref="B273:B277"/>
    <mergeCell ref="B278:B282"/>
    <mergeCell ref="B283:B287"/>
    <mergeCell ref="B288:B292"/>
    <mergeCell ref="B293:B297"/>
    <mergeCell ref="B238:B242"/>
    <mergeCell ref="B243:B247"/>
    <mergeCell ref="B248:B252"/>
    <mergeCell ref="B253:B257"/>
    <mergeCell ref="B258:B262"/>
    <mergeCell ref="B263:B267"/>
    <mergeCell ref="A193:A317"/>
    <mergeCell ref="B193:B197"/>
    <mergeCell ref="B198:B202"/>
    <mergeCell ref="B203:B207"/>
    <mergeCell ref="B208:B212"/>
    <mergeCell ref="B213:B217"/>
    <mergeCell ref="B218:B222"/>
    <mergeCell ref="B223:B227"/>
    <mergeCell ref="B228:B232"/>
    <mergeCell ref="B233:B237"/>
    <mergeCell ref="B163:B167"/>
    <mergeCell ref="B168:B172"/>
    <mergeCell ref="B173:B177"/>
    <mergeCell ref="B178:B182"/>
    <mergeCell ref="B183:B187"/>
    <mergeCell ref="B188:B192"/>
    <mergeCell ref="B133:B137"/>
    <mergeCell ref="B138:B142"/>
    <mergeCell ref="B143:B147"/>
    <mergeCell ref="B148:B152"/>
    <mergeCell ref="B153:B157"/>
    <mergeCell ref="B158:B162"/>
    <mergeCell ref="B103:B107"/>
    <mergeCell ref="B108:B112"/>
    <mergeCell ref="B113:B117"/>
    <mergeCell ref="B118:B122"/>
    <mergeCell ref="B123:B127"/>
    <mergeCell ref="B128:B132"/>
    <mergeCell ref="B73:B77"/>
    <mergeCell ref="B78:B82"/>
    <mergeCell ref="B83:B87"/>
    <mergeCell ref="B88:B92"/>
    <mergeCell ref="B93:B97"/>
    <mergeCell ref="B98:B102"/>
    <mergeCell ref="B28:B32"/>
    <mergeCell ref="B33:B37"/>
    <mergeCell ref="B38:B42"/>
    <mergeCell ref="B43:B47"/>
    <mergeCell ref="B48:B52"/>
    <mergeCell ref="A53:A192"/>
    <mergeCell ref="B53:B57"/>
    <mergeCell ref="B58:B62"/>
    <mergeCell ref="B63:B67"/>
    <mergeCell ref="B68:B72"/>
    <mergeCell ref="A3:A52"/>
    <mergeCell ref="B3:B7"/>
    <mergeCell ref="B8:B12"/>
    <mergeCell ref="B13:B17"/>
    <mergeCell ref="B18:B22"/>
    <mergeCell ref="B23:B27"/>
  </mergeCells>
  <conditionalFormatting sqref="H3:H507">
    <cfRule type="expression" dxfId="44" priority="4">
      <formula>H3="Faible"</formula>
    </cfRule>
    <cfRule type="expression" dxfId="43" priority="5">
      <formula>H3="Moyenne"</formula>
    </cfRule>
    <cfRule type="expression" dxfId="42" priority="6">
      <formula>H3="Élevée"</formula>
    </cfRule>
    <cfRule type="expression" dxfId="41" priority="8">
      <formula>$R$6</formula>
    </cfRule>
    <cfRule type="expression" dxfId="40" priority="9">
      <formula>E3="Élevée"</formula>
    </cfRule>
  </conditionalFormatting>
  <conditionalFormatting sqref="H3">
    <cfRule type="expression" dxfId="39" priority="7">
      <formula>$R$6</formula>
    </cfRule>
  </conditionalFormatting>
  <conditionalFormatting sqref="E2:E507">
    <cfRule type="cellIs" dxfId="38" priority="1" operator="equal">
      <formula>$E$3</formula>
    </cfRule>
    <cfRule type="cellIs" dxfId="37" priority="2" operator="equal">
      <formula>$E$4</formula>
    </cfRule>
    <cfRule type="cellIs" dxfId="36" priority="3" operator="equal">
      <formula>"OUI"</formula>
    </cfRule>
  </conditionalFormatting>
  <dataValidations count="2">
    <dataValidation type="list" allowBlank="1" showInputMessage="1" showErrorMessage="1" sqref="H3:H507">
      <formula1>"Élevée,Moyenne,Faible"</formula1>
    </dataValidation>
    <dataValidation type="list" allowBlank="1" showInputMessage="1" showErrorMessage="1" sqref="E3:E507">
      <formula1>"OUI,NON,PAS"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J510"/>
  <sheetViews>
    <sheetView topLeftCell="D460" zoomScale="55" workbookViewId="0">
      <selection activeCell="E6" sqref="E6"/>
    </sheetView>
  </sheetViews>
  <sheetFormatPr baseColWidth="10" defaultRowHeight="15"/>
  <cols>
    <col min="1" max="1" width="34.140625" customWidth="1"/>
    <col min="2" max="2" width="103.7109375" customWidth="1"/>
    <col min="3" max="3" width="102.85546875" customWidth="1"/>
    <col min="4" max="4" width="129.28515625" customWidth="1"/>
    <col min="5" max="5" width="25.28515625" style="165" customWidth="1"/>
    <col min="6" max="6" width="33.85546875" customWidth="1"/>
    <col min="7" max="8" width="38.5703125" customWidth="1"/>
    <col min="9" max="9" width="59" customWidth="1"/>
    <col min="10" max="10" width="85.140625" customWidth="1"/>
  </cols>
  <sheetData>
    <row r="5" spans="1:10" ht="20.25">
      <c r="A5" s="24" t="s">
        <v>347</v>
      </c>
      <c r="B5" s="24" t="s">
        <v>348</v>
      </c>
      <c r="C5" s="24" t="s">
        <v>349</v>
      </c>
      <c r="D5" s="24" t="s">
        <v>350</v>
      </c>
      <c r="E5" s="162" t="s">
        <v>2638</v>
      </c>
      <c r="F5" s="24" t="s">
        <v>1369</v>
      </c>
      <c r="G5" s="24" t="s">
        <v>351</v>
      </c>
      <c r="H5" s="24" t="s">
        <v>2763</v>
      </c>
      <c r="I5" s="24" t="s">
        <v>352</v>
      </c>
      <c r="J5" s="25" t="s">
        <v>2764</v>
      </c>
    </row>
    <row r="6" spans="1:10" ht="21">
      <c r="A6" s="26" t="s">
        <v>353</v>
      </c>
      <c r="B6" s="21" t="s">
        <v>354</v>
      </c>
      <c r="C6" s="2" t="s">
        <v>355</v>
      </c>
      <c r="D6" s="2" t="s">
        <v>356</v>
      </c>
      <c r="E6" s="163" t="s">
        <v>2639</v>
      </c>
      <c r="F6" s="3" t="s">
        <v>1982</v>
      </c>
      <c r="G6" s="3" t="s">
        <v>1983</v>
      </c>
      <c r="H6" s="23" t="s">
        <v>3459</v>
      </c>
      <c r="I6" s="3" t="s">
        <v>1984</v>
      </c>
      <c r="J6" s="22" t="s">
        <v>1985</v>
      </c>
    </row>
    <row r="7" spans="1:10" ht="21">
      <c r="A7" s="26"/>
      <c r="B7" s="21"/>
      <c r="C7" s="2" t="s">
        <v>357</v>
      </c>
      <c r="D7" s="2" t="s">
        <v>358</v>
      </c>
      <c r="E7" s="163" t="s">
        <v>2640</v>
      </c>
      <c r="F7" s="3" t="s">
        <v>1986</v>
      </c>
      <c r="G7" s="3" t="s">
        <v>1987</v>
      </c>
      <c r="H7" s="3" t="s">
        <v>3453</v>
      </c>
      <c r="I7" s="3" t="s">
        <v>1988</v>
      </c>
      <c r="J7" s="22" t="s">
        <v>1989</v>
      </c>
    </row>
    <row r="8" spans="1:10" ht="21">
      <c r="A8" s="26"/>
      <c r="B8" s="21"/>
      <c r="C8" s="2" t="s">
        <v>359</v>
      </c>
      <c r="D8" s="2" t="s">
        <v>360</v>
      </c>
      <c r="E8" s="163" t="s">
        <v>2640</v>
      </c>
      <c r="F8" s="3" t="s">
        <v>1990</v>
      </c>
      <c r="G8" s="3" t="s">
        <v>1991</v>
      </c>
      <c r="H8" s="3" t="s">
        <v>3459</v>
      </c>
      <c r="I8" s="3" t="s">
        <v>1992</v>
      </c>
      <c r="J8" s="22" t="s">
        <v>1993</v>
      </c>
    </row>
    <row r="9" spans="1:10" ht="21">
      <c r="A9" s="26"/>
      <c r="B9" s="21"/>
      <c r="C9" s="2" t="s">
        <v>361</v>
      </c>
      <c r="D9" s="2" t="s">
        <v>362</v>
      </c>
      <c r="E9" s="163" t="s">
        <v>2639</v>
      </c>
      <c r="F9" s="3" t="s">
        <v>1994</v>
      </c>
      <c r="G9" s="3" t="s">
        <v>1995</v>
      </c>
      <c r="H9" s="3" t="s">
        <v>3459</v>
      </c>
      <c r="I9" s="3" t="s">
        <v>1996</v>
      </c>
      <c r="J9" s="22" t="s">
        <v>1997</v>
      </c>
    </row>
    <row r="10" spans="1:10" ht="21">
      <c r="A10" s="26"/>
      <c r="B10" s="21"/>
      <c r="C10" s="2" t="s">
        <v>363</v>
      </c>
      <c r="D10" s="2" t="s">
        <v>364</v>
      </c>
      <c r="E10" s="163" t="s">
        <v>2639</v>
      </c>
      <c r="F10" s="3" t="s">
        <v>1998</v>
      </c>
      <c r="G10" s="3" t="s">
        <v>1999</v>
      </c>
      <c r="H10" s="3" t="s">
        <v>3453</v>
      </c>
      <c r="I10" s="3" t="s">
        <v>2000</v>
      </c>
      <c r="J10" s="22" t="s">
        <v>2001</v>
      </c>
    </row>
    <row r="11" spans="1:10" ht="21">
      <c r="A11" s="26"/>
      <c r="B11" s="21" t="s">
        <v>365</v>
      </c>
      <c r="C11" s="2" t="s">
        <v>366</v>
      </c>
      <c r="D11" s="2" t="s">
        <v>367</v>
      </c>
      <c r="E11" s="163" t="s">
        <v>2639</v>
      </c>
      <c r="F11" s="3" t="s">
        <v>2002</v>
      </c>
      <c r="G11" s="3" t="s">
        <v>2003</v>
      </c>
      <c r="H11" s="3" t="s">
        <v>3453</v>
      </c>
      <c r="I11" s="3" t="s">
        <v>2004</v>
      </c>
      <c r="J11" s="22" t="s">
        <v>2005</v>
      </c>
    </row>
    <row r="12" spans="1:10" ht="21">
      <c r="A12" s="26"/>
      <c r="B12" s="21"/>
      <c r="C12" s="2" t="s">
        <v>368</v>
      </c>
      <c r="D12" s="2" t="s">
        <v>369</v>
      </c>
      <c r="E12" s="163" t="s">
        <v>2639</v>
      </c>
      <c r="F12" s="3" t="s">
        <v>2006</v>
      </c>
      <c r="G12" s="3" t="s">
        <v>2007</v>
      </c>
      <c r="H12" s="3" t="s">
        <v>3459</v>
      </c>
      <c r="I12" s="3" t="s">
        <v>2008</v>
      </c>
      <c r="J12" s="22" t="s">
        <v>2009</v>
      </c>
    </row>
    <row r="13" spans="1:10" ht="21">
      <c r="A13" s="26"/>
      <c r="B13" s="21"/>
      <c r="C13" s="2" t="s">
        <v>370</v>
      </c>
      <c r="D13" s="2" t="s">
        <v>371</v>
      </c>
      <c r="E13" s="163" t="s">
        <v>2639</v>
      </c>
      <c r="F13" s="3" t="s">
        <v>2010</v>
      </c>
      <c r="G13" s="3" t="s">
        <v>2011</v>
      </c>
      <c r="H13" s="3" t="s">
        <v>3459</v>
      </c>
      <c r="I13" s="3" t="s">
        <v>2012</v>
      </c>
      <c r="J13" s="22" t="s">
        <v>2013</v>
      </c>
    </row>
    <row r="14" spans="1:10" ht="21">
      <c r="A14" s="26"/>
      <c r="B14" s="21"/>
      <c r="C14" s="2" t="s">
        <v>372</v>
      </c>
      <c r="D14" s="2" t="s">
        <v>373</v>
      </c>
      <c r="E14" s="163" t="s">
        <v>2640</v>
      </c>
      <c r="F14" s="3" t="s">
        <v>2014</v>
      </c>
      <c r="G14" s="3" t="s">
        <v>2015</v>
      </c>
      <c r="H14" s="3" t="s">
        <v>3453</v>
      </c>
      <c r="I14" s="3" t="s">
        <v>2016</v>
      </c>
      <c r="J14" s="22" t="s">
        <v>2017</v>
      </c>
    </row>
    <row r="15" spans="1:10" ht="21">
      <c r="A15" s="26"/>
      <c r="B15" s="21"/>
      <c r="C15" s="2" t="s">
        <v>374</v>
      </c>
      <c r="D15" s="2" t="s">
        <v>375</v>
      </c>
      <c r="E15" s="163" t="s">
        <v>2641</v>
      </c>
      <c r="F15" s="3" t="s">
        <v>2018</v>
      </c>
      <c r="G15" s="3" t="s">
        <v>2019</v>
      </c>
      <c r="H15" s="3" t="s">
        <v>3581</v>
      </c>
      <c r="I15" s="3" t="s">
        <v>2020</v>
      </c>
      <c r="J15" s="22" t="s">
        <v>2021</v>
      </c>
    </row>
    <row r="16" spans="1:10" ht="21">
      <c r="A16" s="26"/>
      <c r="B16" s="21" t="s">
        <v>376</v>
      </c>
      <c r="C16" s="2" t="s">
        <v>377</v>
      </c>
      <c r="D16" s="2" t="s">
        <v>378</v>
      </c>
      <c r="E16" s="163" t="s">
        <v>2639</v>
      </c>
      <c r="F16" s="3" t="s">
        <v>2022</v>
      </c>
      <c r="G16" s="3" t="s">
        <v>2023</v>
      </c>
      <c r="H16" s="3" t="s">
        <v>3459</v>
      </c>
      <c r="I16" s="3" t="s">
        <v>2024</v>
      </c>
      <c r="J16" s="22" t="s">
        <v>2025</v>
      </c>
    </row>
    <row r="17" spans="1:10" ht="21">
      <c r="A17" s="26"/>
      <c r="B17" s="21"/>
      <c r="C17" s="2" t="s">
        <v>379</v>
      </c>
      <c r="D17" s="2" t="s">
        <v>380</v>
      </c>
      <c r="E17" s="163" t="s">
        <v>2639</v>
      </c>
      <c r="F17" s="3" t="s">
        <v>2026</v>
      </c>
      <c r="G17" s="3" t="s">
        <v>2027</v>
      </c>
      <c r="H17" s="3" t="s">
        <v>3581</v>
      </c>
      <c r="I17" s="3" t="s">
        <v>2028</v>
      </c>
      <c r="J17" s="22" t="s">
        <v>2029</v>
      </c>
    </row>
    <row r="18" spans="1:10" ht="21">
      <c r="A18" s="26"/>
      <c r="B18" s="21"/>
      <c r="C18" s="2" t="s">
        <v>381</v>
      </c>
      <c r="D18" s="2" t="s">
        <v>382</v>
      </c>
      <c r="E18" s="163" t="s">
        <v>2640</v>
      </c>
      <c r="F18" s="3" t="s">
        <v>2030</v>
      </c>
      <c r="G18" s="3" t="s">
        <v>2031</v>
      </c>
      <c r="H18" s="3" t="s">
        <v>3459</v>
      </c>
      <c r="I18" s="3" t="s">
        <v>2032</v>
      </c>
      <c r="J18" s="22" t="s">
        <v>2033</v>
      </c>
    </row>
    <row r="19" spans="1:10" ht="21">
      <c r="A19" s="26"/>
      <c r="B19" s="21"/>
      <c r="C19" s="2" t="s">
        <v>383</v>
      </c>
      <c r="D19" s="2" t="s">
        <v>2034</v>
      </c>
      <c r="E19" s="163" t="s">
        <v>2639</v>
      </c>
      <c r="F19" s="3" t="s">
        <v>2035</v>
      </c>
      <c r="G19" s="3" t="s">
        <v>2036</v>
      </c>
      <c r="H19" s="3" t="s">
        <v>3581</v>
      </c>
      <c r="I19" s="3" t="s">
        <v>2037</v>
      </c>
      <c r="J19" s="22" t="s">
        <v>2038</v>
      </c>
    </row>
    <row r="20" spans="1:10" ht="21">
      <c r="A20" s="26"/>
      <c r="B20" s="21"/>
      <c r="C20" s="2" t="s">
        <v>384</v>
      </c>
      <c r="D20" s="2" t="s">
        <v>385</v>
      </c>
      <c r="E20" s="163" t="s">
        <v>2641</v>
      </c>
      <c r="F20" s="3" t="s">
        <v>2039</v>
      </c>
      <c r="G20" s="3" t="s">
        <v>2040</v>
      </c>
      <c r="H20" s="3" t="s">
        <v>3453</v>
      </c>
      <c r="I20" s="3" t="s">
        <v>2041</v>
      </c>
      <c r="J20" s="22" t="s">
        <v>2042</v>
      </c>
    </row>
    <row r="21" spans="1:10" ht="21">
      <c r="A21" s="26"/>
      <c r="B21" s="21" t="s">
        <v>386</v>
      </c>
      <c r="C21" s="2" t="s">
        <v>387</v>
      </c>
      <c r="D21" s="2" t="s">
        <v>388</v>
      </c>
      <c r="E21" s="163" t="s">
        <v>2639</v>
      </c>
      <c r="F21" s="3" t="s">
        <v>2043</v>
      </c>
      <c r="G21" s="3" t="s">
        <v>2044</v>
      </c>
      <c r="H21" s="3" t="s">
        <v>3453</v>
      </c>
      <c r="I21" s="3" t="s">
        <v>2045</v>
      </c>
      <c r="J21" s="22" t="s">
        <v>2046</v>
      </c>
    </row>
    <row r="22" spans="1:10" ht="21">
      <c r="A22" s="26"/>
      <c r="B22" s="21"/>
      <c r="C22" s="2" t="s">
        <v>389</v>
      </c>
      <c r="D22" s="2" t="s">
        <v>390</v>
      </c>
      <c r="E22" s="163" t="s">
        <v>2641</v>
      </c>
      <c r="F22" s="3" t="s">
        <v>2047</v>
      </c>
      <c r="G22" s="3" t="s">
        <v>2048</v>
      </c>
      <c r="H22" s="3" t="s">
        <v>3459</v>
      </c>
      <c r="I22" s="3" t="s">
        <v>2049</v>
      </c>
      <c r="J22" s="22" t="s">
        <v>2050</v>
      </c>
    </row>
    <row r="23" spans="1:10" ht="21">
      <c r="A23" s="26"/>
      <c r="B23" s="21"/>
      <c r="C23" s="2" t="s">
        <v>391</v>
      </c>
      <c r="D23" s="2" t="s">
        <v>392</v>
      </c>
      <c r="E23" s="163" t="s">
        <v>2641</v>
      </c>
      <c r="F23" s="3" t="s">
        <v>2051</v>
      </c>
      <c r="G23" s="3" t="s">
        <v>2052</v>
      </c>
      <c r="H23" s="3" t="s">
        <v>3459</v>
      </c>
      <c r="I23" s="3" t="s">
        <v>2053</v>
      </c>
      <c r="J23" s="22" t="s">
        <v>2054</v>
      </c>
    </row>
    <row r="24" spans="1:10" ht="21">
      <c r="A24" s="26"/>
      <c r="B24" s="21"/>
      <c r="C24" s="2" t="s">
        <v>393</v>
      </c>
      <c r="D24" s="2" t="s">
        <v>394</v>
      </c>
      <c r="E24" s="163" t="s">
        <v>2641</v>
      </c>
      <c r="F24" s="3" t="s">
        <v>2055</v>
      </c>
      <c r="G24" s="3" t="s">
        <v>2056</v>
      </c>
      <c r="H24" s="3" t="s">
        <v>3459</v>
      </c>
      <c r="I24" s="3" t="s">
        <v>2057</v>
      </c>
      <c r="J24" s="22" t="s">
        <v>2058</v>
      </c>
    </row>
    <row r="25" spans="1:10" ht="21">
      <c r="A25" s="26"/>
      <c r="B25" s="21"/>
      <c r="C25" s="2" t="s">
        <v>395</v>
      </c>
      <c r="D25" s="2" t="s">
        <v>396</v>
      </c>
      <c r="E25" s="163" t="s">
        <v>2641</v>
      </c>
      <c r="F25" s="3" t="s">
        <v>2059</v>
      </c>
      <c r="G25" s="3" t="s">
        <v>2060</v>
      </c>
      <c r="H25" s="3" t="s">
        <v>3459</v>
      </c>
      <c r="I25" s="3" t="s">
        <v>2061</v>
      </c>
      <c r="J25" s="22" t="s">
        <v>2062</v>
      </c>
    </row>
    <row r="26" spans="1:10" ht="21">
      <c r="A26" s="26"/>
      <c r="B26" s="21" t="s">
        <v>397</v>
      </c>
      <c r="C26" s="2" t="s">
        <v>398</v>
      </c>
      <c r="D26" s="2" t="s">
        <v>399</v>
      </c>
      <c r="E26" s="163" t="s">
        <v>2640</v>
      </c>
      <c r="F26" s="3" t="s">
        <v>2063</v>
      </c>
      <c r="G26" s="3" t="s">
        <v>2064</v>
      </c>
      <c r="H26" s="3" t="s">
        <v>3459</v>
      </c>
      <c r="I26" s="3" t="s">
        <v>2065</v>
      </c>
      <c r="J26" s="22" t="s">
        <v>2066</v>
      </c>
    </row>
    <row r="27" spans="1:10" ht="21">
      <c r="A27" s="26"/>
      <c r="B27" s="21"/>
      <c r="C27" s="2" t="s">
        <v>400</v>
      </c>
      <c r="D27" s="2" t="s">
        <v>401</v>
      </c>
      <c r="E27" s="163" t="s">
        <v>2640</v>
      </c>
      <c r="F27" s="3" t="s">
        <v>2067</v>
      </c>
      <c r="G27" s="3" t="s">
        <v>2068</v>
      </c>
      <c r="H27" s="3" t="s">
        <v>3581</v>
      </c>
      <c r="I27" s="3" t="s">
        <v>2069</v>
      </c>
      <c r="J27" s="22" t="s">
        <v>2070</v>
      </c>
    </row>
    <row r="28" spans="1:10" ht="21">
      <c r="A28" s="26"/>
      <c r="B28" s="21"/>
      <c r="C28" s="2" t="s">
        <v>402</v>
      </c>
      <c r="D28" s="2" t="s">
        <v>403</v>
      </c>
      <c r="E28" s="163" t="s">
        <v>2640</v>
      </c>
      <c r="F28" s="3" t="s">
        <v>2071</v>
      </c>
      <c r="G28" s="3" t="s">
        <v>2072</v>
      </c>
      <c r="H28" s="3" t="s">
        <v>3459</v>
      </c>
      <c r="I28" s="3" t="s">
        <v>2073</v>
      </c>
      <c r="J28" s="22" t="s">
        <v>2074</v>
      </c>
    </row>
    <row r="29" spans="1:10" ht="21">
      <c r="A29" s="26"/>
      <c r="B29" s="21"/>
      <c r="C29" s="2" t="s">
        <v>404</v>
      </c>
      <c r="D29" s="2" t="s">
        <v>405</v>
      </c>
      <c r="E29" s="163" t="s">
        <v>2640</v>
      </c>
      <c r="F29" s="3" t="s">
        <v>2075</v>
      </c>
      <c r="G29" s="3" t="s">
        <v>2076</v>
      </c>
      <c r="H29" s="3" t="s">
        <v>3459</v>
      </c>
      <c r="I29" s="3" t="s">
        <v>2077</v>
      </c>
      <c r="J29" s="22" t="s">
        <v>2078</v>
      </c>
    </row>
    <row r="30" spans="1:10" ht="21">
      <c r="A30" s="26"/>
      <c r="B30" s="21"/>
      <c r="C30" s="2" t="s">
        <v>406</v>
      </c>
      <c r="D30" s="2" t="s">
        <v>407</v>
      </c>
      <c r="E30" s="163" t="s">
        <v>2640</v>
      </c>
      <c r="F30" s="3" t="s">
        <v>2079</v>
      </c>
      <c r="G30" s="3" t="s">
        <v>2080</v>
      </c>
      <c r="H30" s="3" t="s">
        <v>3581</v>
      </c>
      <c r="I30" s="3" t="s">
        <v>2081</v>
      </c>
      <c r="J30" s="22" t="s">
        <v>2082</v>
      </c>
    </row>
    <row r="31" spans="1:10" ht="21">
      <c r="A31" s="26"/>
      <c r="B31" s="21" t="s">
        <v>408</v>
      </c>
      <c r="C31" s="2" t="s">
        <v>409</v>
      </c>
      <c r="D31" s="2" t="s">
        <v>2083</v>
      </c>
      <c r="E31" s="163" t="s">
        <v>2639</v>
      </c>
      <c r="F31" s="3" t="s">
        <v>2084</v>
      </c>
      <c r="G31" s="3" t="s">
        <v>2085</v>
      </c>
      <c r="H31" s="3" t="s">
        <v>3581</v>
      </c>
      <c r="I31" s="3" t="s">
        <v>2086</v>
      </c>
      <c r="J31" s="22" t="s">
        <v>2087</v>
      </c>
    </row>
    <row r="32" spans="1:10" ht="21">
      <c r="A32" s="26"/>
      <c r="B32" s="21"/>
      <c r="C32" s="2" t="s">
        <v>410</v>
      </c>
      <c r="D32" s="2" t="s">
        <v>411</v>
      </c>
      <c r="E32" s="163" t="s">
        <v>2639</v>
      </c>
      <c r="F32" s="3" t="s">
        <v>2088</v>
      </c>
      <c r="G32" s="3" t="s">
        <v>2089</v>
      </c>
      <c r="H32" s="3" t="s">
        <v>3459</v>
      </c>
      <c r="I32" s="3" t="s">
        <v>2090</v>
      </c>
      <c r="J32" s="22" t="s">
        <v>2091</v>
      </c>
    </row>
    <row r="33" spans="1:10" ht="21">
      <c r="A33" s="26"/>
      <c r="B33" s="21"/>
      <c r="C33" s="2" t="s">
        <v>412</v>
      </c>
      <c r="D33" s="2" t="s">
        <v>413</v>
      </c>
      <c r="E33" s="163" t="s">
        <v>2641</v>
      </c>
      <c r="F33" s="3" t="s">
        <v>2092</v>
      </c>
      <c r="G33" s="3" t="s">
        <v>2093</v>
      </c>
      <c r="H33" s="3" t="s">
        <v>3581</v>
      </c>
      <c r="I33" s="3" t="s">
        <v>2094</v>
      </c>
      <c r="J33" s="22" t="s">
        <v>2095</v>
      </c>
    </row>
    <row r="34" spans="1:10" ht="21">
      <c r="A34" s="26"/>
      <c r="B34" s="21"/>
      <c r="C34" s="2" t="s">
        <v>414</v>
      </c>
      <c r="D34" s="2" t="s">
        <v>415</v>
      </c>
      <c r="E34" s="163" t="s">
        <v>2639</v>
      </c>
      <c r="F34" s="3" t="s">
        <v>2096</v>
      </c>
      <c r="G34" s="3" t="s">
        <v>2097</v>
      </c>
      <c r="H34" s="3" t="s">
        <v>3459</v>
      </c>
      <c r="I34" s="3" t="s">
        <v>2098</v>
      </c>
      <c r="J34" s="22" t="s">
        <v>2099</v>
      </c>
    </row>
    <row r="35" spans="1:10" ht="21">
      <c r="A35" s="26"/>
      <c r="B35" s="21"/>
      <c r="C35" s="2" t="s">
        <v>416</v>
      </c>
      <c r="D35" s="2" t="s">
        <v>2100</v>
      </c>
      <c r="E35" s="163" t="s">
        <v>2639</v>
      </c>
      <c r="F35" s="3" t="s">
        <v>2101</v>
      </c>
      <c r="G35" s="3" t="s">
        <v>2102</v>
      </c>
      <c r="H35" s="3" t="s">
        <v>3581</v>
      </c>
      <c r="I35" s="3" t="s">
        <v>2103</v>
      </c>
      <c r="J35" s="22" t="s">
        <v>2104</v>
      </c>
    </row>
    <row r="36" spans="1:10" ht="21">
      <c r="A36" s="26"/>
      <c r="B36" s="21" t="s">
        <v>417</v>
      </c>
      <c r="C36" s="2" t="s">
        <v>418</v>
      </c>
      <c r="D36" s="2" t="s">
        <v>2105</v>
      </c>
      <c r="E36" s="163" t="s">
        <v>2639</v>
      </c>
      <c r="F36" s="3" t="s">
        <v>2106</v>
      </c>
      <c r="G36" s="3" t="s">
        <v>2107</v>
      </c>
      <c r="H36" s="3" t="s">
        <v>3459</v>
      </c>
      <c r="I36" s="3" t="s">
        <v>2108</v>
      </c>
      <c r="J36" s="22" t="s">
        <v>2109</v>
      </c>
    </row>
    <row r="37" spans="1:10" ht="21">
      <c r="A37" s="26"/>
      <c r="B37" s="21"/>
      <c r="C37" s="2" t="s">
        <v>419</v>
      </c>
      <c r="D37" s="2" t="s">
        <v>2110</v>
      </c>
      <c r="E37" s="163" t="s">
        <v>2639</v>
      </c>
      <c r="F37" s="3" t="s">
        <v>2111</v>
      </c>
      <c r="G37" s="3" t="s">
        <v>2112</v>
      </c>
      <c r="H37" s="3" t="s">
        <v>3459</v>
      </c>
      <c r="I37" s="3" t="s">
        <v>2113</v>
      </c>
      <c r="J37" s="22" t="s">
        <v>2114</v>
      </c>
    </row>
    <row r="38" spans="1:10" ht="21">
      <c r="A38" s="26"/>
      <c r="B38" s="21"/>
      <c r="C38" s="2" t="s">
        <v>420</v>
      </c>
      <c r="D38" s="2" t="s">
        <v>2115</v>
      </c>
      <c r="E38" s="163" t="s">
        <v>2639</v>
      </c>
      <c r="F38" s="3" t="s">
        <v>2116</v>
      </c>
      <c r="G38" s="3" t="s">
        <v>2117</v>
      </c>
      <c r="H38" s="3" t="s">
        <v>3581</v>
      </c>
      <c r="I38" s="3" t="s">
        <v>2118</v>
      </c>
      <c r="J38" s="22" t="s">
        <v>2119</v>
      </c>
    </row>
    <row r="39" spans="1:10" ht="21">
      <c r="A39" s="26"/>
      <c r="B39" s="21"/>
      <c r="C39" s="2" t="s">
        <v>421</v>
      </c>
      <c r="D39" s="2" t="s">
        <v>2120</v>
      </c>
      <c r="E39" s="163" t="s">
        <v>2639</v>
      </c>
      <c r="F39" s="3" t="s">
        <v>2121</v>
      </c>
      <c r="G39" s="3" t="s">
        <v>2122</v>
      </c>
      <c r="H39" s="3" t="s">
        <v>3581</v>
      </c>
      <c r="I39" s="3" t="s">
        <v>2123</v>
      </c>
      <c r="J39" s="22" t="s">
        <v>2124</v>
      </c>
    </row>
    <row r="40" spans="1:10" ht="21">
      <c r="A40" s="26"/>
      <c r="B40" s="21"/>
      <c r="C40" s="2" t="s">
        <v>422</v>
      </c>
      <c r="D40" s="2" t="s">
        <v>423</v>
      </c>
      <c r="E40" s="163" t="s">
        <v>2639</v>
      </c>
      <c r="F40" s="3" t="s">
        <v>2125</v>
      </c>
      <c r="G40" s="3" t="s">
        <v>2126</v>
      </c>
      <c r="H40" s="3" t="s">
        <v>3459</v>
      </c>
      <c r="I40" s="3" t="s">
        <v>2127</v>
      </c>
      <c r="J40" s="22" t="s">
        <v>2128</v>
      </c>
    </row>
    <row r="41" spans="1:10" ht="21">
      <c r="A41" s="26"/>
      <c r="B41" s="21" t="s">
        <v>424</v>
      </c>
      <c r="C41" s="2" t="s">
        <v>425</v>
      </c>
      <c r="D41" s="2" t="s">
        <v>426</v>
      </c>
      <c r="E41" s="163" t="s">
        <v>2640</v>
      </c>
      <c r="F41" s="3" t="s">
        <v>2129</v>
      </c>
      <c r="G41" s="3" t="s">
        <v>2130</v>
      </c>
      <c r="H41" s="3" t="s">
        <v>3453</v>
      </c>
      <c r="I41" s="3" t="s">
        <v>2131</v>
      </c>
      <c r="J41" s="22" t="s">
        <v>2132</v>
      </c>
    </row>
    <row r="42" spans="1:10" ht="21">
      <c r="A42" s="26"/>
      <c r="B42" s="21"/>
      <c r="C42" s="2" t="s">
        <v>427</v>
      </c>
      <c r="D42" s="2" t="s">
        <v>428</v>
      </c>
      <c r="E42" s="163" t="s">
        <v>2640</v>
      </c>
      <c r="F42" s="3" t="s">
        <v>2133</v>
      </c>
      <c r="G42" s="3" t="s">
        <v>2134</v>
      </c>
      <c r="H42" s="3" t="s">
        <v>3453</v>
      </c>
      <c r="I42" s="3" t="s">
        <v>2135</v>
      </c>
      <c r="J42" s="22" t="s">
        <v>2136</v>
      </c>
    </row>
    <row r="43" spans="1:10" ht="21">
      <c r="A43" s="26"/>
      <c r="B43" s="21"/>
      <c r="C43" s="2" t="s">
        <v>429</v>
      </c>
      <c r="D43" s="2" t="s">
        <v>430</v>
      </c>
      <c r="E43" s="163" t="s">
        <v>2640</v>
      </c>
      <c r="F43" s="3" t="s">
        <v>2137</v>
      </c>
      <c r="G43" s="3" t="s">
        <v>2138</v>
      </c>
      <c r="H43" s="3" t="s">
        <v>3459</v>
      </c>
      <c r="I43" s="3" t="s">
        <v>2139</v>
      </c>
      <c r="J43" s="22" t="s">
        <v>2140</v>
      </c>
    </row>
    <row r="44" spans="1:10" ht="21">
      <c r="A44" s="26"/>
      <c r="B44" s="21"/>
      <c r="C44" s="2" t="s">
        <v>431</v>
      </c>
      <c r="D44" s="2" t="s">
        <v>432</v>
      </c>
      <c r="E44" s="163" t="s">
        <v>2640</v>
      </c>
      <c r="F44" s="3" t="s">
        <v>2141</v>
      </c>
      <c r="G44" s="3" t="s">
        <v>2142</v>
      </c>
      <c r="H44" s="3" t="s">
        <v>3459</v>
      </c>
      <c r="I44" s="3" t="s">
        <v>2143</v>
      </c>
      <c r="J44" s="22" t="s">
        <v>2144</v>
      </c>
    </row>
    <row r="45" spans="1:10" ht="21">
      <c r="A45" s="26"/>
      <c r="B45" s="21"/>
      <c r="C45" s="2" t="s">
        <v>433</v>
      </c>
      <c r="D45" s="2" t="s">
        <v>434</v>
      </c>
      <c r="E45" s="163" t="s">
        <v>2640</v>
      </c>
      <c r="F45" s="3" t="s">
        <v>2145</v>
      </c>
      <c r="G45" s="3" t="s">
        <v>2146</v>
      </c>
      <c r="H45" s="3" t="s">
        <v>3459</v>
      </c>
      <c r="I45" s="3" t="s">
        <v>2147</v>
      </c>
      <c r="J45" s="22" t="s">
        <v>2148</v>
      </c>
    </row>
    <row r="46" spans="1:10" ht="21">
      <c r="A46" s="26"/>
      <c r="B46" s="21" t="s">
        <v>435</v>
      </c>
      <c r="C46" s="5" t="s">
        <v>436</v>
      </c>
      <c r="D46" s="5" t="s">
        <v>2149</v>
      </c>
      <c r="E46" s="163" t="s">
        <v>2639</v>
      </c>
      <c r="F46" s="3" t="s">
        <v>2150</v>
      </c>
      <c r="G46" s="3" t="s">
        <v>2151</v>
      </c>
      <c r="H46" s="3" t="s">
        <v>3581</v>
      </c>
      <c r="I46" s="3" t="s">
        <v>2152</v>
      </c>
      <c r="J46" s="22" t="s">
        <v>2153</v>
      </c>
    </row>
    <row r="47" spans="1:10" ht="21">
      <c r="A47" s="26"/>
      <c r="B47" s="21"/>
      <c r="C47" s="5" t="s">
        <v>437</v>
      </c>
      <c r="D47" s="5" t="s">
        <v>2154</v>
      </c>
      <c r="E47" s="163" t="s">
        <v>2639</v>
      </c>
      <c r="F47" s="3" t="s">
        <v>2155</v>
      </c>
      <c r="G47" s="3" t="s">
        <v>2156</v>
      </c>
      <c r="H47" s="3" t="s">
        <v>3459</v>
      </c>
      <c r="I47" s="3" t="s">
        <v>2157</v>
      </c>
      <c r="J47" s="22" t="s">
        <v>2158</v>
      </c>
    </row>
    <row r="48" spans="1:10" ht="21">
      <c r="A48" s="26"/>
      <c r="B48" s="21"/>
      <c r="C48" s="5" t="s">
        <v>438</v>
      </c>
      <c r="D48" s="5" t="s">
        <v>439</v>
      </c>
      <c r="E48" s="163" t="s">
        <v>2640</v>
      </c>
      <c r="F48" s="3" t="s">
        <v>2159</v>
      </c>
      <c r="G48" s="3" t="s">
        <v>2160</v>
      </c>
      <c r="H48" s="3" t="s">
        <v>3453</v>
      </c>
      <c r="I48" s="3" t="s">
        <v>2161</v>
      </c>
      <c r="J48" s="22" t="s">
        <v>2162</v>
      </c>
    </row>
    <row r="49" spans="1:10" ht="21">
      <c r="A49" s="26"/>
      <c r="B49" s="21"/>
      <c r="C49" s="5" t="s">
        <v>440</v>
      </c>
      <c r="D49" s="5" t="s">
        <v>441</v>
      </c>
      <c r="E49" s="163" t="s">
        <v>2640</v>
      </c>
      <c r="F49" s="3" t="s">
        <v>2163</v>
      </c>
      <c r="G49" s="3" t="s">
        <v>2164</v>
      </c>
      <c r="H49" s="3" t="s">
        <v>3459</v>
      </c>
      <c r="I49" s="3" t="s">
        <v>2165</v>
      </c>
      <c r="J49" s="22" t="s">
        <v>2166</v>
      </c>
    </row>
    <row r="50" spans="1:10" ht="21">
      <c r="A50" s="26"/>
      <c r="B50" s="21"/>
      <c r="C50" s="5" t="s">
        <v>442</v>
      </c>
      <c r="D50" s="5" t="s">
        <v>443</v>
      </c>
      <c r="E50" s="163" t="s">
        <v>2640</v>
      </c>
      <c r="F50" s="3" t="s">
        <v>2167</v>
      </c>
      <c r="G50" s="3" t="s">
        <v>2168</v>
      </c>
      <c r="H50" s="3" t="s">
        <v>3459</v>
      </c>
      <c r="I50" s="3" t="s">
        <v>2169</v>
      </c>
      <c r="J50" s="22" t="s">
        <v>2170</v>
      </c>
    </row>
    <row r="51" spans="1:10" ht="21">
      <c r="A51" s="26"/>
      <c r="B51" s="21" t="s">
        <v>444</v>
      </c>
      <c r="C51" s="5" t="s">
        <v>445</v>
      </c>
      <c r="D51" s="5" t="s">
        <v>2171</v>
      </c>
      <c r="E51" s="163" t="s">
        <v>2639</v>
      </c>
      <c r="F51" s="3" t="s">
        <v>2172</v>
      </c>
      <c r="G51" s="3" t="s">
        <v>2173</v>
      </c>
      <c r="H51" s="3" t="s">
        <v>3459</v>
      </c>
      <c r="I51" s="3" t="s">
        <v>2174</v>
      </c>
      <c r="J51" s="22" t="s">
        <v>2175</v>
      </c>
    </row>
    <row r="52" spans="1:10" ht="21">
      <c r="A52" s="26"/>
      <c r="B52" s="21"/>
      <c r="C52" s="5" t="s">
        <v>446</v>
      </c>
      <c r="D52" s="5" t="s">
        <v>447</v>
      </c>
      <c r="E52" s="163" t="s">
        <v>2639</v>
      </c>
      <c r="F52" s="3" t="s">
        <v>2176</v>
      </c>
      <c r="G52" s="3" t="s">
        <v>2177</v>
      </c>
      <c r="H52" s="3" t="s">
        <v>3459</v>
      </c>
      <c r="I52" s="3" t="s">
        <v>2178</v>
      </c>
      <c r="J52" s="22" t="s">
        <v>2179</v>
      </c>
    </row>
    <row r="53" spans="1:10" ht="21">
      <c r="A53" s="26"/>
      <c r="B53" s="21"/>
      <c r="C53" s="5" t="s">
        <v>420</v>
      </c>
      <c r="D53" s="5" t="s">
        <v>2180</v>
      </c>
      <c r="E53" s="163" t="s">
        <v>2639</v>
      </c>
      <c r="F53" s="3" t="s">
        <v>2181</v>
      </c>
      <c r="G53" s="3" t="s">
        <v>2182</v>
      </c>
      <c r="H53" s="3" t="s">
        <v>3459</v>
      </c>
      <c r="I53" s="3" t="s">
        <v>2183</v>
      </c>
      <c r="J53" s="22" t="s">
        <v>2184</v>
      </c>
    </row>
    <row r="54" spans="1:10" ht="21">
      <c r="A54" s="26"/>
      <c r="B54" s="21"/>
      <c r="C54" s="5" t="s">
        <v>448</v>
      </c>
      <c r="D54" s="5" t="s">
        <v>449</v>
      </c>
      <c r="E54" s="163" t="s">
        <v>2640</v>
      </c>
      <c r="F54" s="3" t="s">
        <v>2185</v>
      </c>
      <c r="G54" s="3" t="s">
        <v>2186</v>
      </c>
      <c r="H54" s="3" t="s">
        <v>3459</v>
      </c>
      <c r="I54" s="3" t="s">
        <v>2187</v>
      </c>
      <c r="J54" s="22" t="s">
        <v>2188</v>
      </c>
    </row>
    <row r="55" spans="1:10" ht="21">
      <c r="A55" s="26"/>
      <c r="B55" s="21"/>
      <c r="C55" s="5" t="s">
        <v>450</v>
      </c>
      <c r="D55" s="5" t="s">
        <v>2189</v>
      </c>
      <c r="E55" s="163" t="s">
        <v>2640</v>
      </c>
      <c r="F55" s="3" t="s">
        <v>2190</v>
      </c>
      <c r="G55" s="3" t="s">
        <v>2191</v>
      </c>
      <c r="H55" s="3" t="s">
        <v>3459</v>
      </c>
      <c r="I55" s="3" t="s">
        <v>2192</v>
      </c>
      <c r="J55" s="22" t="s">
        <v>2193</v>
      </c>
    </row>
    <row r="56" spans="1:10" ht="21">
      <c r="A56" s="26" t="s">
        <v>451</v>
      </c>
      <c r="B56" s="21" t="s">
        <v>452</v>
      </c>
      <c r="C56" s="2" t="s">
        <v>453</v>
      </c>
      <c r="D56" s="2" t="s">
        <v>454</v>
      </c>
      <c r="E56" s="163" t="s">
        <v>2639</v>
      </c>
      <c r="F56" s="3" t="s">
        <v>2245</v>
      </c>
      <c r="G56" s="3" t="s">
        <v>2246</v>
      </c>
      <c r="H56" s="3" t="s">
        <v>3459</v>
      </c>
      <c r="I56" s="3" t="s">
        <v>2247</v>
      </c>
      <c r="J56" s="22" t="s">
        <v>2248</v>
      </c>
    </row>
    <row r="57" spans="1:10" ht="21">
      <c r="A57" s="26"/>
      <c r="B57" s="21"/>
      <c r="C57" s="2" t="s">
        <v>455</v>
      </c>
      <c r="D57" s="2" t="s">
        <v>2249</v>
      </c>
      <c r="E57" s="163" t="s">
        <v>2639</v>
      </c>
      <c r="F57" s="3" t="s">
        <v>2250</v>
      </c>
      <c r="G57" s="3" t="s">
        <v>2251</v>
      </c>
      <c r="H57" s="3" t="s">
        <v>3453</v>
      </c>
      <c r="I57" s="3" t="s">
        <v>2252</v>
      </c>
      <c r="J57" s="22" t="s">
        <v>2253</v>
      </c>
    </row>
    <row r="58" spans="1:10" ht="21">
      <c r="A58" s="26"/>
      <c r="B58" s="21"/>
      <c r="C58" s="2" t="s">
        <v>456</v>
      </c>
      <c r="D58" s="2" t="s">
        <v>2254</v>
      </c>
      <c r="E58" s="163" t="s">
        <v>2640</v>
      </c>
      <c r="F58" s="3" t="s">
        <v>2255</v>
      </c>
      <c r="G58" s="3" t="s">
        <v>2256</v>
      </c>
      <c r="H58" s="3" t="s">
        <v>3453</v>
      </c>
      <c r="I58" s="3" t="s">
        <v>2257</v>
      </c>
      <c r="J58" s="22" t="s">
        <v>2258</v>
      </c>
    </row>
    <row r="59" spans="1:10" ht="21">
      <c r="A59" s="26"/>
      <c r="B59" s="21"/>
      <c r="C59" s="2" t="s">
        <v>457</v>
      </c>
      <c r="D59" s="2" t="s">
        <v>458</v>
      </c>
      <c r="E59" s="163" t="s">
        <v>2640</v>
      </c>
      <c r="F59" s="3" t="s">
        <v>2259</v>
      </c>
      <c r="G59" s="3" t="s">
        <v>2260</v>
      </c>
      <c r="H59" s="3" t="s">
        <v>3453</v>
      </c>
      <c r="I59" s="3" t="s">
        <v>2261</v>
      </c>
      <c r="J59" s="22" t="s">
        <v>2262</v>
      </c>
    </row>
    <row r="60" spans="1:10" ht="21">
      <c r="A60" s="26"/>
      <c r="B60" s="21"/>
      <c r="C60" s="2" t="s">
        <v>459</v>
      </c>
      <c r="D60" s="2" t="s">
        <v>460</v>
      </c>
      <c r="E60" s="163" t="s">
        <v>2639</v>
      </c>
      <c r="F60" s="3" t="s">
        <v>2263</v>
      </c>
      <c r="G60" s="3" t="s">
        <v>2264</v>
      </c>
      <c r="H60" s="3" t="s">
        <v>3453</v>
      </c>
      <c r="I60" s="3" t="s">
        <v>2265</v>
      </c>
      <c r="J60" s="22" t="s">
        <v>2266</v>
      </c>
    </row>
    <row r="61" spans="1:10" ht="21">
      <c r="A61" s="26"/>
      <c r="B61" s="21" t="s">
        <v>461</v>
      </c>
      <c r="C61" s="2" t="s">
        <v>462</v>
      </c>
      <c r="D61" s="2" t="s">
        <v>2267</v>
      </c>
      <c r="E61" s="163" t="s">
        <v>2639</v>
      </c>
      <c r="F61" s="3" t="s">
        <v>2268</v>
      </c>
      <c r="G61" s="3" t="s">
        <v>2269</v>
      </c>
      <c r="H61" s="3" t="s">
        <v>3459</v>
      </c>
      <c r="I61" s="3" t="s">
        <v>2270</v>
      </c>
      <c r="J61" s="22" t="s">
        <v>2271</v>
      </c>
    </row>
    <row r="62" spans="1:10" ht="21">
      <c r="A62" s="26"/>
      <c r="B62" s="21"/>
      <c r="C62" s="2" t="s">
        <v>463</v>
      </c>
      <c r="D62" s="2" t="s">
        <v>2272</v>
      </c>
      <c r="E62" s="163" t="s">
        <v>2640</v>
      </c>
      <c r="F62" s="3" t="s">
        <v>2273</v>
      </c>
      <c r="G62" s="3" t="s">
        <v>2274</v>
      </c>
      <c r="H62" s="3" t="s">
        <v>3453</v>
      </c>
      <c r="I62" s="3" t="s">
        <v>2275</v>
      </c>
      <c r="J62" s="22" t="s">
        <v>2276</v>
      </c>
    </row>
    <row r="63" spans="1:10" ht="21">
      <c r="A63" s="26"/>
      <c r="B63" s="21"/>
      <c r="C63" s="2" t="s">
        <v>464</v>
      </c>
      <c r="D63" s="2" t="s">
        <v>465</v>
      </c>
      <c r="E63" s="163" t="s">
        <v>2640</v>
      </c>
      <c r="F63" s="3" t="s">
        <v>2277</v>
      </c>
      <c r="G63" s="3" t="s">
        <v>2278</v>
      </c>
      <c r="H63" s="3" t="s">
        <v>3453</v>
      </c>
      <c r="I63" s="3" t="s">
        <v>2279</v>
      </c>
      <c r="J63" s="22" t="s">
        <v>2280</v>
      </c>
    </row>
    <row r="64" spans="1:10" ht="21">
      <c r="A64" s="26"/>
      <c r="B64" s="21"/>
      <c r="C64" s="2" t="s">
        <v>466</v>
      </c>
      <c r="D64" s="2" t="s">
        <v>2281</v>
      </c>
      <c r="E64" s="163" t="s">
        <v>2640</v>
      </c>
      <c r="F64" s="3" t="s">
        <v>2282</v>
      </c>
      <c r="G64" s="3" t="s">
        <v>2283</v>
      </c>
      <c r="H64" s="3" t="s">
        <v>3453</v>
      </c>
      <c r="I64" s="3" t="s">
        <v>2284</v>
      </c>
      <c r="J64" s="22" t="s">
        <v>2285</v>
      </c>
    </row>
    <row r="65" spans="1:10" ht="21">
      <c r="A65" s="26"/>
      <c r="B65" s="21"/>
      <c r="C65" s="2" t="s">
        <v>468</v>
      </c>
      <c r="D65" s="2" t="s">
        <v>469</v>
      </c>
      <c r="E65" s="163" t="s">
        <v>2640</v>
      </c>
      <c r="F65" s="3" t="s">
        <v>2286</v>
      </c>
      <c r="G65" s="3" t="s">
        <v>2287</v>
      </c>
      <c r="H65" s="3" t="s">
        <v>3459</v>
      </c>
      <c r="I65" s="3" t="s">
        <v>2288</v>
      </c>
      <c r="J65" s="22" t="s">
        <v>2289</v>
      </c>
    </row>
    <row r="66" spans="1:10" ht="21">
      <c r="A66" s="26"/>
      <c r="B66" s="21" t="s">
        <v>470</v>
      </c>
      <c r="C66" s="2" t="s">
        <v>471</v>
      </c>
      <c r="D66" s="2" t="s">
        <v>472</v>
      </c>
      <c r="E66" s="163" t="s">
        <v>2640</v>
      </c>
      <c r="F66" s="3" t="s">
        <v>2290</v>
      </c>
      <c r="G66" s="3" t="s">
        <v>2291</v>
      </c>
      <c r="H66" s="3" t="s">
        <v>3581</v>
      </c>
      <c r="I66" s="3" t="s">
        <v>2292</v>
      </c>
      <c r="J66" s="22" t="s">
        <v>2293</v>
      </c>
    </row>
    <row r="67" spans="1:10" ht="21">
      <c r="A67" s="26"/>
      <c r="B67" s="21"/>
      <c r="C67" s="2" t="s">
        <v>473</v>
      </c>
      <c r="D67" s="2" t="s">
        <v>2294</v>
      </c>
      <c r="E67" s="163" t="s">
        <v>2640</v>
      </c>
      <c r="F67" s="3" t="s">
        <v>2295</v>
      </c>
      <c r="G67" s="3" t="s">
        <v>2296</v>
      </c>
      <c r="H67" s="3" t="s">
        <v>3453</v>
      </c>
      <c r="I67" s="3" t="s">
        <v>2297</v>
      </c>
      <c r="J67" s="22" t="s">
        <v>2298</v>
      </c>
    </row>
    <row r="68" spans="1:10" ht="21">
      <c r="A68" s="26"/>
      <c r="B68" s="21"/>
      <c r="C68" s="2" t="s">
        <v>474</v>
      </c>
      <c r="D68" s="2" t="s">
        <v>475</v>
      </c>
      <c r="E68" s="163" t="s">
        <v>2640</v>
      </c>
      <c r="F68" s="3" t="s">
        <v>2299</v>
      </c>
      <c r="G68" s="3" t="s">
        <v>2300</v>
      </c>
      <c r="H68" s="3" t="s">
        <v>3459</v>
      </c>
      <c r="I68" s="3" t="s">
        <v>2301</v>
      </c>
      <c r="J68" s="22" t="s">
        <v>2302</v>
      </c>
    </row>
    <row r="69" spans="1:10" ht="21">
      <c r="A69" s="26"/>
      <c r="B69" s="21"/>
      <c r="C69" s="2" t="s">
        <v>476</v>
      </c>
      <c r="D69" s="2" t="s">
        <v>2303</v>
      </c>
      <c r="E69" s="163" t="s">
        <v>2640</v>
      </c>
      <c r="F69" s="3" t="s">
        <v>2304</v>
      </c>
      <c r="G69" s="3" t="s">
        <v>2305</v>
      </c>
      <c r="H69" s="3" t="s">
        <v>3459</v>
      </c>
      <c r="I69" s="3" t="s">
        <v>2306</v>
      </c>
      <c r="J69" s="22" t="s">
        <v>2307</v>
      </c>
    </row>
    <row r="70" spans="1:10" ht="21">
      <c r="A70" s="26"/>
      <c r="B70" s="21"/>
      <c r="C70" s="2" t="s">
        <v>478</v>
      </c>
      <c r="D70" s="2" t="s">
        <v>2308</v>
      </c>
      <c r="E70" s="163" t="s">
        <v>2639</v>
      </c>
      <c r="F70" s="3" t="s">
        <v>2309</v>
      </c>
      <c r="G70" s="3" t="s">
        <v>2310</v>
      </c>
      <c r="H70" s="3" t="s">
        <v>3459</v>
      </c>
      <c r="I70" s="3" t="s">
        <v>2311</v>
      </c>
      <c r="J70" s="22" t="s">
        <v>2312</v>
      </c>
    </row>
    <row r="71" spans="1:10" ht="21">
      <c r="A71" s="26"/>
      <c r="B71" s="21" t="s">
        <v>480</v>
      </c>
      <c r="C71" s="2" t="s">
        <v>481</v>
      </c>
      <c r="D71" s="2" t="s">
        <v>2313</v>
      </c>
      <c r="E71" s="163" t="s">
        <v>2639</v>
      </c>
      <c r="F71" s="3" t="s">
        <v>2314</v>
      </c>
      <c r="G71" s="3" t="s">
        <v>2315</v>
      </c>
      <c r="H71" s="3" t="s">
        <v>3459</v>
      </c>
      <c r="I71" s="3" t="s">
        <v>2316</v>
      </c>
      <c r="J71" s="22" t="s">
        <v>2317</v>
      </c>
    </row>
    <row r="72" spans="1:10" ht="21">
      <c r="A72" s="26"/>
      <c r="B72" s="21"/>
      <c r="C72" s="2" t="s">
        <v>483</v>
      </c>
      <c r="D72" s="2" t="s">
        <v>2318</v>
      </c>
      <c r="E72" s="163" t="s">
        <v>2639</v>
      </c>
      <c r="F72" s="3" t="s">
        <v>2319</v>
      </c>
      <c r="G72" s="3" t="s">
        <v>2320</v>
      </c>
      <c r="H72" s="3" t="s">
        <v>3453</v>
      </c>
      <c r="I72" s="3" t="s">
        <v>2321</v>
      </c>
      <c r="J72" s="22" t="s">
        <v>2322</v>
      </c>
    </row>
    <row r="73" spans="1:10" ht="21">
      <c r="A73" s="26"/>
      <c r="B73" s="21"/>
      <c r="C73" s="2" t="s">
        <v>484</v>
      </c>
      <c r="D73" s="2" t="s">
        <v>2323</v>
      </c>
      <c r="E73" s="163" t="s">
        <v>2640</v>
      </c>
      <c r="F73" s="3" t="s">
        <v>2324</v>
      </c>
      <c r="G73" s="3" t="s">
        <v>2325</v>
      </c>
      <c r="H73" s="3" t="s">
        <v>3453</v>
      </c>
      <c r="I73" s="3" t="s">
        <v>2326</v>
      </c>
      <c r="J73" s="22" t="s">
        <v>2327</v>
      </c>
    </row>
    <row r="74" spans="1:10" ht="21">
      <c r="A74" s="26"/>
      <c r="B74" s="21"/>
      <c r="C74" s="2" t="s">
        <v>485</v>
      </c>
      <c r="D74" s="2" t="s">
        <v>2328</v>
      </c>
      <c r="E74" s="163" t="s">
        <v>2640</v>
      </c>
      <c r="F74" s="3" t="s">
        <v>2329</v>
      </c>
      <c r="G74" s="3" t="s">
        <v>2330</v>
      </c>
      <c r="H74" s="3" t="s">
        <v>3453</v>
      </c>
      <c r="I74" s="3" t="s">
        <v>2331</v>
      </c>
      <c r="J74" s="22" t="s">
        <v>2332</v>
      </c>
    </row>
    <row r="75" spans="1:10" ht="21">
      <c r="A75" s="26"/>
      <c r="B75" s="21"/>
      <c r="C75" s="2" t="s">
        <v>486</v>
      </c>
      <c r="D75" s="2" t="s">
        <v>2333</v>
      </c>
      <c r="E75" s="163" t="s">
        <v>2639</v>
      </c>
      <c r="F75" s="3" t="s">
        <v>2334</v>
      </c>
      <c r="G75" s="3" t="s">
        <v>2335</v>
      </c>
      <c r="H75" s="3" t="s">
        <v>3459</v>
      </c>
      <c r="I75" s="3" t="s">
        <v>2336</v>
      </c>
      <c r="J75" s="22" t="s">
        <v>2337</v>
      </c>
    </row>
    <row r="76" spans="1:10" ht="21">
      <c r="A76" s="26"/>
      <c r="B76" s="21" t="s">
        <v>487</v>
      </c>
      <c r="C76" s="2" t="s">
        <v>488</v>
      </c>
      <c r="D76" s="2" t="s">
        <v>490</v>
      </c>
      <c r="E76" s="163" t="s">
        <v>2639</v>
      </c>
      <c r="F76" s="3" t="s">
        <v>2338</v>
      </c>
      <c r="G76" s="3" t="s">
        <v>2339</v>
      </c>
      <c r="H76" s="3" t="s">
        <v>3581</v>
      </c>
      <c r="I76" s="3" t="s">
        <v>2340</v>
      </c>
      <c r="J76" s="22" t="s">
        <v>2341</v>
      </c>
    </row>
    <row r="77" spans="1:10" ht="21">
      <c r="A77" s="26"/>
      <c r="B77" s="21"/>
      <c r="C77" s="2" t="s">
        <v>489</v>
      </c>
      <c r="D77" s="2" t="s">
        <v>492</v>
      </c>
      <c r="E77" s="163" t="s">
        <v>2639</v>
      </c>
      <c r="F77" s="3" t="s">
        <v>2342</v>
      </c>
      <c r="G77" s="3" t="s">
        <v>2343</v>
      </c>
      <c r="H77" s="3" t="s">
        <v>3459</v>
      </c>
      <c r="I77" s="3" t="s">
        <v>2344</v>
      </c>
      <c r="J77" s="22" t="s">
        <v>2345</v>
      </c>
    </row>
    <row r="78" spans="1:10" ht="21">
      <c r="A78" s="26"/>
      <c r="B78" s="21"/>
      <c r="C78" s="2" t="s">
        <v>491</v>
      </c>
      <c r="D78" s="2" t="s">
        <v>494</v>
      </c>
      <c r="E78" s="163" t="s">
        <v>2640</v>
      </c>
      <c r="F78" s="3" t="s">
        <v>2346</v>
      </c>
      <c r="G78" s="3" t="s">
        <v>2347</v>
      </c>
      <c r="H78" s="3" t="s">
        <v>3453</v>
      </c>
      <c r="I78" s="3" t="s">
        <v>2348</v>
      </c>
      <c r="J78" s="22" t="s">
        <v>2349</v>
      </c>
    </row>
    <row r="79" spans="1:10" ht="21">
      <c r="A79" s="26"/>
      <c r="B79" s="21"/>
      <c r="C79" s="2" t="s">
        <v>493</v>
      </c>
      <c r="D79" s="2" t="s">
        <v>496</v>
      </c>
      <c r="E79" s="163" t="s">
        <v>2640</v>
      </c>
      <c r="F79" s="3" t="s">
        <v>2350</v>
      </c>
      <c r="G79" s="3" t="s">
        <v>2351</v>
      </c>
      <c r="H79" s="3" t="s">
        <v>3459</v>
      </c>
      <c r="I79" s="3" t="s">
        <v>2352</v>
      </c>
      <c r="J79" s="22" t="s">
        <v>2353</v>
      </c>
    </row>
    <row r="80" spans="1:10" ht="21">
      <c r="A80" s="26"/>
      <c r="B80" s="21"/>
      <c r="C80" s="2" t="s">
        <v>495</v>
      </c>
      <c r="D80" s="2" t="s">
        <v>2354</v>
      </c>
      <c r="E80" s="163" t="s">
        <v>2639</v>
      </c>
      <c r="F80" s="3" t="s">
        <v>2355</v>
      </c>
      <c r="G80" s="3" t="s">
        <v>2356</v>
      </c>
      <c r="H80" s="3" t="s">
        <v>3459</v>
      </c>
      <c r="I80" s="3" t="s">
        <v>2357</v>
      </c>
      <c r="J80" s="22" t="s">
        <v>2358</v>
      </c>
    </row>
    <row r="81" spans="1:10" ht="21">
      <c r="A81" s="26"/>
      <c r="B81" s="21" t="s">
        <v>497</v>
      </c>
      <c r="C81" s="2" t="s">
        <v>498</v>
      </c>
      <c r="D81" s="2" t="s">
        <v>2359</v>
      </c>
      <c r="E81" s="163" t="s">
        <v>2639</v>
      </c>
      <c r="F81" s="3" t="s">
        <v>2360</v>
      </c>
      <c r="G81" s="3" t="s">
        <v>2361</v>
      </c>
      <c r="H81" s="3" t="s">
        <v>3581</v>
      </c>
      <c r="I81" s="3" t="s">
        <v>2362</v>
      </c>
      <c r="J81" s="22" t="s">
        <v>2363</v>
      </c>
    </row>
    <row r="82" spans="1:10" ht="21">
      <c r="A82" s="26"/>
      <c r="B82" s="21"/>
      <c r="C82" s="2" t="s">
        <v>499</v>
      </c>
      <c r="D82" s="2" t="s">
        <v>2364</v>
      </c>
      <c r="E82" s="163" t="s">
        <v>2639</v>
      </c>
      <c r="F82" s="3" t="s">
        <v>2365</v>
      </c>
      <c r="G82" s="3" t="s">
        <v>2366</v>
      </c>
      <c r="H82" s="3" t="s">
        <v>3581</v>
      </c>
      <c r="I82" s="3" t="s">
        <v>2367</v>
      </c>
      <c r="J82" s="22" t="s">
        <v>2368</v>
      </c>
    </row>
    <row r="83" spans="1:10" ht="21">
      <c r="A83" s="26"/>
      <c r="B83" s="21"/>
      <c r="C83" s="2" t="s">
        <v>500</v>
      </c>
      <c r="D83" s="2" t="s">
        <v>2369</v>
      </c>
      <c r="E83" s="163" t="s">
        <v>2639</v>
      </c>
      <c r="F83" s="3" t="s">
        <v>2370</v>
      </c>
      <c r="G83" s="3" t="s">
        <v>2371</v>
      </c>
      <c r="H83" s="3" t="s">
        <v>3453</v>
      </c>
      <c r="I83" s="3" t="s">
        <v>2372</v>
      </c>
      <c r="J83" s="22" t="s">
        <v>2373</v>
      </c>
    </row>
    <row r="84" spans="1:10" ht="21">
      <c r="A84" s="26"/>
      <c r="B84" s="21"/>
      <c r="C84" s="2" t="s">
        <v>457</v>
      </c>
      <c r="D84" s="2" t="s">
        <v>2374</v>
      </c>
      <c r="E84" s="163" t="s">
        <v>2640</v>
      </c>
      <c r="F84" s="3" t="s">
        <v>2375</v>
      </c>
      <c r="G84" s="3" t="s">
        <v>2376</v>
      </c>
      <c r="H84" s="3" t="s">
        <v>3459</v>
      </c>
      <c r="I84" s="3" t="s">
        <v>2377</v>
      </c>
      <c r="J84" s="22" t="s">
        <v>2378</v>
      </c>
    </row>
    <row r="85" spans="1:10" ht="21">
      <c r="A85" s="26"/>
      <c r="B85" s="21"/>
      <c r="C85" s="2" t="s">
        <v>501</v>
      </c>
      <c r="D85" s="2" t="s">
        <v>2379</v>
      </c>
      <c r="E85" s="163" t="s">
        <v>2640</v>
      </c>
      <c r="F85" s="3" t="s">
        <v>2380</v>
      </c>
      <c r="G85" s="3" t="s">
        <v>2381</v>
      </c>
      <c r="H85" s="3" t="s">
        <v>3581</v>
      </c>
      <c r="I85" s="3" t="s">
        <v>2382</v>
      </c>
      <c r="J85" s="22" t="s">
        <v>2383</v>
      </c>
    </row>
    <row r="86" spans="1:10" ht="21">
      <c r="A86" s="26"/>
      <c r="B86" s="21" t="s">
        <v>502</v>
      </c>
      <c r="C86" s="2" t="s">
        <v>503</v>
      </c>
      <c r="D86" s="2" t="s">
        <v>2384</v>
      </c>
      <c r="E86" s="163" t="s">
        <v>2639</v>
      </c>
      <c r="F86" s="3" t="s">
        <v>2385</v>
      </c>
      <c r="G86" s="3" t="s">
        <v>2386</v>
      </c>
      <c r="H86" s="3" t="s">
        <v>3459</v>
      </c>
      <c r="I86" s="3" t="s">
        <v>2387</v>
      </c>
      <c r="J86" s="22" t="s">
        <v>2388</v>
      </c>
    </row>
    <row r="87" spans="1:10" ht="21">
      <c r="A87" s="26"/>
      <c r="B87" s="21"/>
      <c r="C87" s="2" t="s">
        <v>504</v>
      </c>
      <c r="D87" s="2" t="s">
        <v>2389</v>
      </c>
      <c r="E87" s="163" t="s">
        <v>2640</v>
      </c>
      <c r="F87" s="3" t="s">
        <v>2390</v>
      </c>
      <c r="G87" s="3" t="s">
        <v>2391</v>
      </c>
      <c r="H87" s="3" t="s">
        <v>3453</v>
      </c>
      <c r="I87" s="3" t="s">
        <v>2392</v>
      </c>
      <c r="J87" s="22" t="s">
        <v>2393</v>
      </c>
    </row>
    <row r="88" spans="1:10" ht="21">
      <c r="A88" s="26"/>
      <c r="B88" s="21"/>
      <c r="C88" s="2" t="s">
        <v>505</v>
      </c>
      <c r="D88" s="2" t="s">
        <v>2394</v>
      </c>
      <c r="E88" s="163" t="s">
        <v>2641</v>
      </c>
      <c r="F88" s="3" t="s">
        <v>2395</v>
      </c>
      <c r="G88" s="3" t="s">
        <v>2310</v>
      </c>
      <c r="H88" s="3" t="s">
        <v>3453</v>
      </c>
      <c r="I88" s="3" t="s">
        <v>2396</v>
      </c>
      <c r="J88" s="22" t="s">
        <v>2397</v>
      </c>
    </row>
    <row r="89" spans="1:10" ht="21">
      <c r="A89" s="26"/>
      <c r="B89" s="21"/>
      <c r="C89" s="2" t="s">
        <v>506</v>
      </c>
      <c r="D89" s="2" t="s">
        <v>2398</v>
      </c>
      <c r="E89" s="163" t="s">
        <v>2641</v>
      </c>
      <c r="F89" s="3" t="s">
        <v>2399</v>
      </c>
      <c r="G89" s="3" t="s">
        <v>2400</v>
      </c>
      <c r="H89" s="3" t="s">
        <v>3453</v>
      </c>
      <c r="I89" s="3" t="s">
        <v>2401</v>
      </c>
      <c r="J89" s="22" t="s">
        <v>2402</v>
      </c>
    </row>
    <row r="90" spans="1:10" ht="21">
      <c r="A90" s="26"/>
      <c r="B90" s="21"/>
      <c r="C90" s="2" t="s">
        <v>507</v>
      </c>
      <c r="D90" s="2" t="s">
        <v>2403</v>
      </c>
      <c r="E90" s="163" t="s">
        <v>2639</v>
      </c>
      <c r="F90" s="3" t="s">
        <v>2404</v>
      </c>
      <c r="G90" s="3" t="s">
        <v>2405</v>
      </c>
      <c r="H90" s="3" t="s">
        <v>3453</v>
      </c>
      <c r="I90" s="3" t="s">
        <v>2406</v>
      </c>
      <c r="J90" s="22" t="s">
        <v>2407</v>
      </c>
    </row>
    <row r="91" spans="1:10" ht="21">
      <c r="A91" s="26"/>
      <c r="B91" s="21" t="s">
        <v>508</v>
      </c>
      <c r="C91" s="2" t="s">
        <v>509</v>
      </c>
      <c r="D91" s="2" t="s">
        <v>2408</v>
      </c>
      <c r="E91" s="163" t="s">
        <v>2639</v>
      </c>
      <c r="F91" s="3" t="s">
        <v>2409</v>
      </c>
      <c r="G91" s="3" t="s">
        <v>2410</v>
      </c>
      <c r="H91" s="3" t="s">
        <v>3453</v>
      </c>
      <c r="I91" s="3" t="s">
        <v>2411</v>
      </c>
      <c r="J91" s="22" t="s">
        <v>2412</v>
      </c>
    </row>
    <row r="92" spans="1:10" ht="21">
      <c r="A92" s="26"/>
      <c r="B92" s="21"/>
      <c r="C92" s="2" t="s">
        <v>510</v>
      </c>
      <c r="D92" s="2" t="s">
        <v>2413</v>
      </c>
      <c r="E92" s="163" t="s">
        <v>2639</v>
      </c>
      <c r="F92" s="3" t="s">
        <v>2414</v>
      </c>
      <c r="G92" s="3" t="s">
        <v>2415</v>
      </c>
      <c r="H92" s="3" t="s">
        <v>3453</v>
      </c>
      <c r="I92" s="3" t="s">
        <v>2416</v>
      </c>
      <c r="J92" s="22" t="s">
        <v>2417</v>
      </c>
    </row>
    <row r="93" spans="1:10" ht="21">
      <c r="A93" s="26"/>
      <c r="B93" s="21"/>
      <c r="C93" s="2" t="s">
        <v>511</v>
      </c>
      <c r="D93" s="2" t="s">
        <v>2418</v>
      </c>
      <c r="E93" s="163" t="s">
        <v>2640</v>
      </c>
      <c r="F93" s="3" t="s">
        <v>2419</v>
      </c>
      <c r="G93" s="3" t="s">
        <v>2420</v>
      </c>
      <c r="H93" s="3" t="s">
        <v>3453</v>
      </c>
      <c r="I93" s="3" t="s">
        <v>2421</v>
      </c>
      <c r="J93" s="22" t="s">
        <v>2422</v>
      </c>
    </row>
    <row r="94" spans="1:10" ht="21">
      <c r="A94" s="26"/>
      <c r="B94" s="21"/>
      <c r="C94" s="2" t="s">
        <v>512</v>
      </c>
      <c r="D94" s="2" t="s">
        <v>2423</v>
      </c>
      <c r="E94" s="163" t="s">
        <v>2640</v>
      </c>
      <c r="F94" s="3" t="s">
        <v>2424</v>
      </c>
      <c r="G94" s="3" t="s">
        <v>2425</v>
      </c>
      <c r="H94" s="3" t="s">
        <v>3459</v>
      </c>
      <c r="I94" s="3" t="s">
        <v>2426</v>
      </c>
      <c r="J94" s="22" t="s">
        <v>2427</v>
      </c>
    </row>
    <row r="95" spans="1:10" ht="21">
      <c r="A95" s="26"/>
      <c r="B95" s="21"/>
      <c r="C95" s="2" t="s">
        <v>513</v>
      </c>
      <c r="D95" s="2" t="s">
        <v>2428</v>
      </c>
      <c r="E95" s="163" t="s">
        <v>2640</v>
      </c>
      <c r="F95" s="3" t="s">
        <v>2429</v>
      </c>
      <c r="G95" s="3" t="s">
        <v>2430</v>
      </c>
      <c r="H95" s="3" t="s">
        <v>3459</v>
      </c>
      <c r="I95" s="3" t="s">
        <v>2431</v>
      </c>
      <c r="J95" s="22" t="s">
        <v>2432</v>
      </c>
    </row>
    <row r="96" spans="1:10" ht="21">
      <c r="A96" s="26"/>
      <c r="B96" s="21" t="s">
        <v>514</v>
      </c>
      <c r="C96" s="2" t="s">
        <v>515</v>
      </c>
      <c r="D96" s="2" t="s">
        <v>2433</v>
      </c>
      <c r="E96" s="163" t="s">
        <v>2640</v>
      </c>
      <c r="F96" s="3" t="s">
        <v>2434</v>
      </c>
      <c r="G96" s="3" t="s">
        <v>2435</v>
      </c>
      <c r="H96" s="3" t="s">
        <v>3581</v>
      </c>
      <c r="I96" s="3" t="s">
        <v>2436</v>
      </c>
      <c r="J96" s="22" t="s">
        <v>2437</v>
      </c>
    </row>
    <row r="97" spans="1:10" ht="21">
      <c r="A97" s="26"/>
      <c r="B97" s="21"/>
      <c r="C97" s="2" t="s">
        <v>516</v>
      </c>
      <c r="D97" s="2" t="s">
        <v>2438</v>
      </c>
      <c r="E97" s="163" t="s">
        <v>2640</v>
      </c>
      <c r="F97" s="3" t="s">
        <v>2439</v>
      </c>
      <c r="G97" s="3" t="s">
        <v>2440</v>
      </c>
      <c r="H97" s="3" t="s">
        <v>3459</v>
      </c>
      <c r="I97" s="3" t="s">
        <v>2441</v>
      </c>
      <c r="J97" s="22" t="s">
        <v>2442</v>
      </c>
    </row>
    <row r="98" spans="1:10" ht="21">
      <c r="A98" s="26"/>
      <c r="B98" s="21"/>
      <c r="C98" s="2" t="s">
        <v>517</v>
      </c>
      <c r="D98" s="2" t="s">
        <v>2443</v>
      </c>
      <c r="E98" s="163" t="s">
        <v>2640</v>
      </c>
      <c r="F98" s="3" t="s">
        <v>2444</v>
      </c>
      <c r="G98" s="3" t="s">
        <v>2445</v>
      </c>
      <c r="H98" s="3" t="s">
        <v>3453</v>
      </c>
      <c r="I98" s="3" t="s">
        <v>2446</v>
      </c>
      <c r="J98" s="22" t="s">
        <v>2447</v>
      </c>
    </row>
    <row r="99" spans="1:10" ht="21">
      <c r="A99" s="26"/>
      <c r="B99" s="21"/>
      <c r="C99" s="2" t="s">
        <v>518</v>
      </c>
      <c r="D99" s="2" t="s">
        <v>2448</v>
      </c>
      <c r="E99" s="163" t="s">
        <v>2640</v>
      </c>
      <c r="F99" s="3" t="s">
        <v>2449</v>
      </c>
      <c r="G99" s="3" t="s">
        <v>2450</v>
      </c>
      <c r="H99" s="3" t="s">
        <v>3459</v>
      </c>
      <c r="I99" s="3" t="s">
        <v>2451</v>
      </c>
      <c r="J99" s="22" t="s">
        <v>2452</v>
      </c>
    </row>
    <row r="100" spans="1:10" ht="21">
      <c r="A100" s="26"/>
      <c r="B100" s="21"/>
      <c r="C100" s="2" t="s">
        <v>519</v>
      </c>
      <c r="D100" s="2" t="s">
        <v>2453</v>
      </c>
      <c r="E100" s="163" t="s">
        <v>2640</v>
      </c>
      <c r="F100" s="3" t="s">
        <v>2454</v>
      </c>
      <c r="G100" s="3" t="s">
        <v>2455</v>
      </c>
      <c r="H100" s="3" t="s">
        <v>3581</v>
      </c>
      <c r="I100" s="3" t="s">
        <v>2456</v>
      </c>
      <c r="J100" s="22" t="s">
        <v>2457</v>
      </c>
    </row>
    <row r="101" spans="1:10" ht="21">
      <c r="A101" s="26"/>
      <c r="B101" s="21" t="s">
        <v>520</v>
      </c>
      <c r="C101" s="2" t="s">
        <v>521</v>
      </c>
      <c r="D101" s="2" t="s">
        <v>522</v>
      </c>
      <c r="E101" s="163" t="s">
        <v>2640</v>
      </c>
      <c r="F101" s="3" t="s">
        <v>2458</v>
      </c>
      <c r="G101" s="3" t="s">
        <v>2459</v>
      </c>
      <c r="H101" s="3" t="s">
        <v>3581</v>
      </c>
      <c r="I101" s="22" t="s">
        <v>2460</v>
      </c>
      <c r="J101" s="23" t="s">
        <v>2461</v>
      </c>
    </row>
    <row r="102" spans="1:10" ht="21">
      <c r="A102" s="26"/>
      <c r="B102" s="21"/>
      <c r="C102" s="2" t="s">
        <v>523</v>
      </c>
      <c r="D102" s="2" t="s">
        <v>524</v>
      </c>
      <c r="E102" s="163" t="s">
        <v>2640</v>
      </c>
      <c r="F102" s="3" t="s">
        <v>2462</v>
      </c>
      <c r="G102" s="3" t="s">
        <v>2463</v>
      </c>
      <c r="H102" s="3" t="s">
        <v>3459</v>
      </c>
      <c r="I102" s="22" t="s">
        <v>2464</v>
      </c>
      <c r="J102" s="23" t="s">
        <v>2465</v>
      </c>
    </row>
    <row r="103" spans="1:10" ht="21">
      <c r="A103" s="26"/>
      <c r="B103" s="21"/>
      <c r="C103" s="2" t="s">
        <v>525</v>
      </c>
      <c r="D103" s="2" t="s">
        <v>526</v>
      </c>
      <c r="E103" s="163" t="s">
        <v>2640</v>
      </c>
      <c r="F103" s="3" t="s">
        <v>2466</v>
      </c>
      <c r="G103" s="3" t="s">
        <v>2467</v>
      </c>
      <c r="H103" s="3" t="s">
        <v>3453</v>
      </c>
      <c r="I103" s="22" t="s">
        <v>2468</v>
      </c>
      <c r="J103" s="23" t="s">
        <v>2469</v>
      </c>
    </row>
    <row r="104" spans="1:10" ht="21">
      <c r="A104" s="26"/>
      <c r="B104" s="21"/>
      <c r="C104" s="2" t="s">
        <v>527</v>
      </c>
      <c r="D104" s="2" t="s">
        <v>528</v>
      </c>
      <c r="E104" s="163" t="s">
        <v>2640</v>
      </c>
      <c r="F104" s="3" t="s">
        <v>2470</v>
      </c>
      <c r="G104" s="3" t="s">
        <v>2471</v>
      </c>
      <c r="H104" s="3" t="s">
        <v>3459</v>
      </c>
      <c r="I104" s="22" t="s">
        <v>2472</v>
      </c>
      <c r="J104" s="23" t="s">
        <v>2473</v>
      </c>
    </row>
    <row r="105" spans="1:10" ht="21">
      <c r="A105" s="26"/>
      <c r="B105" s="21"/>
      <c r="C105" s="2" t="s">
        <v>529</v>
      </c>
      <c r="D105" s="2" t="s">
        <v>530</v>
      </c>
      <c r="E105" s="163" t="s">
        <v>2640</v>
      </c>
      <c r="F105" s="3" t="s">
        <v>2474</v>
      </c>
      <c r="G105" s="3" t="s">
        <v>2475</v>
      </c>
      <c r="H105" s="3" t="s">
        <v>3459</v>
      </c>
      <c r="I105" s="22" t="s">
        <v>2476</v>
      </c>
      <c r="J105" s="23" t="s">
        <v>2477</v>
      </c>
    </row>
    <row r="106" spans="1:10" ht="21">
      <c r="A106" s="26"/>
      <c r="B106" s="21" t="s">
        <v>531</v>
      </c>
      <c r="C106" s="2" t="s">
        <v>532</v>
      </c>
      <c r="D106" s="2" t="s">
        <v>533</v>
      </c>
      <c r="E106" s="163" t="s">
        <v>2640</v>
      </c>
      <c r="F106" s="3" t="s">
        <v>2478</v>
      </c>
      <c r="G106" s="3" t="s">
        <v>2479</v>
      </c>
      <c r="H106" s="3" t="s">
        <v>3581</v>
      </c>
      <c r="I106" s="22" t="s">
        <v>2480</v>
      </c>
      <c r="J106" s="23" t="s">
        <v>2481</v>
      </c>
    </row>
    <row r="107" spans="1:10" ht="21">
      <c r="A107" s="26"/>
      <c r="B107" s="21"/>
      <c r="C107" s="2" t="s">
        <v>534</v>
      </c>
      <c r="D107" s="2" t="s">
        <v>535</v>
      </c>
      <c r="E107" s="163" t="s">
        <v>2640</v>
      </c>
      <c r="F107" s="3" t="s">
        <v>2482</v>
      </c>
      <c r="G107" s="3" t="s">
        <v>2483</v>
      </c>
      <c r="H107" s="3" t="s">
        <v>3459</v>
      </c>
      <c r="I107" s="22" t="s">
        <v>2484</v>
      </c>
      <c r="J107" s="23" t="s">
        <v>2485</v>
      </c>
    </row>
    <row r="108" spans="1:10" ht="21">
      <c r="A108" s="26"/>
      <c r="B108" s="21"/>
      <c r="C108" s="2" t="s">
        <v>536</v>
      </c>
      <c r="D108" s="2" t="s">
        <v>537</v>
      </c>
      <c r="E108" s="163" t="s">
        <v>2640</v>
      </c>
      <c r="F108" s="3" t="s">
        <v>2486</v>
      </c>
      <c r="G108" s="3" t="s">
        <v>2487</v>
      </c>
      <c r="H108" s="3" t="s">
        <v>3453</v>
      </c>
      <c r="I108" s="22" t="s">
        <v>2488</v>
      </c>
      <c r="J108" s="23" t="s">
        <v>2489</v>
      </c>
    </row>
    <row r="109" spans="1:10" ht="21">
      <c r="A109" s="26"/>
      <c r="B109" s="21"/>
      <c r="C109" s="2" t="s">
        <v>538</v>
      </c>
      <c r="D109" s="2" t="s">
        <v>539</v>
      </c>
      <c r="E109" s="163" t="s">
        <v>2640</v>
      </c>
      <c r="F109" s="3" t="s">
        <v>2490</v>
      </c>
      <c r="G109" s="3" t="s">
        <v>2491</v>
      </c>
      <c r="H109" s="3" t="s">
        <v>3581</v>
      </c>
      <c r="I109" s="22" t="s">
        <v>2492</v>
      </c>
      <c r="J109" s="23" t="s">
        <v>2493</v>
      </c>
    </row>
    <row r="110" spans="1:10" ht="21">
      <c r="A110" s="26"/>
      <c r="B110" s="21"/>
      <c r="C110" s="2" t="s">
        <v>540</v>
      </c>
      <c r="D110" s="2" t="s">
        <v>541</v>
      </c>
      <c r="E110" s="163" t="s">
        <v>2640</v>
      </c>
      <c r="F110" s="3" t="s">
        <v>2494</v>
      </c>
      <c r="G110" s="3" t="s">
        <v>2495</v>
      </c>
      <c r="H110" s="3" t="s">
        <v>3459</v>
      </c>
      <c r="I110" s="22" t="s">
        <v>2496</v>
      </c>
      <c r="J110" s="23" t="s">
        <v>2497</v>
      </c>
    </row>
    <row r="111" spans="1:10" ht="21">
      <c r="A111" s="26"/>
      <c r="B111" s="21" t="s">
        <v>542</v>
      </c>
      <c r="C111" s="2" t="s">
        <v>543</v>
      </c>
      <c r="D111" s="2" t="s">
        <v>544</v>
      </c>
      <c r="E111" s="163" t="s">
        <v>2640</v>
      </c>
      <c r="F111" s="3" t="s">
        <v>2498</v>
      </c>
      <c r="G111" s="3" t="s">
        <v>2499</v>
      </c>
      <c r="H111" s="3" t="s">
        <v>3581</v>
      </c>
      <c r="I111" s="22" t="s">
        <v>2500</v>
      </c>
      <c r="J111" s="23" t="s">
        <v>2501</v>
      </c>
    </row>
    <row r="112" spans="1:10" ht="21">
      <c r="A112" s="26"/>
      <c r="B112" s="21"/>
      <c r="C112" s="2" t="s">
        <v>504</v>
      </c>
      <c r="D112" s="2" t="s">
        <v>545</v>
      </c>
      <c r="E112" s="163" t="s">
        <v>2640</v>
      </c>
      <c r="F112" s="3" t="s">
        <v>2502</v>
      </c>
      <c r="G112" s="3" t="s">
        <v>2503</v>
      </c>
      <c r="H112" s="3" t="s">
        <v>3453</v>
      </c>
      <c r="I112" s="22" t="s">
        <v>2504</v>
      </c>
      <c r="J112" s="23" t="s">
        <v>2505</v>
      </c>
    </row>
    <row r="113" spans="1:10" ht="21">
      <c r="A113" s="26"/>
      <c r="B113" s="21"/>
      <c r="C113" s="2" t="s">
        <v>546</v>
      </c>
      <c r="D113" s="2" t="s">
        <v>547</v>
      </c>
      <c r="E113" s="163" t="s">
        <v>2640</v>
      </c>
      <c r="F113" s="3" t="s">
        <v>2506</v>
      </c>
      <c r="G113" s="3" t="s">
        <v>2507</v>
      </c>
      <c r="H113" s="3" t="s">
        <v>3459</v>
      </c>
      <c r="I113" s="22" t="s">
        <v>2508</v>
      </c>
      <c r="J113" s="23" t="s">
        <v>2509</v>
      </c>
    </row>
    <row r="114" spans="1:10" ht="21">
      <c r="A114" s="26"/>
      <c r="B114" s="21"/>
      <c r="C114" s="2" t="s">
        <v>548</v>
      </c>
      <c r="D114" s="2" t="s">
        <v>549</v>
      </c>
      <c r="E114" s="163" t="s">
        <v>2640</v>
      </c>
      <c r="F114" s="3" t="s">
        <v>2510</v>
      </c>
      <c r="G114" s="3" t="s">
        <v>2511</v>
      </c>
      <c r="H114" s="3" t="s">
        <v>3459</v>
      </c>
      <c r="I114" s="22" t="s">
        <v>2512</v>
      </c>
      <c r="J114" s="23" t="s">
        <v>2513</v>
      </c>
    </row>
    <row r="115" spans="1:10" ht="21">
      <c r="A115" s="26"/>
      <c r="B115" s="21"/>
      <c r="C115" s="2" t="s">
        <v>507</v>
      </c>
      <c r="D115" s="2" t="s">
        <v>550</v>
      </c>
      <c r="E115" s="163" t="s">
        <v>2639</v>
      </c>
      <c r="F115" s="3" t="s">
        <v>2514</v>
      </c>
      <c r="G115" s="3" t="s">
        <v>2515</v>
      </c>
      <c r="H115" s="3" t="s">
        <v>3453</v>
      </c>
      <c r="I115" s="22" t="s">
        <v>2516</v>
      </c>
      <c r="J115" s="23" t="s">
        <v>2517</v>
      </c>
    </row>
    <row r="116" spans="1:10" ht="21">
      <c r="A116" s="26"/>
      <c r="B116" s="21" t="s">
        <v>551</v>
      </c>
      <c r="C116" s="2" t="s">
        <v>552</v>
      </c>
      <c r="D116" s="2" t="s">
        <v>553</v>
      </c>
      <c r="E116" s="163" t="s">
        <v>2640</v>
      </c>
      <c r="F116" s="3" t="s">
        <v>2518</v>
      </c>
      <c r="G116" s="3" t="s">
        <v>2519</v>
      </c>
      <c r="H116" s="3" t="s">
        <v>3453</v>
      </c>
      <c r="I116" s="22" t="s">
        <v>2520</v>
      </c>
      <c r="J116" s="23" t="s">
        <v>2521</v>
      </c>
    </row>
    <row r="117" spans="1:10" ht="21">
      <c r="A117" s="26"/>
      <c r="B117" s="21"/>
      <c r="C117" s="2" t="s">
        <v>554</v>
      </c>
      <c r="D117" s="2" t="s">
        <v>555</v>
      </c>
      <c r="E117" s="163" t="s">
        <v>2639</v>
      </c>
      <c r="F117" s="3" t="s">
        <v>2522</v>
      </c>
      <c r="G117" s="3" t="s">
        <v>2523</v>
      </c>
      <c r="H117" s="3" t="s">
        <v>3453</v>
      </c>
      <c r="I117" s="22" t="s">
        <v>2524</v>
      </c>
      <c r="J117" s="23" t="s">
        <v>2525</v>
      </c>
    </row>
    <row r="118" spans="1:10" ht="21">
      <c r="A118" s="26"/>
      <c r="B118" s="21"/>
      <c r="C118" s="2" t="s">
        <v>556</v>
      </c>
      <c r="D118" s="2" t="s">
        <v>557</v>
      </c>
      <c r="E118" s="163" t="s">
        <v>2639</v>
      </c>
      <c r="F118" s="3" t="s">
        <v>2526</v>
      </c>
      <c r="G118" s="3" t="s">
        <v>2527</v>
      </c>
      <c r="H118" s="23" t="s">
        <v>3459</v>
      </c>
      <c r="I118" s="22" t="s">
        <v>2528</v>
      </c>
      <c r="J118" s="23" t="s">
        <v>2529</v>
      </c>
    </row>
    <row r="119" spans="1:10" ht="21">
      <c r="A119" s="26"/>
      <c r="B119" s="21"/>
      <c r="C119" s="2" t="s">
        <v>558</v>
      </c>
      <c r="D119" s="2" t="s">
        <v>559</v>
      </c>
      <c r="E119" s="163" t="s">
        <v>2641</v>
      </c>
      <c r="F119" s="3" t="s">
        <v>2530</v>
      </c>
      <c r="G119" s="3" t="s">
        <v>2531</v>
      </c>
      <c r="H119" s="3" t="s">
        <v>3453</v>
      </c>
      <c r="I119" s="22" t="s">
        <v>2532</v>
      </c>
      <c r="J119" s="23" t="s">
        <v>2533</v>
      </c>
    </row>
    <row r="120" spans="1:10" ht="21">
      <c r="A120" s="26"/>
      <c r="B120" s="21"/>
      <c r="C120" s="2" t="s">
        <v>529</v>
      </c>
      <c r="D120" s="2" t="s">
        <v>560</v>
      </c>
      <c r="E120" s="163" t="s">
        <v>2639</v>
      </c>
      <c r="F120" s="3" t="s">
        <v>2534</v>
      </c>
      <c r="G120" s="3" t="s">
        <v>2535</v>
      </c>
      <c r="H120" s="3" t="s">
        <v>3459</v>
      </c>
      <c r="I120" s="22" t="s">
        <v>2536</v>
      </c>
      <c r="J120" s="23" t="s">
        <v>2537</v>
      </c>
    </row>
    <row r="121" spans="1:10" ht="21">
      <c r="A121" s="26"/>
      <c r="B121" s="21" t="s">
        <v>561</v>
      </c>
      <c r="C121" s="2" t="s">
        <v>562</v>
      </c>
      <c r="D121" s="2" t="s">
        <v>563</v>
      </c>
      <c r="E121" s="163" t="s">
        <v>2639</v>
      </c>
      <c r="F121" s="3" t="s">
        <v>2538</v>
      </c>
      <c r="G121" s="3" t="s">
        <v>2539</v>
      </c>
      <c r="H121" s="3" t="s">
        <v>3459</v>
      </c>
      <c r="I121" s="22" t="s">
        <v>2540</v>
      </c>
      <c r="J121" s="23" t="s">
        <v>2541</v>
      </c>
    </row>
    <row r="122" spans="1:10" ht="21">
      <c r="A122" s="26"/>
      <c r="B122" s="21"/>
      <c r="C122" s="2" t="s">
        <v>564</v>
      </c>
      <c r="D122" s="2" t="s">
        <v>565</v>
      </c>
      <c r="E122" s="163" t="s">
        <v>2641</v>
      </c>
      <c r="F122" s="3" t="s">
        <v>2542</v>
      </c>
      <c r="G122" s="3" t="s">
        <v>2543</v>
      </c>
      <c r="H122" s="3" t="s">
        <v>3453</v>
      </c>
      <c r="I122" s="22" t="s">
        <v>2544</v>
      </c>
      <c r="J122" s="23" t="s">
        <v>2545</v>
      </c>
    </row>
    <row r="123" spans="1:10" ht="21">
      <c r="A123" s="26"/>
      <c r="B123" s="21"/>
      <c r="C123" s="2" t="s">
        <v>566</v>
      </c>
      <c r="D123" s="2" t="s">
        <v>567</v>
      </c>
      <c r="E123" s="163" t="s">
        <v>2639</v>
      </c>
      <c r="F123" s="3" t="s">
        <v>2546</v>
      </c>
      <c r="G123" s="3" t="s">
        <v>2547</v>
      </c>
      <c r="H123" s="3" t="s">
        <v>3453</v>
      </c>
      <c r="I123" s="22" t="s">
        <v>2548</v>
      </c>
      <c r="J123" s="23" t="s">
        <v>2549</v>
      </c>
    </row>
    <row r="124" spans="1:10" ht="21">
      <c r="A124" s="26"/>
      <c r="B124" s="21"/>
      <c r="C124" s="2" t="s">
        <v>568</v>
      </c>
      <c r="D124" s="2" t="s">
        <v>569</v>
      </c>
      <c r="E124" s="163" t="s">
        <v>2639</v>
      </c>
      <c r="F124" s="3" t="s">
        <v>2550</v>
      </c>
      <c r="G124" s="3" t="s">
        <v>2551</v>
      </c>
      <c r="H124" s="3" t="s">
        <v>3459</v>
      </c>
      <c r="I124" s="22" t="s">
        <v>2552</v>
      </c>
      <c r="J124" s="23" t="s">
        <v>2553</v>
      </c>
    </row>
    <row r="125" spans="1:10" ht="21">
      <c r="A125" s="26"/>
      <c r="B125" s="21"/>
      <c r="C125" s="2" t="s">
        <v>570</v>
      </c>
      <c r="D125" s="2" t="s">
        <v>571</v>
      </c>
      <c r="E125" s="163" t="s">
        <v>2639</v>
      </c>
      <c r="F125" s="3" t="s">
        <v>2554</v>
      </c>
      <c r="G125" s="3" t="s">
        <v>2555</v>
      </c>
      <c r="H125" s="3" t="s">
        <v>3459</v>
      </c>
      <c r="I125" s="22" t="s">
        <v>2556</v>
      </c>
      <c r="J125" s="23" t="s">
        <v>2557</v>
      </c>
    </row>
    <row r="126" spans="1:10" ht="21">
      <c r="A126" s="26"/>
      <c r="B126" s="21" t="s">
        <v>572</v>
      </c>
      <c r="C126" s="2" t="s">
        <v>573</v>
      </c>
      <c r="D126" s="2" t="s">
        <v>574</v>
      </c>
      <c r="E126" s="163" t="s">
        <v>2639</v>
      </c>
      <c r="F126" s="3" t="s">
        <v>2558</v>
      </c>
      <c r="G126" s="3" t="s">
        <v>2559</v>
      </c>
      <c r="H126" s="3" t="s">
        <v>3453</v>
      </c>
      <c r="I126" s="22" t="s">
        <v>2560</v>
      </c>
      <c r="J126" s="23" t="s">
        <v>2561</v>
      </c>
    </row>
    <row r="127" spans="1:10" ht="21">
      <c r="A127" s="26"/>
      <c r="B127" s="21"/>
      <c r="C127" s="2" t="s">
        <v>575</v>
      </c>
      <c r="D127" s="2" t="s">
        <v>576</v>
      </c>
      <c r="E127" s="163" t="s">
        <v>2640</v>
      </c>
      <c r="F127" s="3" t="s">
        <v>2562</v>
      </c>
      <c r="G127" s="3" t="s">
        <v>2563</v>
      </c>
      <c r="H127" s="3" t="s">
        <v>3581</v>
      </c>
      <c r="I127" s="22" t="s">
        <v>2564</v>
      </c>
      <c r="J127" s="23" t="s">
        <v>2565</v>
      </c>
    </row>
    <row r="128" spans="1:10" ht="21">
      <c r="A128" s="26"/>
      <c r="B128" s="21"/>
      <c r="C128" s="2" t="s">
        <v>577</v>
      </c>
      <c r="D128" s="2" t="s">
        <v>578</v>
      </c>
      <c r="E128" s="163" t="s">
        <v>2639</v>
      </c>
      <c r="F128" s="3" t="s">
        <v>2566</v>
      </c>
      <c r="G128" s="3" t="s">
        <v>2567</v>
      </c>
      <c r="H128" s="3" t="s">
        <v>3459</v>
      </c>
      <c r="I128" s="22" t="s">
        <v>2568</v>
      </c>
      <c r="J128" s="23" t="s">
        <v>2569</v>
      </c>
    </row>
    <row r="129" spans="1:10" ht="21">
      <c r="A129" s="26"/>
      <c r="B129" s="21"/>
      <c r="C129" s="2" t="s">
        <v>579</v>
      </c>
      <c r="D129" s="2" t="s">
        <v>580</v>
      </c>
      <c r="E129" s="163" t="s">
        <v>2639</v>
      </c>
      <c r="F129" s="3" t="s">
        <v>2570</v>
      </c>
      <c r="G129" s="3" t="s">
        <v>2571</v>
      </c>
      <c r="H129" s="3" t="s">
        <v>3581</v>
      </c>
      <c r="I129" s="22" t="s">
        <v>2572</v>
      </c>
      <c r="J129" s="23" t="s">
        <v>2573</v>
      </c>
    </row>
    <row r="130" spans="1:10" ht="21">
      <c r="A130" s="26"/>
      <c r="B130" s="21"/>
      <c r="C130" s="2" t="s">
        <v>581</v>
      </c>
      <c r="D130" s="2" t="s">
        <v>582</v>
      </c>
      <c r="E130" s="163" t="s">
        <v>2641</v>
      </c>
      <c r="F130" s="3" t="s">
        <v>2574</v>
      </c>
      <c r="G130" s="3" t="s">
        <v>2575</v>
      </c>
      <c r="H130" s="3" t="s">
        <v>3459</v>
      </c>
      <c r="I130" s="22" t="s">
        <v>2576</v>
      </c>
      <c r="J130" s="23" t="s">
        <v>2577</v>
      </c>
    </row>
    <row r="131" spans="1:10" ht="21">
      <c r="A131" s="26"/>
      <c r="B131" s="21" t="s">
        <v>583</v>
      </c>
      <c r="C131" s="2" t="s">
        <v>584</v>
      </c>
      <c r="D131" s="2" t="s">
        <v>585</v>
      </c>
      <c r="E131" s="163" t="s">
        <v>2639</v>
      </c>
      <c r="F131" s="3" t="s">
        <v>2578</v>
      </c>
      <c r="G131" s="3" t="s">
        <v>2579</v>
      </c>
      <c r="H131" s="3" t="s">
        <v>3581</v>
      </c>
      <c r="I131" s="22" t="s">
        <v>2580</v>
      </c>
      <c r="J131" s="23" t="s">
        <v>2581</v>
      </c>
    </row>
    <row r="132" spans="1:10" ht="21">
      <c r="A132" s="26"/>
      <c r="B132" s="21"/>
      <c r="C132" s="2" t="s">
        <v>586</v>
      </c>
      <c r="D132" s="2" t="s">
        <v>587</v>
      </c>
      <c r="E132" s="163" t="s">
        <v>2639</v>
      </c>
      <c r="F132" s="3" t="s">
        <v>2582</v>
      </c>
      <c r="G132" s="3" t="s">
        <v>2583</v>
      </c>
      <c r="H132" s="3" t="s">
        <v>3453</v>
      </c>
      <c r="I132" s="22" t="s">
        <v>2584</v>
      </c>
      <c r="J132" s="23" t="s">
        <v>2585</v>
      </c>
    </row>
    <row r="133" spans="1:10" ht="21">
      <c r="A133" s="26"/>
      <c r="B133" s="21"/>
      <c r="C133" s="2" t="s">
        <v>588</v>
      </c>
      <c r="D133" s="2" t="s">
        <v>589</v>
      </c>
      <c r="E133" s="163" t="s">
        <v>2639</v>
      </c>
      <c r="F133" s="3" t="s">
        <v>2586</v>
      </c>
      <c r="G133" s="3" t="s">
        <v>2587</v>
      </c>
      <c r="H133" s="3" t="s">
        <v>3453</v>
      </c>
      <c r="I133" s="22" t="s">
        <v>2588</v>
      </c>
      <c r="J133" s="23" t="s">
        <v>2589</v>
      </c>
    </row>
    <row r="134" spans="1:10" ht="21">
      <c r="A134" s="26"/>
      <c r="B134" s="21"/>
      <c r="C134" s="2" t="s">
        <v>590</v>
      </c>
      <c r="D134" s="2" t="s">
        <v>591</v>
      </c>
      <c r="E134" s="163" t="s">
        <v>2639</v>
      </c>
      <c r="F134" s="3" t="s">
        <v>2590</v>
      </c>
      <c r="G134" s="3" t="s">
        <v>2591</v>
      </c>
      <c r="H134" s="3" t="s">
        <v>3459</v>
      </c>
      <c r="I134" s="22" t="s">
        <v>2592</v>
      </c>
      <c r="J134" s="23" t="s">
        <v>2593</v>
      </c>
    </row>
    <row r="135" spans="1:10" ht="21">
      <c r="A135" s="26"/>
      <c r="B135" s="21"/>
      <c r="C135" s="2" t="s">
        <v>592</v>
      </c>
      <c r="D135" s="2" t="s">
        <v>593</v>
      </c>
      <c r="E135" s="163" t="s">
        <v>2640</v>
      </c>
      <c r="F135" s="3" t="s">
        <v>2594</v>
      </c>
      <c r="G135" s="3" t="s">
        <v>2595</v>
      </c>
      <c r="H135" s="3" t="s">
        <v>3459</v>
      </c>
      <c r="I135" s="22" t="s">
        <v>2596</v>
      </c>
      <c r="J135" s="23" t="s">
        <v>2597</v>
      </c>
    </row>
    <row r="136" spans="1:10" ht="21">
      <c r="A136" s="26"/>
      <c r="B136" s="21" t="s">
        <v>594</v>
      </c>
      <c r="C136" s="2" t="s">
        <v>595</v>
      </c>
      <c r="D136" s="2" t="s">
        <v>596</v>
      </c>
      <c r="E136" s="163" t="s">
        <v>2639</v>
      </c>
      <c r="F136" s="3" t="s">
        <v>2598</v>
      </c>
      <c r="G136" s="3" t="s">
        <v>2599</v>
      </c>
      <c r="H136" s="3" t="s">
        <v>3459</v>
      </c>
      <c r="I136" s="22" t="s">
        <v>2600</v>
      </c>
      <c r="J136" s="23" t="s">
        <v>2601</v>
      </c>
    </row>
    <row r="137" spans="1:10" ht="21">
      <c r="A137" s="26"/>
      <c r="B137" s="21"/>
      <c r="C137" s="2" t="s">
        <v>597</v>
      </c>
      <c r="D137" s="2" t="s">
        <v>598</v>
      </c>
      <c r="E137" s="163" t="s">
        <v>2639</v>
      </c>
      <c r="F137" s="3" t="s">
        <v>2602</v>
      </c>
      <c r="G137" s="3" t="s">
        <v>2603</v>
      </c>
      <c r="H137" s="3" t="s">
        <v>3459</v>
      </c>
      <c r="I137" s="22" t="s">
        <v>2604</v>
      </c>
      <c r="J137" s="23" t="s">
        <v>2605</v>
      </c>
    </row>
    <row r="138" spans="1:10" ht="21">
      <c r="A138" s="26"/>
      <c r="B138" s="21"/>
      <c r="C138" s="2" t="s">
        <v>599</v>
      </c>
      <c r="D138" s="2" t="s">
        <v>600</v>
      </c>
      <c r="E138" s="163" t="s">
        <v>2641</v>
      </c>
      <c r="F138" s="3" t="s">
        <v>2606</v>
      </c>
      <c r="G138" s="3" t="s">
        <v>2607</v>
      </c>
      <c r="H138" s="3" t="s">
        <v>3459</v>
      </c>
      <c r="I138" s="22" t="s">
        <v>2608</v>
      </c>
      <c r="J138" s="23" t="s">
        <v>2609</v>
      </c>
    </row>
    <row r="139" spans="1:10" ht="21">
      <c r="A139" s="26"/>
      <c r="B139" s="21"/>
      <c r="C139" s="2" t="s">
        <v>601</v>
      </c>
      <c r="D139" s="2" t="s">
        <v>602</v>
      </c>
      <c r="E139" s="163" t="s">
        <v>2639</v>
      </c>
      <c r="F139" s="3" t="s">
        <v>2610</v>
      </c>
      <c r="G139" s="3" t="s">
        <v>2611</v>
      </c>
      <c r="H139" s="3" t="s">
        <v>3581</v>
      </c>
      <c r="I139" s="22" t="s">
        <v>2612</v>
      </c>
      <c r="J139" s="23" t="s">
        <v>2613</v>
      </c>
    </row>
    <row r="140" spans="1:10" ht="21">
      <c r="A140" s="26"/>
      <c r="B140" s="21"/>
      <c r="C140" s="2" t="s">
        <v>603</v>
      </c>
      <c r="D140" s="2" t="s">
        <v>604</v>
      </c>
      <c r="E140" s="163" t="s">
        <v>2639</v>
      </c>
      <c r="F140" s="3" t="s">
        <v>2614</v>
      </c>
      <c r="G140" s="3" t="s">
        <v>2615</v>
      </c>
      <c r="H140" s="3" t="s">
        <v>3459</v>
      </c>
      <c r="I140" s="22" t="s">
        <v>2616</v>
      </c>
      <c r="J140" s="23" t="s">
        <v>2617</v>
      </c>
    </row>
    <row r="141" spans="1:10" ht="21">
      <c r="A141" s="26"/>
      <c r="B141" s="21" t="s">
        <v>605</v>
      </c>
      <c r="C141" s="2" t="s">
        <v>606</v>
      </c>
      <c r="D141" s="2" t="s">
        <v>607</v>
      </c>
      <c r="E141" s="163" t="s">
        <v>2640</v>
      </c>
      <c r="F141" s="3" t="s">
        <v>2618</v>
      </c>
      <c r="G141" s="3" t="s">
        <v>2619</v>
      </c>
      <c r="H141" s="3" t="s">
        <v>3459</v>
      </c>
      <c r="I141" s="22" t="s">
        <v>2620</v>
      </c>
      <c r="J141" s="23" t="s">
        <v>2621</v>
      </c>
    </row>
    <row r="142" spans="1:10" ht="21">
      <c r="A142" s="26"/>
      <c r="B142" s="21"/>
      <c r="C142" s="2" t="s">
        <v>504</v>
      </c>
      <c r="D142" s="2" t="s">
        <v>608</v>
      </c>
      <c r="E142" s="163" t="s">
        <v>2639</v>
      </c>
      <c r="F142" s="3" t="s">
        <v>2622</v>
      </c>
      <c r="G142" s="3" t="s">
        <v>2623</v>
      </c>
      <c r="H142" s="3" t="s">
        <v>3581</v>
      </c>
      <c r="I142" s="22" t="s">
        <v>2624</v>
      </c>
      <c r="J142" s="23" t="s">
        <v>2625</v>
      </c>
    </row>
    <row r="143" spans="1:10" ht="21">
      <c r="A143" s="26"/>
      <c r="B143" s="21"/>
      <c r="C143" s="2" t="s">
        <v>609</v>
      </c>
      <c r="D143" s="2" t="s">
        <v>610</v>
      </c>
      <c r="E143" s="163" t="s">
        <v>2639</v>
      </c>
      <c r="F143" s="3" t="s">
        <v>2626</v>
      </c>
      <c r="G143" s="3" t="s">
        <v>2627</v>
      </c>
      <c r="H143" s="3" t="s">
        <v>3581</v>
      </c>
      <c r="I143" s="22" t="s">
        <v>2628</v>
      </c>
      <c r="J143" s="23" t="s">
        <v>2629</v>
      </c>
    </row>
    <row r="144" spans="1:10" ht="21">
      <c r="A144" s="26"/>
      <c r="B144" s="21"/>
      <c r="C144" s="2" t="s">
        <v>611</v>
      </c>
      <c r="D144" s="2" t="s">
        <v>612</v>
      </c>
      <c r="E144" s="163" t="s">
        <v>2641</v>
      </c>
      <c r="F144" s="3" t="s">
        <v>2630</v>
      </c>
      <c r="G144" s="3" t="s">
        <v>2631</v>
      </c>
      <c r="H144" s="3" t="s">
        <v>3459</v>
      </c>
      <c r="I144" s="22" t="s">
        <v>2632</v>
      </c>
      <c r="J144" s="23" t="s">
        <v>2633</v>
      </c>
    </row>
    <row r="145" spans="1:10" ht="23.25">
      <c r="A145" s="26"/>
      <c r="B145" s="21"/>
      <c r="C145" s="2" t="s">
        <v>507</v>
      </c>
      <c r="D145" s="2" t="s">
        <v>613</v>
      </c>
      <c r="E145" s="164" t="s">
        <v>2639</v>
      </c>
      <c r="F145" s="3" t="s">
        <v>2634</v>
      </c>
      <c r="G145" s="3" t="s">
        <v>2635</v>
      </c>
      <c r="H145" s="3" t="s">
        <v>3581</v>
      </c>
      <c r="I145" s="22" t="s">
        <v>2636</v>
      </c>
      <c r="J145" s="23" t="s">
        <v>2637</v>
      </c>
    </row>
    <row r="146" spans="1:10" ht="23.25">
      <c r="A146" s="26"/>
      <c r="B146" s="21" t="s">
        <v>614</v>
      </c>
      <c r="C146" s="2" t="s">
        <v>615</v>
      </c>
      <c r="D146" s="2" t="s">
        <v>616</v>
      </c>
      <c r="E146" s="164" t="s">
        <v>2639</v>
      </c>
      <c r="F146" s="3" t="s">
        <v>2222</v>
      </c>
      <c r="G146" s="3" t="s">
        <v>2642</v>
      </c>
      <c r="H146" s="3" t="s">
        <v>3459</v>
      </c>
      <c r="I146" s="22" t="s">
        <v>2643</v>
      </c>
      <c r="J146" s="23" t="s">
        <v>2644</v>
      </c>
    </row>
    <row r="147" spans="1:10" ht="23.25">
      <c r="A147" s="26"/>
      <c r="B147" s="21"/>
      <c r="C147" s="2" t="s">
        <v>504</v>
      </c>
      <c r="D147" s="2" t="s">
        <v>617</v>
      </c>
      <c r="E147" s="164" t="s">
        <v>2639</v>
      </c>
      <c r="F147" s="3" t="s">
        <v>2645</v>
      </c>
      <c r="G147" s="3" t="s">
        <v>2646</v>
      </c>
      <c r="H147" s="3" t="s">
        <v>3581</v>
      </c>
      <c r="I147" s="22" t="s">
        <v>2647</v>
      </c>
      <c r="J147" s="23" t="s">
        <v>2648</v>
      </c>
    </row>
    <row r="148" spans="1:10" ht="23.25">
      <c r="A148" s="26"/>
      <c r="B148" s="21"/>
      <c r="C148" s="2" t="s">
        <v>609</v>
      </c>
      <c r="D148" s="2" t="s">
        <v>618</v>
      </c>
      <c r="E148" s="164" t="s">
        <v>2641</v>
      </c>
      <c r="F148" s="3" t="s">
        <v>2649</v>
      </c>
      <c r="G148" s="3" t="s">
        <v>2650</v>
      </c>
      <c r="H148" s="3" t="s">
        <v>3459</v>
      </c>
      <c r="I148" s="22" t="s">
        <v>2651</v>
      </c>
      <c r="J148" s="23" t="s">
        <v>2652</v>
      </c>
    </row>
    <row r="149" spans="1:10" ht="23.25">
      <c r="A149" s="26"/>
      <c r="B149" s="21"/>
      <c r="C149" s="2" t="s">
        <v>611</v>
      </c>
      <c r="D149" s="2" t="s">
        <v>619</v>
      </c>
      <c r="E149" s="164" t="s">
        <v>2639</v>
      </c>
      <c r="F149" s="3" t="s">
        <v>2653</v>
      </c>
      <c r="G149" s="3" t="s">
        <v>2654</v>
      </c>
      <c r="H149" s="3" t="s">
        <v>3459</v>
      </c>
      <c r="I149" s="22" t="s">
        <v>2655</v>
      </c>
      <c r="J149" s="23" t="s">
        <v>2656</v>
      </c>
    </row>
    <row r="150" spans="1:10" ht="23.25">
      <c r="A150" s="26"/>
      <c r="B150" s="21"/>
      <c r="C150" s="2" t="s">
        <v>507</v>
      </c>
      <c r="D150" s="2" t="s">
        <v>620</v>
      </c>
      <c r="E150" s="164" t="s">
        <v>2639</v>
      </c>
      <c r="F150" s="3" t="s">
        <v>2657</v>
      </c>
      <c r="G150" s="3" t="s">
        <v>2658</v>
      </c>
      <c r="H150" s="3" t="s">
        <v>3581</v>
      </c>
      <c r="I150" s="22" t="s">
        <v>2659</v>
      </c>
      <c r="J150" s="23" t="s">
        <v>2660</v>
      </c>
    </row>
    <row r="151" spans="1:10" ht="23.25">
      <c r="A151" s="26"/>
      <c r="B151" s="21" t="s">
        <v>621</v>
      </c>
      <c r="C151" s="2" t="s">
        <v>622</v>
      </c>
      <c r="D151" s="2" t="s">
        <v>623</v>
      </c>
      <c r="E151" s="164" t="s">
        <v>2641</v>
      </c>
      <c r="F151" s="3" t="s">
        <v>2661</v>
      </c>
      <c r="G151" s="3" t="s">
        <v>2662</v>
      </c>
      <c r="H151" s="3" t="s">
        <v>3581</v>
      </c>
      <c r="I151" s="22" t="s">
        <v>2663</v>
      </c>
      <c r="J151" s="23" t="s">
        <v>2664</v>
      </c>
    </row>
    <row r="152" spans="1:10" ht="23.25">
      <c r="A152" s="26"/>
      <c r="B152" s="21"/>
      <c r="C152" s="2" t="s">
        <v>624</v>
      </c>
      <c r="D152" s="2" t="s">
        <v>625</v>
      </c>
      <c r="E152" s="164" t="s">
        <v>2639</v>
      </c>
      <c r="F152" s="3" t="s">
        <v>2665</v>
      </c>
      <c r="G152" s="3" t="s">
        <v>2666</v>
      </c>
      <c r="H152" s="3" t="s">
        <v>3459</v>
      </c>
      <c r="I152" s="22" t="s">
        <v>2667</v>
      </c>
      <c r="J152" s="23" t="s">
        <v>2668</v>
      </c>
    </row>
    <row r="153" spans="1:10" ht="23.25">
      <c r="A153" s="26"/>
      <c r="B153" s="21"/>
      <c r="C153" s="2" t="s">
        <v>626</v>
      </c>
      <c r="D153" s="2" t="s">
        <v>627</v>
      </c>
      <c r="E153" s="164" t="s">
        <v>2639</v>
      </c>
      <c r="F153" s="3" t="s">
        <v>2669</v>
      </c>
      <c r="G153" s="3" t="s">
        <v>2670</v>
      </c>
      <c r="H153" s="3" t="s">
        <v>3453</v>
      </c>
      <c r="I153" s="22" t="s">
        <v>2671</v>
      </c>
      <c r="J153" s="23" t="s">
        <v>2672</v>
      </c>
    </row>
    <row r="154" spans="1:10" ht="23.25">
      <c r="A154" s="26"/>
      <c r="B154" s="21"/>
      <c r="C154" s="2" t="s">
        <v>628</v>
      </c>
      <c r="D154" s="2" t="s">
        <v>629</v>
      </c>
      <c r="E154" s="164" t="s">
        <v>2639</v>
      </c>
      <c r="F154" s="3" t="s">
        <v>2673</v>
      </c>
      <c r="G154" s="3" t="s">
        <v>2674</v>
      </c>
      <c r="H154" s="3" t="s">
        <v>3453</v>
      </c>
      <c r="I154" s="22" t="s">
        <v>2675</v>
      </c>
      <c r="J154" s="23" t="s">
        <v>2676</v>
      </c>
    </row>
    <row r="155" spans="1:10" ht="23.25">
      <c r="A155" s="26"/>
      <c r="B155" s="21"/>
      <c r="C155" s="2" t="s">
        <v>630</v>
      </c>
      <c r="D155" s="2" t="s">
        <v>631</v>
      </c>
      <c r="E155" s="164" t="s">
        <v>2639</v>
      </c>
      <c r="F155" s="3" t="s">
        <v>2677</v>
      </c>
      <c r="G155" s="3" t="s">
        <v>2678</v>
      </c>
      <c r="H155" s="3" t="s">
        <v>3459</v>
      </c>
      <c r="I155" s="22" t="s">
        <v>2679</v>
      </c>
      <c r="J155" s="23" t="s">
        <v>2680</v>
      </c>
    </row>
    <row r="156" spans="1:10" ht="23.25">
      <c r="A156" s="26"/>
      <c r="B156" s="21" t="s">
        <v>632</v>
      </c>
      <c r="C156" s="2" t="s">
        <v>633</v>
      </c>
      <c r="D156" s="2" t="s">
        <v>634</v>
      </c>
      <c r="E156" s="164" t="s">
        <v>2640</v>
      </c>
      <c r="F156" s="23" t="s">
        <v>2682</v>
      </c>
      <c r="G156" s="23" t="s">
        <v>2683</v>
      </c>
      <c r="H156" s="3" t="s">
        <v>3459</v>
      </c>
      <c r="I156" s="23" t="s">
        <v>2684</v>
      </c>
      <c r="J156" s="23" t="s">
        <v>2685</v>
      </c>
    </row>
    <row r="157" spans="1:10" ht="23.25">
      <c r="A157" s="26"/>
      <c r="B157" s="21"/>
      <c r="C157" s="2" t="s">
        <v>635</v>
      </c>
      <c r="D157" s="2" t="s">
        <v>636</v>
      </c>
      <c r="E157" s="164" t="s">
        <v>2639</v>
      </c>
      <c r="F157" s="23" t="s">
        <v>2686</v>
      </c>
      <c r="G157" s="23" t="s">
        <v>2687</v>
      </c>
      <c r="H157" s="3" t="s">
        <v>3459</v>
      </c>
      <c r="I157" s="23" t="s">
        <v>2688</v>
      </c>
      <c r="J157" s="23" t="s">
        <v>2689</v>
      </c>
    </row>
    <row r="158" spans="1:10" ht="23.25">
      <c r="A158" s="26"/>
      <c r="B158" s="21"/>
      <c r="C158" s="2" t="s">
        <v>637</v>
      </c>
      <c r="D158" s="2" t="s">
        <v>638</v>
      </c>
      <c r="E158" s="164" t="s">
        <v>2639</v>
      </c>
      <c r="F158" s="23" t="s">
        <v>2691</v>
      </c>
      <c r="G158" s="23" t="s">
        <v>2692</v>
      </c>
      <c r="H158" s="3" t="s">
        <v>3581</v>
      </c>
      <c r="I158" s="23" t="s">
        <v>2693</v>
      </c>
      <c r="J158" s="23" t="s">
        <v>2694</v>
      </c>
    </row>
    <row r="159" spans="1:10" ht="23.25">
      <c r="A159" s="26"/>
      <c r="B159" s="21"/>
      <c r="C159" s="2" t="s">
        <v>639</v>
      </c>
      <c r="D159" s="2" t="s">
        <v>640</v>
      </c>
      <c r="E159" s="164" t="s">
        <v>2641</v>
      </c>
      <c r="F159" s="23" t="s">
        <v>2695</v>
      </c>
      <c r="G159" s="23" t="s">
        <v>2696</v>
      </c>
      <c r="H159" s="3" t="s">
        <v>3459</v>
      </c>
      <c r="I159" s="23" t="s">
        <v>2487</v>
      </c>
      <c r="J159" s="23" t="s">
        <v>2697</v>
      </c>
    </row>
    <row r="160" spans="1:10" ht="23.25">
      <c r="A160" s="26"/>
      <c r="B160" s="21"/>
      <c r="C160" s="2" t="s">
        <v>529</v>
      </c>
      <c r="D160" s="2" t="s">
        <v>641</v>
      </c>
      <c r="E160" s="164" t="s">
        <v>2639</v>
      </c>
      <c r="F160" s="23" t="s">
        <v>2653</v>
      </c>
      <c r="G160" s="23" t="s">
        <v>2487</v>
      </c>
      <c r="H160" s="3" t="s">
        <v>3453</v>
      </c>
      <c r="I160" s="23" t="s">
        <v>2698</v>
      </c>
      <c r="J160" s="23" t="s">
        <v>2699</v>
      </c>
    </row>
    <row r="161" spans="1:10" ht="23.25">
      <c r="A161" s="26"/>
      <c r="B161" s="21" t="s">
        <v>642</v>
      </c>
      <c r="C161" s="2" t="s">
        <v>643</v>
      </c>
      <c r="D161" s="2" t="s">
        <v>644</v>
      </c>
      <c r="E161" s="164" t="s">
        <v>2639</v>
      </c>
      <c r="F161" s="23" t="s">
        <v>2700</v>
      </c>
      <c r="G161" s="23" t="s">
        <v>2701</v>
      </c>
      <c r="H161" s="3" t="s">
        <v>3459</v>
      </c>
      <c r="I161" s="23" t="s">
        <v>2702</v>
      </c>
      <c r="J161" s="23" t="s">
        <v>2703</v>
      </c>
    </row>
    <row r="162" spans="1:10" ht="23.25">
      <c r="A162" s="26"/>
      <c r="B162" s="21"/>
      <c r="C162" s="2" t="s">
        <v>645</v>
      </c>
      <c r="D162" s="2" t="s">
        <v>646</v>
      </c>
      <c r="E162" s="164" t="s">
        <v>2639</v>
      </c>
      <c r="F162" s="23" t="s">
        <v>2704</v>
      </c>
      <c r="G162" s="23" t="s">
        <v>2705</v>
      </c>
      <c r="H162" s="3" t="s">
        <v>3459</v>
      </c>
      <c r="I162" s="23" t="s">
        <v>2706</v>
      </c>
      <c r="J162" s="23" t="s">
        <v>2707</v>
      </c>
    </row>
    <row r="163" spans="1:10" ht="23.25">
      <c r="A163" s="26"/>
      <c r="B163" s="21"/>
      <c r="C163" s="2" t="s">
        <v>647</v>
      </c>
      <c r="D163" s="2" t="s">
        <v>648</v>
      </c>
      <c r="E163" s="164" t="s">
        <v>2639</v>
      </c>
      <c r="F163" s="23" t="s">
        <v>2708</v>
      </c>
      <c r="G163" s="23" t="s">
        <v>2231</v>
      </c>
      <c r="H163" s="3" t="s">
        <v>3459</v>
      </c>
      <c r="I163" s="23" t="s">
        <v>2709</v>
      </c>
      <c r="J163" s="23" t="s">
        <v>2710</v>
      </c>
    </row>
    <row r="164" spans="1:10" ht="23.25">
      <c r="A164" s="26"/>
      <c r="B164" s="21"/>
      <c r="C164" s="2" t="s">
        <v>649</v>
      </c>
      <c r="D164" s="2" t="s">
        <v>650</v>
      </c>
      <c r="E164" s="164" t="s">
        <v>2640</v>
      </c>
      <c r="F164" s="23" t="s">
        <v>2711</v>
      </c>
      <c r="G164" s="23" t="s">
        <v>2712</v>
      </c>
      <c r="H164" s="3" t="s">
        <v>3459</v>
      </c>
      <c r="I164" s="23" t="s">
        <v>1992</v>
      </c>
      <c r="J164" s="23" t="s">
        <v>2713</v>
      </c>
    </row>
    <row r="165" spans="1:10" ht="23.25">
      <c r="A165" s="26"/>
      <c r="B165" s="21"/>
      <c r="C165" s="2" t="s">
        <v>529</v>
      </c>
      <c r="D165" s="2" t="s">
        <v>651</v>
      </c>
      <c r="E165" s="164" t="s">
        <v>2639</v>
      </c>
      <c r="F165" s="23" t="s">
        <v>2714</v>
      </c>
      <c r="G165" s="23" t="s">
        <v>2715</v>
      </c>
      <c r="H165" s="3" t="s">
        <v>3459</v>
      </c>
      <c r="I165" s="23" t="s">
        <v>2716</v>
      </c>
      <c r="J165" s="23" t="s">
        <v>2717</v>
      </c>
    </row>
    <row r="166" spans="1:10" ht="23.25">
      <c r="A166" s="26"/>
      <c r="B166" s="21" t="s">
        <v>652</v>
      </c>
      <c r="C166" s="2" t="s">
        <v>653</v>
      </c>
      <c r="D166" s="2" t="s">
        <v>654</v>
      </c>
      <c r="E166" s="164" t="s">
        <v>2639</v>
      </c>
      <c r="F166" s="23" t="s">
        <v>2718</v>
      </c>
      <c r="G166" s="23" t="s">
        <v>2719</v>
      </c>
      <c r="H166" s="3" t="s">
        <v>3459</v>
      </c>
      <c r="I166" s="23" t="s">
        <v>2720</v>
      </c>
      <c r="J166" s="23" t="s">
        <v>2721</v>
      </c>
    </row>
    <row r="167" spans="1:10" ht="23.25">
      <c r="A167" s="26"/>
      <c r="B167" s="21"/>
      <c r="C167" s="2" t="s">
        <v>655</v>
      </c>
      <c r="D167" s="2" t="s">
        <v>656</v>
      </c>
      <c r="E167" s="164" t="s">
        <v>2641</v>
      </c>
      <c r="F167" s="23" t="s">
        <v>2722</v>
      </c>
      <c r="G167" s="23" t="s">
        <v>2723</v>
      </c>
      <c r="H167" s="3" t="s">
        <v>3459</v>
      </c>
      <c r="I167" s="23" t="s">
        <v>2724</v>
      </c>
      <c r="J167" s="23" t="s">
        <v>2725</v>
      </c>
    </row>
    <row r="168" spans="1:10" ht="23.25">
      <c r="A168" s="26"/>
      <c r="B168" s="21"/>
      <c r="C168" s="2" t="s">
        <v>657</v>
      </c>
      <c r="D168" s="2" t="s">
        <v>658</v>
      </c>
      <c r="E168" s="164" t="s">
        <v>2639</v>
      </c>
      <c r="F168" s="23" t="s">
        <v>2726</v>
      </c>
      <c r="G168" s="23" t="s">
        <v>2727</v>
      </c>
      <c r="H168" s="3" t="s">
        <v>3459</v>
      </c>
      <c r="I168" s="23" t="s">
        <v>2728</v>
      </c>
      <c r="J168" s="23" t="s">
        <v>2729</v>
      </c>
    </row>
    <row r="169" spans="1:10" ht="23.25">
      <c r="A169" s="26"/>
      <c r="B169" s="21"/>
      <c r="C169" s="2" t="s">
        <v>659</v>
      </c>
      <c r="D169" s="2" t="s">
        <v>660</v>
      </c>
      <c r="E169" s="164" t="s">
        <v>2639</v>
      </c>
      <c r="F169" s="23" t="s">
        <v>2730</v>
      </c>
      <c r="G169" s="23" t="s">
        <v>2731</v>
      </c>
      <c r="H169" s="3" t="s">
        <v>3453</v>
      </c>
      <c r="I169" s="23" t="s">
        <v>2732</v>
      </c>
      <c r="J169" s="23" t="s">
        <v>2733</v>
      </c>
    </row>
    <row r="170" spans="1:10" ht="23.25">
      <c r="A170" s="26"/>
      <c r="B170" s="21"/>
      <c r="C170" s="2" t="s">
        <v>529</v>
      </c>
      <c r="D170" s="2" t="s">
        <v>661</v>
      </c>
      <c r="E170" s="164" t="s">
        <v>2640</v>
      </c>
      <c r="F170" s="23" t="s">
        <v>2734</v>
      </c>
      <c r="G170" s="23" t="s">
        <v>2735</v>
      </c>
      <c r="H170" s="3" t="s">
        <v>3453</v>
      </c>
      <c r="I170" s="23" t="s">
        <v>2736</v>
      </c>
      <c r="J170" s="23" t="s">
        <v>2737</v>
      </c>
    </row>
    <row r="171" spans="1:10" ht="23.25">
      <c r="A171" s="26"/>
      <c r="B171" s="21" t="s">
        <v>662</v>
      </c>
      <c r="C171" s="2" t="s">
        <v>663</v>
      </c>
      <c r="D171" s="2" t="s">
        <v>664</v>
      </c>
      <c r="E171" s="164" t="s">
        <v>2639</v>
      </c>
      <c r="F171" s="23" t="s">
        <v>2738</v>
      </c>
      <c r="G171" s="23" t="s">
        <v>2739</v>
      </c>
      <c r="H171" s="3" t="s">
        <v>3453</v>
      </c>
      <c r="I171" s="23" t="s">
        <v>2740</v>
      </c>
      <c r="J171" s="23" t="s">
        <v>2741</v>
      </c>
    </row>
    <row r="172" spans="1:10" ht="23.25">
      <c r="A172" s="26"/>
      <c r="B172" s="21"/>
      <c r="C172" s="2" t="s">
        <v>635</v>
      </c>
      <c r="D172" s="2" t="s">
        <v>665</v>
      </c>
      <c r="E172" s="164" t="s">
        <v>2639</v>
      </c>
      <c r="F172" s="23" t="s">
        <v>2742</v>
      </c>
      <c r="G172" s="23" t="s">
        <v>2743</v>
      </c>
      <c r="H172" s="3" t="s">
        <v>3453</v>
      </c>
      <c r="I172" s="23" t="s">
        <v>2744</v>
      </c>
      <c r="J172" s="23" t="s">
        <v>2745</v>
      </c>
    </row>
    <row r="173" spans="1:10" ht="23.25">
      <c r="A173" s="26"/>
      <c r="B173" s="21"/>
      <c r="C173" s="2" t="s">
        <v>637</v>
      </c>
      <c r="D173" s="2" t="s">
        <v>666</v>
      </c>
      <c r="E173" s="164" t="s">
        <v>2641</v>
      </c>
      <c r="F173" s="23" t="s">
        <v>2746</v>
      </c>
      <c r="G173" s="23" t="s">
        <v>2747</v>
      </c>
      <c r="H173" s="3" t="s">
        <v>3459</v>
      </c>
      <c r="I173" s="23" t="s">
        <v>2748</v>
      </c>
      <c r="J173" s="23" t="s">
        <v>2749</v>
      </c>
    </row>
    <row r="174" spans="1:10" ht="23.25">
      <c r="A174" s="26"/>
      <c r="B174" s="21"/>
      <c r="C174" s="2" t="s">
        <v>639</v>
      </c>
      <c r="D174" s="2" t="s">
        <v>667</v>
      </c>
      <c r="E174" s="164" t="s">
        <v>2639</v>
      </c>
      <c r="F174" s="23" t="s">
        <v>2750</v>
      </c>
      <c r="G174" s="23" t="s">
        <v>2751</v>
      </c>
      <c r="H174" s="3" t="s">
        <v>3453</v>
      </c>
      <c r="I174" s="23" t="s">
        <v>2752</v>
      </c>
      <c r="J174" s="23" t="s">
        <v>2753</v>
      </c>
    </row>
    <row r="175" spans="1:10" ht="23.25">
      <c r="A175" s="26"/>
      <c r="B175" s="21"/>
      <c r="C175" s="2" t="s">
        <v>529</v>
      </c>
      <c r="D175" s="2" t="s">
        <v>668</v>
      </c>
      <c r="E175" s="164" t="s">
        <v>2640</v>
      </c>
      <c r="F175" s="23" t="s">
        <v>2754</v>
      </c>
      <c r="G175" s="23" t="s">
        <v>2755</v>
      </c>
      <c r="H175" s="3" t="s">
        <v>3453</v>
      </c>
      <c r="I175" s="23" t="s">
        <v>2756</v>
      </c>
      <c r="J175" s="23" t="s">
        <v>2757</v>
      </c>
    </row>
    <row r="176" spans="1:10" ht="23.25">
      <c r="A176" s="26"/>
      <c r="B176" s="21" t="s">
        <v>669</v>
      </c>
      <c r="C176" s="2" t="s">
        <v>670</v>
      </c>
      <c r="D176" s="2" t="s">
        <v>671</v>
      </c>
      <c r="E176" s="164" t="s">
        <v>2640</v>
      </c>
      <c r="F176" s="23" t="s">
        <v>2758</v>
      </c>
      <c r="G176" s="23" t="s">
        <v>2759</v>
      </c>
      <c r="H176" s="3" t="s">
        <v>3453</v>
      </c>
      <c r="I176" s="23" t="s">
        <v>2760</v>
      </c>
      <c r="J176" s="23" t="s">
        <v>2761</v>
      </c>
    </row>
    <row r="177" spans="1:10" ht="23.25">
      <c r="A177" s="26"/>
      <c r="B177" s="21"/>
      <c r="C177" s="2" t="s">
        <v>672</v>
      </c>
      <c r="D177" s="2" t="s">
        <v>673</v>
      </c>
      <c r="E177" s="164" t="s">
        <v>2639</v>
      </c>
      <c r="F177" s="3" t="s">
        <v>2841</v>
      </c>
      <c r="G177" s="3" t="s">
        <v>2842</v>
      </c>
      <c r="H177" s="3" t="s">
        <v>3459</v>
      </c>
      <c r="I177" s="22" t="s">
        <v>2843</v>
      </c>
      <c r="J177" s="23" t="s">
        <v>2844</v>
      </c>
    </row>
    <row r="178" spans="1:10" ht="23.25">
      <c r="A178" s="26"/>
      <c r="B178" s="21"/>
      <c r="C178" s="2" t="s">
        <v>674</v>
      </c>
      <c r="D178" s="2" t="s">
        <v>675</v>
      </c>
      <c r="E178" s="164" t="s">
        <v>2639</v>
      </c>
      <c r="F178" s="3" t="s">
        <v>2845</v>
      </c>
      <c r="G178" s="3" t="s">
        <v>2846</v>
      </c>
      <c r="H178" s="3" t="s">
        <v>3581</v>
      </c>
      <c r="I178" s="22" t="s">
        <v>2847</v>
      </c>
      <c r="J178" s="23" t="s">
        <v>2848</v>
      </c>
    </row>
    <row r="179" spans="1:10" ht="21">
      <c r="A179" s="26"/>
      <c r="B179" s="21"/>
      <c r="C179" s="2" t="s">
        <v>649</v>
      </c>
      <c r="D179" s="2" t="s">
        <v>676</v>
      </c>
      <c r="E179" s="163" t="s">
        <v>2639</v>
      </c>
      <c r="F179" s="3" t="s">
        <v>2849</v>
      </c>
      <c r="G179" s="3" t="s">
        <v>2850</v>
      </c>
      <c r="H179" s="3" t="s">
        <v>3453</v>
      </c>
      <c r="I179" s="22" t="s">
        <v>2851</v>
      </c>
      <c r="J179" s="23" t="s">
        <v>2852</v>
      </c>
    </row>
    <row r="180" spans="1:10" ht="21">
      <c r="A180" s="26"/>
      <c r="B180" s="21"/>
      <c r="C180" s="2" t="s">
        <v>529</v>
      </c>
      <c r="D180" s="2" t="s">
        <v>677</v>
      </c>
      <c r="E180" s="163" t="s">
        <v>2641</v>
      </c>
      <c r="F180" s="3" t="s">
        <v>2853</v>
      </c>
      <c r="G180" s="3" t="s">
        <v>2662</v>
      </c>
      <c r="H180" s="3" t="s">
        <v>3459</v>
      </c>
      <c r="I180" s="22" t="s">
        <v>2854</v>
      </c>
      <c r="J180" s="23" t="s">
        <v>2855</v>
      </c>
    </row>
    <row r="181" spans="1:10" ht="21">
      <c r="A181" s="26"/>
      <c r="B181" s="21" t="s">
        <v>678</v>
      </c>
      <c r="C181" s="2" t="s">
        <v>679</v>
      </c>
      <c r="D181" s="2" t="s">
        <v>680</v>
      </c>
      <c r="E181" s="163" t="s">
        <v>2639</v>
      </c>
      <c r="F181" s="3" t="s">
        <v>2856</v>
      </c>
      <c r="G181" s="3" t="s">
        <v>2857</v>
      </c>
      <c r="H181" s="3" t="s">
        <v>3459</v>
      </c>
      <c r="I181" s="22" t="s">
        <v>2858</v>
      </c>
      <c r="J181" s="23" t="s">
        <v>2859</v>
      </c>
    </row>
    <row r="182" spans="1:10" ht="21">
      <c r="A182" s="26"/>
      <c r="B182" s="21"/>
      <c r="C182" s="2" t="s">
        <v>681</v>
      </c>
      <c r="D182" s="2" t="s">
        <v>682</v>
      </c>
      <c r="E182" s="163" t="s">
        <v>2640</v>
      </c>
      <c r="F182" s="3" t="s">
        <v>2860</v>
      </c>
      <c r="G182" s="3" t="s">
        <v>2861</v>
      </c>
      <c r="H182" s="3" t="s">
        <v>3459</v>
      </c>
      <c r="I182" s="22" t="s">
        <v>2862</v>
      </c>
      <c r="J182" s="23" t="s">
        <v>2863</v>
      </c>
    </row>
    <row r="183" spans="1:10" ht="21">
      <c r="A183" s="26"/>
      <c r="B183" s="21"/>
      <c r="C183" s="2" t="s">
        <v>683</v>
      </c>
      <c r="D183" s="2" t="s">
        <v>684</v>
      </c>
      <c r="E183" s="163" t="s">
        <v>2640</v>
      </c>
      <c r="F183" s="3" t="s">
        <v>2864</v>
      </c>
      <c r="G183" s="3" t="s">
        <v>2865</v>
      </c>
      <c r="H183" s="3" t="s">
        <v>3459</v>
      </c>
      <c r="I183" s="22" t="s">
        <v>2866</v>
      </c>
      <c r="J183" s="23" t="s">
        <v>2867</v>
      </c>
    </row>
    <row r="184" spans="1:10" ht="21">
      <c r="A184" s="26"/>
      <c r="B184" s="21"/>
      <c r="C184" s="2" t="s">
        <v>685</v>
      </c>
      <c r="D184" s="2" t="s">
        <v>686</v>
      </c>
      <c r="E184" s="163" t="s">
        <v>2639</v>
      </c>
      <c r="F184" s="3" t="s">
        <v>2868</v>
      </c>
      <c r="G184" s="3" t="s">
        <v>2869</v>
      </c>
      <c r="H184" s="3" t="s">
        <v>3453</v>
      </c>
      <c r="I184" s="22" t="s">
        <v>2870</v>
      </c>
      <c r="J184" s="23" t="s">
        <v>2871</v>
      </c>
    </row>
    <row r="185" spans="1:10" ht="21">
      <c r="A185" s="26"/>
      <c r="B185" s="21"/>
      <c r="C185" s="2" t="s">
        <v>529</v>
      </c>
      <c r="D185" s="2" t="s">
        <v>687</v>
      </c>
      <c r="E185" s="163" t="s">
        <v>2639</v>
      </c>
      <c r="F185" s="3" t="s">
        <v>2872</v>
      </c>
      <c r="G185" s="3" t="s">
        <v>2873</v>
      </c>
      <c r="H185" s="3" t="s">
        <v>3453</v>
      </c>
      <c r="I185" s="22" t="s">
        <v>2874</v>
      </c>
      <c r="J185" s="23" t="s">
        <v>2875</v>
      </c>
    </row>
    <row r="186" spans="1:10" ht="21">
      <c r="A186" s="26"/>
      <c r="B186" s="21" t="s">
        <v>688</v>
      </c>
      <c r="C186" s="2" t="s">
        <v>689</v>
      </c>
      <c r="D186" s="2" t="s">
        <v>690</v>
      </c>
      <c r="E186" s="163" t="s">
        <v>2639</v>
      </c>
      <c r="F186" s="3" t="s">
        <v>2876</v>
      </c>
      <c r="G186" s="3" t="s">
        <v>2877</v>
      </c>
      <c r="H186" s="3" t="s">
        <v>3453</v>
      </c>
      <c r="I186" s="22" t="s">
        <v>2878</v>
      </c>
      <c r="J186" s="23" t="s">
        <v>2879</v>
      </c>
    </row>
    <row r="187" spans="1:10" ht="21">
      <c r="A187" s="26"/>
      <c r="B187" s="21"/>
      <c r="C187" s="2" t="s">
        <v>691</v>
      </c>
      <c r="D187" s="2" t="s">
        <v>692</v>
      </c>
      <c r="E187" s="163" t="s">
        <v>2639</v>
      </c>
      <c r="F187" s="3" t="s">
        <v>2880</v>
      </c>
      <c r="G187" s="3" t="s">
        <v>2881</v>
      </c>
      <c r="H187" s="3" t="s">
        <v>3459</v>
      </c>
      <c r="I187" s="22" t="s">
        <v>2882</v>
      </c>
      <c r="J187" s="23" t="s">
        <v>2883</v>
      </c>
    </row>
    <row r="188" spans="1:10" ht="21">
      <c r="A188" s="26"/>
      <c r="B188" s="21"/>
      <c r="C188" s="2" t="s">
        <v>693</v>
      </c>
      <c r="D188" s="2" t="s">
        <v>694</v>
      </c>
      <c r="E188" s="163" t="s">
        <v>2639</v>
      </c>
      <c r="F188" s="3" t="s">
        <v>2884</v>
      </c>
      <c r="G188" s="3" t="s">
        <v>2885</v>
      </c>
      <c r="H188" s="3" t="s">
        <v>3581</v>
      </c>
      <c r="I188" s="22" t="s">
        <v>2886</v>
      </c>
      <c r="J188" s="23" t="s">
        <v>2887</v>
      </c>
    </row>
    <row r="189" spans="1:10" ht="21">
      <c r="A189" s="26"/>
      <c r="B189" s="21"/>
      <c r="C189" s="2" t="s">
        <v>695</v>
      </c>
      <c r="D189" s="2" t="s">
        <v>696</v>
      </c>
      <c r="E189" s="163" t="s">
        <v>2640</v>
      </c>
      <c r="F189" s="3" t="s">
        <v>2888</v>
      </c>
      <c r="G189" s="3" t="s">
        <v>2889</v>
      </c>
      <c r="H189" s="3" t="s">
        <v>3459</v>
      </c>
      <c r="I189" s="22" t="s">
        <v>2890</v>
      </c>
      <c r="J189" s="23" t="s">
        <v>2891</v>
      </c>
    </row>
    <row r="190" spans="1:10" ht="21">
      <c r="A190" s="26"/>
      <c r="B190" s="21"/>
      <c r="C190" s="2" t="s">
        <v>529</v>
      </c>
      <c r="D190" s="2" t="s">
        <v>697</v>
      </c>
      <c r="E190" s="163" t="s">
        <v>2641</v>
      </c>
      <c r="F190" s="3" t="s">
        <v>2653</v>
      </c>
      <c r="G190" s="3" t="s">
        <v>2892</v>
      </c>
      <c r="H190" s="3" t="s">
        <v>3453</v>
      </c>
      <c r="I190" s="22" t="s">
        <v>2893</v>
      </c>
      <c r="J190" s="23" t="s">
        <v>2894</v>
      </c>
    </row>
    <row r="191" spans="1:10" ht="21">
      <c r="A191" s="26"/>
      <c r="B191" s="21" t="s">
        <v>698</v>
      </c>
      <c r="C191" s="2" t="s">
        <v>699</v>
      </c>
      <c r="D191" s="2" t="s">
        <v>700</v>
      </c>
      <c r="E191" s="163" t="s">
        <v>2639</v>
      </c>
      <c r="F191" s="3" t="s">
        <v>2895</v>
      </c>
      <c r="G191" s="3" t="s">
        <v>2896</v>
      </c>
      <c r="H191" s="3" t="s">
        <v>3459</v>
      </c>
      <c r="I191" s="22" t="s">
        <v>2897</v>
      </c>
      <c r="J191" s="23" t="s">
        <v>2898</v>
      </c>
    </row>
    <row r="192" spans="1:10" ht="21">
      <c r="A192" s="26"/>
      <c r="B192" s="21"/>
      <c r="C192" s="2" t="s">
        <v>701</v>
      </c>
      <c r="D192" s="2" t="s">
        <v>702</v>
      </c>
      <c r="E192" s="163" t="s">
        <v>2639</v>
      </c>
      <c r="F192" s="3" t="s">
        <v>2899</v>
      </c>
      <c r="G192" s="3" t="s">
        <v>2674</v>
      </c>
      <c r="H192" s="3" t="s">
        <v>3459</v>
      </c>
      <c r="I192" s="22" t="s">
        <v>2900</v>
      </c>
      <c r="J192" s="23" t="s">
        <v>2901</v>
      </c>
    </row>
    <row r="193" spans="1:10" ht="21">
      <c r="A193" s="26"/>
      <c r="B193" s="21"/>
      <c r="C193" s="2" t="s">
        <v>703</v>
      </c>
      <c r="D193" s="2" t="s">
        <v>704</v>
      </c>
      <c r="E193" s="163" t="s">
        <v>2640</v>
      </c>
      <c r="F193" s="3" t="s">
        <v>2902</v>
      </c>
      <c r="G193" s="3" t="s">
        <v>2903</v>
      </c>
      <c r="H193" s="3" t="s">
        <v>3581</v>
      </c>
      <c r="I193" s="22" t="s">
        <v>2904</v>
      </c>
      <c r="J193" s="23" t="s">
        <v>2905</v>
      </c>
    </row>
    <row r="194" spans="1:10" ht="21">
      <c r="A194" s="26"/>
      <c r="B194" s="21"/>
      <c r="C194" s="2" t="s">
        <v>705</v>
      </c>
      <c r="D194" s="2" t="s">
        <v>706</v>
      </c>
      <c r="E194" s="163" t="s">
        <v>2639</v>
      </c>
      <c r="F194" s="3" t="s">
        <v>2906</v>
      </c>
      <c r="G194" s="3" t="s">
        <v>2907</v>
      </c>
      <c r="H194" s="3" t="s">
        <v>3581</v>
      </c>
      <c r="I194" s="22" t="s">
        <v>2908</v>
      </c>
      <c r="J194" s="23" t="s">
        <v>2909</v>
      </c>
    </row>
    <row r="195" spans="1:10" ht="21">
      <c r="A195" s="26"/>
      <c r="B195" s="21"/>
      <c r="C195" s="2" t="s">
        <v>529</v>
      </c>
      <c r="D195" s="2" t="s">
        <v>707</v>
      </c>
      <c r="E195" s="163" t="s">
        <v>2641</v>
      </c>
      <c r="F195" s="3" t="s">
        <v>2910</v>
      </c>
      <c r="G195" s="3" t="s">
        <v>2911</v>
      </c>
      <c r="H195" s="3" t="s">
        <v>3453</v>
      </c>
      <c r="I195" s="22" t="s">
        <v>2912</v>
      </c>
      <c r="J195" s="23" t="s">
        <v>2913</v>
      </c>
    </row>
    <row r="196" spans="1:10" ht="21">
      <c r="A196" s="26" t="s">
        <v>708</v>
      </c>
      <c r="B196" s="21" t="s">
        <v>709</v>
      </c>
      <c r="C196" s="2" t="s">
        <v>710</v>
      </c>
      <c r="D196" s="2" t="s">
        <v>711</v>
      </c>
      <c r="E196" s="163" t="s">
        <v>2639</v>
      </c>
      <c r="F196" s="3" t="s">
        <v>2914</v>
      </c>
      <c r="G196" s="3" t="s">
        <v>2915</v>
      </c>
      <c r="H196" s="3" t="s">
        <v>3459</v>
      </c>
      <c r="I196" s="22" t="s">
        <v>2916</v>
      </c>
      <c r="J196" s="23" t="s">
        <v>2917</v>
      </c>
    </row>
    <row r="197" spans="1:10" ht="21">
      <c r="A197" s="26"/>
      <c r="B197" s="21"/>
      <c r="C197" s="2" t="s">
        <v>712</v>
      </c>
      <c r="D197" s="2" t="s">
        <v>713</v>
      </c>
      <c r="E197" s="163" t="s">
        <v>2641</v>
      </c>
      <c r="F197" s="3" t="s">
        <v>2918</v>
      </c>
      <c r="G197" s="3" t="s">
        <v>2274</v>
      </c>
      <c r="H197" s="3" t="s">
        <v>3581</v>
      </c>
      <c r="I197" s="22" t="s">
        <v>2919</v>
      </c>
      <c r="J197" s="23" t="s">
        <v>2920</v>
      </c>
    </row>
    <row r="198" spans="1:10" ht="21">
      <c r="A198" s="26"/>
      <c r="B198" s="21"/>
      <c r="C198" s="2" t="s">
        <v>714</v>
      </c>
      <c r="D198" s="2" t="s">
        <v>715</v>
      </c>
      <c r="E198" s="163" t="s">
        <v>2641</v>
      </c>
      <c r="F198" s="3" t="s">
        <v>2921</v>
      </c>
      <c r="G198" s="3" t="s">
        <v>2922</v>
      </c>
      <c r="H198" s="3" t="s">
        <v>3459</v>
      </c>
      <c r="I198" s="22" t="s">
        <v>2923</v>
      </c>
      <c r="J198" s="23" t="s">
        <v>2924</v>
      </c>
    </row>
    <row r="199" spans="1:10" ht="21">
      <c r="A199" s="26"/>
      <c r="B199" s="21"/>
      <c r="C199" s="2" t="s">
        <v>716</v>
      </c>
      <c r="D199" s="2" t="s">
        <v>717</v>
      </c>
      <c r="E199" s="163" t="s">
        <v>2639</v>
      </c>
      <c r="F199" s="3" t="s">
        <v>2925</v>
      </c>
      <c r="G199" s="3" t="s">
        <v>2926</v>
      </c>
      <c r="H199" s="3" t="s">
        <v>3453</v>
      </c>
      <c r="I199" s="22" t="s">
        <v>2927</v>
      </c>
      <c r="J199" s="23" t="s">
        <v>2928</v>
      </c>
    </row>
    <row r="200" spans="1:10" ht="21">
      <c r="A200" s="26"/>
      <c r="B200" s="21"/>
      <c r="C200" s="2" t="s">
        <v>718</v>
      </c>
      <c r="D200" s="2" t="s">
        <v>719</v>
      </c>
      <c r="E200" s="163" t="s">
        <v>2639</v>
      </c>
      <c r="F200" s="3" t="s">
        <v>2929</v>
      </c>
      <c r="G200" s="3" t="s">
        <v>2930</v>
      </c>
      <c r="H200" s="3" t="s">
        <v>3453</v>
      </c>
      <c r="I200" s="22" t="s">
        <v>2931</v>
      </c>
      <c r="J200" s="23" t="s">
        <v>2932</v>
      </c>
    </row>
    <row r="201" spans="1:10" ht="21">
      <c r="A201" s="26"/>
      <c r="B201" s="21" t="s">
        <v>720</v>
      </c>
      <c r="C201" s="2" t="s">
        <v>721</v>
      </c>
      <c r="D201" s="2" t="s">
        <v>722</v>
      </c>
      <c r="E201" s="163" t="s">
        <v>2639</v>
      </c>
      <c r="F201" s="3" t="s">
        <v>2933</v>
      </c>
      <c r="G201" s="3" t="s">
        <v>2934</v>
      </c>
      <c r="H201" s="3" t="s">
        <v>3453</v>
      </c>
      <c r="I201" s="22" t="s">
        <v>2935</v>
      </c>
      <c r="J201" s="23" t="s">
        <v>2936</v>
      </c>
    </row>
    <row r="202" spans="1:10" ht="21">
      <c r="A202" s="26"/>
      <c r="B202" s="21"/>
      <c r="C202" s="2" t="s">
        <v>723</v>
      </c>
      <c r="D202" s="2" t="s">
        <v>724</v>
      </c>
      <c r="E202" s="163" t="s">
        <v>2639</v>
      </c>
      <c r="F202" s="3" t="s">
        <v>2937</v>
      </c>
      <c r="G202" s="3" t="s">
        <v>2861</v>
      </c>
      <c r="H202" s="3" t="s">
        <v>3453</v>
      </c>
      <c r="I202" s="22" t="s">
        <v>2938</v>
      </c>
      <c r="J202" s="23" t="s">
        <v>2939</v>
      </c>
    </row>
    <row r="203" spans="1:10" ht="21">
      <c r="A203" s="26"/>
      <c r="B203" s="21"/>
      <c r="C203" s="2" t="s">
        <v>725</v>
      </c>
      <c r="D203" s="2" t="s">
        <v>726</v>
      </c>
      <c r="E203" s="163" t="s">
        <v>2640</v>
      </c>
      <c r="F203" s="3" t="s">
        <v>2940</v>
      </c>
      <c r="G203" s="3" t="s">
        <v>2941</v>
      </c>
      <c r="H203" s="3" t="s">
        <v>3453</v>
      </c>
      <c r="I203" s="22" t="s">
        <v>2942</v>
      </c>
      <c r="J203" s="23" t="s">
        <v>2943</v>
      </c>
    </row>
    <row r="204" spans="1:10" ht="21">
      <c r="A204" s="26"/>
      <c r="B204" s="21"/>
      <c r="C204" s="2" t="s">
        <v>727</v>
      </c>
      <c r="D204" s="2" t="s">
        <v>728</v>
      </c>
      <c r="E204" s="163" t="s">
        <v>2639</v>
      </c>
      <c r="F204" s="3" t="s">
        <v>2944</v>
      </c>
      <c r="G204" s="3" t="s">
        <v>2945</v>
      </c>
      <c r="H204" s="3" t="s">
        <v>3453</v>
      </c>
      <c r="I204" s="22" t="s">
        <v>2946</v>
      </c>
      <c r="J204" s="23" t="s">
        <v>2947</v>
      </c>
    </row>
    <row r="205" spans="1:10" ht="21">
      <c r="A205" s="26"/>
      <c r="B205" s="21"/>
      <c r="C205" s="2" t="s">
        <v>729</v>
      </c>
      <c r="D205" s="2" t="s">
        <v>730</v>
      </c>
      <c r="E205" s="163" t="s">
        <v>2639</v>
      </c>
      <c r="F205" s="3" t="s">
        <v>2948</v>
      </c>
      <c r="G205" s="3" t="s">
        <v>2949</v>
      </c>
      <c r="H205" s="3" t="s">
        <v>3453</v>
      </c>
      <c r="I205" s="22" t="s">
        <v>2381</v>
      </c>
      <c r="J205" s="23" t="s">
        <v>2950</v>
      </c>
    </row>
    <row r="206" spans="1:10" ht="21">
      <c r="A206" s="26"/>
      <c r="B206" s="21" t="s">
        <v>731</v>
      </c>
      <c r="C206" s="2" t="s">
        <v>732</v>
      </c>
      <c r="D206" s="2" t="s">
        <v>733</v>
      </c>
      <c r="E206" s="163" t="s">
        <v>2641</v>
      </c>
      <c r="F206" s="3" t="s">
        <v>2951</v>
      </c>
      <c r="G206" s="3" t="s">
        <v>2952</v>
      </c>
      <c r="H206" s="3" t="s">
        <v>3459</v>
      </c>
      <c r="I206" s="22" t="s">
        <v>2953</v>
      </c>
      <c r="J206" s="23" t="s">
        <v>2954</v>
      </c>
    </row>
    <row r="207" spans="1:10" ht="21">
      <c r="A207" s="26"/>
      <c r="B207" s="21"/>
      <c r="C207" s="2" t="s">
        <v>734</v>
      </c>
      <c r="D207" s="2" t="s">
        <v>735</v>
      </c>
      <c r="E207" s="163" t="s">
        <v>2639</v>
      </c>
      <c r="F207" s="3" t="s">
        <v>2955</v>
      </c>
      <c r="G207" s="3" t="s">
        <v>2956</v>
      </c>
      <c r="H207" s="3" t="s">
        <v>3459</v>
      </c>
      <c r="I207" s="22" t="s">
        <v>2957</v>
      </c>
      <c r="J207" s="23" t="s">
        <v>2958</v>
      </c>
    </row>
    <row r="208" spans="1:10" ht="21">
      <c r="A208" s="26"/>
      <c r="B208" s="21"/>
      <c r="C208" s="2" t="s">
        <v>736</v>
      </c>
      <c r="D208" s="2" t="s">
        <v>737</v>
      </c>
      <c r="E208" s="163" t="s">
        <v>2639</v>
      </c>
      <c r="F208" s="3" t="s">
        <v>2959</v>
      </c>
      <c r="G208" s="3" t="s">
        <v>2960</v>
      </c>
      <c r="H208" s="3" t="s">
        <v>3581</v>
      </c>
      <c r="I208" s="22" t="s">
        <v>2961</v>
      </c>
      <c r="J208" s="23" t="s">
        <v>2962</v>
      </c>
    </row>
    <row r="209" spans="1:10" ht="21">
      <c r="A209" s="26"/>
      <c r="B209" s="21"/>
      <c r="C209" s="2" t="s">
        <v>738</v>
      </c>
      <c r="D209" s="2" t="s">
        <v>739</v>
      </c>
      <c r="E209" s="163" t="s">
        <v>2639</v>
      </c>
      <c r="F209" s="3" t="s">
        <v>2963</v>
      </c>
      <c r="G209" s="3" t="s">
        <v>2964</v>
      </c>
      <c r="H209" s="3" t="s">
        <v>3459</v>
      </c>
      <c r="I209" s="22" t="s">
        <v>2965</v>
      </c>
      <c r="J209" s="23" t="s">
        <v>2966</v>
      </c>
    </row>
    <row r="210" spans="1:10" ht="21">
      <c r="A210" s="26"/>
      <c r="B210" s="21"/>
      <c r="C210" s="2" t="s">
        <v>740</v>
      </c>
      <c r="D210" s="2" t="s">
        <v>741</v>
      </c>
      <c r="E210" s="163" t="s">
        <v>2640</v>
      </c>
      <c r="F210" s="3" t="s">
        <v>2967</v>
      </c>
      <c r="G210" s="3" t="s">
        <v>2968</v>
      </c>
      <c r="H210" s="3" t="s">
        <v>3453</v>
      </c>
      <c r="I210" s="22" t="s">
        <v>2969</v>
      </c>
      <c r="J210" s="23" t="s">
        <v>2970</v>
      </c>
    </row>
    <row r="211" spans="1:10" ht="21">
      <c r="A211" s="26"/>
      <c r="B211" s="21" t="s">
        <v>742</v>
      </c>
      <c r="C211" s="2" t="s">
        <v>743</v>
      </c>
      <c r="D211" s="2" t="s">
        <v>744</v>
      </c>
      <c r="E211" s="163" t="s">
        <v>2640</v>
      </c>
      <c r="F211" s="3" t="s">
        <v>2971</v>
      </c>
      <c r="G211" s="3" t="s">
        <v>2972</v>
      </c>
      <c r="H211" s="3" t="s">
        <v>3459</v>
      </c>
      <c r="I211" s="22" t="s">
        <v>2973</v>
      </c>
      <c r="J211" s="23" t="s">
        <v>2974</v>
      </c>
    </row>
    <row r="212" spans="1:10" ht="21">
      <c r="A212" s="26"/>
      <c r="B212" s="21"/>
      <c r="C212" s="2" t="s">
        <v>745</v>
      </c>
      <c r="D212" s="2" t="s">
        <v>746</v>
      </c>
      <c r="E212" s="163" t="s">
        <v>2639</v>
      </c>
      <c r="F212" s="3" t="s">
        <v>2975</v>
      </c>
      <c r="G212" s="3" t="s">
        <v>2976</v>
      </c>
      <c r="H212" s="3" t="s">
        <v>3581</v>
      </c>
      <c r="I212" s="22" t="s">
        <v>2977</v>
      </c>
      <c r="J212" s="23" t="s">
        <v>2978</v>
      </c>
    </row>
    <row r="213" spans="1:10" ht="21">
      <c r="A213" s="26"/>
      <c r="B213" s="21"/>
      <c r="C213" s="2" t="s">
        <v>747</v>
      </c>
      <c r="D213" s="2" t="s">
        <v>748</v>
      </c>
      <c r="E213" s="163" t="s">
        <v>2639</v>
      </c>
      <c r="F213" s="3" t="s">
        <v>2979</v>
      </c>
      <c r="G213" s="3" t="s">
        <v>2980</v>
      </c>
      <c r="H213" s="3" t="s">
        <v>3581</v>
      </c>
      <c r="I213" s="22" t="s">
        <v>2981</v>
      </c>
      <c r="J213" s="23" t="s">
        <v>2982</v>
      </c>
    </row>
    <row r="214" spans="1:10" ht="21">
      <c r="A214" s="26"/>
      <c r="B214" s="21"/>
      <c r="C214" s="2" t="s">
        <v>749</v>
      </c>
      <c r="D214" s="2" t="s">
        <v>750</v>
      </c>
      <c r="E214" s="163" t="s">
        <v>2639</v>
      </c>
      <c r="F214" s="3" t="s">
        <v>2983</v>
      </c>
      <c r="G214" s="3" t="s">
        <v>2984</v>
      </c>
      <c r="H214" s="3" t="s">
        <v>3459</v>
      </c>
      <c r="I214" s="22" t="s">
        <v>2985</v>
      </c>
      <c r="J214" s="23" t="s">
        <v>2986</v>
      </c>
    </row>
    <row r="215" spans="1:10" ht="21">
      <c r="A215" s="26"/>
      <c r="B215" s="21"/>
      <c r="C215" s="2" t="s">
        <v>751</v>
      </c>
      <c r="D215" s="2" t="s">
        <v>752</v>
      </c>
      <c r="E215" s="163" t="s">
        <v>2639</v>
      </c>
      <c r="F215" s="3" t="s">
        <v>2987</v>
      </c>
      <c r="G215" s="3" t="s">
        <v>2988</v>
      </c>
      <c r="H215" s="3" t="s">
        <v>3453</v>
      </c>
      <c r="I215" s="22" t="s">
        <v>2989</v>
      </c>
      <c r="J215" s="23" t="s">
        <v>2990</v>
      </c>
    </row>
    <row r="216" spans="1:10" ht="21">
      <c r="A216" s="26"/>
      <c r="B216" s="21" t="s">
        <v>753</v>
      </c>
      <c r="C216" s="2" t="s">
        <v>754</v>
      </c>
      <c r="D216" s="2" t="s">
        <v>755</v>
      </c>
      <c r="E216" s="163" t="s">
        <v>2639</v>
      </c>
      <c r="F216" s="3" t="s">
        <v>2991</v>
      </c>
      <c r="G216" s="3" t="s">
        <v>2992</v>
      </c>
      <c r="H216" s="3" t="s">
        <v>3459</v>
      </c>
      <c r="I216" s="22" t="s">
        <v>2993</v>
      </c>
      <c r="J216" s="23" t="s">
        <v>2994</v>
      </c>
    </row>
    <row r="217" spans="1:10" ht="21">
      <c r="A217" s="26"/>
      <c r="B217" s="21"/>
      <c r="C217" s="2" t="s">
        <v>756</v>
      </c>
      <c r="D217" s="2" t="s">
        <v>757</v>
      </c>
      <c r="E217" s="163" t="s">
        <v>2640</v>
      </c>
      <c r="F217" s="3" t="s">
        <v>2995</v>
      </c>
      <c r="G217" s="3" t="s">
        <v>2996</v>
      </c>
      <c r="H217" s="3" t="s">
        <v>3459</v>
      </c>
      <c r="I217" s="22" t="s">
        <v>2997</v>
      </c>
      <c r="J217" s="23" t="s">
        <v>2998</v>
      </c>
    </row>
    <row r="218" spans="1:10" ht="21">
      <c r="A218" s="26"/>
      <c r="B218" s="21"/>
      <c r="C218" s="2" t="s">
        <v>758</v>
      </c>
      <c r="D218" s="2" t="s">
        <v>759</v>
      </c>
      <c r="E218" s="163" t="s">
        <v>2641</v>
      </c>
      <c r="F218" s="3" t="s">
        <v>2999</v>
      </c>
      <c r="G218" s="3" t="s">
        <v>3000</v>
      </c>
      <c r="H218" s="3" t="s">
        <v>3581</v>
      </c>
      <c r="I218" s="22" t="s">
        <v>3001</v>
      </c>
      <c r="J218" s="23" t="s">
        <v>3002</v>
      </c>
    </row>
    <row r="219" spans="1:10" ht="21">
      <c r="A219" s="26"/>
      <c r="B219" s="21"/>
      <c r="C219" s="2" t="s">
        <v>760</v>
      </c>
      <c r="D219" s="2" t="s">
        <v>761</v>
      </c>
      <c r="E219" s="163" t="s">
        <v>2639</v>
      </c>
      <c r="F219" s="3" t="s">
        <v>3003</v>
      </c>
      <c r="G219" s="3" t="s">
        <v>3004</v>
      </c>
      <c r="H219" s="3" t="s">
        <v>3459</v>
      </c>
      <c r="I219" s="22" t="s">
        <v>3005</v>
      </c>
      <c r="J219" s="23" t="s">
        <v>3006</v>
      </c>
    </row>
    <row r="220" spans="1:10" ht="21">
      <c r="A220" s="26"/>
      <c r="B220" s="21"/>
      <c r="C220" s="2" t="s">
        <v>762</v>
      </c>
      <c r="D220" s="2" t="s">
        <v>763</v>
      </c>
      <c r="E220" s="163" t="s">
        <v>2639</v>
      </c>
      <c r="F220" s="3" t="s">
        <v>3007</v>
      </c>
      <c r="G220" s="3" t="s">
        <v>3008</v>
      </c>
      <c r="H220" s="3" t="s">
        <v>3453</v>
      </c>
      <c r="I220" s="22" t="s">
        <v>3009</v>
      </c>
      <c r="J220" s="23" t="s">
        <v>3010</v>
      </c>
    </row>
    <row r="221" spans="1:10" ht="21">
      <c r="A221" s="26"/>
      <c r="B221" s="21" t="s">
        <v>764</v>
      </c>
      <c r="C221" s="2" t="s">
        <v>765</v>
      </c>
      <c r="D221" s="2" t="s">
        <v>766</v>
      </c>
      <c r="E221" s="163" t="s">
        <v>2640</v>
      </c>
      <c r="F221" s="3" t="s">
        <v>3011</v>
      </c>
      <c r="G221" s="3" t="s">
        <v>3012</v>
      </c>
      <c r="H221" s="3" t="s">
        <v>3581</v>
      </c>
      <c r="I221" s="22" t="s">
        <v>3013</v>
      </c>
      <c r="J221" s="23" t="s">
        <v>3014</v>
      </c>
    </row>
    <row r="222" spans="1:10" ht="21">
      <c r="A222" s="26"/>
      <c r="B222" s="21"/>
      <c r="C222" s="2" t="s">
        <v>767</v>
      </c>
      <c r="D222" s="2" t="s">
        <v>768</v>
      </c>
      <c r="E222" s="163" t="s">
        <v>2639</v>
      </c>
      <c r="F222" s="3" t="s">
        <v>3015</v>
      </c>
      <c r="G222" s="3" t="s">
        <v>3016</v>
      </c>
      <c r="H222" s="3" t="s">
        <v>3459</v>
      </c>
      <c r="I222" s="22" t="s">
        <v>3017</v>
      </c>
      <c r="J222" s="23" t="s">
        <v>3018</v>
      </c>
    </row>
    <row r="223" spans="1:10" ht="21">
      <c r="A223" s="26"/>
      <c r="B223" s="21"/>
      <c r="C223" s="2" t="s">
        <v>769</v>
      </c>
      <c r="D223" s="2" t="s">
        <v>770</v>
      </c>
      <c r="E223" s="163" t="s">
        <v>2641</v>
      </c>
      <c r="F223" s="3" t="s">
        <v>3019</v>
      </c>
      <c r="G223" s="3" t="s">
        <v>3020</v>
      </c>
      <c r="H223" s="3" t="s">
        <v>3581</v>
      </c>
      <c r="I223" s="22" t="s">
        <v>3021</v>
      </c>
      <c r="J223" s="23" t="s">
        <v>3022</v>
      </c>
    </row>
    <row r="224" spans="1:10" ht="21">
      <c r="A224" s="26"/>
      <c r="B224" s="21"/>
      <c r="C224" s="2" t="s">
        <v>771</v>
      </c>
      <c r="D224" s="2" t="s">
        <v>772</v>
      </c>
      <c r="E224" s="163" t="s">
        <v>2639</v>
      </c>
      <c r="F224" s="3" t="s">
        <v>2929</v>
      </c>
      <c r="G224" s="3" t="s">
        <v>3023</v>
      </c>
      <c r="H224" s="3" t="s">
        <v>3453</v>
      </c>
      <c r="I224" s="22" t="s">
        <v>3024</v>
      </c>
      <c r="J224" s="23" t="s">
        <v>3025</v>
      </c>
    </row>
    <row r="225" spans="1:10" ht="21">
      <c r="A225" s="26"/>
      <c r="B225" s="21"/>
      <c r="C225" s="2" t="s">
        <v>773</v>
      </c>
      <c r="D225" s="2" t="s">
        <v>774</v>
      </c>
      <c r="E225" s="163" t="s">
        <v>2641</v>
      </c>
      <c r="F225" s="3" t="s">
        <v>3026</v>
      </c>
      <c r="G225" s="3" t="s">
        <v>2076</v>
      </c>
      <c r="H225" s="3" t="s">
        <v>3459</v>
      </c>
      <c r="I225" s="22" t="s">
        <v>3027</v>
      </c>
      <c r="J225" s="23" t="s">
        <v>3028</v>
      </c>
    </row>
    <row r="226" spans="1:10" ht="21">
      <c r="A226" s="26"/>
      <c r="B226" s="21" t="s">
        <v>775</v>
      </c>
      <c r="C226" s="2" t="s">
        <v>776</v>
      </c>
      <c r="D226" s="2" t="s">
        <v>777</v>
      </c>
      <c r="E226" s="163" t="s">
        <v>2641</v>
      </c>
      <c r="F226" s="3" t="s">
        <v>3029</v>
      </c>
      <c r="G226" s="3" t="s">
        <v>3030</v>
      </c>
      <c r="H226" s="3" t="s">
        <v>3459</v>
      </c>
      <c r="I226" s="22" t="s">
        <v>3031</v>
      </c>
      <c r="J226" s="23" t="s">
        <v>3032</v>
      </c>
    </row>
    <row r="227" spans="1:10" ht="21">
      <c r="A227" s="26"/>
      <c r="B227" s="21"/>
      <c r="C227" s="2" t="s">
        <v>778</v>
      </c>
      <c r="D227" s="2" t="s">
        <v>779</v>
      </c>
      <c r="E227" s="163" t="s">
        <v>2641</v>
      </c>
      <c r="F227" s="3" t="s">
        <v>3033</v>
      </c>
      <c r="G227" s="3" t="s">
        <v>3034</v>
      </c>
      <c r="H227" s="3" t="s">
        <v>3453</v>
      </c>
      <c r="I227" s="22" t="s">
        <v>3035</v>
      </c>
      <c r="J227" s="23" t="s">
        <v>3036</v>
      </c>
    </row>
    <row r="228" spans="1:10" ht="21">
      <c r="A228" s="26"/>
      <c r="B228" s="21"/>
      <c r="C228" s="2" t="s">
        <v>780</v>
      </c>
      <c r="D228" s="2" t="s">
        <v>781</v>
      </c>
      <c r="E228" s="163" t="s">
        <v>2641</v>
      </c>
      <c r="F228" s="3" t="s">
        <v>3037</v>
      </c>
      <c r="G228" s="3" t="s">
        <v>3038</v>
      </c>
      <c r="H228" s="3" t="s">
        <v>3453</v>
      </c>
      <c r="I228" s="22" t="s">
        <v>3039</v>
      </c>
      <c r="J228" s="23" t="s">
        <v>3040</v>
      </c>
    </row>
    <row r="229" spans="1:10" ht="21">
      <c r="A229" s="26"/>
      <c r="B229" s="21"/>
      <c r="C229" s="2" t="s">
        <v>782</v>
      </c>
      <c r="D229" s="2" t="s">
        <v>783</v>
      </c>
      <c r="E229" s="163" t="s">
        <v>2640</v>
      </c>
      <c r="F229" s="3" t="s">
        <v>3041</v>
      </c>
      <c r="G229" s="3" t="s">
        <v>3042</v>
      </c>
      <c r="H229" s="3" t="s">
        <v>3453</v>
      </c>
      <c r="I229" s="22" t="s">
        <v>3043</v>
      </c>
      <c r="J229" s="23" t="s">
        <v>3044</v>
      </c>
    </row>
    <row r="230" spans="1:10" ht="21">
      <c r="A230" s="26"/>
      <c r="B230" s="21"/>
      <c r="C230" s="2" t="s">
        <v>784</v>
      </c>
      <c r="D230" s="2" t="s">
        <v>785</v>
      </c>
      <c r="E230" s="163" t="s">
        <v>2640</v>
      </c>
      <c r="F230" s="3" t="s">
        <v>2880</v>
      </c>
      <c r="G230" s="3" t="s">
        <v>3045</v>
      </c>
      <c r="H230" s="23" t="s">
        <v>3459</v>
      </c>
      <c r="I230" s="22" t="s">
        <v>3046</v>
      </c>
      <c r="J230" s="23" t="s">
        <v>3047</v>
      </c>
    </row>
    <row r="231" spans="1:10" ht="21">
      <c r="A231" s="26"/>
      <c r="B231" s="21" t="s">
        <v>786</v>
      </c>
      <c r="C231" s="2" t="s">
        <v>787</v>
      </c>
      <c r="D231" s="2" t="s">
        <v>788</v>
      </c>
      <c r="E231" s="163" t="s">
        <v>2640</v>
      </c>
      <c r="F231" s="3" t="s">
        <v>3048</v>
      </c>
      <c r="G231" s="3" t="s">
        <v>3049</v>
      </c>
      <c r="H231" s="3" t="s">
        <v>3453</v>
      </c>
      <c r="I231" s="22" t="s">
        <v>3050</v>
      </c>
      <c r="J231" s="23" t="s">
        <v>3051</v>
      </c>
    </row>
    <row r="232" spans="1:10" ht="21">
      <c r="A232" s="26"/>
      <c r="B232" s="21"/>
      <c r="C232" s="2" t="s">
        <v>789</v>
      </c>
      <c r="D232" s="2" t="s">
        <v>790</v>
      </c>
      <c r="E232" s="163" t="s">
        <v>2640</v>
      </c>
      <c r="F232" s="3" t="s">
        <v>3052</v>
      </c>
      <c r="G232" s="3" t="s">
        <v>3053</v>
      </c>
      <c r="H232" s="3" t="s">
        <v>3459</v>
      </c>
      <c r="I232" s="22" t="s">
        <v>3054</v>
      </c>
      <c r="J232" s="23" t="s">
        <v>3055</v>
      </c>
    </row>
    <row r="233" spans="1:10" ht="21">
      <c r="A233" s="26"/>
      <c r="B233" s="21"/>
      <c r="C233" s="2" t="s">
        <v>791</v>
      </c>
      <c r="D233" s="2" t="s">
        <v>792</v>
      </c>
      <c r="E233" s="163" t="s">
        <v>2640</v>
      </c>
      <c r="F233" s="3" t="s">
        <v>3056</v>
      </c>
      <c r="G233" s="3" t="s">
        <v>3057</v>
      </c>
      <c r="H233" s="3" t="s">
        <v>3459</v>
      </c>
      <c r="I233" s="22" t="s">
        <v>3058</v>
      </c>
      <c r="J233" s="23" t="s">
        <v>3059</v>
      </c>
    </row>
    <row r="234" spans="1:10" ht="21">
      <c r="A234" s="26"/>
      <c r="B234" s="21"/>
      <c r="C234" s="2" t="s">
        <v>793</v>
      </c>
      <c r="D234" s="2" t="s">
        <v>794</v>
      </c>
      <c r="E234" s="163" t="s">
        <v>2639</v>
      </c>
      <c r="F234" s="3" t="s">
        <v>3060</v>
      </c>
      <c r="G234" s="3" t="s">
        <v>3061</v>
      </c>
      <c r="H234" s="3" t="s">
        <v>3453</v>
      </c>
      <c r="I234" s="22" t="s">
        <v>3062</v>
      </c>
      <c r="J234" s="23" t="s">
        <v>3063</v>
      </c>
    </row>
    <row r="235" spans="1:10" ht="21">
      <c r="A235" s="26"/>
      <c r="B235" s="21"/>
      <c r="C235" s="2" t="s">
        <v>795</v>
      </c>
      <c r="D235" s="2" t="s">
        <v>796</v>
      </c>
      <c r="E235" s="163" t="s">
        <v>2639</v>
      </c>
      <c r="F235" s="3" t="s">
        <v>3064</v>
      </c>
      <c r="G235" s="3" t="s">
        <v>3065</v>
      </c>
      <c r="H235" s="3" t="s">
        <v>3453</v>
      </c>
      <c r="I235" s="22" t="s">
        <v>3066</v>
      </c>
      <c r="J235" s="23" t="s">
        <v>3067</v>
      </c>
    </row>
    <row r="236" spans="1:10" ht="21">
      <c r="A236" s="26"/>
      <c r="B236" s="21" t="s">
        <v>797</v>
      </c>
      <c r="C236" s="2" t="s">
        <v>798</v>
      </c>
      <c r="D236" s="2" t="s">
        <v>799</v>
      </c>
      <c r="E236" s="163" t="s">
        <v>2641</v>
      </c>
      <c r="F236" s="3" t="s">
        <v>3068</v>
      </c>
      <c r="G236" s="3" t="s">
        <v>2635</v>
      </c>
      <c r="H236" s="3" t="s">
        <v>3459</v>
      </c>
      <c r="I236" s="22" t="s">
        <v>3069</v>
      </c>
      <c r="J236" s="23" t="s">
        <v>3070</v>
      </c>
    </row>
    <row r="237" spans="1:10" ht="21">
      <c r="A237" s="26"/>
      <c r="B237" s="21"/>
      <c r="C237" s="2" t="s">
        <v>597</v>
      </c>
      <c r="D237" s="2" t="s">
        <v>800</v>
      </c>
      <c r="E237" s="163" t="s">
        <v>2639</v>
      </c>
      <c r="F237" s="3" t="s">
        <v>3071</v>
      </c>
      <c r="G237" s="3" t="s">
        <v>3072</v>
      </c>
      <c r="H237" s="3" t="s">
        <v>3459</v>
      </c>
      <c r="I237" s="22" t="s">
        <v>3073</v>
      </c>
      <c r="J237" s="23" t="s">
        <v>3074</v>
      </c>
    </row>
    <row r="238" spans="1:10" ht="21">
      <c r="A238" s="26"/>
      <c r="B238" s="21"/>
      <c r="C238" s="2" t="s">
        <v>801</v>
      </c>
      <c r="D238" s="2" t="s">
        <v>802</v>
      </c>
      <c r="E238" s="163" t="s">
        <v>2639</v>
      </c>
      <c r="F238" s="3" t="s">
        <v>3075</v>
      </c>
      <c r="G238" s="3" t="s">
        <v>3076</v>
      </c>
      <c r="H238" s="3" t="s">
        <v>3453</v>
      </c>
      <c r="I238" s="22" t="s">
        <v>3077</v>
      </c>
      <c r="J238" s="23" t="s">
        <v>3078</v>
      </c>
    </row>
    <row r="239" spans="1:10" ht="21">
      <c r="A239" s="26"/>
      <c r="B239" s="21"/>
      <c r="C239" s="2" t="s">
        <v>803</v>
      </c>
      <c r="D239" s="2" t="s">
        <v>804</v>
      </c>
      <c r="E239" s="163" t="s">
        <v>2639</v>
      </c>
      <c r="F239" s="3" t="s">
        <v>3079</v>
      </c>
      <c r="G239" s="3" t="s">
        <v>3080</v>
      </c>
      <c r="H239" s="3" t="s">
        <v>3581</v>
      </c>
      <c r="I239" s="22" t="s">
        <v>3081</v>
      </c>
      <c r="J239" s="23" t="s">
        <v>3082</v>
      </c>
    </row>
    <row r="240" spans="1:10" ht="21">
      <c r="A240" s="26"/>
      <c r="B240" s="21"/>
      <c r="C240" s="2" t="s">
        <v>805</v>
      </c>
      <c r="D240" s="2" t="s">
        <v>806</v>
      </c>
      <c r="E240" s="163" t="s">
        <v>2639</v>
      </c>
      <c r="F240" s="3" t="s">
        <v>3083</v>
      </c>
      <c r="G240" s="3" t="s">
        <v>3084</v>
      </c>
      <c r="H240" s="3" t="s">
        <v>3459</v>
      </c>
      <c r="I240" s="22" t="s">
        <v>3085</v>
      </c>
      <c r="J240" s="23" t="s">
        <v>3086</v>
      </c>
    </row>
    <row r="241" spans="1:10" ht="21">
      <c r="A241" s="26"/>
      <c r="B241" s="21" t="s">
        <v>807</v>
      </c>
      <c r="C241" s="2" t="s">
        <v>808</v>
      </c>
      <c r="D241" s="2" t="s">
        <v>809</v>
      </c>
      <c r="E241" s="163" t="s">
        <v>2640</v>
      </c>
      <c r="F241" s="3" t="s">
        <v>3087</v>
      </c>
      <c r="G241" s="3" t="s">
        <v>3000</v>
      </c>
      <c r="H241" s="3" t="s">
        <v>3581</v>
      </c>
      <c r="I241" s="22" t="s">
        <v>3088</v>
      </c>
      <c r="J241" s="23" t="s">
        <v>3089</v>
      </c>
    </row>
    <row r="242" spans="1:10" ht="21">
      <c r="A242" s="26"/>
      <c r="B242" s="21"/>
      <c r="C242" s="2" t="s">
        <v>810</v>
      </c>
      <c r="D242" s="2" t="s">
        <v>811</v>
      </c>
      <c r="E242" s="163" t="s">
        <v>2640</v>
      </c>
      <c r="F242" s="3" t="s">
        <v>3090</v>
      </c>
      <c r="G242" s="3" t="s">
        <v>3091</v>
      </c>
      <c r="H242" s="3" t="s">
        <v>3459</v>
      </c>
      <c r="I242" s="22" t="s">
        <v>3092</v>
      </c>
      <c r="J242" s="23" t="s">
        <v>3093</v>
      </c>
    </row>
    <row r="243" spans="1:10" ht="21">
      <c r="A243" s="26"/>
      <c r="B243" s="21"/>
      <c r="C243" s="2" t="s">
        <v>812</v>
      </c>
      <c r="D243" s="2" t="s">
        <v>813</v>
      </c>
      <c r="E243" s="163" t="s">
        <v>2640</v>
      </c>
      <c r="F243" s="3" t="s">
        <v>3094</v>
      </c>
      <c r="G243" s="3" t="s">
        <v>3095</v>
      </c>
      <c r="H243" s="3" t="s">
        <v>3581</v>
      </c>
      <c r="I243" s="22" t="s">
        <v>3096</v>
      </c>
      <c r="J243" s="23" t="s">
        <v>3097</v>
      </c>
    </row>
    <row r="244" spans="1:10" ht="21">
      <c r="A244" s="26"/>
      <c r="B244" s="21"/>
      <c r="C244" s="2" t="s">
        <v>628</v>
      </c>
      <c r="D244" s="2" t="s">
        <v>814</v>
      </c>
      <c r="E244" s="163" t="s">
        <v>2639</v>
      </c>
      <c r="F244" s="3" t="s">
        <v>3098</v>
      </c>
      <c r="G244" s="3" t="s">
        <v>2635</v>
      </c>
      <c r="H244" s="3" t="s">
        <v>3453</v>
      </c>
      <c r="I244" s="22" t="s">
        <v>3099</v>
      </c>
      <c r="J244" s="23" t="s">
        <v>3100</v>
      </c>
    </row>
    <row r="245" spans="1:10" ht="21">
      <c r="A245" s="26"/>
      <c r="B245" s="21"/>
      <c r="C245" s="2" t="s">
        <v>630</v>
      </c>
      <c r="D245" s="2" t="s">
        <v>815</v>
      </c>
      <c r="E245" s="163" t="s">
        <v>2639</v>
      </c>
      <c r="F245" s="3" t="s">
        <v>3101</v>
      </c>
      <c r="G245" s="3" t="s">
        <v>3102</v>
      </c>
      <c r="H245" s="3" t="s">
        <v>3453</v>
      </c>
      <c r="I245" s="22" t="s">
        <v>3103</v>
      </c>
      <c r="J245" s="23" t="s">
        <v>3104</v>
      </c>
    </row>
    <row r="246" spans="1:10" ht="21">
      <c r="A246" s="26"/>
      <c r="B246" s="21" t="s">
        <v>816</v>
      </c>
      <c r="C246" s="2" t="s">
        <v>817</v>
      </c>
      <c r="D246" s="2" t="s">
        <v>818</v>
      </c>
      <c r="E246" s="163" t="s">
        <v>2639</v>
      </c>
      <c r="F246" s="3" t="s">
        <v>3105</v>
      </c>
      <c r="G246" s="3" t="s">
        <v>3106</v>
      </c>
      <c r="H246" s="3" t="s">
        <v>3459</v>
      </c>
      <c r="I246" s="22" t="s">
        <v>3107</v>
      </c>
      <c r="J246" s="23" t="s">
        <v>3108</v>
      </c>
    </row>
    <row r="247" spans="1:10" ht="21">
      <c r="A247" s="26"/>
      <c r="B247" s="21"/>
      <c r="C247" s="2" t="s">
        <v>819</v>
      </c>
      <c r="D247" s="2" t="s">
        <v>820</v>
      </c>
      <c r="E247" s="163" t="s">
        <v>2640</v>
      </c>
      <c r="F247" s="3" t="s">
        <v>3109</v>
      </c>
      <c r="G247" s="3" t="s">
        <v>3110</v>
      </c>
      <c r="H247" s="3" t="s">
        <v>3459</v>
      </c>
      <c r="I247" s="22" t="s">
        <v>3111</v>
      </c>
      <c r="J247" s="23" t="s">
        <v>3112</v>
      </c>
    </row>
    <row r="248" spans="1:10" ht="21">
      <c r="A248" s="26"/>
      <c r="B248" s="21"/>
      <c r="C248" s="2" t="s">
        <v>821</v>
      </c>
      <c r="D248" s="2" t="s">
        <v>822</v>
      </c>
      <c r="E248" s="163" t="s">
        <v>2640</v>
      </c>
      <c r="F248" s="3" t="s">
        <v>2240</v>
      </c>
      <c r="G248" s="3" t="s">
        <v>3113</v>
      </c>
      <c r="H248" s="3" t="s">
        <v>3459</v>
      </c>
      <c r="I248" s="22" t="s">
        <v>3114</v>
      </c>
      <c r="J248" s="23" t="s">
        <v>3115</v>
      </c>
    </row>
    <row r="249" spans="1:10" ht="21">
      <c r="A249" s="26"/>
      <c r="B249" s="21"/>
      <c r="C249" s="2" t="s">
        <v>823</v>
      </c>
      <c r="D249" s="2" t="s">
        <v>824</v>
      </c>
      <c r="E249" s="163" t="s">
        <v>2639</v>
      </c>
      <c r="F249" s="3" t="s">
        <v>3116</v>
      </c>
      <c r="G249" s="3" t="s">
        <v>3117</v>
      </c>
      <c r="H249" s="3" t="s">
        <v>3459</v>
      </c>
      <c r="I249" s="22" t="s">
        <v>3118</v>
      </c>
      <c r="J249" s="23" t="s">
        <v>3119</v>
      </c>
    </row>
    <row r="250" spans="1:10" ht="21">
      <c r="A250" s="26"/>
      <c r="B250" s="21"/>
      <c r="C250" s="2" t="s">
        <v>529</v>
      </c>
      <c r="D250" s="2" t="s">
        <v>825</v>
      </c>
      <c r="E250" s="163" t="s">
        <v>2639</v>
      </c>
      <c r="F250" s="3" t="s">
        <v>3120</v>
      </c>
      <c r="G250" s="3" t="s">
        <v>3121</v>
      </c>
      <c r="H250" s="3" t="s">
        <v>3459</v>
      </c>
      <c r="I250" s="22" t="s">
        <v>3122</v>
      </c>
      <c r="J250" s="23" t="s">
        <v>3123</v>
      </c>
    </row>
    <row r="251" spans="1:10" ht="21">
      <c r="A251" s="26"/>
      <c r="B251" s="21" t="s">
        <v>826</v>
      </c>
      <c r="C251" s="2" t="s">
        <v>827</v>
      </c>
      <c r="D251" s="2" t="s">
        <v>828</v>
      </c>
      <c r="E251" s="163" t="s">
        <v>2639</v>
      </c>
      <c r="F251" s="3" t="s">
        <v>3124</v>
      </c>
      <c r="G251" s="3" t="s">
        <v>3125</v>
      </c>
      <c r="H251" s="3" t="s">
        <v>3581</v>
      </c>
      <c r="I251" s="22" t="s">
        <v>3126</v>
      </c>
      <c r="J251" s="23" t="s">
        <v>3127</v>
      </c>
    </row>
    <row r="252" spans="1:10" ht="21">
      <c r="A252" s="26"/>
      <c r="B252" s="21"/>
      <c r="C252" s="2" t="s">
        <v>575</v>
      </c>
      <c r="D252" s="2" t="s">
        <v>829</v>
      </c>
      <c r="E252" s="163" t="s">
        <v>2640</v>
      </c>
      <c r="F252" s="3" t="s">
        <v>2995</v>
      </c>
      <c r="G252" s="3" t="s">
        <v>2996</v>
      </c>
      <c r="H252" s="3" t="s">
        <v>3459</v>
      </c>
      <c r="I252" s="22" t="s">
        <v>3128</v>
      </c>
      <c r="J252" s="23" t="s">
        <v>3129</v>
      </c>
    </row>
    <row r="253" spans="1:10" ht="21">
      <c r="A253" s="26"/>
      <c r="B253" s="21"/>
      <c r="C253" s="2" t="s">
        <v>830</v>
      </c>
      <c r="D253" s="2" t="s">
        <v>831</v>
      </c>
      <c r="E253" s="163" t="s">
        <v>2640</v>
      </c>
      <c r="F253" s="3" t="s">
        <v>3130</v>
      </c>
      <c r="G253" s="3" t="s">
        <v>3131</v>
      </c>
      <c r="H253" s="3" t="s">
        <v>3459</v>
      </c>
      <c r="I253" s="22" t="s">
        <v>3132</v>
      </c>
      <c r="J253" s="23" t="s">
        <v>3133</v>
      </c>
    </row>
    <row r="254" spans="1:10" ht="21">
      <c r="A254" s="26"/>
      <c r="B254" s="21"/>
      <c r="C254" s="2" t="s">
        <v>832</v>
      </c>
      <c r="D254" s="2" t="s">
        <v>833</v>
      </c>
      <c r="E254" s="163" t="s">
        <v>2639</v>
      </c>
      <c r="F254" s="3" t="s">
        <v>2983</v>
      </c>
      <c r="G254" s="3" t="s">
        <v>3134</v>
      </c>
      <c r="H254" s="3" t="s">
        <v>3581</v>
      </c>
      <c r="I254" s="22" t="s">
        <v>3135</v>
      </c>
      <c r="J254" s="23" t="s">
        <v>3136</v>
      </c>
    </row>
    <row r="255" spans="1:10" ht="21">
      <c r="A255" s="26"/>
      <c r="B255" s="21"/>
      <c r="C255" s="2" t="s">
        <v>581</v>
      </c>
      <c r="D255" s="2" t="s">
        <v>834</v>
      </c>
      <c r="E255" s="163" t="s">
        <v>2639</v>
      </c>
      <c r="F255" s="3" t="s">
        <v>3137</v>
      </c>
      <c r="G255" s="3" t="s">
        <v>3138</v>
      </c>
      <c r="H255" s="3" t="s">
        <v>3581</v>
      </c>
      <c r="I255" s="22" t="s">
        <v>3139</v>
      </c>
      <c r="J255" s="23" t="s">
        <v>3140</v>
      </c>
    </row>
    <row r="256" spans="1:10" ht="21">
      <c r="A256" s="26"/>
      <c r="B256" s="21" t="s">
        <v>835</v>
      </c>
      <c r="C256" s="2" t="s">
        <v>836</v>
      </c>
      <c r="D256" s="2" t="s">
        <v>828</v>
      </c>
      <c r="E256" s="163" t="s">
        <v>2640</v>
      </c>
      <c r="F256" s="3" t="s">
        <v>3094</v>
      </c>
      <c r="G256" s="3" t="s">
        <v>3141</v>
      </c>
      <c r="H256" s="3" t="s">
        <v>3459</v>
      </c>
      <c r="I256" s="22" t="s">
        <v>3142</v>
      </c>
      <c r="J256" s="23" t="s">
        <v>3143</v>
      </c>
    </row>
    <row r="257" spans="1:10" ht="21">
      <c r="A257" s="26"/>
      <c r="B257" s="21"/>
      <c r="C257" s="2" t="s">
        <v>837</v>
      </c>
      <c r="D257" s="2" t="s">
        <v>829</v>
      </c>
      <c r="E257" s="163" t="s">
        <v>2640</v>
      </c>
      <c r="F257" s="3" t="s">
        <v>2983</v>
      </c>
      <c r="G257" s="3" t="s">
        <v>3144</v>
      </c>
      <c r="H257" s="3" t="s">
        <v>3581</v>
      </c>
      <c r="I257" s="22" t="s">
        <v>3145</v>
      </c>
      <c r="J257" s="23" t="s">
        <v>3146</v>
      </c>
    </row>
    <row r="258" spans="1:10" ht="21">
      <c r="A258" s="26"/>
      <c r="B258" s="21"/>
      <c r="C258" s="2" t="s">
        <v>838</v>
      </c>
      <c r="D258" s="2" t="s">
        <v>831</v>
      </c>
      <c r="E258" s="163" t="s">
        <v>2640</v>
      </c>
      <c r="F258" s="3" t="s">
        <v>2995</v>
      </c>
      <c r="G258" s="3" t="s">
        <v>3147</v>
      </c>
      <c r="H258" s="3" t="s">
        <v>3459</v>
      </c>
      <c r="I258" s="22" t="s">
        <v>3148</v>
      </c>
      <c r="J258" s="23" t="s">
        <v>3149</v>
      </c>
    </row>
    <row r="259" spans="1:10" ht="21">
      <c r="A259" s="26"/>
      <c r="B259" s="21"/>
      <c r="C259" s="2" t="s">
        <v>839</v>
      </c>
      <c r="D259" s="2" t="s">
        <v>833</v>
      </c>
      <c r="E259" s="163" t="s">
        <v>2640</v>
      </c>
      <c r="F259" s="3" t="s">
        <v>3150</v>
      </c>
      <c r="G259" s="3" t="s">
        <v>2934</v>
      </c>
      <c r="H259" s="3" t="s">
        <v>3581</v>
      </c>
      <c r="I259" s="22" t="s">
        <v>3151</v>
      </c>
      <c r="J259" s="23" t="s">
        <v>3152</v>
      </c>
    </row>
    <row r="260" spans="1:10" ht="21">
      <c r="A260" s="26"/>
      <c r="B260" s="21"/>
      <c r="C260" s="2" t="s">
        <v>840</v>
      </c>
      <c r="D260" s="2" t="s">
        <v>834</v>
      </c>
      <c r="E260" s="163" t="s">
        <v>2640</v>
      </c>
      <c r="F260" s="3" t="s">
        <v>3153</v>
      </c>
      <c r="G260" s="3" t="s">
        <v>3154</v>
      </c>
      <c r="H260" s="3" t="s">
        <v>3459</v>
      </c>
      <c r="I260" s="22" t="s">
        <v>3155</v>
      </c>
      <c r="J260" s="23" t="s">
        <v>3156</v>
      </c>
    </row>
    <row r="261" spans="1:10" ht="21">
      <c r="A261" s="26"/>
      <c r="B261" s="21" t="s">
        <v>841</v>
      </c>
      <c r="C261" s="2" t="s">
        <v>842</v>
      </c>
      <c r="D261" s="2" t="s">
        <v>843</v>
      </c>
      <c r="E261" s="163" t="s">
        <v>2640</v>
      </c>
      <c r="F261" s="3" t="s">
        <v>3157</v>
      </c>
      <c r="G261" s="3" t="s">
        <v>3072</v>
      </c>
      <c r="H261" s="3" t="s">
        <v>3459</v>
      </c>
      <c r="I261" s="22" t="s">
        <v>3158</v>
      </c>
      <c r="J261" s="23" t="s">
        <v>3159</v>
      </c>
    </row>
    <row r="262" spans="1:10" ht="21">
      <c r="A262" s="26"/>
      <c r="B262" s="21"/>
      <c r="C262" s="2" t="s">
        <v>789</v>
      </c>
      <c r="D262" s="2" t="s">
        <v>844</v>
      </c>
      <c r="E262" s="163" t="s">
        <v>2640</v>
      </c>
      <c r="F262" s="3" t="s">
        <v>3160</v>
      </c>
      <c r="G262" s="3" t="s">
        <v>3161</v>
      </c>
      <c r="H262" s="3" t="s">
        <v>3581</v>
      </c>
      <c r="I262" s="22" t="s">
        <v>3162</v>
      </c>
      <c r="J262" s="23" t="s">
        <v>3163</v>
      </c>
    </row>
    <row r="263" spans="1:10" ht="21">
      <c r="A263" s="26"/>
      <c r="B263" s="21"/>
      <c r="C263" s="2" t="s">
        <v>791</v>
      </c>
      <c r="D263" s="2" t="s">
        <v>845</v>
      </c>
      <c r="E263" s="163" t="s">
        <v>2640</v>
      </c>
      <c r="F263" s="3" t="s">
        <v>3164</v>
      </c>
      <c r="G263" s="3" t="s">
        <v>3042</v>
      </c>
      <c r="H263" s="3" t="s">
        <v>3581</v>
      </c>
      <c r="I263" s="22" t="s">
        <v>3165</v>
      </c>
      <c r="J263" s="23" t="s">
        <v>3166</v>
      </c>
    </row>
    <row r="264" spans="1:10" ht="21">
      <c r="A264" s="26"/>
      <c r="B264" s="21"/>
      <c r="C264" s="2" t="s">
        <v>846</v>
      </c>
      <c r="D264" s="2" t="s">
        <v>847</v>
      </c>
      <c r="E264" s="163" t="s">
        <v>2639</v>
      </c>
      <c r="F264" s="3" t="s">
        <v>3167</v>
      </c>
      <c r="G264" s="3" t="s">
        <v>3016</v>
      </c>
      <c r="H264" s="3" t="s">
        <v>3459</v>
      </c>
      <c r="I264" s="22" t="s">
        <v>3168</v>
      </c>
      <c r="J264" s="23" t="s">
        <v>3169</v>
      </c>
    </row>
    <row r="265" spans="1:10" ht="21">
      <c r="A265" s="26"/>
      <c r="B265" s="21"/>
      <c r="C265" s="2" t="s">
        <v>795</v>
      </c>
      <c r="D265" s="2" t="s">
        <v>848</v>
      </c>
      <c r="E265" s="163" t="s">
        <v>2639</v>
      </c>
      <c r="F265" s="3" t="s">
        <v>3170</v>
      </c>
      <c r="G265" s="3" t="s">
        <v>3171</v>
      </c>
      <c r="H265" s="3" t="s">
        <v>3453</v>
      </c>
      <c r="I265" s="22" t="s">
        <v>3172</v>
      </c>
      <c r="J265" s="23" t="s">
        <v>3173</v>
      </c>
    </row>
    <row r="266" spans="1:10" ht="21">
      <c r="A266" s="26"/>
      <c r="B266" s="21" t="s">
        <v>849</v>
      </c>
      <c r="C266" s="2" t="s">
        <v>850</v>
      </c>
      <c r="D266" s="2" t="s">
        <v>851</v>
      </c>
      <c r="E266" s="163" t="s">
        <v>2639</v>
      </c>
      <c r="F266" s="3" t="s">
        <v>3174</v>
      </c>
      <c r="G266" s="3" t="s">
        <v>3175</v>
      </c>
      <c r="H266" s="3" t="s">
        <v>3453</v>
      </c>
      <c r="I266" s="22" t="s">
        <v>3176</v>
      </c>
      <c r="J266" s="23" t="s">
        <v>3177</v>
      </c>
    </row>
    <row r="267" spans="1:10" ht="21">
      <c r="A267" s="26"/>
      <c r="B267" s="21"/>
      <c r="C267" s="2" t="s">
        <v>852</v>
      </c>
      <c r="D267" s="2" t="s">
        <v>853</v>
      </c>
      <c r="E267" s="163" t="s">
        <v>2640</v>
      </c>
      <c r="F267" s="3" t="s">
        <v>3178</v>
      </c>
      <c r="G267" s="3" t="s">
        <v>3179</v>
      </c>
      <c r="H267" s="3" t="s">
        <v>3459</v>
      </c>
      <c r="I267" s="22" t="s">
        <v>3180</v>
      </c>
      <c r="J267" s="23" t="s">
        <v>3181</v>
      </c>
    </row>
    <row r="268" spans="1:10" ht="21">
      <c r="A268" s="26"/>
      <c r="B268" s="21"/>
      <c r="C268" s="2" t="s">
        <v>854</v>
      </c>
      <c r="D268" s="2" t="s">
        <v>855</v>
      </c>
      <c r="E268" s="163" t="s">
        <v>2640</v>
      </c>
      <c r="F268" s="3" t="s">
        <v>3182</v>
      </c>
      <c r="G268" s="3" t="s">
        <v>3183</v>
      </c>
      <c r="H268" s="3" t="s">
        <v>3459</v>
      </c>
      <c r="I268" s="22" t="s">
        <v>3184</v>
      </c>
      <c r="J268" s="23" t="s">
        <v>3185</v>
      </c>
    </row>
    <row r="269" spans="1:10" ht="21">
      <c r="A269" s="26"/>
      <c r="B269" s="21"/>
      <c r="C269" s="2" t="s">
        <v>856</v>
      </c>
      <c r="D269" s="2" t="s">
        <v>857</v>
      </c>
      <c r="E269" s="163" t="s">
        <v>2639</v>
      </c>
      <c r="F269" s="3" t="s">
        <v>3029</v>
      </c>
      <c r="G269" s="3" t="s">
        <v>2076</v>
      </c>
      <c r="H269" s="3" t="s">
        <v>3459</v>
      </c>
      <c r="I269" s="22" t="s">
        <v>3186</v>
      </c>
      <c r="J269" s="23" t="s">
        <v>3187</v>
      </c>
    </row>
    <row r="270" spans="1:10" ht="21">
      <c r="A270" s="26"/>
      <c r="B270" s="21"/>
      <c r="C270" s="2" t="s">
        <v>858</v>
      </c>
      <c r="D270" s="2" t="s">
        <v>859</v>
      </c>
      <c r="E270" s="163" t="s">
        <v>2639</v>
      </c>
      <c r="F270" s="3" t="s">
        <v>2895</v>
      </c>
      <c r="G270" s="3" t="s">
        <v>3188</v>
      </c>
      <c r="H270" s="3" t="s">
        <v>3581</v>
      </c>
      <c r="I270" s="22" t="s">
        <v>3189</v>
      </c>
      <c r="J270" s="23" t="s">
        <v>3190</v>
      </c>
    </row>
    <row r="271" spans="1:10" ht="21">
      <c r="A271" s="26"/>
      <c r="B271" s="21" t="s">
        <v>860</v>
      </c>
      <c r="C271" s="2" t="s">
        <v>861</v>
      </c>
      <c r="D271" s="2" t="s">
        <v>862</v>
      </c>
      <c r="E271" s="163" t="s">
        <v>2639</v>
      </c>
      <c r="F271" s="3" t="s">
        <v>3191</v>
      </c>
      <c r="G271" s="3" t="s">
        <v>3192</v>
      </c>
      <c r="H271" s="3" t="s">
        <v>3459</v>
      </c>
      <c r="I271" s="22" t="s">
        <v>3193</v>
      </c>
      <c r="J271" s="23" t="s">
        <v>3194</v>
      </c>
    </row>
    <row r="272" spans="1:10" ht="21">
      <c r="A272" s="26"/>
      <c r="B272" s="21"/>
      <c r="C272" s="2" t="s">
        <v>863</v>
      </c>
      <c r="D272" s="2" t="s">
        <v>864</v>
      </c>
      <c r="E272" s="163" t="s">
        <v>2640</v>
      </c>
      <c r="F272" s="3" t="s">
        <v>2849</v>
      </c>
      <c r="G272" s="3" t="s">
        <v>3195</v>
      </c>
      <c r="H272" s="3" t="s">
        <v>3453</v>
      </c>
      <c r="I272" s="22" t="s">
        <v>3196</v>
      </c>
      <c r="J272" s="23" t="s">
        <v>3197</v>
      </c>
    </row>
    <row r="273" spans="1:10" ht="21">
      <c r="A273" s="26"/>
      <c r="B273" s="21"/>
      <c r="C273" s="2" t="s">
        <v>865</v>
      </c>
      <c r="D273" s="2" t="s">
        <v>866</v>
      </c>
      <c r="E273" s="163" t="s">
        <v>2640</v>
      </c>
      <c r="F273" s="23" t="s">
        <v>3198</v>
      </c>
      <c r="G273" s="23" t="s">
        <v>3199</v>
      </c>
      <c r="H273" s="3" t="s">
        <v>3459</v>
      </c>
      <c r="I273" s="23" t="s">
        <v>3200</v>
      </c>
      <c r="J273" s="23" t="s">
        <v>3201</v>
      </c>
    </row>
    <row r="274" spans="1:10" ht="21">
      <c r="A274" s="26"/>
      <c r="B274" s="21"/>
      <c r="C274" s="2" t="s">
        <v>867</v>
      </c>
      <c r="D274" s="2" t="s">
        <v>868</v>
      </c>
      <c r="E274" s="163" t="s">
        <v>2639</v>
      </c>
      <c r="F274" s="3" t="s">
        <v>3202</v>
      </c>
      <c r="G274" s="3" t="s">
        <v>3012</v>
      </c>
      <c r="H274" s="3" t="s">
        <v>3459</v>
      </c>
      <c r="I274" s="22" t="s">
        <v>3203</v>
      </c>
      <c r="J274" s="23" t="s">
        <v>3204</v>
      </c>
    </row>
    <row r="275" spans="1:10" ht="21">
      <c r="A275" s="26"/>
      <c r="B275" s="21"/>
      <c r="C275" s="2" t="s">
        <v>869</v>
      </c>
      <c r="D275" s="2" t="s">
        <v>870</v>
      </c>
      <c r="E275" s="163" t="s">
        <v>2639</v>
      </c>
      <c r="F275" s="3" t="s">
        <v>3205</v>
      </c>
      <c r="G275" s="3" t="s">
        <v>3206</v>
      </c>
      <c r="H275" s="3" t="s">
        <v>3459</v>
      </c>
      <c r="I275" s="22" t="s">
        <v>3207</v>
      </c>
      <c r="J275" s="23" t="s">
        <v>3208</v>
      </c>
    </row>
    <row r="276" spans="1:10" ht="21">
      <c r="A276" s="26"/>
      <c r="B276" s="21" t="s">
        <v>871</v>
      </c>
      <c r="C276" s="2" t="s">
        <v>872</v>
      </c>
      <c r="D276" s="2" t="s">
        <v>873</v>
      </c>
      <c r="E276" s="163" t="s">
        <v>2639</v>
      </c>
      <c r="F276" s="3" t="s">
        <v>3209</v>
      </c>
      <c r="G276" s="3" t="s">
        <v>3210</v>
      </c>
      <c r="H276" s="3" t="s">
        <v>3459</v>
      </c>
      <c r="I276" s="22" t="s">
        <v>3211</v>
      </c>
      <c r="J276" s="23" t="s">
        <v>3212</v>
      </c>
    </row>
    <row r="277" spans="1:10" ht="21">
      <c r="A277" s="26"/>
      <c r="B277" s="21"/>
      <c r="C277" s="2" t="s">
        <v>863</v>
      </c>
      <c r="D277" s="2" t="s">
        <v>874</v>
      </c>
      <c r="E277" s="163" t="s">
        <v>2639</v>
      </c>
      <c r="F277" s="3" t="s">
        <v>3213</v>
      </c>
      <c r="G277" s="3" t="s">
        <v>1915</v>
      </c>
      <c r="H277" s="3" t="s">
        <v>3459</v>
      </c>
      <c r="I277" s="22" t="s">
        <v>3214</v>
      </c>
      <c r="J277" s="23" t="s">
        <v>3215</v>
      </c>
    </row>
    <row r="278" spans="1:10" ht="21">
      <c r="A278" s="26"/>
      <c r="B278" s="21"/>
      <c r="C278" s="2" t="s">
        <v>875</v>
      </c>
      <c r="D278" s="2" t="s">
        <v>876</v>
      </c>
      <c r="E278" s="163" t="s">
        <v>2640</v>
      </c>
      <c r="F278" s="3" t="s">
        <v>3216</v>
      </c>
      <c r="G278" s="3" t="s">
        <v>3217</v>
      </c>
      <c r="H278" s="3" t="s">
        <v>3459</v>
      </c>
      <c r="I278" s="22" t="s">
        <v>3218</v>
      </c>
      <c r="J278" s="23" t="s">
        <v>3219</v>
      </c>
    </row>
    <row r="279" spans="1:10" ht="21">
      <c r="A279" s="26"/>
      <c r="B279" s="21"/>
      <c r="C279" s="2" t="s">
        <v>877</v>
      </c>
      <c r="D279" s="2" t="s">
        <v>878</v>
      </c>
      <c r="E279" s="163" t="s">
        <v>2640</v>
      </c>
      <c r="F279" s="3" t="s">
        <v>3220</v>
      </c>
      <c r="G279" s="3" t="s">
        <v>3221</v>
      </c>
      <c r="H279" s="3" t="s">
        <v>3459</v>
      </c>
      <c r="I279" s="22" t="s">
        <v>3222</v>
      </c>
      <c r="J279" s="23" t="s">
        <v>3223</v>
      </c>
    </row>
    <row r="280" spans="1:10" ht="21">
      <c r="A280" s="26"/>
      <c r="B280" s="21"/>
      <c r="C280" s="2" t="s">
        <v>879</v>
      </c>
      <c r="D280" s="2" t="s">
        <v>880</v>
      </c>
      <c r="E280" s="163" t="s">
        <v>2639</v>
      </c>
      <c r="F280" s="3" t="s">
        <v>3224</v>
      </c>
      <c r="G280" s="3" t="s">
        <v>3225</v>
      </c>
      <c r="H280" s="3" t="s">
        <v>3459</v>
      </c>
      <c r="I280" s="22" t="s">
        <v>3226</v>
      </c>
      <c r="J280" s="23" t="s">
        <v>3227</v>
      </c>
    </row>
    <row r="281" spans="1:10" ht="21">
      <c r="A281" s="26"/>
      <c r="B281" s="21" t="s">
        <v>881</v>
      </c>
      <c r="C281" s="2" t="s">
        <v>882</v>
      </c>
      <c r="D281" s="2" t="s">
        <v>883</v>
      </c>
      <c r="E281" s="163" t="s">
        <v>2640</v>
      </c>
      <c r="F281" s="3" t="s">
        <v>3228</v>
      </c>
      <c r="G281" s="3" t="s">
        <v>3229</v>
      </c>
      <c r="H281" s="3" t="s">
        <v>3453</v>
      </c>
      <c r="I281" s="22" t="s">
        <v>3200</v>
      </c>
      <c r="J281" s="23" t="s">
        <v>3230</v>
      </c>
    </row>
    <row r="282" spans="1:10" ht="21">
      <c r="A282" s="26"/>
      <c r="B282" s="21"/>
      <c r="C282" s="2" t="s">
        <v>884</v>
      </c>
      <c r="D282" s="2" t="s">
        <v>885</v>
      </c>
      <c r="E282" s="163" t="s">
        <v>2641</v>
      </c>
      <c r="F282" s="3" t="s">
        <v>2290</v>
      </c>
      <c r="G282" s="3" t="s">
        <v>3231</v>
      </c>
      <c r="H282" s="3" t="s">
        <v>3453</v>
      </c>
      <c r="I282" s="22" t="s">
        <v>3232</v>
      </c>
      <c r="J282" s="23" t="s">
        <v>3233</v>
      </c>
    </row>
    <row r="283" spans="1:10" ht="21">
      <c r="A283" s="26"/>
      <c r="B283" s="21"/>
      <c r="C283" s="2" t="s">
        <v>886</v>
      </c>
      <c r="D283" s="2" t="s">
        <v>887</v>
      </c>
      <c r="E283" s="163" t="s">
        <v>2641</v>
      </c>
      <c r="F283" s="3" t="s">
        <v>3234</v>
      </c>
      <c r="G283" s="3" t="s">
        <v>3235</v>
      </c>
      <c r="H283" s="3" t="s">
        <v>3453</v>
      </c>
      <c r="I283" s="22" t="s">
        <v>3236</v>
      </c>
      <c r="J283" s="23" t="s">
        <v>3237</v>
      </c>
    </row>
    <row r="284" spans="1:10" ht="21">
      <c r="A284" s="26"/>
      <c r="B284" s="21"/>
      <c r="C284" s="2" t="s">
        <v>888</v>
      </c>
      <c r="D284" s="2" t="s">
        <v>889</v>
      </c>
      <c r="E284" s="163" t="s">
        <v>2639</v>
      </c>
      <c r="F284" s="3" t="s">
        <v>3238</v>
      </c>
      <c r="G284" s="3" t="s">
        <v>3239</v>
      </c>
      <c r="H284" s="3" t="s">
        <v>3453</v>
      </c>
      <c r="I284" s="22" t="s">
        <v>3240</v>
      </c>
      <c r="J284" s="23" t="s">
        <v>3241</v>
      </c>
    </row>
    <row r="285" spans="1:10" ht="21">
      <c r="A285" s="26"/>
      <c r="B285" s="21"/>
      <c r="C285" s="2" t="s">
        <v>890</v>
      </c>
      <c r="D285" s="2" t="s">
        <v>891</v>
      </c>
      <c r="E285" s="163" t="s">
        <v>2639</v>
      </c>
      <c r="F285" s="3" t="s">
        <v>3242</v>
      </c>
      <c r="G285" s="3" t="s">
        <v>3243</v>
      </c>
      <c r="H285" s="3" t="s">
        <v>3459</v>
      </c>
      <c r="I285" s="22" t="s">
        <v>3244</v>
      </c>
      <c r="J285" s="23" t="s">
        <v>3245</v>
      </c>
    </row>
    <row r="286" spans="1:10" ht="21">
      <c r="A286" s="26"/>
      <c r="B286" s="21" t="s">
        <v>892</v>
      </c>
      <c r="C286" s="2" t="s">
        <v>882</v>
      </c>
      <c r="D286" s="2" t="s">
        <v>893</v>
      </c>
      <c r="E286" s="163" t="s">
        <v>2639</v>
      </c>
      <c r="F286" s="3" t="s">
        <v>3246</v>
      </c>
      <c r="G286" s="3" t="s">
        <v>3247</v>
      </c>
      <c r="H286" s="3" t="s">
        <v>3453</v>
      </c>
      <c r="I286" s="22" t="s">
        <v>3248</v>
      </c>
      <c r="J286" s="23" t="s">
        <v>3249</v>
      </c>
    </row>
    <row r="287" spans="1:10" ht="21">
      <c r="A287" s="26"/>
      <c r="B287" s="21"/>
      <c r="C287" s="2" t="s">
        <v>894</v>
      </c>
      <c r="D287" s="2" t="s">
        <v>895</v>
      </c>
      <c r="E287" s="163" t="s">
        <v>2640</v>
      </c>
      <c r="F287" s="3" t="s">
        <v>3250</v>
      </c>
      <c r="G287" s="3" t="s">
        <v>3251</v>
      </c>
      <c r="H287" s="3" t="s">
        <v>3453</v>
      </c>
      <c r="I287" s="22" t="s">
        <v>3252</v>
      </c>
      <c r="J287" s="23" t="s">
        <v>3253</v>
      </c>
    </row>
    <row r="288" spans="1:10" ht="21">
      <c r="A288" s="26"/>
      <c r="B288" s="21"/>
      <c r="C288" s="2" t="s">
        <v>886</v>
      </c>
      <c r="D288" s="2" t="s">
        <v>896</v>
      </c>
      <c r="E288" s="163" t="s">
        <v>2640</v>
      </c>
      <c r="F288" s="3" t="s">
        <v>3220</v>
      </c>
      <c r="G288" s="3" t="s">
        <v>3221</v>
      </c>
      <c r="H288" s="3" t="s">
        <v>3453</v>
      </c>
      <c r="I288" s="22" t="s">
        <v>3254</v>
      </c>
      <c r="J288" s="23" t="s">
        <v>3255</v>
      </c>
    </row>
    <row r="289" spans="1:10" ht="21">
      <c r="A289" s="26"/>
      <c r="B289" s="21"/>
      <c r="C289" s="2" t="s">
        <v>888</v>
      </c>
      <c r="D289" s="2" t="s">
        <v>897</v>
      </c>
      <c r="E289" s="163" t="s">
        <v>2640</v>
      </c>
      <c r="F289" s="3" t="s">
        <v>3256</v>
      </c>
      <c r="G289" s="3" t="s">
        <v>3257</v>
      </c>
      <c r="H289" s="3" t="s">
        <v>3459</v>
      </c>
      <c r="I289" s="22" t="s">
        <v>2892</v>
      </c>
      <c r="J289" s="23" t="s">
        <v>3258</v>
      </c>
    </row>
    <row r="290" spans="1:10" ht="21">
      <c r="A290" s="26"/>
      <c r="B290" s="21"/>
      <c r="C290" s="2" t="s">
        <v>898</v>
      </c>
      <c r="D290" s="2" t="s">
        <v>899</v>
      </c>
      <c r="E290" s="163" t="s">
        <v>2640</v>
      </c>
      <c r="F290" s="3" t="s">
        <v>2948</v>
      </c>
      <c r="G290" s="3" t="s">
        <v>3259</v>
      </c>
      <c r="H290" s="3" t="s">
        <v>3581</v>
      </c>
      <c r="I290" s="22" t="s">
        <v>3260</v>
      </c>
      <c r="J290" s="23" t="s">
        <v>3261</v>
      </c>
    </row>
    <row r="291" spans="1:10" ht="21">
      <c r="A291" s="26"/>
      <c r="B291" s="21" t="s">
        <v>900</v>
      </c>
      <c r="C291" s="2" t="s">
        <v>901</v>
      </c>
      <c r="D291" s="2" t="s">
        <v>902</v>
      </c>
      <c r="E291" s="163" t="s">
        <v>2640</v>
      </c>
      <c r="F291" s="3" t="s">
        <v>3262</v>
      </c>
      <c r="G291" s="3" t="s">
        <v>3263</v>
      </c>
      <c r="H291" s="3" t="s">
        <v>3453</v>
      </c>
      <c r="I291" s="22" t="s">
        <v>3264</v>
      </c>
      <c r="J291" s="23" t="s">
        <v>3265</v>
      </c>
    </row>
    <row r="292" spans="1:10" ht="21">
      <c r="A292" s="26"/>
      <c r="B292" s="21"/>
      <c r="C292" s="2" t="s">
        <v>903</v>
      </c>
      <c r="D292" s="2" t="s">
        <v>904</v>
      </c>
      <c r="E292" s="163" t="s">
        <v>2640</v>
      </c>
      <c r="F292" s="3" t="s">
        <v>2959</v>
      </c>
      <c r="G292" s="3" t="s">
        <v>3266</v>
      </c>
      <c r="H292" s="3" t="s">
        <v>3459</v>
      </c>
      <c r="I292" s="22" t="s">
        <v>3267</v>
      </c>
      <c r="J292" s="23" t="s">
        <v>3268</v>
      </c>
    </row>
    <row r="293" spans="1:10" ht="21">
      <c r="A293" s="26"/>
      <c r="B293" s="21"/>
      <c r="C293" s="2" t="s">
        <v>905</v>
      </c>
      <c r="D293" s="2" t="s">
        <v>906</v>
      </c>
      <c r="E293" s="163" t="s">
        <v>2640</v>
      </c>
      <c r="F293" s="3" t="s">
        <v>3094</v>
      </c>
      <c r="G293" s="3" t="s">
        <v>3269</v>
      </c>
      <c r="H293" s="3" t="s">
        <v>3459</v>
      </c>
      <c r="I293" s="22" t="s">
        <v>3270</v>
      </c>
      <c r="J293" s="23" t="s">
        <v>3271</v>
      </c>
    </row>
    <row r="294" spans="1:10" ht="21">
      <c r="A294" s="26"/>
      <c r="B294" s="21"/>
      <c r="C294" s="2" t="s">
        <v>907</v>
      </c>
      <c r="D294" s="2" t="s">
        <v>908</v>
      </c>
      <c r="E294" s="163" t="s">
        <v>2640</v>
      </c>
      <c r="F294" s="3" t="s">
        <v>3272</v>
      </c>
      <c r="G294" s="3" t="s">
        <v>3273</v>
      </c>
      <c r="H294" s="3" t="s">
        <v>3459</v>
      </c>
      <c r="I294" s="22" t="s">
        <v>3274</v>
      </c>
      <c r="J294" s="23" t="s">
        <v>3275</v>
      </c>
    </row>
    <row r="295" spans="1:10" ht="21">
      <c r="A295" s="26"/>
      <c r="B295" s="21"/>
      <c r="C295" s="2" t="s">
        <v>879</v>
      </c>
      <c r="D295" s="2" t="s">
        <v>909</v>
      </c>
      <c r="E295" s="163" t="s">
        <v>2640</v>
      </c>
      <c r="F295" s="3" t="s">
        <v>2895</v>
      </c>
      <c r="G295" s="3" t="s">
        <v>3276</v>
      </c>
      <c r="H295" s="3" t="s">
        <v>3459</v>
      </c>
      <c r="I295" s="22" t="s">
        <v>3277</v>
      </c>
      <c r="J295" s="23" t="s">
        <v>3278</v>
      </c>
    </row>
    <row r="296" spans="1:10" ht="21">
      <c r="A296" s="26"/>
      <c r="B296" s="21" t="s">
        <v>910</v>
      </c>
      <c r="C296" s="2" t="s">
        <v>911</v>
      </c>
      <c r="D296" s="2" t="s">
        <v>912</v>
      </c>
      <c r="E296" s="163" t="s">
        <v>2640</v>
      </c>
      <c r="F296" s="3" t="s">
        <v>2948</v>
      </c>
      <c r="G296" s="3" t="s">
        <v>3279</v>
      </c>
      <c r="H296" s="3" t="s">
        <v>3453</v>
      </c>
      <c r="I296" s="22" t="s">
        <v>3280</v>
      </c>
      <c r="J296" s="23" t="s">
        <v>3281</v>
      </c>
    </row>
    <row r="297" spans="1:10" ht="21">
      <c r="A297" s="26"/>
      <c r="B297" s="21"/>
      <c r="C297" s="2" t="s">
        <v>913</v>
      </c>
      <c r="D297" s="2" t="s">
        <v>914</v>
      </c>
      <c r="E297" s="163" t="s">
        <v>2640</v>
      </c>
      <c r="F297" s="3" t="s">
        <v>3282</v>
      </c>
      <c r="G297" s="3" t="s">
        <v>3283</v>
      </c>
      <c r="H297" s="3" t="s">
        <v>3453</v>
      </c>
      <c r="I297" s="22" t="s">
        <v>3284</v>
      </c>
      <c r="J297" s="23" t="s">
        <v>3285</v>
      </c>
    </row>
    <row r="298" spans="1:10" ht="21">
      <c r="A298" s="26"/>
      <c r="B298" s="21"/>
      <c r="C298" s="2" t="s">
        <v>915</v>
      </c>
      <c r="D298" s="2" t="s">
        <v>916</v>
      </c>
      <c r="E298" s="163" t="s">
        <v>2640</v>
      </c>
      <c r="F298" s="3" t="s">
        <v>2979</v>
      </c>
      <c r="G298" s="3" t="s">
        <v>2635</v>
      </c>
      <c r="H298" s="3" t="s">
        <v>3453</v>
      </c>
      <c r="I298" s="22" t="s">
        <v>3286</v>
      </c>
      <c r="J298" s="23" t="s">
        <v>3287</v>
      </c>
    </row>
    <row r="299" spans="1:10" ht="21">
      <c r="A299" s="26"/>
      <c r="B299" s="21"/>
      <c r="C299" s="2" t="s">
        <v>907</v>
      </c>
      <c r="D299" s="2" t="s">
        <v>917</v>
      </c>
      <c r="E299" s="163" t="s">
        <v>2639</v>
      </c>
      <c r="F299" s="3" t="s">
        <v>3288</v>
      </c>
      <c r="G299" s="3" t="s">
        <v>3289</v>
      </c>
      <c r="H299" s="3" t="s">
        <v>3459</v>
      </c>
      <c r="I299" s="22" t="s">
        <v>3290</v>
      </c>
      <c r="J299" s="23" t="s">
        <v>3291</v>
      </c>
    </row>
    <row r="300" spans="1:10" ht="21">
      <c r="A300" s="26"/>
      <c r="B300" s="21"/>
      <c r="C300" s="2" t="s">
        <v>918</v>
      </c>
      <c r="D300" s="2" t="s">
        <v>919</v>
      </c>
      <c r="E300" s="163" t="s">
        <v>2640</v>
      </c>
      <c r="F300" s="3" t="s">
        <v>3292</v>
      </c>
      <c r="G300" s="3" t="s">
        <v>3293</v>
      </c>
      <c r="H300" s="3" t="s">
        <v>3581</v>
      </c>
      <c r="I300" s="22" t="s">
        <v>3294</v>
      </c>
      <c r="J300" s="23" t="s">
        <v>3295</v>
      </c>
    </row>
    <row r="301" spans="1:10" ht="21">
      <c r="A301" s="26"/>
      <c r="B301" s="21" t="s">
        <v>920</v>
      </c>
      <c r="C301" s="2" t="s">
        <v>921</v>
      </c>
      <c r="D301" s="2" t="s">
        <v>922</v>
      </c>
      <c r="E301" s="163" t="s">
        <v>2639</v>
      </c>
      <c r="F301" s="3" t="s">
        <v>3130</v>
      </c>
      <c r="G301" s="3" t="s">
        <v>3210</v>
      </c>
      <c r="H301" s="3" t="s">
        <v>3459</v>
      </c>
      <c r="I301" s="22" t="s">
        <v>3296</v>
      </c>
      <c r="J301" s="23" t="s">
        <v>3297</v>
      </c>
    </row>
    <row r="302" spans="1:10" ht="21">
      <c r="A302" s="26"/>
      <c r="B302" s="21"/>
      <c r="C302" s="2" t="s">
        <v>923</v>
      </c>
      <c r="D302" s="2" t="s">
        <v>924</v>
      </c>
      <c r="E302" s="163" t="s">
        <v>2639</v>
      </c>
      <c r="F302" s="3" t="s">
        <v>3298</v>
      </c>
      <c r="G302" s="3" t="s">
        <v>3299</v>
      </c>
      <c r="H302" s="3" t="s">
        <v>3453</v>
      </c>
      <c r="I302" s="22" t="s">
        <v>3300</v>
      </c>
      <c r="J302" s="23" t="s">
        <v>3301</v>
      </c>
    </row>
    <row r="303" spans="1:10" ht="21">
      <c r="A303" s="26"/>
      <c r="B303" s="21"/>
      <c r="C303" s="2" t="s">
        <v>925</v>
      </c>
      <c r="D303" s="2" t="s">
        <v>926</v>
      </c>
      <c r="E303" s="163" t="s">
        <v>2641</v>
      </c>
      <c r="F303" s="3" t="s">
        <v>3302</v>
      </c>
      <c r="G303" s="3" t="s">
        <v>3303</v>
      </c>
      <c r="H303" s="3" t="s">
        <v>3459</v>
      </c>
      <c r="I303" s="22" t="s">
        <v>3304</v>
      </c>
      <c r="J303" s="23" t="s">
        <v>3305</v>
      </c>
    </row>
    <row r="304" spans="1:10" ht="21">
      <c r="A304" s="26"/>
      <c r="B304" s="21"/>
      <c r="C304" s="2" t="s">
        <v>927</v>
      </c>
      <c r="D304" s="2" t="s">
        <v>928</v>
      </c>
      <c r="E304" s="163" t="s">
        <v>2639</v>
      </c>
      <c r="F304" s="3" t="s">
        <v>3306</v>
      </c>
      <c r="G304" s="3" t="s">
        <v>3307</v>
      </c>
      <c r="H304" s="3" t="s">
        <v>3459</v>
      </c>
      <c r="I304" s="22" t="s">
        <v>3308</v>
      </c>
      <c r="J304" s="23" t="s">
        <v>3309</v>
      </c>
    </row>
    <row r="305" spans="1:10" ht="21">
      <c r="A305" s="26"/>
      <c r="B305" s="21"/>
      <c r="C305" s="2" t="s">
        <v>929</v>
      </c>
      <c r="D305" s="2" t="s">
        <v>930</v>
      </c>
      <c r="E305" s="163" t="s">
        <v>2639</v>
      </c>
      <c r="F305" s="3" t="s">
        <v>3310</v>
      </c>
      <c r="G305" s="3" t="s">
        <v>3311</v>
      </c>
      <c r="H305" s="3" t="s">
        <v>3581</v>
      </c>
      <c r="I305" s="22" t="s">
        <v>3312</v>
      </c>
      <c r="J305" s="23" t="s">
        <v>3313</v>
      </c>
    </row>
    <row r="306" spans="1:10" ht="21">
      <c r="A306" s="26"/>
      <c r="B306" s="21" t="s">
        <v>931</v>
      </c>
      <c r="C306" s="2" t="s">
        <v>932</v>
      </c>
      <c r="D306" s="2" t="s">
        <v>853</v>
      </c>
      <c r="E306" s="163" t="s">
        <v>2641</v>
      </c>
      <c r="F306" s="3" t="s">
        <v>2888</v>
      </c>
      <c r="G306" s="3" t="s">
        <v>3314</v>
      </c>
      <c r="H306" s="3" t="s">
        <v>3581</v>
      </c>
      <c r="I306" s="22" t="s">
        <v>3315</v>
      </c>
      <c r="J306" s="23" t="s">
        <v>3316</v>
      </c>
    </row>
    <row r="307" spans="1:10" ht="21">
      <c r="A307" s="26"/>
      <c r="B307" s="21"/>
      <c r="C307" s="2" t="s">
        <v>933</v>
      </c>
      <c r="D307" s="2" t="s">
        <v>934</v>
      </c>
      <c r="E307" s="163" t="s">
        <v>2639</v>
      </c>
      <c r="F307" s="3" t="s">
        <v>2849</v>
      </c>
      <c r="G307" s="3" t="s">
        <v>3283</v>
      </c>
      <c r="H307" s="3" t="s">
        <v>3453</v>
      </c>
      <c r="I307" s="22" t="s">
        <v>3317</v>
      </c>
      <c r="J307" s="23" t="s">
        <v>3318</v>
      </c>
    </row>
    <row r="308" spans="1:10" ht="21">
      <c r="A308" s="26"/>
      <c r="B308" s="21"/>
      <c r="C308" s="2" t="s">
        <v>935</v>
      </c>
      <c r="D308" s="2" t="s">
        <v>936</v>
      </c>
      <c r="E308" s="163" t="s">
        <v>2639</v>
      </c>
      <c r="F308" s="3" t="s">
        <v>2649</v>
      </c>
      <c r="G308" s="3" t="s">
        <v>3319</v>
      </c>
      <c r="H308" s="3" t="s">
        <v>3459</v>
      </c>
      <c r="I308" s="22" t="s">
        <v>3320</v>
      </c>
      <c r="J308" s="23" t="s">
        <v>3321</v>
      </c>
    </row>
    <row r="309" spans="1:10" ht="21">
      <c r="A309" s="26"/>
      <c r="B309" s="21"/>
      <c r="C309" s="2" t="s">
        <v>937</v>
      </c>
      <c r="D309" s="2" t="s">
        <v>938</v>
      </c>
      <c r="E309" s="163" t="s">
        <v>2639</v>
      </c>
      <c r="F309" s="3" t="s">
        <v>3322</v>
      </c>
      <c r="G309" s="3" t="s">
        <v>3323</v>
      </c>
      <c r="H309" s="3" t="s">
        <v>3581</v>
      </c>
      <c r="I309" s="22" t="s">
        <v>3324</v>
      </c>
      <c r="J309" s="23" t="s">
        <v>3325</v>
      </c>
    </row>
    <row r="310" spans="1:10" ht="21">
      <c r="A310" s="26"/>
      <c r="B310" s="21"/>
      <c r="C310" s="2" t="s">
        <v>939</v>
      </c>
      <c r="D310" s="2" t="s">
        <v>859</v>
      </c>
      <c r="E310" s="163" t="s">
        <v>2639</v>
      </c>
      <c r="F310" s="3" t="s">
        <v>3326</v>
      </c>
      <c r="G310" s="3" t="s">
        <v>3327</v>
      </c>
      <c r="H310" s="3" t="s">
        <v>3459</v>
      </c>
      <c r="I310" s="22" t="s">
        <v>3328</v>
      </c>
      <c r="J310" s="23" t="s">
        <v>3329</v>
      </c>
    </row>
    <row r="311" spans="1:10" ht="21">
      <c r="A311" s="26"/>
      <c r="B311" s="21" t="s">
        <v>940</v>
      </c>
      <c r="C311" s="2" t="s">
        <v>941</v>
      </c>
      <c r="D311" s="2" t="s">
        <v>942</v>
      </c>
      <c r="E311" s="163" t="s">
        <v>2640</v>
      </c>
      <c r="F311" s="3" t="s">
        <v>3330</v>
      </c>
      <c r="G311" s="3" t="s">
        <v>2674</v>
      </c>
      <c r="H311" s="3" t="s">
        <v>3453</v>
      </c>
      <c r="I311" s="22" t="s">
        <v>3331</v>
      </c>
      <c r="J311" s="23" t="s">
        <v>3332</v>
      </c>
    </row>
    <row r="312" spans="1:10" ht="21">
      <c r="A312" s="26"/>
      <c r="B312" s="21"/>
      <c r="C312" s="2" t="s">
        <v>933</v>
      </c>
      <c r="D312" s="2" t="s">
        <v>943</v>
      </c>
      <c r="E312" s="163" t="s">
        <v>2639</v>
      </c>
      <c r="F312" s="3" t="s">
        <v>3333</v>
      </c>
      <c r="G312" s="3" t="s">
        <v>3334</v>
      </c>
      <c r="H312" s="3" t="s">
        <v>3453</v>
      </c>
      <c r="I312" s="22" t="s">
        <v>3335</v>
      </c>
      <c r="J312" s="23" t="s">
        <v>3336</v>
      </c>
    </row>
    <row r="313" spans="1:10" ht="21">
      <c r="A313" s="26"/>
      <c r="B313" s="21"/>
      <c r="C313" s="2" t="s">
        <v>935</v>
      </c>
      <c r="D313" s="2" t="s">
        <v>944</v>
      </c>
      <c r="E313" s="163" t="s">
        <v>2639</v>
      </c>
      <c r="F313" s="3" t="s">
        <v>3298</v>
      </c>
      <c r="G313" s="3" t="s">
        <v>3337</v>
      </c>
      <c r="H313" s="3" t="s">
        <v>3453</v>
      </c>
      <c r="I313" s="22" t="s">
        <v>3338</v>
      </c>
      <c r="J313" s="23" t="s">
        <v>3339</v>
      </c>
    </row>
    <row r="314" spans="1:10" ht="21">
      <c r="A314" s="26"/>
      <c r="B314" s="21"/>
      <c r="C314" s="2" t="s">
        <v>937</v>
      </c>
      <c r="D314" s="2" t="s">
        <v>945</v>
      </c>
      <c r="E314" s="163" t="s">
        <v>2641</v>
      </c>
      <c r="F314" s="3" t="s">
        <v>3340</v>
      </c>
      <c r="G314" s="3" t="s">
        <v>3341</v>
      </c>
      <c r="H314" s="3" t="s">
        <v>3453</v>
      </c>
      <c r="I314" s="22" t="s">
        <v>3342</v>
      </c>
      <c r="J314" s="23" t="s">
        <v>3343</v>
      </c>
    </row>
    <row r="315" spans="1:10" ht="21">
      <c r="A315" s="26"/>
      <c r="B315" s="21"/>
      <c r="C315" s="2" t="s">
        <v>939</v>
      </c>
      <c r="D315" s="2" t="s">
        <v>946</v>
      </c>
      <c r="E315" s="163" t="s">
        <v>2639</v>
      </c>
      <c r="F315" s="3" t="s">
        <v>3322</v>
      </c>
      <c r="G315" s="3" t="s">
        <v>1987</v>
      </c>
      <c r="H315" s="3" t="s">
        <v>3453</v>
      </c>
      <c r="I315" s="22" t="s">
        <v>3344</v>
      </c>
      <c r="J315" s="23" t="s">
        <v>3345</v>
      </c>
    </row>
    <row r="316" spans="1:10" ht="21">
      <c r="A316" s="26"/>
      <c r="B316" s="21" t="s">
        <v>947</v>
      </c>
      <c r="C316" s="2" t="s">
        <v>948</v>
      </c>
      <c r="D316" s="2" t="s">
        <v>949</v>
      </c>
      <c r="E316" s="163" t="s">
        <v>2639</v>
      </c>
      <c r="F316" s="3" t="s">
        <v>3346</v>
      </c>
      <c r="G316" s="3" t="s">
        <v>3347</v>
      </c>
      <c r="H316" s="3" t="s">
        <v>3453</v>
      </c>
      <c r="I316" s="22" t="s">
        <v>3348</v>
      </c>
      <c r="J316" s="23" t="s">
        <v>3349</v>
      </c>
    </row>
    <row r="317" spans="1:10" ht="21">
      <c r="A317" s="26"/>
      <c r="B317" s="21"/>
      <c r="C317" s="2" t="s">
        <v>950</v>
      </c>
      <c r="D317" s="2" t="s">
        <v>951</v>
      </c>
      <c r="E317" s="163" t="s">
        <v>2639</v>
      </c>
      <c r="F317" s="3" t="s">
        <v>3350</v>
      </c>
      <c r="G317" s="3" t="s">
        <v>3351</v>
      </c>
      <c r="H317" s="3" t="s">
        <v>3453</v>
      </c>
      <c r="I317" s="22" t="s">
        <v>3352</v>
      </c>
      <c r="J317" s="23" t="s">
        <v>3353</v>
      </c>
    </row>
    <row r="318" spans="1:10" ht="21">
      <c r="A318" s="26"/>
      <c r="B318" s="21"/>
      <c r="C318" s="2" t="s">
        <v>952</v>
      </c>
      <c r="D318" s="2" t="s">
        <v>953</v>
      </c>
      <c r="E318" s="163" t="s">
        <v>2639</v>
      </c>
      <c r="F318" s="3" t="s">
        <v>3354</v>
      </c>
      <c r="G318" s="3" t="s">
        <v>2674</v>
      </c>
      <c r="H318" s="3" t="s">
        <v>3459</v>
      </c>
      <c r="I318" s="22" t="s">
        <v>3355</v>
      </c>
      <c r="J318" s="23" t="s">
        <v>3356</v>
      </c>
    </row>
    <row r="319" spans="1:10" ht="21">
      <c r="A319" s="26"/>
      <c r="B319" s="21"/>
      <c r="C319" s="2" t="s">
        <v>628</v>
      </c>
      <c r="D319" s="2" t="s">
        <v>954</v>
      </c>
      <c r="E319" s="163" t="s">
        <v>2640</v>
      </c>
      <c r="F319" s="3" t="s">
        <v>2876</v>
      </c>
      <c r="G319" s="3" t="s">
        <v>3357</v>
      </c>
      <c r="H319" s="3" t="s">
        <v>3459</v>
      </c>
      <c r="I319" s="22" t="s">
        <v>2878</v>
      </c>
      <c r="J319" s="23" t="s">
        <v>2879</v>
      </c>
    </row>
    <row r="320" spans="1:10" ht="21">
      <c r="A320" s="26"/>
      <c r="B320" s="21"/>
      <c r="C320" s="2" t="s">
        <v>630</v>
      </c>
      <c r="D320" s="2" t="s">
        <v>955</v>
      </c>
      <c r="E320" s="163" t="s">
        <v>2639</v>
      </c>
      <c r="F320" s="3" t="s">
        <v>3358</v>
      </c>
      <c r="G320" s="3" t="s">
        <v>2274</v>
      </c>
      <c r="H320" s="3" t="s">
        <v>3581</v>
      </c>
      <c r="I320" s="22" t="s">
        <v>3359</v>
      </c>
      <c r="J320" s="23" t="s">
        <v>3360</v>
      </c>
    </row>
    <row r="321" spans="1:10" ht="21">
      <c r="A321" s="26" t="s">
        <v>956</v>
      </c>
      <c r="B321" s="21" t="s">
        <v>957</v>
      </c>
      <c r="C321" s="2" t="s">
        <v>958</v>
      </c>
      <c r="D321" s="2" t="s">
        <v>959</v>
      </c>
      <c r="E321" s="163" t="s">
        <v>2639</v>
      </c>
      <c r="F321" s="3" t="s">
        <v>3361</v>
      </c>
      <c r="G321" s="3" t="s">
        <v>3362</v>
      </c>
      <c r="H321" s="3" t="s">
        <v>3459</v>
      </c>
      <c r="I321" s="22" t="s">
        <v>3363</v>
      </c>
      <c r="J321" s="23" t="s">
        <v>3364</v>
      </c>
    </row>
    <row r="322" spans="1:10" ht="21">
      <c r="A322" s="26"/>
      <c r="B322" s="21"/>
      <c r="C322" s="2" t="s">
        <v>960</v>
      </c>
      <c r="D322" s="2" t="s">
        <v>961</v>
      </c>
      <c r="E322" s="163" t="s">
        <v>2641</v>
      </c>
      <c r="F322" s="3" t="s">
        <v>3365</v>
      </c>
      <c r="G322" s="3" t="s">
        <v>3366</v>
      </c>
      <c r="H322" s="3" t="s">
        <v>3453</v>
      </c>
      <c r="I322" s="22" t="s">
        <v>3367</v>
      </c>
      <c r="J322" s="23" t="s">
        <v>3368</v>
      </c>
    </row>
    <row r="323" spans="1:10" ht="21">
      <c r="A323" s="26"/>
      <c r="B323" s="21"/>
      <c r="C323" s="2" t="s">
        <v>962</v>
      </c>
      <c r="D323" s="2" t="s">
        <v>963</v>
      </c>
      <c r="E323" s="163" t="s">
        <v>2639</v>
      </c>
      <c r="F323" s="3" t="s">
        <v>2995</v>
      </c>
      <c r="G323" s="3" t="s">
        <v>3369</v>
      </c>
      <c r="H323" s="3" t="s">
        <v>3459</v>
      </c>
      <c r="I323" s="22" t="s">
        <v>3370</v>
      </c>
      <c r="J323" s="23" t="s">
        <v>3371</v>
      </c>
    </row>
    <row r="324" spans="1:10" ht="21">
      <c r="A324" s="26"/>
      <c r="B324" s="21"/>
      <c r="C324" s="2" t="s">
        <v>964</v>
      </c>
      <c r="D324" s="2" t="s">
        <v>965</v>
      </c>
      <c r="E324" s="163" t="s">
        <v>2639</v>
      </c>
      <c r="F324" s="3" t="s">
        <v>3029</v>
      </c>
      <c r="G324" s="3" t="s">
        <v>2076</v>
      </c>
      <c r="H324" s="3" t="s">
        <v>3581</v>
      </c>
      <c r="I324" s="22" t="s">
        <v>3372</v>
      </c>
      <c r="J324" s="23" t="s">
        <v>3373</v>
      </c>
    </row>
    <row r="325" spans="1:10" ht="21">
      <c r="A325" s="26"/>
      <c r="B325" s="21"/>
      <c r="C325" s="2" t="s">
        <v>966</v>
      </c>
      <c r="D325" s="2" t="s">
        <v>967</v>
      </c>
      <c r="E325" s="163" t="s">
        <v>2640</v>
      </c>
      <c r="F325" s="3" t="s">
        <v>3374</v>
      </c>
      <c r="G325" s="3" t="s">
        <v>3375</v>
      </c>
      <c r="H325" s="3" t="s">
        <v>3581</v>
      </c>
      <c r="I325" s="22" t="s">
        <v>3376</v>
      </c>
      <c r="J325" s="23" t="s">
        <v>3377</v>
      </c>
    </row>
    <row r="326" spans="1:10" ht="21">
      <c r="A326" s="26"/>
      <c r="B326" s="21" t="s">
        <v>968</v>
      </c>
      <c r="C326" s="2" t="s">
        <v>969</v>
      </c>
      <c r="D326" s="2" t="s">
        <v>970</v>
      </c>
      <c r="E326" s="163" t="s">
        <v>2639</v>
      </c>
      <c r="F326" s="3" t="s">
        <v>3378</v>
      </c>
      <c r="G326" s="3" t="s">
        <v>3379</v>
      </c>
      <c r="H326" s="3" t="s">
        <v>3459</v>
      </c>
      <c r="I326" s="22" t="s">
        <v>3380</v>
      </c>
      <c r="J326" s="23" t="s">
        <v>3381</v>
      </c>
    </row>
    <row r="327" spans="1:10" ht="21">
      <c r="A327" s="26"/>
      <c r="B327" s="21"/>
      <c r="C327" s="2" t="s">
        <v>971</v>
      </c>
      <c r="D327" s="2" t="s">
        <v>972</v>
      </c>
      <c r="E327" s="163" t="s">
        <v>2639</v>
      </c>
      <c r="F327" s="3" t="s">
        <v>3382</v>
      </c>
      <c r="G327" s="3" t="s">
        <v>3383</v>
      </c>
      <c r="H327" s="3" t="s">
        <v>3453</v>
      </c>
      <c r="I327" s="22" t="s">
        <v>3384</v>
      </c>
      <c r="J327" s="23" t="s">
        <v>3385</v>
      </c>
    </row>
    <row r="328" spans="1:10" ht="21">
      <c r="A328" s="26"/>
      <c r="B328" s="21"/>
      <c r="C328" s="2" t="s">
        <v>973</v>
      </c>
      <c r="D328" s="2" t="s">
        <v>974</v>
      </c>
      <c r="E328" s="163" t="s">
        <v>2641</v>
      </c>
      <c r="F328" s="3" t="s">
        <v>3386</v>
      </c>
      <c r="G328" s="3" t="s">
        <v>3375</v>
      </c>
      <c r="H328" s="3" t="s">
        <v>3459</v>
      </c>
      <c r="I328" s="22" t="s">
        <v>3387</v>
      </c>
      <c r="J328" s="23" t="s">
        <v>3388</v>
      </c>
    </row>
    <row r="329" spans="1:10" ht="23.25">
      <c r="A329" s="26"/>
      <c r="B329" s="21"/>
      <c r="C329" s="2" t="s">
        <v>975</v>
      </c>
      <c r="D329" s="2" t="s">
        <v>976</v>
      </c>
      <c r="E329" s="164" t="s">
        <v>2639</v>
      </c>
      <c r="F329" s="3" t="s">
        <v>3389</v>
      </c>
      <c r="G329" s="3" t="s">
        <v>3390</v>
      </c>
      <c r="H329" s="3" t="s">
        <v>3459</v>
      </c>
      <c r="I329" s="22" t="s">
        <v>3376</v>
      </c>
      <c r="J329" s="23" t="s">
        <v>3391</v>
      </c>
    </row>
    <row r="330" spans="1:10" ht="23.25">
      <c r="A330" s="26"/>
      <c r="B330" s="21"/>
      <c r="C330" s="2" t="s">
        <v>977</v>
      </c>
      <c r="D330" s="2" t="s">
        <v>978</v>
      </c>
      <c r="E330" s="164" t="s">
        <v>2640</v>
      </c>
      <c r="F330" s="3" t="s">
        <v>3392</v>
      </c>
      <c r="G330" s="3" t="s">
        <v>2076</v>
      </c>
      <c r="H330" s="3" t="s">
        <v>3581</v>
      </c>
      <c r="I330" s="22" t="s">
        <v>3393</v>
      </c>
      <c r="J330" s="23" t="s">
        <v>3394</v>
      </c>
    </row>
    <row r="331" spans="1:10" ht="23.25">
      <c r="A331" s="26"/>
      <c r="B331" s="21" t="s">
        <v>979</v>
      </c>
      <c r="C331" s="2" t="s">
        <v>980</v>
      </c>
      <c r="D331" s="2" t="s">
        <v>981</v>
      </c>
      <c r="E331" s="164" t="s">
        <v>2639</v>
      </c>
      <c r="F331" s="3" t="s">
        <v>3395</v>
      </c>
      <c r="G331" s="3" t="s">
        <v>3396</v>
      </c>
      <c r="H331" s="3" t="s">
        <v>3459</v>
      </c>
      <c r="I331" s="22" t="s">
        <v>3397</v>
      </c>
      <c r="J331" s="23" t="s">
        <v>3398</v>
      </c>
    </row>
    <row r="332" spans="1:10" ht="23.25">
      <c r="A332" s="26"/>
      <c r="B332" s="21"/>
      <c r="C332" s="2" t="s">
        <v>982</v>
      </c>
      <c r="D332" s="2" t="s">
        <v>983</v>
      </c>
      <c r="E332" s="164" t="s">
        <v>2639</v>
      </c>
      <c r="F332" s="3" t="s">
        <v>3399</v>
      </c>
      <c r="G332" s="3" t="s">
        <v>3400</v>
      </c>
      <c r="H332" s="3" t="s">
        <v>3453</v>
      </c>
      <c r="I332" s="22" t="s">
        <v>3401</v>
      </c>
      <c r="J332" s="23" t="s">
        <v>3402</v>
      </c>
    </row>
    <row r="333" spans="1:10" ht="23.25">
      <c r="A333" s="26"/>
      <c r="B333" s="21"/>
      <c r="C333" s="2" t="s">
        <v>984</v>
      </c>
      <c r="D333" s="2" t="s">
        <v>985</v>
      </c>
      <c r="E333" s="164" t="s">
        <v>2641</v>
      </c>
      <c r="F333" s="3" t="s">
        <v>3403</v>
      </c>
      <c r="G333" s="3" t="s">
        <v>3404</v>
      </c>
      <c r="H333" s="3" t="s">
        <v>3581</v>
      </c>
      <c r="I333" s="22" t="s">
        <v>3405</v>
      </c>
      <c r="J333" s="23" t="s">
        <v>3406</v>
      </c>
    </row>
    <row r="334" spans="1:10" ht="23.25">
      <c r="A334" s="26"/>
      <c r="B334" s="21"/>
      <c r="C334" s="2" t="s">
        <v>986</v>
      </c>
      <c r="D334" s="2" t="s">
        <v>987</v>
      </c>
      <c r="E334" s="164" t="s">
        <v>2639</v>
      </c>
      <c r="F334" s="3" t="s">
        <v>2902</v>
      </c>
      <c r="G334" s="3" t="s">
        <v>3407</v>
      </c>
      <c r="H334" s="3" t="s">
        <v>3459</v>
      </c>
      <c r="I334" s="22" t="s">
        <v>3408</v>
      </c>
      <c r="J334" s="23" t="s">
        <v>3409</v>
      </c>
    </row>
    <row r="335" spans="1:10" ht="23.25">
      <c r="A335" s="26"/>
      <c r="B335" s="21"/>
      <c r="C335" s="2" t="s">
        <v>988</v>
      </c>
      <c r="D335" s="2" t="s">
        <v>989</v>
      </c>
      <c r="E335" s="164" t="s">
        <v>2639</v>
      </c>
      <c r="F335" s="3" t="s">
        <v>3410</v>
      </c>
      <c r="G335" s="3" t="s">
        <v>2274</v>
      </c>
      <c r="H335" s="3" t="s">
        <v>3581</v>
      </c>
      <c r="I335" s="22" t="s">
        <v>3411</v>
      </c>
      <c r="J335" s="23" t="s">
        <v>3412</v>
      </c>
    </row>
    <row r="336" spans="1:10" ht="23.25">
      <c r="A336" s="26"/>
      <c r="B336" s="21" t="s">
        <v>990</v>
      </c>
      <c r="C336" s="2" t="s">
        <v>991</v>
      </c>
      <c r="D336" s="2" t="s">
        <v>992</v>
      </c>
      <c r="E336" s="164" t="s">
        <v>2641</v>
      </c>
      <c r="F336" s="3" t="s">
        <v>3413</v>
      </c>
      <c r="G336" s="3" t="s">
        <v>3414</v>
      </c>
      <c r="H336" s="3" t="s">
        <v>3453</v>
      </c>
      <c r="I336" s="22" t="s">
        <v>3415</v>
      </c>
      <c r="J336" s="23" t="s">
        <v>3416</v>
      </c>
    </row>
    <row r="337" spans="1:10" ht="23.25">
      <c r="A337" s="26"/>
      <c r="B337" s="21"/>
      <c r="C337" s="2" t="s">
        <v>993</v>
      </c>
      <c r="D337" s="2" t="s">
        <v>994</v>
      </c>
      <c r="E337" s="164" t="s">
        <v>2639</v>
      </c>
      <c r="F337" s="3" t="s">
        <v>3417</v>
      </c>
      <c r="G337" s="3" t="s">
        <v>3418</v>
      </c>
      <c r="H337" s="3" t="s">
        <v>3459</v>
      </c>
      <c r="I337" s="22" t="s">
        <v>3419</v>
      </c>
      <c r="J337" s="23" t="s">
        <v>3420</v>
      </c>
    </row>
    <row r="338" spans="1:10" ht="23.25">
      <c r="A338" s="26"/>
      <c r="B338" s="21"/>
      <c r="C338" s="2" t="s">
        <v>995</v>
      </c>
      <c r="D338" s="2" t="s">
        <v>996</v>
      </c>
      <c r="E338" s="164" t="s">
        <v>2639</v>
      </c>
      <c r="F338" s="3" t="s">
        <v>3386</v>
      </c>
      <c r="G338" s="3" t="s">
        <v>3375</v>
      </c>
      <c r="H338" s="3" t="s">
        <v>3459</v>
      </c>
      <c r="I338" s="22" t="s">
        <v>3421</v>
      </c>
      <c r="J338" s="23" t="s">
        <v>3388</v>
      </c>
    </row>
    <row r="339" spans="1:10" ht="23.25">
      <c r="A339" s="26"/>
      <c r="B339" s="21"/>
      <c r="C339" s="2" t="s">
        <v>997</v>
      </c>
      <c r="D339" s="2" t="s">
        <v>998</v>
      </c>
      <c r="E339" s="164" t="s">
        <v>2639</v>
      </c>
      <c r="F339" s="3" t="s">
        <v>2849</v>
      </c>
      <c r="G339" s="3" t="s">
        <v>3283</v>
      </c>
      <c r="H339" s="3" t="s">
        <v>3453</v>
      </c>
      <c r="I339" s="22" t="s">
        <v>3196</v>
      </c>
      <c r="J339" s="23" t="s">
        <v>3422</v>
      </c>
    </row>
    <row r="340" spans="1:10" ht="23.25">
      <c r="A340" s="26"/>
      <c r="B340" s="21"/>
      <c r="C340" s="2" t="s">
        <v>999</v>
      </c>
      <c r="D340" s="2" t="s">
        <v>1000</v>
      </c>
      <c r="E340" s="164" t="s">
        <v>2639</v>
      </c>
      <c r="F340" s="3" t="s">
        <v>2995</v>
      </c>
      <c r="G340" s="3" t="s">
        <v>2996</v>
      </c>
      <c r="H340" s="3" t="s">
        <v>3453</v>
      </c>
      <c r="I340" s="22" t="s">
        <v>3423</v>
      </c>
      <c r="J340" s="23" t="s">
        <v>3424</v>
      </c>
    </row>
    <row r="341" spans="1:10" ht="23.25">
      <c r="A341" s="26"/>
      <c r="B341" s="21" t="s">
        <v>1001</v>
      </c>
      <c r="C341" s="2" t="s">
        <v>1002</v>
      </c>
      <c r="D341" s="2" t="s">
        <v>1003</v>
      </c>
      <c r="E341" s="164" t="s">
        <v>2640</v>
      </c>
      <c r="F341" s="3" t="s">
        <v>3425</v>
      </c>
      <c r="G341" s="3" t="s">
        <v>2861</v>
      </c>
      <c r="H341" s="3" t="s">
        <v>3453</v>
      </c>
      <c r="I341" s="22" t="s">
        <v>3426</v>
      </c>
      <c r="J341" s="23" t="s">
        <v>2939</v>
      </c>
    </row>
    <row r="342" spans="1:10" ht="23.25">
      <c r="A342" s="26"/>
      <c r="B342" s="21"/>
      <c r="C342" s="2" t="s">
        <v>1004</v>
      </c>
      <c r="D342" s="2" t="s">
        <v>1005</v>
      </c>
      <c r="E342" s="164" t="s">
        <v>2639</v>
      </c>
      <c r="F342" s="3" t="s">
        <v>3427</v>
      </c>
      <c r="G342" s="3" t="s">
        <v>2635</v>
      </c>
      <c r="H342" s="23" t="s">
        <v>3459</v>
      </c>
      <c r="I342" s="22" t="s">
        <v>3428</v>
      </c>
      <c r="J342" s="23" t="s">
        <v>3429</v>
      </c>
    </row>
    <row r="343" spans="1:10" ht="23.25">
      <c r="A343" s="26"/>
      <c r="B343" s="21"/>
      <c r="C343" s="2" t="s">
        <v>1006</v>
      </c>
      <c r="D343" s="2" t="s">
        <v>1007</v>
      </c>
      <c r="E343" s="164" t="s">
        <v>2639</v>
      </c>
      <c r="F343" s="3" t="s">
        <v>3430</v>
      </c>
      <c r="G343" s="3" t="s">
        <v>3375</v>
      </c>
      <c r="H343" s="3" t="s">
        <v>3453</v>
      </c>
      <c r="I343" s="22" t="s">
        <v>3431</v>
      </c>
      <c r="J343" s="23" t="s">
        <v>3432</v>
      </c>
    </row>
    <row r="344" spans="1:10" ht="23.25">
      <c r="A344" s="26"/>
      <c r="B344" s="21"/>
      <c r="C344" s="2" t="s">
        <v>1008</v>
      </c>
      <c r="D344" s="2" t="s">
        <v>1009</v>
      </c>
      <c r="E344" s="164" t="s">
        <v>2641</v>
      </c>
      <c r="F344" s="3" t="s">
        <v>3433</v>
      </c>
      <c r="G344" s="3" t="s">
        <v>3434</v>
      </c>
      <c r="H344" s="3" t="s">
        <v>3459</v>
      </c>
      <c r="I344" s="22" t="s">
        <v>3435</v>
      </c>
      <c r="J344" s="23" t="s">
        <v>3436</v>
      </c>
    </row>
    <row r="345" spans="1:10" ht="23.25">
      <c r="A345" s="26"/>
      <c r="B345" s="21"/>
      <c r="C345" s="2" t="s">
        <v>1010</v>
      </c>
      <c r="D345" s="2" t="s">
        <v>1011</v>
      </c>
      <c r="E345" s="164" t="s">
        <v>2639</v>
      </c>
      <c r="F345" s="3" t="s">
        <v>2849</v>
      </c>
      <c r="G345" s="3" t="s">
        <v>3210</v>
      </c>
      <c r="H345" s="3" t="s">
        <v>3459</v>
      </c>
      <c r="I345" s="22" t="s">
        <v>3437</v>
      </c>
      <c r="J345" s="23" t="s">
        <v>3438</v>
      </c>
    </row>
    <row r="346" spans="1:10" ht="23.25">
      <c r="A346" s="26"/>
      <c r="B346" s="21" t="s">
        <v>1012</v>
      </c>
      <c r="C346" s="2" t="s">
        <v>1013</v>
      </c>
      <c r="D346" s="2" t="s">
        <v>1014</v>
      </c>
      <c r="E346" s="164" t="s">
        <v>2639</v>
      </c>
      <c r="F346" s="3" t="s">
        <v>3386</v>
      </c>
      <c r="G346" s="3" t="s">
        <v>3439</v>
      </c>
      <c r="H346" s="3" t="s">
        <v>3453</v>
      </c>
      <c r="I346" s="22" t="s">
        <v>3440</v>
      </c>
      <c r="J346" s="23" t="s">
        <v>3441</v>
      </c>
    </row>
    <row r="347" spans="1:10" ht="23.25">
      <c r="A347" s="26"/>
      <c r="B347" s="21"/>
      <c r="C347" s="2" t="s">
        <v>1015</v>
      </c>
      <c r="D347" s="2" t="s">
        <v>1016</v>
      </c>
      <c r="E347" s="164" t="s">
        <v>2639</v>
      </c>
      <c r="F347" s="3" t="s">
        <v>3442</v>
      </c>
      <c r="G347" s="3" t="s">
        <v>1987</v>
      </c>
      <c r="H347" s="3" t="s">
        <v>3453</v>
      </c>
      <c r="I347" s="22" t="s">
        <v>3443</v>
      </c>
      <c r="J347" s="23" t="s">
        <v>3444</v>
      </c>
    </row>
    <row r="348" spans="1:10" ht="23.25">
      <c r="A348" s="26"/>
      <c r="B348" s="21"/>
      <c r="C348" s="2" t="s">
        <v>1017</v>
      </c>
      <c r="D348" s="2" t="s">
        <v>1018</v>
      </c>
      <c r="E348" s="164" t="s">
        <v>2639</v>
      </c>
      <c r="F348" s="3" t="s">
        <v>3445</v>
      </c>
      <c r="G348" s="3" t="s">
        <v>3446</v>
      </c>
      <c r="H348" s="3" t="s">
        <v>3459</v>
      </c>
      <c r="I348" s="22" t="s">
        <v>3447</v>
      </c>
      <c r="J348" s="23" t="s">
        <v>3448</v>
      </c>
    </row>
    <row r="349" spans="1:10" ht="23.25">
      <c r="A349" s="26"/>
      <c r="B349" s="21"/>
      <c r="C349" s="2" t="s">
        <v>1019</v>
      </c>
      <c r="D349" s="2" t="s">
        <v>1020</v>
      </c>
      <c r="E349" s="164" t="s">
        <v>2640</v>
      </c>
      <c r="F349" s="3" t="s">
        <v>3392</v>
      </c>
      <c r="G349" s="3" t="s">
        <v>2076</v>
      </c>
      <c r="H349" s="3" t="s">
        <v>3459</v>
      </c>
      <c r="I349" s="22" t="s">
        <v>3393</v>
      </c>
      <c r="J349" s="23" t="s">
        <v>3394</v>
      </c>
    </row>
    <row r="350" spans="1:10" ht="23.25">
      <c r="A350" s="26"/>
      <c r="B350" s="21"/>
      <c r="C350" s="2" t="s">
        <v>977</v>
      </c>
      <c r="D350" s="2" t="s">
        <v>1021</v>
      </c>
      <c r="E350" s="164" t="s">
        <v>2639</v>
      </c>
      <c r="F350" s="3" t="s">
        <v>11653</v>
      </c>
      <c r="G350" s="23" t="s">
        <v>11654</v>
      </c>
      <c r="H350" s="3" t="s">
        <v>3453</v>
      </c>
      <c r="I350" s="23" t="s">
        <v>11655</v>
      </c>
      <c r="J350" s="23" t="s">
        <v>11656</v>
      </c>
    </row>
    <row r="351" spans="1:10" ht="23.25">
      <c r="A351" s="26" t="s">
        <v>1022</v>
      </c>
      <c r="B351" s="21" t="s">
        <v>1023</v>
      </c>
      <c r="C351" s="2" t="s">
        <v>1024</v>
      </c>
      <c r="D351" s="2" t="s">
        <v>1025</v>
      </c>
      <c r="E351" s="164" t="s">
        <v>2639</v>
      </c>
      <c r="F351" s="3" t="s">
        <v>11657</v>
      </c>
      <c r="G351" s="3" t="s">
        <v>11658</v>
      </c>
      <c r="H351" s="3" t="s">
        <v>3581</v>
      </c>
      <c r="I351" s="3" t="s">
        <v>11659</v>
      </c>
      <c r="J351" s="22" t="s">
        <v>11660</v>
      </c>
    </row>
    <row r="352" spans="1:10" ht="23.25">
      <c r="A352" s="26"/>
      <c r="B352" s="21"/>
      <c r="C352" s="2" t="s">
        <v>1026</v>
      </c>
      <c r="D352" s="2" t="s">
        <v>1027</v>
      </c>
      <c r="E352" s="164" t="s">
        <v>2641</v>
      </c>
      <c r="F352" s="3" t="s">
        <v>11661</v>
      </c>
      <c r="G352" s="3" t="s">
        <v>11662</v>
      </c>
      <c r="H352" s="3" t="s">
        <v>3459</v>
      </c>
      <c r="I352" s="3" t="s">
        <v>11663</v>
      </c>
      <c r="J352" s="22" t="s">
        <v>11664</v>
      </c>
    </row>
    <row r="353" spans="1:10" ht="23.25">
      <c r="A353" s="26"/>
      <c r="B353" s="21"/>
      <c r="C353" s="2" t="s">
        <v>1028</v>
      </c>
      <c r="D353" s="2" t="s">
        <v>1029</v>
      </c>
      <c r="E353" s="164" t="s">
        <v>2639</v>
      </c>
      <c r="F353" s="3" t="s">
        <v>10811</v>
      </c>
      <c r="G353" s="3" t="s">
        <v>5850</v>
      </c>
      <c r="H353" s="3" t="s">
        <v>3459</v>
      </c>
      <c r="I353" s="3" t="s">
        <v>11665</v>
      </c>
      <c r="J353" s="22" t="s">
        <v>11666</v>
      </c>
    </row>
    <row r="354" spans="1:10" ht="21">
      <c r="A354" s="26"/>
      <c r="B354" s="21"/>
      <c r="C354" s="2" t="s">
        <v>1030</v>
      </c>
      <c r="D354" s="2" t="s">
        <v>1031</v>
      </c>
      <c r="E354" s="163" t="s">
        <v>2639</v>
      </c>
      <c r="F354" s="3" t="s">
        <v>11667</v>
      </c>
      <c r="G354" s="3" t="s">
        <v>11668</v>
      </c>
      <c r="H354" s="3" t="s">
        <v>3453</v>
      </c>
      <c r="I354" s="3" t="s">
        <v>11669</v>
      </c>
      <c r="J354" s="22" t="s">
        <v>11670</v>
      </c>
    </row>
    <row r="355" spans="1:10" ht="21">
      <c r="A355" s="26"/>
      <c r="B355" s="21"/>
      <c r="C355" s="2" t="s">
        <v>1032</v>
      </c>
      <c r="D355" s="2" t="s">
        <v>1033</v>
      </c>
      <c r="E355" s="163" t="s">
        <v>2641</v>
      </c>
      <c r="F355" s="3" t="s">
        <v>11671</v>
      </c>
      <c r="G355" s="3" t="s">
        <v>11672</v>
      </c>
      <c r="H355" s="3" t="s">
        <v>3453</v>
      </c>
      <c r="I355" s="3" t="s">
        <v>11673</v>
      </c>
      <c r="J355" s="22" t="s">
        <v>11674</v>
      </c>
    </row>
    <row r="356" spans="1:10" ht="21">
      <c r="A356" s="26"/>
      <c r="B356" s="21" t="s">
        <v>1034</v>
      </c>
      <c r="C356" s="2" t="s">
        <v>1035</v>
      </c>
      <c r="D356" s="2" t="s">
        <v>1036</v>
      </c>
      <c r="E356" s="163" t="s">
        <v>2639</v>
      </c>
      <c r="F356" s="3" t="s">
        <v>11675</v>
      </c>
      <c r="G356" s="3" t="s">
        <v>11676</v>
      </c>
      <c r="H356" s="3" t="s">
        <v>3459</v>
      </c>
      <c r="I356" s="3" t="s">
        <v>11677</v>
      </c>
      <c r="J356" s="22" t="s">
        <v>11678</v>
      </c>
    </row>
    <row r="357" spans="1:10" ht="21">
      <c r="A357" s="26"/>
      <c r="B357" s="21"/>
      <c r="C357" s="2" t="s">
        <v>1037</v>
      </c>
      <c r="D357" s="2" t="s">
        <v>1038</v>
      </c>
      <c r="E357" s="163" t="s">
        <v>2640</v>
      </c>
      <c r="F357" s="3" t="s">
        <v>11679</v>
      </c>
      <c r="G357" s="3" t="s">
        <v>11680</v>
      </c>
      <c r="H357" s="3" t="s">
        <v>3459</v>
      </c>
      <c r="I357" s="3" t="s">
        <v>11681</v>
      </c>
      <c r="J357" s="22" t="s">
        <v>11682</v>
      </c>
    </row>
    <row r="358" spans="1:10" ht="21">
      <c r="A358" s="26"/>
      <c r="B358" s="21"/>
      <c r="C358" s="2" t="s">
        <v>1039</v>
      </c>
      <c r="D358" s="2" t="s">
        <v>1040</v>
      </c>
      <c r="E358" s="163" t="s">
        <v>2640</v>
      </c>
      <c r="F358" s="3" t="s">
        <v>11683</v>
      </c>
      <c r="G358" s="3" t="s">
        <v>11684</v>
      </c>
      <c r="H358" s="3" t="s">
        <v>3453</v>
      </c>
      <c r="I358" s="3" t="s">
        <v>11685</v>
      </c>
      <c r="J358" s="22" t="s">
        <v>11686</v>
      </c>
    </row>
    <row r="359" spans="1:10" ht="21">
      <c r="A359" s="26"/>
      <c r="B359" s="21"/>
      <c r="C359" s="2" t="s">
        <v>1041</v>
      </c>
      <c r="D359" s="2" t="s">
        <v>1042</v>
      </c>
      <c r="E359" s="163" t="s">
        <v>2639</v>
      </c>
      <c r="F359" s="3" t="s">
        <v>11687</v>
      </c>
      <c r="G359" s="3" t="s">
        <v>11688</v>
      </c>
      <c r="H359" s="3" t="s">
        <v>3581</v>
      </c>
      <c r="I359" s="3" t="s">
        <v>11689</v>
      </c>
      <c r="J359" s="22" t="s">
        <v>11690</v>
      </c>
    </row>
    <row r="360" spans="1:10" ht="21">
      <c r="A360" s="26"/>
      <c r="B360" s="21"/>
      <c r="C360" s="2" t="s">
        <v>1043</v>
      </c>
      <c r="D360" s="2" t="s">
        <v>1044</v>
      </c>
      <c r="E360" s="163" t="s">
        <v>2639</v>
      </c>
      <c r="F360" s="3" t="s">
        <v>11691</v>
      </c>
      <c r="G360" s="3" t="s">
        <v>11692</v>
      </c>
      <c r="H360" s="3" t="s">
        <v>3459</v>
      </c>
      <c r="I360" s="3" t="s">
        <v>11693</v>
      </c>
      <c r="J360" s="22" t="s">
        <v>11694</v>
      </c>
    </row>
    <row r="361" spans="1:10" ht="21">
      <c r="A361" s="26"/>
      <c r="B361" s="21" t="s">
        <v>1045</v>
      </c>
      <c r="C361" s="2" t="s">
        <v>1046</v>
      </c>
      <c r="D361" s="2" t="s">
        <v>1047</v>
      </c>
      <c r="E361" s="163" t="s">
        <v>2639</v>
      </c>
      <c r="F361" s="3" t="s">
        <v>11695</v>
      </c>
      <c r="G361" s="3" t="s">
        <v>11696</v>
      </c>
      <c r="H361" s="3" t="s">
        <v>3581</v>
      </c>
      <c r="I361" s="3" t="s">
        <v>11697</v>
      </c>
      <c r="J361" s="22" t="s">
        <v>11698</v>
      </c>
    </row>
    <row r="362" spans="1:10" ht="21">
      <c r="A362" s="26"/>
      <c r="B362" s="21"/>
      <c r="C362" s="2" t="s">
        <v>1048</v>
      </c>
      <c r="D362" s="2" t="s">
        <v>1049</v>
      </c>
      <c r="E362" s="163" t="s">
        <v>2639</v>
      </c>
      <c r="F362" s="3" t="s">
        <v>2213</v>
      </c>
      <c r="G362" s="3" t="s">
        <v>11699</v>
      </c>
      <c r="H362" s="3" t="s">
        <v>3459</v>
      </c>
      <c r="I362" s="3" t="s">
        <v>11700</v>
      </c>
      <c r="J362" s="22" t="s">
        <v>11701</v>
      </c>
    </row>
    <row r="363" spans="1:10" ht="21">
      <c r="A363" s="26"/>
      <c r="B363" s="21"/>
      <c r="C363" s="2" t="s">
        <v>1050</v>
      </c>
      <c r="D363" s="2" t="s">
        <v>1051</v>
      </c>
      <c r="E363" s="163" t="s">
        <v>2639</v>
      </c>
      <c r="F363" s="3" t="s">
        <v>11702</v>
      </c>
      <c r="G363" s="3" t="s">
        <v>11703</v>
      </c>
      <c r="H363" s="3" t="s">
        <v>3581</v>
      </c>
      <c r="I363" s="3" t="s">
        <v>11704</v>
      </c>
      <c r="J363" s="22" t="s">
        <v>11705</v>
      </c>
    </row>
    <row r="364" spans="1:10" ht="21">
      <c r="A364" s="26"/>
      <c r="B364" s="21"/>
      <c r="C364" s="2" t="s">
        <v>1052</v>
      </c>
      <c r="D364" s="2" t="s">
        <v>1053</v>
      </c>
      <c r="E364" s="163" t="s">
        <v>2640</v>
      </c>
      <c r="F364" s="3" t="s">
        <v>11706</v>
      </c>
      <c r="G364" s="3" t="s">
        <v>11707</v>
      </c>
      <c r="H364" s="3" t="s">
        <v>3453</v>
      </c>
      <c r="I364" s="3" t="s">
        <v>11708</v>
      </c>
      <c r="J364" s="22" t="s">
        <v>11709</v>
      </c>
    </row>
    <row r="365" spans="1:10" ht="21">
      <c r="A365" s="26"/>
      <c r="B365" s="21"/>
      <c r="C365" s="2" t="s">
        <v>1054</v>
      </c>
      <c r="D365" s="2" t="s">
        <v>1055</v>
      </c>
      <c r="E365" s="163" t="s">
        <v>2641</v>
      </c>
      <c r="F365" s="3" t="s">
        <v>11710</v>
      </c>
      <c r="G365" s="3" t="s">
        <v>11711</v>
      </c>
      <c r="H365" s="3" t="s">
        <v>3453</v>
      </c>
      <c r="I365" s="3" t="s">
        <v>11712</v>
      </c>
      <c r="J365" s="22" t="s">
        <v>11713</v>
      </c>
    </row>
    <row r="366" spans="1:10" ht="21">
      <c r="A366" s="26"/>
      <c r="B366" s="21" t="s">
        <v>1056</v>
      </c>
      <c r="C366" s="2" t="s">
        <v>1057</v>
      </c>
      <c r="D366" s="2" t="s">
        <v>1058</v>
      </c>
      <c r="E366" s="163" t="s">
        <v>2639</v>
      </c>
      <c r="F366" s="3" t="s">
        <v>11714</v>
      </c>
      <c r="G366" s="3" t="s">
        <v>5802</v>
      </c>
      <c r="H366" s="3" t="s">
        <v>3459</v>
      </c>
      <c r="I366" s="3" t="s">
        <v>7008</v>
      </c>
      <c r="J366" s="22" t="s">
        <v>11715</v>
      </c>
    </row>
    <row r="367" spans="1:10" ht="21">
      <c r="A367" s="26"/>
      <c r="B367" s="21"/>
      <c r="C367" s="2" t="s">
        <v>1059</v>
      </c>
      <c r="D367" s="2" t="s">
        <v>1060</v>
      </c>
      <c r="E367" s="163" t="s">
        <v>2639</v>
      </c>
      <c r="F367" s="3" t="s">
        <v>5767</v>
      </c>
      <c r="G367" s="3" t="s">
        <v>11716</v>
      </c>
      <c r="H367" s="3" t="s">
        <v>3459</v>
      </c>
      <c r="I367" s="3" t="s">
        <v>11717</v>
      </c>
      <c r="J367" s="22" t="s">
        <v>11718</v>
      </c>
    </row>
    <row r="368" spans="1:10" ht="21">
      <c r="A368" s="26"/>
      <c r="B368" s="21"/>
      <c r="C368" s="2" t="s">
        <v>1061</v>
      </c>
      <c r="D368" s="2" t="s">
        <v>1062</v>
      </c>
      <c r="E368" s="163" t="s">
        <v>2640</v>
      </c>
      <c r="F368" s="3" t="s">
        <v>3503</v>
      </c>
      <c r="G368" s="3" t="s">
        <v>11719</v>
      </c>
      <c r="H368" s="3" t="s">
        <v>3459</v>
      </c>
      <c r="I368" s="3" t="s">
        <v>11720</v>
      </c>
      <c r="J368" s="22" t="s">
        <v>11721</v>
      </c>
    </row>
    <row r="369" spans="1:10" ht="21">
      <c r="A369" s="26"/>
      <c r="B369" s="21"/>
      <c r="C369" s="2" t="s">
        <v>1063</v>
      </c>
      <c r="D369" s="2" t="s">
        <v>1064</v>
      </c>
      <c r="E369" s="163" t="s">
        <v>2639</v>
      </c>
      <c r="F369" s="3" t="s">
        <v>11722</v>
      </c>
      <c r="G369" s="3" t="s">
        <v>11723</v>
      </c>
      <c r="H369" s="3" t="s">
        <v>3459</v>
      </c>
      <c r="I369" s="3" t="s">
        <v>11724</v>
      </c>
      <c r="J369" s="22" t="s">
        <v>11725</v>
      </c>
    </row>
    <row r="370" spans="1:10" ht="21">
      <c r="A370" s="26"/>
      <c r="B370" s="21"/>
      <c r="C370" s="2" t="s">
        <v>1065</v>
      </c>
      <c r="D370" s="2" t="s">
        <v>1066</v>
      </c>
      <c r="E370" s="163" t="s">
        <v>2641</v>
      </c>
      <c r="F370" s="3" t="s">
        <v>11726</v>
      </c>
      <c r="G370" s="3" t="s">
        <v>11727</v>
      </c>
      <c r="H370" s="3" t="s">
        <v>3459</v>
      </c>
      <c r="I370" s="3" t="s">
        <v>11728</v>
      </c>
      <c r="J370" s="22" t="s">
        <v>11729</v>
      </c>
    </row>
    <row r="371" spans="1:10" ht="21">
      <c r="A371" s="26"/>
      <c r="B371" s="21" t="s">
        <v>1067</v>
      </c>
      <c r="C371" s="2" t="s">
        <v>1068</v>
      </c>
      <c r="D371" s="2" t="s">
        <v>1069</v>
      </c>
      <c r="E371" s="163" t="s">
        <v>2639</v>
      </c>
      <c r="F371" s="3" t="s">
        <v>11730</v>
      </c>
      <c r="G371" s="3" t="s">
        <v>11731</v>
      </c>
      <c r="H371" s="3" t="s">
        <v>3581</v>
      </c>
      <c r="I371" s="3" t="s">
        <v>11732</v>
      </c>
      <c r="J371" s="22" t="s">
        <v>11733</v>
      </c>
    </row>
    <row r="372" spans="1:10" ht="21">
      <c r="A372" s="26"/>
      <c r="B372" s="21"/>
      <c r="C372" s="2" t="s">
        <v>1070</v>
      </c>
      <c r="D372" s="2" t="s">
        <v>1071</v>
      </c>
      <c r="E372" s="163" t="s">
        <v>2641</v>
      </c>
      <c r="F372" s="3" t="s">
        <v>11734</v>
      </c>
      <c r="G372" s="3" t="s">
        <v>11735</v>
      </c>
      <c r="H372" s="3" t="s">
        <v>3459</v>
      </c>
      <c r="I372" s="3" t="s">
        <v>11736</v>
      </c>
      <c r="J372" s="22" t="s">
        <v>11737</v>
      </c>
    </row>
    <row r="373" spans="1:10" ht="21">
      <c r="A373" s="26"/>
      <c r="B373" s="21"/>
      <c r="C373" s="2" t="s">
        <v>1072</v>
      </c>
      <c r="D373" s="2" t="s">
        <v>1073</v>
      </c>
      <c r="E373" s="163" t="s">
        <v>2641</v>
      </c>
      <c r="F373" s="3" t="s">
        <v>11738</v>
      </c>
      <c r="G373" s="3" t="s">
        <v>11739</v>
      </c>
      <c r="H373" s="3" t="s">
        <v>3459</v>
      </c>
      <c r="I373" s="3" t="s">
        <v>11740</v>
      </c>
      <c r="J373" s="22" t="s">
        <v>11741</v>
      </c>
    </row>
    <row r="374" spans="1:10" ht="21">
      <c r="A374" s="26"/>
      <c r="B374" s="21"/>
      <c r="C374" s="2" t="s">
        <v>1074</v>
      </c>
      <c r="D374" s="2" t="s">
        <v>1075</v>
      </c>
      <c r="E374" s="163" t="s">
        <v>2639</v>
      </c>
      <c r="F374" s="3" t="s">
        <v>11742</v>
      </c>
      <c r="G374" s="3" t="s">
        <v>4928</v>
      </c>
      <c r="H374" s="3" t="s">
        <v>3581</v>
      </c>
      <c r="I374" s="3" t="s">
        <v>11743</v>
      </c>
      <c r="J374" s="22" t="s">
        <v>11744</v>
      </c>
    </row>
    <row r="375" spans="1:10" ht="21">
      <c r="A375" s="26"/>
      <c r="B375" s="21"/>
      <c r="C375" s="2" t="s">
        <v>1076</v>
      </c>
      <c r="D375" s="2" t="s">
        <v>1077</v>
      </c>
      <c r="E375" s="163" t="s">
        <v>2639</v>
      </c>
      <c r="F375" s="3" t="s">
        <v>11745</v>
      </c>
      <c r="G375" s="3" t="s">
        <v>11746</v>
      </c>
      <c r="H375" s="3" t="s">
        <v>3581</v>
      </c>
      <c r="I375" s="3" t="s">
        <v>11747</v>
      </c>
      <c r="J375" s="22" t="s">
        <v>11748</v>
      </c>
    </row>
    <row r="376" spans="1:10" ht="21">
      <c r="A376" s="26"/>
      <c r="B376" s="21" t="s">
        <v>1078</v>
      </c>
      <c r="C376" s="2" t="s">
        <v>1079</v>
      </c>
      <c r="D376" s="2" t="s">
        <v>1080</v>
      </c>
      <c r="E376" s="163" t="s">
        <v>2639</v>
      </c>
      <c r="F376" s="3" t="s">
        <v>11749</v>
      </c>
      <c r="G376" s="3" t="s">
        <v>11750</v>
      </c>
      <c r="H376" s="3" t="s">
        <v>3459</v>
      </c>
      <c r="I376" s="3" t="s">
        <v>11751</v>
      </c>
      <c r="J376" s="22" t="s">
        <v>11752</v>
      </c>
    </row>
    <row r="377" spans="1:10" ht="21">
      <c r="A377" s="26"/>
      <c r="B377" s="21"/>
      <c r="C377" s="2" t="s">
        <v>1081</v>
      </c>
      <c r="D377" s="2" t="s">
        <v>1082</v>
      </c>
      <c r="E377" s="163" t="s">
        <v>2639</v>
      </c>
      <c r="F377" s="3" t="s">
        <v>11753</v>
      </c>
      <c r="G377" s="3" t="s">
        <v>11754</v>
      </c>
      <c r="H377" s="3" t="s">
        <v>3581</v>
      </c>
      <c r="I377" s="3" t="s">
        <v>11755</v>
      </c>
      <c r="J377" s="22" t="s">
        <v>11756</v>
      </c>
    </row>
    <row r="378" spans="1:10" ht="21">
      <c r="A378" s="26"/>
      <c r="B378" s="21"/>
      <c r="C378" s="2" t="s">
        <v>1083</v>
      </c>
      <c r="D378" s="2" t="s">
        <v>1084</v>
      </c>
      <c r="E378" s="163" t="s">
        <v>2640</v>
      </c>
      <c r="F378" s="3" t="s">
        <v>3634</v>
      </c>
      <c r="G378" s="3" t="s">
        <v>11757</v>
      </c>
      <c r="H378" s="3" t="s">
        <v>3459</v>
      </c>
      <c r="I378" s="3" t="s">
        <v>11758</v>
      </c>
      <c r="J378" s="22" t="s">
        <v>11759</v>
      </c>
    </row>
    <row r="379" spans="1:10" ht="21">
      <c r="A379" s="26"/>
      <c r="B379" s="21"/>
      <c r="C379" s="2" t="s">
        <v>1085</v>
      </c>
      <c r="D379" s="2" t="s">
        <v>1086</v>
      </c>
      <c r="E379" s="163" t="s">
        <v>2639</v>
      </c>
      <c r="F379" s="3" t="s">
        <v>11760</v>
      </c>
      <c r="G379" s="3" t="s">
        <v>11761</v>
      </c>
      <c r="H379" s="3" t="s">
        <v>3581</v>
      </c>
      <c r="I379" s="3" t="s">
        <v>11762</v>
      </c>
      <c r="J379" s="22" t="s">
        <v>11763</v>
      </c>
    </row>
    <row r="380" spans="1:10" ht="21">
      <c r="A380" s="26"/>
      <c r="B380" s="21"/>
      <c r="C380" s="2" t="s">
        <v>1087</v>
      </c>
      <c r="D380" s="2" t="s">
        <v>1088</v>
      </c>
      <c r="E380" s="163" t="s">
        <v>2639</v>
      </c>
      <c r="F380" s="3" t="s">
        <v>11764</v>
      </c>
      <c r="G380" s="3" t="s">
        <v>11765</v>
      </c>
      <c r="H380" s="3" t="s">
        <v>3459</v>
      </c>
      <c r="I380" s="3" t="s">
        <v>11766</v>
      </c>
      <c r="J380" s="22" t="s">
        <v>11767</v>
      </c>
    </row>
    <row r="381" spans="1:10" ht="21">
      <c r="A381" s="26"/>
      <c r="B381" s="21" t="s">
        <v>1089</v>
      </c>
      <c r="C381" s="2" t="s">
        <v>1090</v>
      </c>
      <c r="D381" s="2" t="s">
        <v>1091</v>
      </c>
      <c r="E381" s="163" t="s">
        <v>2641</v>
      </c>
      <c r="F381" s="3" t="s">
        <v>11768</v>
      </c>
      <c r="G381" s="3" t="s">
        <v>11769</v>
      </c>
      <c r="H381" s="3" t="s">
        <v>3459</v>
      </c>
      <c r="I381" s="3" t="s">
        <v>11770</v>
      </c>
      <c r="J381" s="22" t="s">
        <v>11771</v>
      </c>
    </row>
    <row r="382" spans="1:10" ht="21">
      <c r="A382" s="26"/>
      <c r="B382" s="21"/>
      <c r="C382" s="2" t="s">
        <v>1092</v>
      </c>
      <c r="D382" s="2" t="s">
        <v>1093</v>
      </c>
      <c r="E382" s="163" t="s">
        <v>2639</v>
      </c>
      <c r="F382" s="3" t="s">
        <v>11772</v>
      </c>
      <c r="G382" s="3" t="s">
        <v>11773</v>
      </c>
      <c r="H382" s="3" t="s">
        <v>3581</v>
      </c>
      <c r="I382" s="3" t="s">
        <v>11774</v>
      </c>
      <c r="J382" s="22" t="s">
        <v>11775</v>
      </c>
    </row>
    <row r="383" spans="1:10" ht="21">
      <c r="A383" s="26"/>
      <c r="B383" s="21"/>
      <c r="C383" s="2" t="s">
        <v>1094</v>
      </c>
      <c r="D383" s="2" t="s">
        <v>1095</v>
      </c>
      <c r="E383" s="163" t="s">
        <v>2639</v>
      </c>
      <c r="F383" s="3" t="s">
        <v>11776</v>
      </c>
      <c r="G383" s="3" t="s">
        <v>11777</v>
      </c>
      <c r="H383" s="3" t="s">
        <v>3581</v>
      </c>
      <c r="I383" s="3" t="s">
        <v>11778</v>
      </c>
      <c r="J383" s="22" t="s">
        <v>11779</v>
      </c>
    </row>
    <row r="384" spans="1:10" ht="21">
      <c r="A384" s="26"/>
      <c r="B384" s="21"/>
      <c r="C384" s="2" t="s">
        <v>1096</v>
      </c>
      <c r="D384" s="2" t="s">
        <v>1097</v>
      </c>
      <c r="E384" s="163" t="s">
        <v>2639</v>
      </c>
      <c r="F384" s="3" t="s">
        <v>11742</v>
      </c>
      <c r="G384" s="3" t="s">
        <v>11780</v>
      </c>
      <c r="H384" s="3" t="s">
        <v>3459</v>
      </c>
      <c r="I384" s="3" t="s">
        <v>11781</v>
      </c>
      <c r="J384" s="22" t="s">
        <v>11782</v>
      </c>
    </row>
    <row r="385" spans="1:10" ht="21">
      <c r="A385" s="26"/>
      <c r="B385" s="21"/>
      <c r="C385" s="2" t="s">
        <v>1098</v>
      </c>
      <c r="D385" s="2" t="s">
        <v>1099</v>
      </c>
      <c r="E385" s="163" t="s">
        <v>2640</v>
      </c>
      <c r="F385" s="3" t="s">
        <v>11783</v>
      </c>
      <c r="G385" s="3" t="s">
        <v>11784</v>
      </c>
      <c r="H385" s="3" t="s">
        <v>3453</v>
      </c>
      <c r="I385" s="3" t="s">
        <v>11785</v>
      </c>
      <c r="J385" s="22" t="s">
        <v>11786</v>
      </c>
    </row>
    <row r="386" spans="1:10" ht="21">
      <c r="A386" s="26"/>
      <c r="B386" s="21" t="s">
        <v>1100</v>
      </c>
      <c r="C386" s="2" t="s">
        <v>1101</v>
      </c>
      <c r="D386" s="2" t="s">
        <v>1102</v>
      </c>
      <c r="E386" s="163" t="s">
        <v>2640</v>
      </c>
      <c r="F386" s="3" t="s">
        <v>11787</v>
      </c>
      <c r="G386" s="3" t="s">
        <v>11788</v>
      </c>
      <c r="H386" s="3" t="s">
        <v>3453</v>
      </c>
      <c r="I386" s="3" t="s">
        <v>11789</v>
      </c>
      <c r="J386" s="22" t="s">
        <v>11790</v>
      </c>
    </row>
    <row r="387" spans="1:10" ht="21">
      <c r="A387" s="26"/>
      <c r="B387" s="21"/>
      <c r="C387" s="2" t="s">
        <v>1103</v>
      </c>
      <c r="D387" s="2" t="s">
        <v>1104</v>
      </c>
      <c r="E387" s="163" t="s">
        <v>2639</v>
      </c>
      <c r="F387" s="3" t="s">
        <v>11791</v>
      </c>
      <c r="G387" s="3" t="s">
        <v>11792</v>
      </c>
      <c r="H387" s="3" t="s">
        <v>3459</v>
      </c>
      <c r="I387" s="3" t="s">
        <v>11793</v>
      </c>
      <c r="J387" s="22" t="s">
        <v>11794</v>
      </c>
    </row>
    <row r="388" spans="1:10" ht="21">
      <c r="A388" s="26"/>
      <c r="B388" s="21"/>
      <c r="C388" s="2" t="s">
        <v>1105</v>
      </c>
      <c r="D388" s="2" t="s">
        <v>1106</v>
      </c>
      <c r="E388" s="163" t="s">
        <v>2639</v>
      </c>
      <c r="F388" s="3" t="s">
        <v>11795</v>
      </c>
      <c r="G388" s="3" t="s">
        <v>11796</v>
      </c>
      <c r="H388" s="3" t="s">
        <v>3459</v>
      </c>
      <c r="I388" s="3" t="s">
        <v>2221</v>
      </c>
      <c r="J388" s="22" t="s">
        <v>11797</v>
      </c>
    </row>
    <row r="389" spans="1:10" ht="21">
      <c r="A389" s="26"/>
      <c r="B389" s="21"/>
      <c r="C389" s="2" t="s">
        <v>1107</v>
      </c>
      <c r="D389" s="2" t="s">
        <v>1108</v>
      </c>
      <c r="E389" s="163" t="s">
        <v>2639</v>
      </c>
      <c r="F389" s="3" t="s">
        <v>10811</v>
      </c>
      <c r="G389" s="3" t="s">
        <v>11798</v>
      </c>
      <c r="H389" s="3" t="s">
        <v>3459</v>
      </c>
      <c r="I389" s="3" t="s">
        <v>11799</v>
      </c>
      <c r="J389" s="22" t="s">
        <v>11800</v>
      </c>
    </row>
    <row r="390" spans="1:10" ht="21">
      <c r="A390" s="26"/>
      <c r="B390" s="21"/>
      <c r="C390" s="2" t="s">
        <v>1109</v>
      </c>
      <c r="D390" s="2" t="s">
        <v>1110</v>
      </c>
      <c r="E390" s="163" t="s">
        <v>2639</v>
      </c>
      <c r="F390" s="3" t="s">
        <v>11801</v>
      </c>
      <c r="G390" s="3" t="s">
        <v>10013</v>
      </c>
      <c r="H390" s="3" t="s">
        <v>3581</v>
      </c>
      <c r="I390" s="3" t="s">
        <v>11802</v>
      </c>
      <c r="J390" s="22" t="s">
        <v>11803</v>
      </c>
    </row>
    <row r="391" spans="1:10" ht="21">
      <c r="A391" s="26"/>
      <c r="B391" s="21" t="s">
        <v>1111</v>
      </c>
      <c r="C391" s="2" t="s">
        <v>1112</v>
      </c>
      <c r="D391" s="2" t="s">
        <v>1113</v>
      </c>
      <c r="E391" s="163" t="s">
        <v>2639</v>
      </c>
      <c r="F391" s="3" t="s">
        <v>11804</v>
      </c>
      <c r="G391" s="3" t="s">
        <v>5354</v>
      </c>
      <c r="H391" s="3" t="s">
        <v>3459</v>
      </c>
      <c r="I391" s="3" t="s">
        <v>11805</v>
      </c>
      <c r="J391" s="22" t="s">
        <v>11806</v>
      </c>
    </row>
    <row r="392" spans="1:10" ht="21">
      <c r="A392" s="26"/>
      <c r="B392" s="21"/>
      <c r="C392" s="2" t="s">
        <v>1114</v>
      </c>
      <c r="D392" s="2" t="s">
        <v>1115</v>
      </c>
      <c r="E392" s="163" t="s">
        <v>2640</v>
      </c>
      <c r="F392" s="3" t="s">
        <v>11807</v>
      </c>
      <c r="G392" s="3" t="s">
        <v>11808</v>
      </c>
      <c r="H392" s="3" t="s">
        <v>3453</v>
      </c>
      <c r="I392" s="3" t="s">
        <v>11809</v>
      </c>
      <c r="J392" s="22" t="s">
        <v>11810</v>
      </c>
    </row>
    <row r="393" spans="1:10" ht="21">
      <c r="A393" s="26"/>
      <c r="B393" s="21"/>
      <c r="C393" s="2" t="s">
        <v>1116</v>
      </c>
      <c r="D393" s="2" t="s">
        <v>1117</v>
      </c>
      <c r="E393" s="163" t="s">
        <v>2641</v>
      </c>
      <c r="F393" s="3" t="s">
        <v>11811</v>
      </c>
      <c r="G393" s="3" t="s">
        <v>2243</v>
      </c>
      <c r="H393" s="3" t="s">
        <v>3459</v>
      </c>
      <c r="I393" s="3" t="s">
        <v>11812</v>
      </c>
      <c r="J393" s="22" t="s">
        <v>11813</v>
      </c>
    </row>
    <row r="394" spans="1:10" ht="21">
      <c r="A394" s="26"/>
      <c r="B394" s="21"/>
      <c r="C394" s="2" t="s">
        <v>1118</v>
      </c>
      <c r="D394" s="2" t="s">
        <v>1119</v>
      </c>
      <c r="E394" s="163" t="s">
        <v>2639</v>
      </c>
      <c r="F394" s="3" t="s">
        <v>11742</v>
      </c>
      <c r="G394" s="3" t="s">
        <v>11814</v>
      </c>
      <c r="H394" s="3" t="s">
        <v>3459</v>
      </c>
      <c r="I394" s="3" t="s">
        <v>11815</v>
      </c>
      <c r="J394" s="22" t="s">
        <v>11816</v>
      </c>
    </row>
    <row r="395" spans="1:10" ht="21">
      <c r="A395" s="26"/>
      <c r="B395" s="21"/>
      <c r="C395" s="2" t="s">
        <v>1098</v>
      </c>
      <c r="D395" s="2" t="s">
        <v>1120</v>
      </c>
      <c r="E395" s="163" t="s">
        <v>2639</v>
      </c>
      <c r="F395" s="3" t="s">
        <v>3160</v>
      </c>
      <c r="G395" s="3" t="s">
        <v>11817</v>
      </c>
      <c r="H395" s="3" t="s">
        <v>3459</v>
      </c>
      <c r="I395" s="3" t="s">
        <v>11818</v>
      </c>
      <c r="J395" s="22" t="s">
        <v>11819</v>
      </c>
    </row>
    <row r="396" spans="1:10" ht="21">
      <c r="A396" s="26"/>
      <c r="B396" s="21" t="s">
        <v>1121</v>
      </c>
      <c r="C396" s="2" t="s">
        <v>1122</v>
      </c>
      <c r="D396" s="2" t="s">
        <v>1123</v>
      </c>
      <c r="E396" s="163" t="s">
        <v>2640</v>
      </c>
      <c r="F396" s="3" t="s">
        <v>11820</v>
      </c>
      <c r="G396" s="3" t="s">
        <v>5832</v>
      </c>
      <c r="H396" s="3" t="s">
        <v>3459</v>
      </c>
      <c r="I396" s="3" t="s">
        <v>11821</v>
      </c>
      <c r="J396" s="22" t="s">
        <v>11822</v>
      </c>
    </row>
    <row r="397" spans="1:10" ht="21">
      <c r="A397" s="26"/>
      <c r="B397" s="21"/>
      <c r="C397" s="2" t="s">
        <v>1124</v>
      </c>
      <c r="D397" s="2" t="s">
        <v>1125</v>
      </c>
      <c r="E397" s="163" t="s">
        <v>2639</v>
      </c>
      <c r="F397" s="3" t="s">
        <v>11823</v>
      </c>
      <c r="G397" s="3" t="s">
        <v>11824</v>
      </c>
      <c r="H397" s="3" t="s">
        <v>3459</v>
      </c>
      <c r="I397" s="3" t="s">
        <v>11825</v>
      </c>
      <c r="J397" s="22" t="s">
        <v>11826</v>
      </c>
    </row>
    <row r="398" spans="1:10" ht="21">
      <c r="A398" s="26"/>
      <c r="B398" s="21"/>
      <c r="C398" s="2" t="s">
        <v>1126</v>
      </c>
      <c r="D398" s="2" t="s">
        <v>1127</v>
      </c>
      <c r="E398" s="163" t="s">
        <v>2641</v>
      </c>
      <c r="F398" s="3" t="s">
        <v>11827</v>
      </c>
      <c r="G398" s="3" t="s">
        <v>11111</v>
      </c>
      <c r="H398" s="3" t="s">
        <v>3459</v>
      </c>
      <c r="I398" s="3" t="s">
        <v>11828</v>
      </c>
      <c r="J398" s="22" t="s">
        <v>11829</v>
      </c>
    </row>
    <row r="399" spans="1:10" ht="21">
      <c r="A399" s="26"/>
      <c r="B399" s="21"/>
      <c r="C399" s="2" t="s">
        <v>1128</v>
      </c>
      <c r="D399" s="2" t="s">
        <v>1129</v>
      </c>
      <c r="E399" s="163" t="s">
        <v>2639</v>
      </c>
      <c r="F399" s="3" t="s">
        <v>11830</v>
      </c>
      <c r="G399" s="3" t="s">
        <v>11831</v>
      </c>
      <c r="H399" s="3" t="s">
        <v>3459</v>
      </c>
      <c r="I399" s="3" t="s">
        <v>5339</v>
      </c>
      <c r="J399" s="22" t="s">
        <v>11832</v>
      </c>
    </row>
    <row r="400" spans="1:10" ht="21">
      <c r="A400" s="26"/>
      <c r="B400" s="21"/>
      <c r="C400" s="2" t="s">
        <v>1130</v>
      </c>
      <c r="D400" s="2" t="s">
        <v>1131</v>
      </c>
      <c r="E400" s="163" t="s">
        <v>2641</v>
      </c>
      <c r="F400" s="3" t="s">
        <v>11833</v>
      </c>
      <c r="G400" s="3" t="s">
        <v>11834</v>
      </c>
      <c r="H400" s="3" t="s">
        <v>3459</v>
      </c>
      <c r="I400" s="3" t="s">
        <v>11835</v>
      </c>
      <c r="J400" s="22" t="s">
        <v>11836</v>
      </c>
    </row>
    <row r="401" spans="1:10" ht="21">
      <c r="A401" s="26"/>
      <c r="B401" s="21" t="s">
        <v>1132</v>
      </c>
      <c r="C401" s="2" t="s">
        <v>1133</v>
      </c>
      <c r="D401" s="2" t="s">
        <v>1134</v>
      </c>
      <c r="E401" s="163" t="s">
        <v>2641</v>
      </c>
      <c r="F401" s="3" t="s">
        <v>2230</v>
      </c>
      <c r="G401" s="3" t="s">
        <v>11837</v>
      </c>
      <c r="H401" s="3" t="s">
        <v>3453</v>
      </c>
      <c r="I401" s="3" t="s">
        <v>11838</v>
      </c>
      <c r="J401" s="22" t="s">
        <v>11839</v>
      </c>
    </row>
    <row r="402" spans="1:10" ht="21">
      <c r="A402" s="26"/>
      <c r="B402" s="21"/>
      <c r="C402" s="2" t="s">
        <v>1135</v>
      </c>
      <c r="D402" s="2" t="s">
        <v>1136</v>
      </c>
      <c r="E402" s="163" t="s">
        <v>2641</v>
      </c>
      <c r="F402" s="3" t="s">
        <v>3130</v>
      </c>
      <c r="G402" s="3" t="s">
        <v>11840</v>
      </c>
      <c r="H402" s="3" t="s">
        <v>3453</v>
      </c>
      <c r="I402" s="3" t="s">
        <v>11841</v>
      </c>
      <c r="J402" s="22" t="s">
        <v>11842</v>
      </c>
    </row>
    <row r="403" spans="1:10" ht="21">
      <c r="A403" s="26"/>
      <c r="B403" s="21"/>
      <c r="C403" s="2" t="s">
        <v>1137</v>
      </c>
      <c r="D403" s="2" t="s">
        <v>1138</v>
      </c>
      <c r="E403" s="163" t="s">
        <v>2641</v>
      </c>
      <c r="F403" s="3" t="s">
        <v>11843</v>
      </c>
      <c r="G403" s="3" t="s">
        <v>11844</v>
      </c>
      <c r="H403" s="3" t="s">
        <v>3453</v>
      </c>
      <c r="I403" s="3" t="s">
        <v>11845</v>
      </c>
      <c r="J403" s="22" t="s">
        <v>11846</v>
      </c>
    </row>
    <row r="404" spans="1:10" ht="21">
      <c r="A404" s="26"/>
      <c r="B404" s="21"/>
      <c r="C404" s="2" t="s">
        <v>1139</v>
      </c>
      <c r="D404" s="2" t="s">
        <v>1140</v>
      </c>
      <c r="E404" s="163" t="s">
        <v>2640</v>
      </c>
      <c r="F404" s="3" t="s">
        <v>11847</v>
      </c>
      <c r="G404" s="3" t="s">
        <v>11848</v>
      </c>
      <c r="H404" s="3" t="s">
        <v>3453</v>
      </c>
      <c r="I404" s="3" t="s">
        <v>11849</v>
      </c>
      <c r="J404" s="22" t="s">
        <v>11850</v>
      </c>
    </row>
    <row r="405" spans="1:10" ht="21">
      <c r="A405" s="26"/>
      <c r="B405" s="21"/>
      <c r="C405" s="2" t="s">
        <v>1141</v>
      </c>
      <c r="D405" s="2" t="s">
        <v>1142</v>
      </c>
      <c r="E405" s="163" t="s">
        <v>2640</v>
      </c>
      <c r="F405" s="3" t="s">
        <v>9849</v>
      </c>
      <c r="G405" s="3" t="s">
        <v>11851</v>
      </c>
      <c r="H405" s="3" t="s">
        <v>3459</v>
      </c>
      <c r="I405" s="3" t="s">
        <v>11852</v>
      </c>
      <c r="J405" s="22" t="s">
        <v>2852</v>
      </c>
    </row>
    <row r="406" spans="1:10" ht="21">
      <c r="A406" s="26"/>
      <c r="B406" s="21" t="s">
        <v>1143</v>
      </c>
      <c r="C406" s="2" t="s">
        <v>1144</v>
      </c>
      <c r="D406" s="2" t="s">
        <v>1145</v>
      </c>
      <c r="E406" s="163" t="s">
        <v>2640</v>
      </c>
      <c r="F406" s="3" t="s">
        <v>11843</v>
      </c>
      <c r="G406" s="3" t="s">
        <v>11853</v>
      </c>
      <c r="H406" s="3" t="s">
        <v>3453</v>
      </c>
      <c r="I406" s="3" t="s">
        <v>11854</v>
      </c>
      <c r="J406" s="22" t="s">
        <v>11855</v>
      </c>
    </row>
    <row r="407" spans="1:10" ht="21">
      <c r="A407" s="26"/>
      <c r="B407" s="21"/>
      <c r="C407" s="2" t="s">
        <v>1146</v>
      </c>
      <c r="D407" s="2" t="s">
        <v>1147</v>
      </c>
      <c r="E407" s="163" t="s">
        <v>2640</v>
      </c>
      <c r="F407" s="3" t="s">
        <v>11856</v>
      </c>
      <c r="G407" s="3" t="s">
        <v>11857</v>
      </c>
      <c r="H407" s="3" t="s">
        <v>3453</v>
      </c>
      <c r="I407" s="3" t="s">
        <v>11858</v>
      </c>
      <c r="J407" s="22" t="s">
        <v>11859</v>
      </c>
    </row>
    <row r="408" spans="1:10" ht="21">
      <c r="A408" s="26"/>
      <c r="B408" s="21"/>
      <c r="C408" s="2" t="s">
        <v>1148</v>
      </c>
      <c r="D408" s="2" t="s">
        <v>1149</v>
      </c>
      <c r="E408" s="163" t="s">
        <v>2640</v>
      </c>
      <c r="F408" s="3" t="s">
        <v>11962</v>
      </c>
      <c r="G408" s="3" t="s">
        <v>11963</v>
      </c>
      <c r="H408" s="3" t="s">
        <v>3453</v>
      </c>
      <c r="I408" s="3" t="s">
        <v>11964</v>
      </c>
      <c r="J408" s="22" t="s">
        <v>11965</v>
      </c>
    </row>
    <row r="409" spans="1:10" ht="21">
      <c r="A409" s="26"/>
      <c r="B409" s="21"/>
      <c r="C409" s="2" t="s">
        <v>1150</v>
      </c>
      <c r="D409" s="2" t="s">
        <v>1151</v>
      </c>
      <c r="E409" s="163" t="s">
        <v>2639</v>
      </c>
      <c r="F409" s="3" t="s">
        <v>11966</v>
      </c>
      <c r="G409" s="3" t="s">
        <v>11967</v>
      </c>
      <c r="H409" s="3" t="s">
        <v>3459</v>
      </c>
      <c r="I409" s="3" t="s">
        <v>11968</v>
      </c>
      <c r="J409" s="22" t="s">
        <v>11969</v>
      </c>
    </row>
    <row r="410" spans="1:10" ht="21">
      <c r="A410" s="26"/>
      <c r="B410" s="21"/>
      <c r="C410" s="2" t="s">
        <v>1152</v>
      </c>
      <c r="D410" s="2" t="s">
        <v>1153</v>
      </c>
      <c r="E410" s="163" t="s">
        <v>2639</v>
      </c>
      <c r="F410" s="3" t="s">
        <v>11970</v>
      </c>
      <c r="G410" s="3" t="s">
        <v>11971</v>
      </c>
      <c r="H410" s="3" t="s">
        <v>3581</v>
      </c>
      <c r="I410" s="3" t="s">
        <v>11033</v>
      </c>
      <c r="J410" s="22" t="s">
        <v>11972</v>
      </c>
    </row>
    <row r="411" spans="1:10" ht="21">
      <c r="A411" s="26"/>
      <c r="B411" s="21" t="s">
        <v>1154</v>
      </c>
      <c r="C411" s="2" t="s">
        <v>1155</v>
      </c>
      <c r="D411" s="2" t="s">
        <v>1156</v>
      </c>
      <c r="E411" s="163" t="s">
        <v>2641</v>
      </c>
      <c r="F411" s="3" t="s">
        <v>11973</v>
      </c>
      <c r="G411" s="3" t="s">
        <v>11974</v>
      </c>
      <c r="H411" s="3" t="s">
        <v>3453</v>
      </c>
      <c r="I411" s="3" t="s">
        <v>11975</v>
      </c>
      <c r="J411" s="22" t="s">
        <v>11976</v>
      </c>
    </row>
    <row r="412" spans="1:10" ht="21">
      <c r="A412" s="26"/>
      <c r="B412" s="21"/>
      <c r="C412" s="2" t="s">
        <v>1157</v>
      </c>
      <c r="D412" s="2" t="s">
        <v>1158</v>
      </c>
      <c r="E412" s="163" t="s">
        <v>2639</v>
      </c>
      <c r="F412" s="3" t="s">
        <v>10811</v>
      </c>
      <c r="G412" s="3" t="s">
        <v>11977</v>
      </c>
      <c r="H412" s="3" t="s">
        <v>3459</v>
      </c>
      <c r="I412" s="3" t="s">
        <v>11978</v>
      </c>
      <c r="J412" s="22" t="s">
        <v>11979</v>
      </c>
    </row>
    <row r="413" spans="1:10" ht="21">
      <c r="A413" s="26"/>
      <c r="B413" s="21"/>
      <c r="C413" s="2" t="s">
        <v>1159</v>
      </c>
      <c r="D413" s="2" t="s">
        <v>1160</v>
      </c>
      <c r="E413" s="163" t="s">
        <v>2639</v>
      </c>
      <c r="F413" s="3" t="s">
        <v>11795</v>
      </c>
      <c r="G413" s="3" t="s">
        <v>11980</v>
      </c>
      <c r="H413" s="3" t="s">
        <v>3459</v>
      </c>
      <c r="I413" s="3" t="s">
        <v>11981</v>
      </c>
      <c r="J413" s="22" t="s">
        <v>11982</v>
      </c>
    </row>
    <row r="414" spans="1:10" ht="21">
      <c r="A414" s="26"/>
      <c r="B414" s="21"/>
      <c r="C414" s="2" t="s">
        <v>1161</v>
      </c>
      <c r="D414" s="2" t="s">
        <v>1162</v>
      </c>
      <c r="E414" s="163" t="s">
        <v>2639</v>
      </c>
      <c r="F414" s="3" t="s">
        <v>11983</v>
      </c>
      <c r="G414" s="3" t="s">
        <v>11984</v>
      </c>
      <c r="H414" s="3" t="s">
        <v>3459</v>
      </c>
      <c r="I414" s="3" t="s">
        <v>11985</v>
      </c>
      <c r="J414" s="22" t="s">
        <v>11986</v>
      </c>
    </row>
    <row r="415" spans="1:10" ht="21">
      <c r="A415" s="26"/>
      <c r="B415" s="21"/>
      <c r="C415" s="2" t="s">
        <v>1163</v>
      </c>
      <c r="D415" s="2" t="s">
        <v>1164</v>
      </c>
      <c r="E415" s="163" t="s">
        <v>2639</v>
      </c>
      <c r="F415" s="3" t="s">
        <v>11987</v>
      </c>
      <c r="G415" s="3" t="s">
        <v>11988</v>
      </c>
      <c r="H415" s="3" t="s">
        <v>3459</v>
      </c>
      <c r="I415" s="3" t="s">
        <v>11989</v>
      </c>
      <c r="J415" s="22" t="s">
        <v>11990</v>
      </c>
    </row>
    <row r="416" spans="1:10" ht="21">
      <c r="A416" s="26" t="s">
        <v>1165</v>
      </c>
      <c r="B416" s="21" t="s">
        <v>1166</v>
      </c>
      <c r="C416" s="2" t="s">
        <v>1167</v>
      </c>
      <c r="D416" s="2" t="s">
        <v>1168</v>
      </c>
      <c r="E416" s="163" t="s">
        <v>2640</v>
      </c>
      <c r="F416" s="3" t="s">
        <v>11991</v>
      </c>
      <c r="G416" s="3" t="s">
        <v>11992</v>
      </c>
      <c r="H416" s="3" t="s">
        <v>3453</v>
      </c>
      <c r="I416" s="3" t="s">
        <v>11993</v>
      </c>
      <c r="J416" s="22" t="s">
        <v>11994</v>
      </c>
    </row>
    <row r="417" spans="1:10" ht="21">
      <c r="A417" s="26"/>
      <c r="B417" s="21"/>
      <c r="C417" s="2" t="s">
        <v>1169</v>
      </c>
      <c r="D417" s="2" t="s">
        <v>1170</v>
      </c>
      <c r="E417" s="163" t="s">
        <v>2640</v>
      </c>
      <c r="F417" s="3" t="s">
        <v>11995</v>
      </c>
      <c r="G417" s="3" t="s">
        <v>11996</v>
      </c>
      <c r="H417" s="3" t="s">
        <v>3453</v>
      </c>
      <c r="I417" s="3" t="s">
        <v>11997</v>
      </c>
      <c r="J417" s="22" t="s">
        <v>11998</v>
      </c>
    </row>
    <row r="418" spans="1:10" ht="21">
      <c r="A418" s="26"/>
      <c r="B418" s="21"/>
      <c r="C418" s="2" t="s">
        <v>1171</v>
      </c>
      <c r="D418" s="2" t="s">
        <v>1172</v>
      </c>
      <c r="E418" s="163" t="s">
        <v>2640</v>
      </c>
      <c r="F418" s="3" t="s">
        <v>11999</v>
      </c>
      <c r="G418" s="3" t="s">
        <v>12000</v>
      </c>
      <c r="H418" s="3" t="s">
        <v>3453</v>
      </c>
      <c r="I418" s="3" t="s">
        <v>12001</v>
      </c>
      <c r="J418" s="22" t="s">
        <v>12002</v>
      </c>
    </row>
    <row r="419" spans="1:10" ht="21">
      <c r="A419" s="26"/>
      <c r="B419" s="21"/>
      <c r="C419" s="2" t="s">
        <v>1173</v>
      </c>
      <c r="D419" s="2" t="s">
        <v>1174</v>
      </c>
      <c r="E419" s="163" t="s">
        <v>2639</v>
      </c>
      <c r="F419" s="3" t="s">
        <v>12003</v>
      </c>
      <c r="G419" s="3" t="s">
        <v>12004</v>
      </c>
      <c r="H419" s="3" t="s">
        <v>3459</v>
      </c>
      <c r="I419" s="3" t="s">
        <v>12005</v>
      </c>
      <c r="J419" s="22" t="s">
        <v>12006</v>
      </c>
    </row>
    <row r="420" spans="1:10" ht="21">
      <c r="A420" s="26"/>
      <c r="B420" s="21"/>
      <c r="C420" s="2" t="s">
        <v>1175</v>
      </c>
      <c r="D420" s="2" t="s">
        <v>1176</v>
      </c>
      <c r="E420" s="163" t="s">
        <v>2639</v>
      </c>
      <c r="F420" s="3" t="s">
        <v>12007</v>
      </c>
      <c r="G420" s="3" t="s">
        <v>12008</v>
      </c>
      <c r="H420" s="3" t="s">
        <v>3581</v>
      </c>
      <c r="I420" s="3" t="s">
        <v>12009</v>
      </c>
      <c r="J420" s="22" t="s">
        <v>12010</v>
      </c>
    </row>
    <row r="421" spans="1:10" ht="21">
      <c r="A421" s="26"/>
      <c r="B421" s="21" t="s">
        <v>1177</v>
      </c>
      <c r="C421" s="2" t="s">
        <v>1178</v>
      </c>
      <c r="D421" s="2" t="s">
        <v>1179</v>
      </c>
      <c r="E421" s="163" t="s">
        <v>2639</v>
      </c>
      <c r="F421" s="3" t="s">
        <v>12011</v>
      </c>
      <c r="G421" s="3" t="s">
        <v>12012</v>
      </c>
      <c r="H421" s="3" t="s">
        <v>3459</v>
      </c>
      <c r="I421" s="3" t="s">
        <v>12013</v>
      </c>
      <c r="J421" s="22" t="s">
        <v>12014</v>
      </c>
    </row>
    <row r="422" spans="1:10" ht="21">
      <c r="A422" s="26"/>
      <c r="B422" s="21"/>
      <c r="C422" s="2" t="s">
        <v>1180</v>
      </c>
      <c r="D422" s="2" t="s">
        <v>1181</v>
      </c>
      <c r="E422" s="163" t="s">
        <v>2640</v>
      </c>
      <c r="F422" s="3" t="s">
        <v>12015</v>
      </c>
      <c r="G422" s="3" t="s">
        <v>12016</v>
      </c>
      <c r="H422" s="3" t="s">
        <v>3453</v>
      </c>
      <c r="I422" s="3" t="s">
        <v>12017</v>
      </c>
      <c r="J422" s="22" t="s">
        <v>12018</v>
      </c>
    </row>
    <row r="423" spans="1:10" ht="21">
      <c r="A423" s="26"/>
      <c r="B423" s="21"/>
      <c r="C423" s="2" t="s">
        <v>1182</v>
      </c>
      <c r="D423" s="2" t="s">
        <v>1183</v>
      </c>
      <c r="E423" s="163" t="s">
        <v>2640</v>
      </c>
      <c r="F423" s="3" t="s">
        <v>12019</v>
      </c>
      <c r="G423" s="3" t="s">
        <v>12020</v>
      </c>
      <c r="H423" s="3" t="s">
        <v>3459</v>
      </c>
      <c r="I423" s="3" t="s">
        <v>12021</v>
      </c>
      <c r="J423" s="22" t="s">
        <v>12022</v>
      </c>
    </row>
    <row r="424" spans="1:10" ht="21">
      <c r="A424" s="26"/>
      <c r="B424" s="21"/>
      <c r="C424" s="2" t="s">
        <v>1184</v>
      </c>
      <c r="D424" s="2" t="s">
        <v>1185</v>
      </c>
      <c r="E424" s="163" t="s">
        <v>2639</v>
      </c>
      <c r="F424" s="3" t="s">
        <v>12023</v>
      </c>
      <c r="G424" s="3" t="s">
        <v>12024</v>
      </c>
      <c r="H424" s="3" t="s">
        <v>3459</v>
      </c>
      <c r="I424" s="3" t="s">
        <v>12025</v>
      </c>
      <c r="J424" s="22" t="s">
        <v>12026</v>
      </c>
    </row>
    <row r="425" spans="1:10" ht="21">
      <c r="A425" s="26"/>
      <c r="B425" s="21"/>
      <c r="C425" s="2" t="s">
        <v>1186</v>
      </c>
      <c r="D425" s="2" t="s">
        <v>1187</v>
      </c>
      <c r="E425" s="163" t="s">
        <v>2639</v>
      </c>
      <c r="F425" s="3" t="s">
        <v>9849</v>
      </c>
      <c r="G425" s="3" t="s">
        <v>12027</v>
      </c>
      <c r="H425" s="3" t="s">
        <v>3581</v>
      </c>
      <c r="I425" s="3" t="s">
        <v>12028</v>
      </c>
      <c r="J425" s="22" t="s">
        <v>12029</v>
      </c>
    </row>
    <row r="426" spans="1:10" ht="21">
      <c r="A426" s="26"/>
      <c r="B426" s="21" t="s">
        <v>1188</v>
      </c>
      <c r="C426" s="2" t="s">
        <v>1189</v>
      </c>
      <c r="D426" s="2" t="s">
        <v>1190</v>
      </c>
      <c r="E426" s="163" t="s">
        <v>2639</v>
      </c>
      <c r="F426" s="3" t="s">
        <v>12030</v>
      </c>
      <c r="G426" s="3" t="s">
        <v>12031</v>
      </c>
      <c r="H426" s="3" t="s">
        <v>3581</v>
      </c>
      <c r="I426" s="3" t="s">
        <v>12032</v>
      </c>
      <c r="J426" s="22" t="s">
        <v>12033</v>
      </c>
    </row>
    <row r="427" spans="1:10" ht="21">
      <c r="A427" s="26"/>
      <c r="B427" s="21"/>
      <c r="C427" s="2" t="s">
        <v>1191</v>
      </c>
      <c r="D427" s="2" t="s">
        <v>1192</v>
      </c>
      <c r="E427" s="163" t="s">
        <v>2640</v>
      </c>
      <c r="F427" s="3" t="s">
        <v>12034</v>
      </c>
      <c r="G427" s="3" t="s">
        <v>12035</v>
      </c>
      <c r="H427" s="3" t="s">
        <v>3453</v>
      </c>
      <c r="I427" s="3" t="s">
        <v>12036</v>
      </c>
      <c r="J427" s="22" t="s">
        <v>12037</v>
      </c>
    </row>
    <row r="428" spans="1:10" ht="21">
      <c r="A428" s="26"/>
      <c r="B428" s="21"/>
      <c r="C428" s="2" t="s">
        <v>1193</v>
      </c>
      <c r="D428" s="2" t="s">
        <v>1194</v>
      </c>
      <c r="E428" s="163" t="s">
        <v>2640</v>
      </c>
      <c r="F428" s="3" t="s">
        <v>12038</v>
      </c>
      <c r="G428" s="3" t="s">
        <v>12039</v>
      </c>
      <c r="H428" s="3" t="s">
        <v>3459</v>
      </c>
      <c r="I428" s="3" t="s">
        <v>12040</v>
      </c>
      <c r="J428" s="22" t="s">
        <v>12041</v>
      </c>
    </row>
    <row r="429" spans="1:10" ht="21">
      <c r="A429" s="26"/>
      <c r="B429" s="21"/>
      <c r="C429" s="2" t="s">
        <v>1195</v>
      </c>
      <c r="D429" s="2" t="s">
        <v>1196</v>
      </c>
      <c r="E429" s="163" t="s">
        <v>2639</v>
      </c>
      <c r="F429" s="3" t="s">
        <v>12042</v>
      </c>
      <c r="G429" s="3" t="s">
        <v>12043</v>
      </c>
      <c r="H429" s="3" t="s">
        <v>3581</v>
      </c>
      <c r="I429" s="3" t="s">
        <v>12044</v>
      </c>
      <c r="J429" s="22" t="s">
        <v>12045</v>
      </c>
    </row>
    <row r="430" spans="1:10" ht="21">
      <c r="A430" s="26"/>
      <c r="B430" s="21"/>
      <c r="C430" s="2" t="s">
        <v>1197</v>
      </c>
      <c r="D430" s="2" t="s">
        <v>1198</v>
      </c>
      <c r="E430" s="163" t="s">
        <v>2639</v>
      </c>
      <c r="F430" s="3" t="s">
        <v>12046</v>
      </c>
      <c r="G430" s="3" t="s">
        <v>12047</v>
      </c>
      <c r="H430" s="3" t="s">
        <v>3459</v>
      </c>
      <c r="I430" s="3" t="s">
        <v>12048</v>
      </c>
      <c r="J430" s="22" t="s">
        <v>12049</v>
      </c>
    </row>
    <row r="431" spans="1:10" ht="21">
      <c r="A431" s="26"/>
      <c r="B431" s="21" t="s">
        <v>1199</v>
      </c>
      <c r="C431" s="2" t="s">
        <v>1200</v>
      </c>
      <c r="D431" s="2" t="s">
        <v>1201</v>
      </c>
      <c r="E431" s="163" t="s">
        <v>2640</v>
      </c>
      <c r="F431" s="3" t="s">
        <v>11995</v>
      </c>
      <c r="G431" s="3" t="s">
        <v>12050</v>
      </c>
      <c r="H431" s="3" t="s">
        <v>3453</v>
      </c>
      <c r="I431" s="3" t="s">
        <v>12051</v>
      </c>
      <c r="J431" s="22" t="s">
        <v>12052</v>
      </c>
    </row>
    <row r="432" spans="1:10" ht="21">
      <c r="A432" s="26"/>
      <c r="B432" s="21"/>
      <c r="C432" s="2" t="s">
        <v>1202</v>
      </c>
      <c r="D432" s="2" t="s">
        <v>1203</v>
      </c>
      <c r="E432" s="163" t="s">
        <v>2640</v>
      </c>
      <c r="F432" s="3" t="s">
        <v>2979</v>
      </c>
      <c r="G432" s="3" t="s">
        <v>12053</v>
      </c>
      <c r="H432" s="3" t="s">
        <v>3453</v>
      </c>
      <c r="I432" s="3" t="s">
        <v>12054</v>
      </c>
      <c r="J432" s="22" t="s">
        <v>12055</v>
      </c>
    </row>
    <row r="433" spans="1:10" ht="21">
      <c r="A433" s="26"/>
      <c r="B433" s="21"/>
      <c r="C433" s="2" t="s">
        <v>1204</v>
      </c>
      <c r="D433" s="2" t="s">
        <v>1205</v>
      </c>
      <c r="E433" s="163" t="s">
        <v>2640</v>
      </c>
      <c r="F433" s="3" t="s">
        <v>12056</v>
      </c>
      <c r="G433" s="3" t="s">
        <v>12057</v>
      </c>
      <c r="H433" s="3" t="s">
        <v>3453</v>
      </c>
      <c r="I433" s="3" t="s">
        <v>12058</v>
      </c>
      <c r="J433" s="22" t="s">
        <v>12059</v>
      </c>
    </row>
    <row r="434" spans="1:10" ht="21">
      <c r="A434" s="26"/>
      <c r="B434" s="21"/>
      <c r="C434" s="2" t="s">
        <v>1206</v>
      </c>
      <c r="D434" s="2" t="s">
        <v>1207</v>
      </c>
      <c r="E434" s="163" t="s">
        <v>2640</v>
      </c>
      <c r="F434" s="3" t="s">
        <v>12060</v>
      </c>
      <c r="G434" s="3" t="s">
        <v>12061</v>
      </c>
      <c r="H434" s="3" t="s">
        <v>3453</v>
      </c>
      <c r="I434" s="3" t="s">
        <v>12062</v>
      </c>
      <c r="J434" s="22" t="s">
        <v>12063</v>
      </c>
    </row>
    <row r="435" spans="1:10" ht="21">
      <c r="A435" s="26"/>
      <c r="B435" s="21"/>
      <c r="C435" s="2" t="s">
        <v>1208</v>
      </c>
      <c r="D435" s="2" t="s">
        <v>1209</v>
      </c>
      <c r="E435" s="163" t="s">
        <v>2640</v>
      </c>
      <c r="F435" s="3" t="s">
        <v>11807</v>
      </c>
      <c r="G435" s="3" t="s">
        <v>12064</v>
      </c>
      <c r="H435" s="3" t="s">
        <v>3453</v>
      </c>
      <c r="I435" s="3" t="s">
        <v>12065</v>
      </c>
      <c r="J435" s="22" t="s">
        <v>12066</v>
      </c>
    </row>
    <row r="436" spans="1:10" ht="21">
      <c r="A436" s="26"/>
      <c r="B436" s="21" t="s">
        <v>1210</v>
      </c>
      <c r="C436" s="2" t="s">
        <v>1211</v>
      </c>
      <c r="D436" s="2" t="s">
        <v>1212</v>
      </c>
      <c r="E436" s="163" t="s">
        <v>2640</v>
      </c>
      <c r="F436" s="3" t="s">
        <v>12067</v>
      </c>
      <c r="G436" s="3" t="s">
        <v>12068</v>
      </c>
      <c r="H436" s="3" t="s">
        <v>3453</v>
      </c>
      <c r="I436" s="3" t="s">
        <v>12069</v>
      </c>
      <c r="J436" s="22" t="s">
        <v>12070</v>
      </c>
    </row>
    <row r="437" spans="1:10" ht="21">
      <c r="A437" s="26"/>
      <c r="B437" s="21"/>
      <c r="C437" s="2" t="s">
        <v>1213</v>
      </c>
      <c r="D437" s="2" t="s">
        <v>1214</v>
      </c>
      <c r="E437" s="163" t="s">
        <v>2640</v>
      </c>
      <c r="F437" s="3" t="s">
        <v>12071</v>
      </c>
      <c r="G437" s="3" t="s">
        <v>12072</v>
      </c>
      <c r="H437" s="3" t="s">
        <v>3453</v>
      </c>
      <c r="I437" s="3" t="s">
        <v>12073</v>
      </c>
      <c r="J437" s="22" t="s">
        <v>12074</v>
      </c>
    </row>
    <row r="438" spans="1:10" ht="21">
      <c r="A438" s="26"/>
      <c r="B438" s="21"/>
      <c r="C438" s="2" t="s">
        <v>1215</v>
      </c>
      <c r="D438" s="2" t="s">
        <v>1216</v>
      </c>
      <c r="E438" s="163" t="s">
        <v>2640</v>
      </c>
      <c r="F438" s="3" t="s">
        <v>12038</v>
      </c>
      <c r="G438" s="3" t="s">
        <v>12075</v>
      </c>
      <c r="H438" s="3" t="s">
        <v>3459</v>
      </c>
      <c r="I438" s="3" t="s">
        <v>12076</v>
      </c>
      <c r="J438" s="22" t="s">
        <v>12077</v>
      </c>
    </row>
    <row r="439" spans="1:10" ht="21">
      <c r="A439" s="26"/>
      <c r="B439" s="21"/>
      <c r="C439" s="2" t="s">
        <v>1217</v>
      </c>
      <c r="D439" s="2" t="s">
        <v>1218</v>
      </c>
      <c r="E439" s="163" t="s">
        <v>2639</v>
      </c>
      <c r="F439" s="3" t="s">
        <v>12078</v>
      </c>
      <c r="G439" s="3" t="s">
        <v>12079</v>
      </c>
      <c r="H439" s="3" t="s">
        <v>3459</v>
      </c>
      <c r="I439" s="3" t="s">
        <v>12080</v>
      </c>
      <c r="J439" s="22" t="s">
        <v>12081</v>
      </c>
    </row>
    <row r="440" spans="1:10" ht="21">
      <c r="A440" s="26"/>
      <c r="B440" s="21"/>
      <c r="C440" s="2" t="s">
        <v>1219</v>
      </c>
      <c r="D440" s="2" t="s">
        <v>1220</v>
      </c>
      <c r="E440" s="163" t="s">
        <v>2639</v>
      </c>
      <c r="F440" s="3" t="s">
        <v>12082</v>
      </c>
      <c r="G440" s="3" t="s">
        <v>12083</v>
      </c>
      <c r="H440" s="3" t="s">
        <v>3581</v>
      </c>
      <c r="I440" s="3" t="s">
        <v>12084</v>
      </c>
      <c r="J440" s="22" t="s">
        <v>12085</v>
      </c>
    </row>
    <row r="441" spans="1:10" ht="21">
      <c r="A441" s="26"/>
      <c r="B441" s="21" t="s">
        <v>1221</v>
      </c>
      <c r="C441" s="2" t="s">
        <v>1222</v>
      </c>
      <c r="D441" s="2" t="s">
        <v>1223</v>
      </c>
      <c r="E441" s="163" t="s">
        <v>2639</v>
      </c>
      <c r="F441" s="3" t="s">
        <v>12086</v>
      </c>
      <c r="G441" s="3" t="s">
        <v>12087</v>
      </c>
      <c r="H441" s="3" t="s">
        <v>3459</v>
      </c>
      <c r="I441" s="3" t="s">
        <v>12088</v>
      </c>
      <c r="J441" s="22" t="s">
        <v>12089</v>
      </c>
    </row>
    <row r="442" spans="1:10" ht="21">
      <c r="A442" s="26"/>
      <c r="B442" s="21"/>
      <c r="C442" s="2" t="s">
        <v>1224</v>
      </c>
      <c r="D442" s="2" t="s">
        <v>1225</v>
      </c>
      <c r="E442" s="163" t="s">
        <v>2640</v>
      </c>
      <c r="F442" s="3" t="s">
        <v>12090</v>
      </c>
      <c r="G442" s="3" t="s">
        <v>12091</v>
      </c>
      <c r="H442" s="3" t="s">
        <v>3453</v>
      </c>
      <c r="I442" s="3" t="s">
        <v>12092</v>
      </c>
      <c r="J442" s="22" t="s">
        <v>12093</v>
      </c>
    </row>
    <row r="443" spans="1:10" ht="21">
      <c r="A443" s="26"/>
      <c r="B443" s="21"/>
      <c r="C443" s="2" t="s">
        <v>1226</v>
      </c>
      <c r="D443" s="2" t="s">
        <v>1227</v>
      </c>
      <c r="E443" s="163" t="s">
        <v>2640</v>
      </c>
      <c r="F443" s="3" t="s">
        <v>11738</v>
      </c>
      <c r="G443" s="3" t="s">
        <v>12094</v>
      </c>
      <c r="H443" s="3" t="s">
        <v>3459</v>
      </c>
      <c r="I443" s="3" t="s">
        <v>12095</v>
      </c>
      <c r="J443" s="22" t="s">
        <v>12096</v>
      </c>
    </row>
    <row r="444" spans="1:10" ht="21">
      <c r="A444" s="26"/>
      <c r="B444" s="21"/>
      <c r="C444" s="2" t="s">
        <v>1228</v>
      </c>
      <c r="D444" s="2" t="s">
        <v>1229</v>
      </c>
      <c r="E444" s="163" t="s">
        <v>2639</v>
      </c>
      <c r="F444" s="3" t="s">
        <v>12097</v>
      </c>
      <c r="G444" s="3" t="s">
        <v>12098</v>
      </c>
      <c r="H444" s="3" t="s">
        <v>3581</v>
      </c>
      <c r="I444" s="3" t="s">
        <v>12099</v>
      </c>
      <c r="J444" s="22" t="s">
        <v>12100</v>
      </c>
    </row>
    <row r="445" spans="1:10" ht="21">
      <c r="A445" s="26"/>
      <c r="B445" s="21"/>
      <c r="C445" s="2" t="s">
        <v>1230</v>
      </c>
      <c r="D445" s="2" t="s">
        <v>1231</v>
      </c>
      <c r="E445" s="163" t="s">
        <v>2639</v>
      </c>
      <c r="F445" s="3" t="s">
        <v>12101</v>
      </c>
      <c r="G445" s="3" t="s">
        <v>12102</v>
      </c>
      <c r="H445" s="3" t="s">
        <v>3581</v>
      </c>
      <c r="I445" s="3" t="s">
        <v>12103</v>
      </c>
      <c r="J445" s="22" t="s">
        <v>12104</v>
      </c>
    </row>
    <row r="446" spans="1:10" ht="21">
      <c r="A446" s="26"/>
      <c r="B446" s="21" t="s">
        <v>1232</v>
      </c>
      <c r="C446" s="2" t="s">
        <v>1233</v>
      </c>
      <c r="D446" s="2" t="s">
        <v>1234</v>
      </c>
      <c r="E446" s="163" t="s">
        <v>2639</v>
      </c>
      <c r="F446" s="3" t="s">
        <v>12105</v>
      </c>
      <c r="G446" s="3" t="s">
        <v>12106</v>
      </c>
      <c r="H446" s="3" t="s">
        <v>3459</v>
      </c>
      <c r="I446" s="3" t="s">
        <v>12107</v>
      </c>
      <c r="J446" s="22" t="s">
        <v>12108</v>
      </c>
    </row>
    <row r="447" spans="1:10" ht="21">
      <c r="A447" s="26"/>
      <c r="B447" s="21"/>
      <c r="C447" s="2" t="s">
        <v>1235</v>
      </c>
      <c r="D447" s="2" t="s">
        <v>1236</v>
      </c>
      <c r="E447" s="163" t="s">
        <v>2640</v>
      </c>
      <c r="F447" s="3" t="s">
        <v>12109</v>
      </c>
      <c r="G447" s="3" t="s">
        <v>12110</v>
      </c>
      <c r="H447" s="3" t="s">
        <v>3453</v>
      </c>
      <c r="I447" s="3" t="s">
        <v>12111</v>
      </c>
      <c r="J447" s="22" t="s">
        <v>12112</v>
      </c>
    </row>
    <row r="448" spans="1:10" ht="21">
      <c r="A448" s="26"/>
      <c r="B448" s="21"/>
      <c r="C448" s="2" t="s">
        <v>1237</v>
      </c>
      <c r="D448" s="2" t="s">
        <v>1238</v>
      </c>
      <c r="E448" s="163" t="s">
        <v>2640</v>
      </c>
      <c r="F448" s="3" t="s">
        <v>12113</v>
      </c>
      <c r="G448" s="3" t="s">
        <v>12114</v>
      </c>
      <c r="H448" s="3" t="s">
        <v>3459</v>
      </c>
      <c r="I448" s="3" t="s">
        <v>12115</v>
      </c>
      <c r="J448" s="22" t="s">
        <v>12116</v>
      </c>
    </row>
    <row r="449" spans="1:10" ht="21">
      <c r="A449" s="26"/>
      <c r="B449" s="21"/>
      <c r="C449" s="2" t="s">
        <v>1239</v>
      </c>
      <c r="D449" s="2" t="s">
        <v>1240</v>
      </c>
      <c r="E449" s="163" t="s">
        <v>2639</v>
      </c>
      <c r="F449" s="3" t="s">
        <v>12117</v>
      </c>
      <c r="G449" s="3" t="s">
        <v>12118</v>
      </c>
      <c r="H449" s="3" t="s">
        <v>3459</v>
      </c>
      <c r="I449" s="3" t="s">
        <v>12119</v>
      </c>
      <c r="J449" s="22" t="s">
        <v>12120</v>
      </c>
    </row>
    <row r="450" spans="1:10" ht="21">
      <c r="A450" s="26"/>
      <c r="B450" s="21"/>
      <c r="C450" s="2" t="s">
        <v>1241</v>
      </c>
      <c r="D450" s="2" t="s">
        <v>1242</v>
      </c>
      <c r="E450" s="163" t="s">
        <v>2639</v>
      </c>
      <c r="F450" s="3" t="s">
        <v>12121</v>
      </c>
      <c r="G450" s="3" t="s">
        <v>12122</v>
      </c>
      <c r="H450" s="3" t="s">
        <v>3581</v>
      </c>
      <c r="I450" s="3" t="s">
        <v>12123</v>
      </c>
      <c r="J450" s="22" t="s">
        <v>12124</v>
      </c>
    </row>
    <row r="451" spans="1:10" ht="21">
      <c r="A451" s="26"/>
      <c r="B451" s="21" t="s">
        <v>1243</v>
      </c>
      <c r="C451" s="2" t="s">
        <v>1244</v>
      </c>
      <c r="D451" s="2" t="s">
        <v>1245</v>
      </c>
      <c r="E451" s="163" t="s">
        <v>2639</v>
      </c>
      <c r="F451" s="3" t="s">
        <v>12125</v>
      </c>
      <c r="G451" s="3" t="s">
        <v>12126</v>
      </c>
      <c r="H451" s="3" t="s">
        <v>3459</v>
      </c>
      <c r="I451" s="3" t="s">
        <v>12127</v>
      </c>
      <c r="J451" s="22" t="s">
        <v>12128</v>
      </c>
    </row>
    <row r="452" spans="1:10" ht="21">
      <c r="A452" s="26"/>
      <c r="B452" s="21"/>
      <c r="C452" s="2" t="s">
        <v>1246</v>
      </c>
      <c r="D452" s="2" t="s">
        <v>1247</v>
      </c>
      <c r="E452" s="163" t="s">
        <v>2639</v>
      </c>
      <c r="F452" s="3" t="s">
        <v>12129</v>
      </c>
      <c r="G452" s="3" t="s">
        <v>12130</v>
      </c>
      <c r="H452" s="3" t="s">
        <v>3453</v>
      </c>
      <c r="I452" s="3" t="s">
        <v>12131</v>
      </c>
      <c r="J452" s="22" t="s">
        <v>12132</v>
      </c>
    </row>
    <row r="453" spans="1:10" ht="21">
      <c r="A453" s="26"/>
      <c r="B453" s="21"/>
      <c r="C453" s="2" t="s">
        <v>1248</v>
      </c>
      <c r="D453" s="2" t="s">
        <v>1249</v>
      </c>
      <c r="E453" s="163" t="s">
        <v>2640</v>
      </c>
      <c r="F453" s="3" t="s">
        <v>11738</v>
      </c>
      <c r="G453" s="3" t="s">
        <v>12133</v>
      </c>
      <c r="H453" s="3" t="s">
        <v>3581</v>
      </c>
      <c r="I453" s="3" t="s">
        <v>12134</v>
      </c>
      <c r="J453" s="22" t="s">
        <v>12135</v>
      </c>
    </row>
    <row r="454" spans="1:10" ht="21">
      <c r="A454" s="26"/>
      <c r="B454" s="21"/>
      <c r="C454" s="2" t="s">
        <v>1250</v>
      </c>
      <c r="D454" s="2" t="s">
        <v>1251</v>
      </c>
      <c r="E454" s="163" t="s">
        <v>2640</v>
      </c>
      <c r="F454" s="3" t="s">
        <v>11742</v>
      </c>
      <c r="G454" s="3" t="s">
        <v>12136</v>
      </c>
      <c r="H454" s="3" t="s">
        <v>3459</v>
      </c>
      <c r="I454" s="3" t="s">
        <v>12137</v>
      </c>
      <c r="J454" s="22" t="s">
        <v>12138</v>
      </c>
    </row>
    <row r="455" spans="1:10" ht="21">
      <c r="A455" s="26"/>
      <c r="B455" s="21"/>
      <c r="C455" s="2" t="s">
        <v>1252</v>
      </c>
      <c r="D455" s="2" t="s">
        <v>1253</v>
      </c>
      <c r="E455" s="163" t="s">
        <v>2639</v>
      </c>
      <c r="F455" s="3" t="s">
        <v>11795</v>
      </c>
      <c r="G455" s="3" t="s">
        <v>12139</v>
      </c>
      <c r="H455" s="3" t="s">
        <v>3581</v>
      </c>
      <c r="I455" s="3" t="s">
        <v>12140</v>
      </c>
      <c r="J455" s="22" t="s">
        <v>12141</v>
      </c>
    </row>
    <row r="456" spans="1:10" ht="21">
      <c r="A456" s="26"/>
      <c r="B456" s="21" t="s">
        <v>1254</v>
      </c>
      <c r="C456" s="2" t="s">
        <v>743</v>
      </c>
      <c r="D456" s="2" t="s">
        <v>1255</v>
      </c>
      <c r="E456" s="163" t="s">
        <v>2640</v>
      </c>
      <c r="F456" s="3" t="s">
        <v>12142</v>
      </c>
      <c r="G456" s="3" t="s">
        <v>12143</v>
      </c>
      <c r="H456" s="3" t="s">
        <v>3453</v>
      </c>
      <c r="I456" s="3" t="s">
        <v>12144</v>
      </c>
      <c r="J456" s="22" t="s">
        <v>12145</v>
      </c>
    </row>
    <row r="457" spans="1:10" ht="21">
      <c r="A457" s="26"/>
      <c r="B457" s="21"/>
      <c r="C457" s="2" t="s">
        <v>1256</v>
      </c>
      <c r="D457" s="2" t="s">
        <v>1257</v>
      </c>
      <c r="E457" s="163" t="s">
        <v>2641</v>
      </c>
      <c r="F457" s="3" t="s">
        <v>12146</v>
      </c>
      <c r="G457" s="3" t="s">
        <v>12147</v>
      </c>
      <c r="H457" s="3" t="s">
        <v>3459</v>
      </c>
      <c r="I457" s="3" t="s">
        <v>6173</v>
      </c>
      <c r="J457" s="22" t="s">
        <v>12148</v>
      </c>
    </row>
    <row r="458" spans="1:10" ht="21">
      <c r="A458" s="26"/>
      <c r="B458" s="21"/>
      <c r="C458" s="2" t="s">
        <v>1248</v>
      </c>
      <c r="D458" s="2" t="s">
        <v>1258</v>
      </c>
      <c r="E458" s="163" t="s">
        <v>2641</v>
      </c>
      <c r="F458" s="3" t="s">
        <v>12149</v>
      </c>
      <c r="G458" s="3" t="s">
        <v>12150</v>
      </c>
      <c r="H458" s="3" t="s">
        <v>3459</v>
      </c>
      <c r="I458" s="3" t="s">
        <v>12151</v>
      </c>
      <c r="J458" s="22" t="s">
        <v>12152</v>
      </c>
    </row>
    <row r="459" spans="1:10" ht="21">
      <c r="A459" s="26"/>
      <c r="B459" s="21"/>
      <c r="C459" s="2" t="s">
        <v>1259</v>
      </c>
      <c r="D459" s="2" t="s">
        <v>1260</v>
      </c>
      <c r="E459" s="163" t="s">
        <v>2640</v>
      </c>
      <c r="F459" s="3" t="s">
        <v>12153</v>
      </c>
      <c r="G459" s="3" t="s">
        <v>12154</v>
      </c>
      <c r="H459" s="3" t="s">
        <v>3453</v>
      </c>
      <c r="I459" s="3" t="s">
        <v>12155</v>
      </c>
      <c r="J459" s="22" t="s">
        <v>12156</v>
      </c>
    </row>
    <row r="460" spans="1:10" ht="21">
      <c r="A460" s="26"/>
      <c r="B460" s="21"/>
      <c r="C460" s="2" t="s">
        <v>1261</v>
      </c>
      <c r="D460" s="2" t="s">
        <v>1262</v>
      </c>
      <c r="E460" s="163" t="s">
        <v>2640</v>
      </c>
      <c r="F460" s="3" t="s">
        <v>6130</v>
      </c>
      <c r="G460" s="3" t="s">
        <v>10996</v>
      </c>
      <c r="H460" s="3" t="s">
        <v>3453</v>
      </c>
      <c r="I460" s="3" t="s">
        <v>12157</v>
      </c>
      <c r="J460" s="22" t="s">
        <v>12158</v>
      </c>
    </row>
    <row r="461" spans="1:10" ht="21">
      <c r="A461" s="26"/>
      <c r="B461" s="21" t="s">
        <v>1263</v>
      </c>
      <c r="C461" s="2" t="s">
        <v>1264</v>
      </c>
      <c r="D461" s="2" t="s">
        <v>1265</v>
      </c>
      <c r="E461" s="163" t="s">
        <v>2640</v>
      </c>
      <c r="F461" s="3" t="s">
        <v>12159</v>
      </c>
      <c r="G461" s="3" t="s">
        <v>12160</v>
      </c>
      <c r="H461" s="3" t="s">
        <v>3453</v>
      </c>
      <c r="I461" s="3" t="s">
        <v>12161</v>
      </c>
      <c r="J461" s="22" t="s">
        <v>12162</v>
      </c>
    </row>
    <row r="462" spans="1:10" ht="21">
      <c r="A462" s="26"/>
      <c r="B462" s="21"/>
      <c r="C462" s="2" t="s">
        <v>1266</v>
      </c>
      <c r="D462" s="2" t="s">
        <v>1267</v>
      </c>
      <c r="E462" s="163" t="s">
        <v>2640</v>
      </c>
      <c r="F462" s="3" t="s">
        <v>12163</v>
      </c>
      <c r="G462" s="3" t="s">
        <v>12164</v>
      </c>
      <c r="H462" s="3" t="s">
        <v>3453</v>
      </c>
      <c r="I462" s="3" t="s">
        <v>12165</v>
      </c>
      <c r="J462" s="22" t="s">
        <v>12166</v>
      </c>
    </row>
    <row r="463" spans="1:10" ht="21">
      <c r="A463" s="26"/>
      <c r="B463" s="21"/>
      <c r="C463" s="2" t="s">
        <v>1268</v>
      </c>
      <c r="D463" s="2" t="s">
        <v>1269</v>
      </c>
      <c r="E463" s="163" t="s">
        <v>2640</v>
      </c>
      <c r="F463" s="3" t="s">
        <v>12167</v>
      </c>
      <c r="G463" s="3" t="s">
        <v>12168</v>
      </c>
      <c r="H463" s="3" t="s">
        <v>3459</v>
      </c>
      <c r="I463" s="3" t="s">
        <v>12169</v>
      </c>
      <c r="J463" s="22" t="s">
        <v>12170</v>
      </c>
    </row>
    <row r="464" spans="1:10" ht="21">
      <c r="A464" s="26"/>
      <c r="B464" s="21"/>
      <c r="C464" s="2" t="s">
        <v>1270</v>
      </c>
      <c r="D464" s="2" t="s">
        <v>1271</v>
      </c>
      <c r="E464" s="163" t="s">
        <v>2640</v>
      </c>
      <c r="F464" s="3" t="s">
        <v>12171</v>
      </c>
      <c r="G464" s="3" t="s">
        <v>12172</v>
      </c>
      <c r="H464" s="3" t="s">
        <v>3453</v>
      </c>
      <c r="I464" s="3" t="s">
        <v>12173</v>
      </c>
      <c r="J464" s="22" t="s">
        <v>12174</v>
      </c>
    </row>
    <row r="465" spans="1:10" ht="21">
      <c r="A465" s="26"/>
      <c r="B465" s="21"/>
      <c r="C465" s="2" t="s">
        <v>1272</v>
      </c>
      <c r="D465" s="2" t="s">
        <v>1273</v>
      </c>
      <c r="E465" s="163" t="s">
        <v>2640</v>
      </c>
      <c r="F465" s="3" t="s">
        <v>12175</v>
      </c>
      <c r="G465" s="3" t="s">
        <v>12176</v>
      </c>
      <c r="H465" s="3" t="s">
        <v>3453</v>
      </c>
      <c r="I465" s="22" t="s">
        <v>12177</v>
      </c>
      <c r="J465" s="23" t="s">
        <v>12178</v>
      </c>
    </row>
    <row r="466" spans="1:10" ht="21">
      <c r="A466" s="26"/>
      <c r="B466" s="21" t="s">
        <v>1274</v>
      </c>
      <c r="C466" s="2" t="s">
        <v>1275</v>
      </c>
      <c r="D466" s="2" t="s">
        <v>1276</v>
      </c>
      <c r="E466" s="163" t="s">
        <v>2640</v>
      </c>
      <c r="F466" s="3" t="s">
        <v>12179</v>
      </c>
      <c r="G466" s="3" t="s">
        <v>12180</v>
      </c>
      <c r="H466" s="3" t="s">
        <v>3459</v>
      </c>
      <c r="I466" s="22" t="s">
        <v>12181</v>
      </c>
      <c r="J466" s="23" t="s">
        <v>12182</v>
      </c>
    </row>
    <row r="467" spans="1:10" ht="21">
      <c r="A467" s="26"/>
      <c r="B467" s="21"/>
      <c r="C467" s="2" t="s">
        <v>1277</v>
      </c>
      <c r="D467" s="2" t="s">
        <v>1278</v>
      </c>
      <c r="E467" s="163" t="s">
        <v>2640</v>
      </c>
      <c r="F467" s="3" t="s">
        <v>12183</v>
      </c>
      <c r="G467" s="3" t="s">
        <v>12184</v>
      </c>
      <c r="H467" s="3" t="s">
        <v>3459</v>
      </c>
      <c r="I467" s="22" t="s">
        <v>12185</v>
      </c>
      <c r="J467" s="23" t="s">
        <v>12186</v>
      </c>
    </row>
    <row r="468" spans="1:10" ht="21">
      <c r="A468" s="26"/>
      <c r="B468" s="21"/>
      <c r="C468" s="2" t="s">
        <v>1279</v>
      </c>
      <c r="D468" s="2" t="s">
        <v>1280</v>
      </c>
      <c r="E468" s="163" t="s">
        <v>2640</v>
      </c>
      <c r="F468" s="3" t="s">
        <v>11706</v>
      </c>
      <c r="G468" s="3" t="s">
        <v>12187</v>
      </c>
      <c r="H468" s="3" t="s">
        <v>3459</v>
      </c>
      <c r="I468" s="22" t="s">
        <v>12188</v>
      </c>
      <c r="J468" s="23" t="s">
        <v>12189</v>
      </c>
    </row>
    <row r="469" spans="1:10" ht="21">
      <c r="A469" s="26"/>
      <c r="B469" s="21"/>
      <c r="C469" s="2" t="s">
        <v>1281</v>
      </c>
      <c r="D469" s="2" t="s">
        <v>1282</v>
      </c>
      <c r="E469" s="163" t="s">
        <v>2639</v>
      </c>
      <c r="F469" s="3" t="s">
        <v>12190</v>
      </c>
      <c r="G469" s="3" t="s">
        <v>12191</v>
      </c>
      <c r="H469" s="3" t="s">
        <v>3581</v>
      </c>
      <c r="I469" s="22" t="s">
        <v>12192</v>
      </c>
      <c r="J469" s="23" t="s">
        <v>12193</v>
      </c>
    </row>
    <row r="470" spans="1:10" ht="21">
      <c r="A470" s="26"/>
      <c r="B470" s="21"/>
      <c r="C470" s="2" t="s">
        <v>1283</v>
      </c>
      <c r="D470" s="2" t="s">
        <v>1284</v>
      </c>
      <c r="E470" s="163" t="s">
        <v>2639</v>
      </c>
      <c r="F470" s="3" t="s">
        <v>12194</v>
      </c>
      <c r="G470" s="3" t="s">
        <v>12195</v>
      </c>
      <c r="H470" s="3" t="s">
        <v>3459</v>
      </c>
      <c r="I470" s="22" t="s">
        <v>12196</v>
      </c>
      <c r="J470" s="23" t="s">
        <v>12197</v>
      </c>
    </row>
    <row r="471" spans="1:10" ht="21">
      <c r="A471" s="26"/>
      <c r="B471" s="21" t="s">
        <v>1285</v>
      </c>
      <c r="C471" s="2" t="s">
        <v>1233</v>
      </c>
      <c r="D471" s="2" t="s">
        <v>1286</v>
      </c>
      <c r="E471" s="163" t="s">
        <v>2639</v>
      </c>
      <c r="F471" s="3" t="s">
        <v>12198</v>
      </c>
      <c r="G471" s="3" t="s">
        <v>12199</v>
      </c>
      <c r="H471" s="3" t="s">
        <v>3459</v>
      </c>
      <c r="I471" s="22" t="s">
        <v>12200</v>
      </c>
      <c r="J471" s="23" t="s">
        <v>12201</v>
      </c>
    </row>
    <row r="472" spans="1:10" ht="21">
      <c r="A472" s="26"/>
      <c r="B472" s="21"/>
      <c r="C472" s="2" t="s">
        <v>1287</v>
      </c>
      <c r="D472" s="2" t="s">
        <v>1288</v>
      </c>
      <c r="E472" s="163" t="s">
        <v>2641</v>
      </c>
      <c r="F472" s="3" t="s">
        <v>12202</v>
      </c>
      <c r="G472" s="3" t="s">
        <v>12203</v>
      </c>
      <c r="H472" s="3" t="s">
        <v>3453</v>
      </c>
      <c r="I472" s="22" t="s">
        <v>12204</v>
      </c>
      <c r="J472" s="23" t="s">
        <v>12205</v>
      </c>
    </row>
    <row r="473" spans="1:10" ht="21">
      <c r="A473" s="26"/>
      <c r="B473" s="21"/>
      <c r="C473" s="2" t="s">
        <v>1289</v>
      </c>
      <c r="D473" s="2" t="s">
        <v>1290</v>
      </c>
      <c r="E473" s="163" t="s">
        <v>2641</v>
      </c>
      <c r="F473" s="3" t="s">
        <v>12206</v>
      </c>
      <c r="G473" s="3" t="s">
        <v>12207</v>
      </c>
      <c r="H473" s="3" t="s">
        <v>3459</v>
      </c>
      <c r="I473" s="22" t="s">
        <v>12208</v>
      </c>
      <c r="J473" s="23" t="s">
        <v>12209</v>
      </c>
    </row>
    <row r="474" spans="1:10" ht="21">
      <c r="A474" s="26"/>
      <c r="B474" s="21"/>
      <c r="C474" s="2" t="s">
        <v>1291</v>
      </c>
      <c r="D474" s="2" t="s">
        <v>1292</v>
      </c>
      <c r="E474" s="163" t="s">
        <v>2639</v>
      </c>
      <c r="F474" s="3" t="s">
        <v>12210</v>
      </c>
      <c r="G474" s="3" t="s">
        <v>12211</v>
      </c>
      <c r="H474" s="3" t="s">
        <v>3459</v>
      </c>
      <c r="I474" s="22" t="s">
        <v>12212</v>
      </c>
      <c r="J474" s="23" t="s">
        <v>12213</v>
      </c>
    </row>
    <row r="475" spans="1:10" ht="21">
      <c r="A475" s="26"/>
      <c r="B475" s="21"/>
      <c r="C475" s="2" t="s">
        <v>1293</v>
      </c>
      <c r="D475" s="2" t="s">
        <v>1294</v>
      </c>
      <c r="E475" s="163" t="s">
        <v>2639</v>
      </c>
      <c r="F475" s="3" t="s">
        <v>12214</v>
      </c>
      <c r="G475" s="3" t="s">
        <v>12215</v>
      </c>
      <c r="H475" s="3" t="s">
        <v>3581</v>
      </c>
      <c r="I475" s="22" t="s">
        <v>12216</v>
      </c>
      <c r="J475" s="23" t="s">
        <v>12217</v>
      </c>
    </row>
    <row r="476" spans="1:10" ht="21">
      <c r="A476" s="26"/>
      <c r="B476" s="21" t="s">
        <v>1295</v>
      </c>
      <c r="C476" s="2" t="s">
        <v>1296</v>
      </c>
      <c r="D476" s="2" t="s">
        <v>1297</v>
      </c>
      <c r="E476" s="163" t="s">
        <v>2639</v>
      </c>
      <c r="F476" s="3" t="s">
        <v>12218</v>
      </c>
      <c r="G476" s="3" t="s">
        <v>12219</v>
      </c>
      <c r="H476" s="3" t="s">
        <v>3581</v>
      </c>
      <c r="I476" s="22" t="s">
        <v>12220</v>
      </c>
      <c r="J476" s="23" t="s">
        <v>12221</v>
      </c>
    </row>
    <row r="477" spans="1:10" ht="21">
      <c r="A477" s="26"/>
      <c r="B477" s="21"/>
      <c r="C477" s="2" t="s">
        <v>1298</v>
      </c>
      <c r="D477" s="2" t="s">
        <v>1299</v>
      </c>
      <c r="E477" s="163" t="s">
        <v>2640</v>
      </c>
      <c r="F477" s="3" t="s">
        <v>12222</v>
      </c>
      <c r="G477" s="3" t="s">
        <v>12223</v>
      </c>
      <c r="H477" s="3" t="s">
        <v>3453</v>
      </c>
      <c r="I477" s="22" t="s">
        <v>12224</v>
      </c>
      <c r="J477" s="23" t="s">
        <v>12225</v>
      </c>
    </row>
    <row r="478" spans="1:10" ht="21">
      <c r="A478" s="26"/>
      <c r="B478" s="21"/>
      <c r="C478" s="2" t="s">
        <v>1300</v>
      </c>
      <c r="D478" s="2" t="s">
        <v>1301</v>
      </c>
      <c r="E478" s="163" t="s">
        <v>2639</v>
      </c>
      <c r="F478" s="3" t="s">
        <v>12226</v>
      </c>
      <c r="G478" s="3" t="s">
        <v>12227</v>
      </c>
      <c r="H478" s="3" t="s">
        <v>3581</v>
      </c>
      <c r="I478" s="22" t="s">
        <v>12228</v>
      </c>
      <c r="J478" s="23" t="s">
        <v>12229</v>
      </c>
    </row>
    <row r="479" spans="1:10" ht="21">
      <c r="A479" s="26"/>
      <c r="B479" s="21"/>
      <c r="C479" s="2" t="s">
        <v>1302</v>
      </c>
      <c r="D479" s="2" t="s">
        <v>1303</v>
      </c>
      <c r="E479" s="163" t="s">
        <v>2639</v>
      </c>
      <c r="F479" s="3" t="s">
        <v>11742</v>
      </c>
      <c r="G479" s="3" t="s">
        <v>12230</v>
      </c>
      <c r="H479" s="3" t="s">
        <v>3459</v>
      </c>
      <c r="I479" s="22" t="s">
        <v>12231</v>
      </c>
      <c r="J479" s="23" t="s">
        <v>12232</v>
      </c>
    </row>
    <row r="480" spans="1:10" ht="21">
      <c r="A480" s="26"/>
      <c r="B480" s="21"/>
      <c r="C480" s="2" t="s">
        <v>1304</v>
      </c>
      <c r="D480" s="2" t="s">
        <v>1305</v>
      </c>
      <c r="E480" s="163" t="s">
        <v>2639</v>
      </c>
      <c r="F480" s="3" t="s">
        <v>12233</v>
      </c>
      <c r="G480" s="3" t="s">
        <v>12234</v>
      </c>
      <c r="H480" s="3" t="s">
        <v>3581</v>
      </c>
      <c r="I480" s="22" t="s">
        <v>12235</v>
      </c>
      <c r="J480" s="23" t="s">
        <v>12236</v>
      </c>
    </row>
    <row r="481" spans="1:10" ht="21">
      <c r="A481" s="26"/>
      <c r="B481" s="21" t="s">
        <v>1306</v>
      </c>
      <c r="C481" s="2" t="s">
        <v>1307</v>
      </c>
      <c r="D481" s="2" t="s">
        <v>1308</v>
      </c>
      <c r="E481" s="163" t="s">
        <v>2640</v>
      </c>
      <c r="F481" s="3" t="s">
        <v>12237</v>
      </c>
      <c r="G481" s="3" t="s">
        <v>12238</v>
      </c>
      <c r="H481" s="3" t="s">
        <v>3459</v>
      </c>
      <c r="I481" s="22" t="s">
        <v>12239</v>
      </c>
      <c r="J481" s="23" t="s">
        <v>12240</v>
      </c>
    </row>
    <row r="482" spans="1:10" ht="21">
      <c r="A482" s="26"/>
      <c r="B482" s="21"/>
      <c r="C482" s="2" t="s">
        <v>1309</v>
      </c>
      <c r="D482" s="2" t="s">
        <v>1310</v>
      </c>
      <c r="E482" s="163" t="s">
        <v>2640</v>
      </c>
      <c r="F482" s="3" t="s">
        <v>12241</v>
      </c>
      <c r="G482" s="3" t="s">
        <v>12242</v>
      </c>
      <c r="H482" s="3" t="s">
        <v>3459</v>
      </c>
      <c r="I482" s="22" t="s">
        <v>12243</v>
      </c>
      <c r="J482" s="23" t="s">
        <v>12244</v>
      </c>
    </row>
    <row r="483" spans="1:10" ht="21">
      <c r="A483" s="26"/>
      <c r="B483" s="21"/>
      <c r="C483" s="2" t="s">
        <v>1311</v>
      </c>
      <c r="D483" s="2" t="s">
        <v>1312</v>
      </c>
      <c r="E483" s="163" t="s">
        <v>2639</v>
      </c>
      <c r="F483" s="3" t="s">
        <v>12245</v>
      </c>
      <c r="G483" s="3" t="s">
        <v>12246</v>
      </c>
      <c r="H483" s="3" t="s">
        <v>3581</v>
      </c>
      <c r="I483" s="22" t="s">
        <v>12247</v>
      </c>
      <c r="J483" s="23" t="s">
        <v>12248</v>
      </c>
    </row>
    <row r="484" spans="1:10" ht="21">
      <c r="A484" s="26"/>
      <c r="B484" s="21"/>
      <c r="C484" s="2" t="s">
        <v>1313</v>
      </c>
      <c r="D484" s="2" t="s">
        <v>1314</v>
      </c>
      <c r="E484" s="163" t="s">
        <v>2639</v>
      </c>
      <c r="F484" s="3" t="s">
        <v>12249</v>
      </c>
      <c r="G484" s="3" t="s">
        <v>12250</v>
      </c>
      <c r="H484" s="3" t="s">
        <v>3581</v>
      </c>
      <c r="I484" s="22" t="s">
        <v>12251</v>
      </c>
      <c r="J484" s="23" t="s">
        <v>12252</v>
      </c>
    </row>
    <row r="485" spans="1:10" ht="21">
      <c r="A485" s="26"/>
      <c r="B485" s="21"/>
      <c r="C485" s="2" t="s">
        <v>1315</v>
      </c>
      <c r="D485" s="2" t="s">
        <v>1316</v>
      </c>
      <c r="E485" s="163" t="s">
        <v>2641</v>
      </c>
      <c r="F485" s="3" t="s">
        <v>12253</v>
      </c>
      <c r="G485" s="3" t="s">
        <v>12254</v>
      </c>
      <c r="H485" s="3" t="s">
        <v>3459</v>
      </c>
      <c r="I485" s="22" t="s">
        <v>12255</v>
      </c>
      <c r="J485" s="23" t="s">
        <v>12256</v>
      </c>
    </row>
    <row r="486" spans="1:10" ht="21">
      <c r="A486" s="26"/>
      <c r="B486" s="21" t="s">
        <v>1317</v>
      </c>
      <c r="C486" s="2" t="s">
        <v>1318</v>
      </c>
      <c r="D486" s="2" t="s">
        <v>1319</v>
      </c>
      <c r="E486" s="163" t="s">
        <v>2641</v>
      </c>
      <c r="F486" s="3" t="s">
        <v>12257</v>
      </c>
      <c r="G486" s="3" t="s">
        <v>12258</v>
      </c>
      <c r="H486" s="3" t="s">
        <v>3459</v>
      </c>
      <c r="I486" s="22" t="s">
        <v>12259</v>
      </c>
      <c r="J486" s="23" t="s">
        <v>12260</v>
      </c>
    </row>
    <row r="487" spans="1:10" ht="21">
      <c r="A487" s="26"/>
      <c r="B487" s="21"/>
      <c r="C487" s="2" t="s">
        <v>1320</v>
      </c>
      <c r="D487" s="2" t="s">
        <v>1321</v>
      </c>
      <c r="E487" s="163" t="s">
        <v>2641</v>
      </c>
      <c r="F487" s="3" t="s">
        <v>12261</v>
      </c>
      <c r="G487" s="3" t="s">
        <v>12262</v>
      </c>
      <c r="H487" s="3" t="s">
        <v>3453</v>
      </c>
      <c r="I487" s="22" t="s">
        <v>12263</v>
      </c>
      <c r="J487" s="23" t="s">
        <v>12264</v>
      </c>
    </row>
    <row r="488" spans="1:10" ht="21">
      <c r="A488" s="26"/>
      <c r="B488" s="21"/>
      <c r="C488" s="2" t="s">
        <v>1322</v>
      </c>
      <c r="D488" s="2" t="s">
        <v>1323</v>
      </c>
      <c r="E488" s="163" t="s">
        <v>2641</v>
      </c>
      <c r="F488" s="3" t="s">
        <v>12265</v>
      </c>
      <c r="G488" s="3" t="s">
        <v>12266</v>
      </c>
      <c r="H488" s="3" t="s">
        <v>3459</v>
      </c>
      <c r="I488" s="22" t="s">
        <v>12267</v>
      </c>
      <c r="J488" s="23" t="s">
        <v>12268</v>
      </c>
    </row>
    <row r="489" spans="1:10" ht="21">
      <c r="A489" s="26"/>
      <c r="B489" s="21"/>
      <c r="C489" s="2" t="s">
        <v>1324</v>
      </c>
      <c r="D489" s="2" t="s">
        <v>1325</v>
      </c>
      <c r="E489" s="163" t="s">
        <v>2639</v>
      </c>
      <c r="F489" s="3" t="s">
        <v>12269</v>
      </c>
      <c r="G489" s="3" t="s">
        <v>12270</v>
      </c>
      <c r="H489" s="3" t="s">
        <v>3459</v>
      </c>
      <c r="I489" s="22" t="s">
        <v>12271</v>
      </c>
      <c r="J489" s="23" t="s">
        <v>12272</v>
      </c>
    </row>
    <row r="490" spans="1:10" ht="21">
      <c r="A490" s="26"/>
      <c r="B490" s="21"/>
      <c r="C490" s="2" t="s">
        <v>1326</v>
      </c>
      <c r="D490" s="2" t="s">
        <v>1327</v>
      </c>
      <c r="E490" s="163" t="s">
        <v>2639</v>
      </c>
      <c r="F490" s="3" t="s">
        <v>12273</v>
      </c>
      <c r="G490" s="3" t="s">
        <v>12274</v>
      </c>
      <c r="H490" s="3" t="s">
        <v>3581</v>
      </c>
      <c r="I490" s="22" t="s">
        <v>12275</v>
      </c>
      <c r="J490" s="23" t="s">
        <v>12276</v>
      </c>
    </row>
    <row r="491" spans="1:10" ht="21">
      <c r="A491" s="26"/>
      <c r="B491" s="21" t="s">
        <v>1328</v>
      </c>
      <c r="C491" s="2" t="s">
        <v>1329</v>
      </c>
      <c r="D491" s="2" t="s">
        <v>1330</v>
      </c>
      <c r="E491" s="163" t="s">
        <v>2639</v>
      </c>
      <c r="F491" s="3" t="s">
        <v>12277</v>
      </c>
      <c r="G491" s="3" t="s">
        <v>12278</v>
      </c>
      <c r="H491" s="3" t="s">
        <v>3459</v>
      </c>
      <c r="I491" s="22" t="s">
        <v>12279</v>
      </c>
      <c r="J491" s="23" t="s">
        <v>12280</v>
      </c>
    </row>
    <row r="492" spans="1:10" ht="21">
      <c r="A492" s="26"/>
      <c r="B492" s="21"/>
      <c r="C492" s="2" t="s">
        <v>1331</v>
      </c>
      <c r="D492" s="2" t="s">
        <v>1332</v>
      </c>
      <c r="E492" s="163" t="s">
        <v>2639</v>
      </c>
      <c r="F492" s="3" t="s">
        <v>12281</v>
      </c>
      <c r="G492" s="3" t="s">
        <v>12282</v>
      </c>
      <c r="H492" s="3" t="s">
        <v>3459</v>
      </c>
      <c r="I492" s="22" t="s">
        <v>12283</v>
      </c>
      <c r="J492" s="23" t="s">
        <v>12284</v>
      </c>
    </row>
    <row r="493" spans="1:10" ht="21">
      <c r="A493" s="26"/>
      <c r="B493" s="21"/>
      <c r="C493" s="2" t="s">
        <v>1248</v>
      </c>
      <c r="D493" s="2" t="s">
        <v>1333</v>
      </c>
      <c r="E493" s="163" t="s">
        <v>2639</v>
      </c>
      <c r="F493" s="3" t="s">
        <v>12285</v>
      </c>
      <c r="G493" s="3" t="s">
        <v>12286</v>
      </c>
      <c r="H493" s="3" t="s">
        <v>3459</v>
      </c>
      <c r="I493" s="22" t="s">
        <v>12287</v>
      </c>
      <c r="J493" s="23" t="s">
        <v>12288</v>
      </c>
    </row>
    <row r="494" spans="1:10" ht="21">
      <c r="A494" s="26"/>
      <c r="B494" s="21"/>
      <c r="C494" s="2" t="s">
        <v>1334</v>
      </c>
      <c r="D494" s="2" t="s">
        <v>1335</v>
      </c>
      <c r="E494" s="163" t="s">
        <v>2640</v>
      </c>
      <c r="F494" s="3" t="s">
        <v>12289</v>
      </c>
      <c r="G494" s="3" t="s">
        <v>12290</v>
      </c>
      <c r="H494" s="3" t="s">
        <v>3453</v>
      </c>
      <c r="I494" s="22" t="s">
        <v>12291</v>
      </c>
      <c r="J494" s="23" t="s">
        <v>12292</v>
      </c>
    </row>
    <row r="495" spans="1:10" ht="21">
      <c r="A495" s="26"/>
      <c r="B495" s="21"/>
      <c r="C495" s="2" t="s">
        <v>1252</v>
      </c>
      <c r="D495" s="2" t="s">
        <v>1336</v>
      </c>
      <c r="E495" s="163" t="s">
        <v>2639</v>
      </c>
      <c r="F495" s="3" t="s">
        <v>12293</v>
      </c>
      <c r="G495" s="3" t="s">
        <v>12294</v>
      </c>
      <c r="H495" s="3" t="s">
        <v>3581</v>
      </c>
      <c r="I495" s="22" t="s">
        <v>12295</v>
      </c>
      <c r="J495" s="23" t="s">
        <v>12296</v>
      </c>
    </row>
    <row r="496" spans="1:10" ht="21">
      <c r="A496" s="26"/>
      <c r="B496" s="21" t="s">
        <v>1337</v>
      </c>
      <c r="C496" s="2" t="s">
        <v>1338</v>
      </c>
      <c r="D496" s="2" t="s">
        <v>1339</v>
      </c>
      <c r="E496" s="163" t="s">
        <v>2639</v>
      </c>
      <c r="F496" s="3" t="s">
        <v>12297</v>
      </c>
      <c r="G496" s="3" t="s">
        <v>12298</v>
      </c>
      <c r="H496" s="3" t="s">
        <v>3459</v>
      </c>
      <c r="I496" s="22" t="s">
        <v>12299</v>
      </c>
      <c r="J496" s="23" t="s">
        <v>12300</v>
      </c>
    </row>
    <row r="497" spans="1:10" ht="21">
      <c r="A497" s="26"/>
      <c r="B497" s="21"/>
      <c r="C497" s="2" t="s">
        <v>1340</v>
      </c>
      <c r="D497" s="2" t="s">
        <v>1341</v>
      </c>
      <c r="E497" s="163" t="s">
        <v>2639</v>
      </c>
      <c r="F497" s="3" t="s">
        <v>12301</v>
      </c>
      <c r="G497" s="3" t="s">
        <v>12302</v>
      </c>
      <c r="H497" s="3" t="s">
        <v>3453</v>
      </c>
      <c r="I497" s="22" t="s">
        <v>12303</v>
      </c>
      <c r="J497" s="23" t="s">
        <v>12304</v>
      </c>
    </row>
    <row r="498" spans="1:10" ht="21">
      <c r="A498" s="26"/>
      <c r="B498" s="21"/>
      <c r="C498" s="2" t="s">
        <v>1342</v>
      </c>
      <c r="D498" s="2" t="s">
        <v>1343</v>
      </c>
      <c r="E498" s="163" t="s">
        <v>2640</v>
      </c>
      <c r="F498" s="3" t="s">
        <v>12305</v>
      </c>
      <c r="G498" s="3" t="s">
        <v>12306</v>
      </c>
      <c r="H498" s="3" t="s">
        <v>3581</v>
      </c>
      <c r="I498" s="22" t="s">
        <v>12307</v>
      </c>
      <c r="J498" s="23" t="s">
        <v>12308</v>
      </c>
    </row>
    <row r="499" spans="1:10" ht="21">
      <c r="A499" s="26"/>
      <c r="B499" s="21"/>
      <c r="C499" s="2" t="s">
        <v>1344</v>
      </c>
      <c r="D499" s="2" t="s">
        <v>1345</v>
      </c>
      <c r="E499" s="163" t="s">
        <v>2640</v>
      </c>
      <c r="F499" s="3" t="s">
        <v>12309</v>
      </c>
      <c r="G499" s="3" t="s">
        <v>12310</v>
      </c>
      <c r="H499" s="3" t="s">
        <v>3453</v>
      </c>
      <c r="I499" s="22" t="s">
        <v>12311</v>
      </c>
      <c r="J499" s="23" t="s">
        <v>12312</v>
      </c>
    </row>
    <row r="500" spans="1:10" ht="21">
      <c r="A500" s="26"/>
      <c r="B500" s="21"/>
      <c r="C500" s="2" t="s">
        <v>1346</v>
      </c>
      <c r="D500" s="2" t="s">
        <v>1347</v>
      </c>
      <c r="E500" s="163" t="s">
        <v>2639</v>
      </c>
      <c r="F500" s="3" t="s">
        <v>12313</v>
      </c>
      <c r="G500" s="3" t="s">
        <v>12314</v>
      </c>
      <c r="H500" s="3" t="s">
        <v>3581</v>
      </c>
      <c r="I500" s="22" t="s">
        <v>12315</v>
      </c>
      <c r="J500" s="23" t="s">
        <v>12316</v>
      </c>
    </row>
    <row r="501" spans="1:10" ht="21">
      <c r="A501" s="26"/>
      <c r="B501" s="21" t="s">
        <v>1348</v>
      </c>
      <c r="C501" s="2" t="s">
        <v>1349</v>
      </c>
      <c r="D501" s="2" t="s">
        <v>1350</v>
      </c>
      <c r="E501" s="163" t="s">
        <v>2639</v>
      </c>
      <c r="F501" s="3" t="s">
        <v>12317</v>
      </c>
      <c r="G501" s="3" t="s">
        <v>12318</v>
      </c>
      <c r="H501" s="3" t="s">
        <v>3581</v>
      </c>
      <c r="I501" s="22" t="s">
        <v>12319</v>
      </c>
      <c r="J501" s="23" t="s">
        <v>12320</v>
      </c>
    </row>
    <row r="502" spans="1:10" ht="21">
      <c r="A502" s="26"/>
      <c r="B502" s="21"/>
      <c r="C502" s="2" t="s">
        <v>1351</v>
      </c>
      <c r="D502" s="2" t="s">
        <v>1352</v>
      </c>
      <c r="E502" s="163" t="s">
        <v>2639</v>
      </c>
      <c r="F502" s="3" t="s">
        <v>12321</v>
      </c>
      <c r="G502" s="3" t="s">
        <v>12322</v>
      </c>
      <c r="H502" s="3" t="s">
        <v>3459</v>
      </c>
      <c r="I502" s="22" t="s">
        <v>12323</v>
      </c>
      <c r="J502" s="23" t="s">
        <v>12324</v>
      </c>
    </row>
    <row r="503" spans="1:10" ht="21">
      <c r="A503" s="26"/>
      <c r="B503" s="21"/>
      <c r="C503" s="2" t="s">
        <v>1353</v>
      </c>
      <c r="D503" s="2" t="s">
        <v>1354</v>
      </c>
      <c r="E503" s="163" t="s">
        <v>2639</v>
      </c>
      <c r="F503" s="3" t="s">
        <v>12325</v>
      </c>
      <c r="G503" s="3" t="s">
        <v>12326</v>
      </c>
      <c r="H503" s="3" t="s">
        <v>3459</v>
      </c>
      <c r="I503" s="22" t="s">
        <v>12327</v>
      </c>
      <c r="J503" s="23" t="s">
        <v>12328</v>
      </c>
    </row>
    <row r="504" spans="1:10" ht="21">
      <c r="A504" s="26"/>
      <c r="B504" s="21"/>
      <c r="C504" s="2" t="s">
        <v>1239</v>
      </c>
      <c r="D504" s="2" t="s">
        <v>1355</v>
      </c>
      <c r="E504" s="163" t="s">
        <v>2639</v>
      </c>
      <c r="F504" s="3" t="s">
        <v>12329</v>
      </c>
      <c r="G504" s="3" t="s">
        <v>12330</v>
      </c>
      <c r="H504" s="3" t="s">
        <v>3453</v>
      </c>
      <c r="I504" s="22" t="s">
        <v>12331</v>
      </c>
      <c r="J504" s="23" t="s">
        <v>12332</v>
      </c>
    </row>
    <row r="505" spans="1:10" ht="21">
      <c r="A505" s="26"/>
      <c r="B505" s="21"/>
      <c r="C505" s="2" t="s">
        <v>1356</v>
      </c>
      <c r="D505" s="2" t="s">
        <v>1357</v>
      </c>
      <c r="E505" s="163" t="s">
        <v>2639</v>
      </c>
      <c r="F505" s="3" t="s">
        <v>12333</v>
      </c>
      <c r="G505" s="3" t="s">
        <v>12334</v>
      </c>
      <c r="H505" s="3" t="s">
        <v>3459</v>
      </c>
      <c r="I505" s="22" t="s">
        <v>12335</v>
      </c>
      <c r="J505" s="23" t="s">
        <v>12336</v>
      </c>
    </row>
    <row r="506" spans="1:10" ht="21">
      <c r="A506" s="26"/>
      <c r="B506" s="21" t="s">
        <v>1358</v>
      </c>
      <c r="C506" s="2" t="s">
        <v>1359</v>
      </c>
      <c r="D506" s="2" t="s">
        <v>1360</v>
      </c>
      <c r="E506" s="163" t="s">
        <v>2639</v>
      </c>
      <c r="F506" s="3" t="s">
        <v>12337</v>
      </c>
      <c r="G506" s="3" t="s">
        <v>12338</v>
      </c>
      <c r="H506" s="3" t="s">
        <v>3459</v>
      </c>
      <c r="I506" s="22" t="s">
        <v>12339</v>
      </c>
      <c r="J506" s="23" t="s">
        <v>12340</v>
      </c>
    </row>
    <row r="507" spans="1:10" ht="21">
      <c r="A507" s="26"/>
      <c r="B507" s="21"/>
      <c r="C507" s="2" t="s">
        <v>1361</v>
      </c>
      <c r="D507" s="2" t="s">
        <v>1362</v>
      </c>
      <c r="E507" s="163" t="s">
        <v>2639</v>
      </c>
      <c r="F507" s="3" t="s">
        <v>12341</v>
      </c>
      <c r="G507" s="3" t="s">
        <v>12342</v>
      </c>
      <c r="H507" s="3" t="s">
        <v>3459</v>
      </c>
      <c r="I507" s="22" t="s">
        <v>12343</v>
      </c>
      <c r="J507" s="23" t="s">
        <v>12344</v>
      </c>
    </row>
    <row r="508" spans="1:10" ht="21">
      <c r="A508" s="26"/>
      <c r="B508" s="21"/>
      <c r="C508" s="2" t="s">
        <v>1363</v>
      </c>
      <c r="D508" s="2" t="s">
        <v>1364</v>
      </c>
      <c r="E508" s="163" t="s">
        <v>2640</v>
      </c>
      <c r="F508" s="3" t="s">
        <v>12345</v>
      </c>
      <c r="G508" s="3" t="s">
        <v>12346</v>
      </c>
      <c r="H508" s="3" t="s">
        <v>3581</v>
      </c>
      <c r="I508" s="22" t="s">
        <v>12347</v>
      </c>
      <c r="J508" s="23" t="s">
        <v>12348</v>
      </c>
    </row>
    <row r="509" spans="1:10" ht="21">
      <c r="A509" s="26"/>
      <c r="B509" s="21"/>
      <c r="C509" s="2" t="s">
        <v>1365</v>
      </c>
      <c r="D509" s="2" t="s">
        <v>1366</v>
      </c>
      <c r="E509" s="163" t="s">
        <v>2639</v>
      </c>
      <c r="F509" s="3" t="s">
        <v>12349</v>
      </c>
      <c r="G509" s="3" t="s">
        <v>12350</v>
      </c>
      <c r="H509" s="3" t="s">
        <v>3453</v>
      </c>
      <c r="I509" s="22" t="s">
        <v>12351</v>
      </c>
      <c r="J509" s="23" t="s">
        <v>12352</v>
      </c>
    </row>
    <row r="510" spans="1:10" ht="21">
      <c r="A510" s="26"/>
      <c r="B510" s="21"/>
      <c r="C510" s="2" t="s">
        <v>1367</v>
      </c>
      <c r="D510" s="2" t="s">
        <v>1368</v>
      </c>
      <c r="E510" s="163" t="s">
        <v>2639</v>
      </c>
      <c r="F510" s="3" t="s">
        <v>12353</v>
      </c>
      <c r="G510" s="3" t="s">
        <v>12354</v>
      </c>
      <c r="H510" s="3" t="s">
        <v>3581</v>
      </c>
      <c r="I510" s="22" t="s">
        <v>12355</v>
      </c>
      <c r="J510" s="23" t="s">
        <v>12356</v>
      </c>
    </row>
  </sheetData>
  <mergeCells count="107">
    <mergeCell ref="B41:B45"/>
    <mergeCell ref="B46:B50"/>
    <mergeCell ref="B51:B55"/>
    <mergeCell ref="A56:A195"/>
    <mergeCell ref="B56:B60"/>
    <mergeCell ref="B61:B65"/>
    <mergeCell ref="B66:B70"/>
    <mergeCell ref="B71:B75"/>
    <mergeCell ref="B76:B80"/>
    <mergeCell ref="B81:B85"/>
    <mergeCell ref="A6:A55"/>
    <mergeCell ref="B6:B10"/>
    <mergeCell ref="B11:B15"/>
    <mergeCell ref="B16:B20"/>
    <mergeCell ref="B21:B25"/>
    <mergeCell ref="B26:B30"/>
    <mergeCell ref="B31:B35"/>
    <mergeCell ref="B36:B40"/>
    <mergeCell ref="B141:B145"/>
    <mergeCell ref="B146:B150"/>
    <mergeCell ref="B151:B155"/>
    <mergeCell ref="B156:B160"/>
    <mergeCell ref="B161:B165"/>
    <mergeCell ref="B166:B170"/>
    <mergeCell ref="B311:B315"/>
    <mergeCell ref="B316:B320"/>
    <mergeCell ref="B86:B90"/>
    <mergeCell ref="B91:B95"/>
    <mergeCell ref="B96:B100"/>
    <mergeCell ref="B101:B105"/>
    <mergeCell ref="B106:B110"/>
    <mergeCell ref="B111:B115"/>
    <mergeCell ref="B251:B255"/>
    <mergeCell ref="B256:B260"/>
    <mergeCell ref="B261:B265"/>
    <mergeCell ref="B246:B250"/>
    <mergeCell ref="B171:B175"/>
    <mergeCell ref="B176:B180"/>
    <mergeCell ref="B181:B185"/>
    <mergeCell ref="B121:B125"/>
    <mergeCell ref="B126:B130"/>
    <mergeCell ref="B131:B135"/>
    <mergeCell ref="B136:B140"/>
    <mergeCell ref="B116:B120"/>
    <mergeCell ref="B186:B190"/>
    <mergeCell ref="B191:B195"/>
    <mergeCell ref="B266:B270"/>
    <mergeCell ref="B271:B275"/>
    <mergeCell ref="B276:B280"/>
    <mergeCell ref="B396:B400"/>
    <mergeCell ref="B401:B405"/>
    <mergeCell ref="B406:B410"/>
    <mergeCell ref="B411:B415"/>
    <mergeCell ref="A196:A320"/>
    <mergeCell ref="B196:B200"/>
    <mergeCell ref="B201:B205"/>
    <mergeCell ref="B206:B210"/>
    <mergeCell ref="B211:B215"/>
    <mergeCell ref="B216:B220"/>
    <mergeCell ref="B221:B225"/>
    <mergeCell ref="B226:B230"/>
    <mergeCell ref="B286:B290"/>
    <mergeCell ref="B291:B295"/>
    <mergeCell ref="B296:B300"/>
    <mergeCell ref="B301:B305"/>
    <mergeCell ref="B281:B285"/>
    <mergeCell ref="B231:B235"/>
    <mergeCell ref="B236:B240"/>
    <mergeCell ref="B241:B245"/>
    <mergeCell ref="B306:B310"/>
    <mergeCell ref="A321:A350"/>
    <mergeCell ref="B321:B325"/>
    <mergeCell ref="B326:B330"/>
    <mergeCell ref="B331:B335"/>
    <mergeCell ref="B336:B340"/>
    <mergeCell ref="B341:B345"/>
    <mergeCell ref="B346:B350"/>
    <mergeCell ref="A416:A510"/>
    <mergeCell ref="B416:B420"/>
    <mergeCell ref="B421:B425"/>
    <mergeCell ref="B426:B430"/>
    <mergeCell ref="B431:B435"/>
    <mergeCell ref="B436:B440"/>
    <mergeCell ref="A351:A415"/>
    <mergeCell ref="B351:B355"/>
    <mergeCell ref="B356:B360"/>
    <mergeCell ref="B361:B365"/>
    <mergeCell ref="B366:B370"/>
    <mergeCell ref="B371:B375"/>
    <mergeCell ref="B376:B380"/>
    <mergeCell ref="B381:B385"/>
    <mergeCell ref="B386:B390"/>
    <mergeCell ref="B391:B395"/>
    <mergeCell ref="B491:B495"/>
    <mergeCell ref="B496:B500"/>
    <mergeCell ref="B441:B445"/>
    <mergeCell ref="B446:B450"/>
    <mergeCell ref="B451:B455"/>
    <mergeCell ref="B456:B460"/>
    <mergeCell ref="B501:B505"/>
    <mergeCell ref="B506:B510"/>
    <mergeCell ref="B461:B465"/>
    <mergeCell ref="B466:B470"/>
    <mergeCell ref="B471:B475"/>
    <mergeCell ref="B476:B480"/>
    <mergeCell ref="B481:B485"/>
    <mergeCell ref="B486:B490"/>
  </mergeCells>
  <conditionalFormatting sqref="E1:E1048576">
    <cfRule type="cellIs" dxfId="35" priority="13" operator="equal">
      <formula>$E$15</formula>
    </cfRule>
    <cfRule type="cellIs" dxfId="34" priority="14" operator="equal">
      <formula>$E$6</formula>
    </cfRule>
    <cfRule type="cellIs" dxfId="33" priority="15" operator="equal">
      <formula>$E$7</formula>
    </cfRule>
  </conditionalFormatting>
  <dataValidations count="1">
    <dataValidation type="list" allowBlank="1" showInputMessage="1" showErrorMessage="1" sqref="E6:E461 E462:E510">
      <formula1>"OUI,NON,PAS"</formula1>
    </dataValidation>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372"/>
  <sheetViews>
    <sheetView topLeftCell="D328" zoomScale="86" workbookViewId="0">
      <selection activeCell="H32" sqref="C2:L372"/>
    </sheetView>
  </sheetViews>
  <sheetFormatPr baseColWidth="10" defaultRowHeight="15"/>
  <cols>
    <col min="2" max="2" width="21.140625" customWidth="1"/>
    <col min="3" max="3" width="23" style="6" customWidth="1"/>
    <col min="4" max="4" width="44.85546875" style="9" customWidth="1"/>
    <col min="5" max="5" width="21" customWidth="1"/>
    <col min="6" max="6" width="22.7109375" customWidth="1"/>
    <col min="7" max="7" width="12.28515625" style="55" customWidth="1"/>
    <col min="8" max="8" width="44.28515625" customWidth="1"/>
    <col min="9" max="9" width="49.85546875" customWidth="1"/>
    <col min="10" max="10" width="13.140625" style="13" customWidth="1"/>
    <col min="11" max="11" width="46.28515625" customWidth="1"/>
    <col min="12" max="12" width="86.28515625" customWidth="1"/>
  </cols>
  <sheetData>
    <row r="2" spans="2:12">
      <c r="C2" s="63" t="s">
        <v>347</v>
      </c>
      <c r="D2" s="90" t="s">
        <v>1388</v>
      </c>
      <c r="E2" s="91" t="s">
        <v>2194</v>
      </c>
      <c r="F2" s="91" t="s">
        <v>2195</v>
      </c>
      <c r="G2" s="92" t="s">
        <v>5135</v>
      </c>
      <c r="H2" s="91" t="s">
        <v>1369</v>
      </c>
      <c r="I2" s="91" t="s">
        <v>2196</v>
      </c>
      <c r="J2" s="93" t="s">
        <v>2763</v>
      </c>
      <c r="K2" s="91" t="s">
        <v>2197</v>
      </c>
      <c r="L2" s="91" t="s">
        <v>2198</v>
      </c>
    </row>
    <row r="3" spans="2:12" ht="15" customHeight="1">
      <c r="B3" s="6"/>
      <c r="C3" s="94" t="s">
        <v>1370</v>
      </c>
      <c r="D3" s="94" t="s">
        <v>2204</v>
      </c>
      <c r="E3" s="89" t="s">
        <v>5214</v>
      </c>
      <c r="F3" s="89" t="s">
        <v>5215</v>
      </c>
      <c r="G3" s="95" t="s">
        <v>2639</v>
      </c>
      <c r="H3" s="89" t="s">
        <v>5216</v>
      </c>
      <c r="I3" s="89" t="s">
        <v>5217</v>
      </c>
      <c r="J3" s="96" t="s">
        <v>3459</v>
      </c>
      <c r="K3" s="89" t="s">
        <v>5218</v>
      </c>
      <c r="L3" s="89" t="s">
        <v>5219</v>
      </c>
    </row>
    <row r="4" spans="2:12">
      <c r="B4" s="6"/>
      <c r="C4" s="94"/>
      <c r="D4" s="94"/>
      <c r="E4" s="89" t="s">
        <v>5220</v>
      </c>
      <c r="F4" s="89" t="s">
        <v>5221</v>
      </c>
      <c r="G4" s="95" t="s">
        <v>2639</v>
      </c>
      <c r="H4" s="89" t="s">
        <v>5222</v>
      </c>
      <c r="I4" s="89" t="s">
        <v>5223</v>
      </c>
      <c r="J4" s="96" t="s">
        <v>3453</v>
      </c>
      <c r="K4" s="89" t="s">
        <v>2209</v>
      </c>
      <c r="L4" s="89" t="s">
        <v>5224</v>
      </c>
    </row>
    <row r="5" spans="2:12">
      <c r="B5" s="6"/>
      <c r="C5" s="94"/>
      <c r="D5" s="94"/>
      <c r="E5" s="89" t="s">
        <v>5225</v>
      </c>
      <c r="F5" s="89" t="s">
        <v>2200</v>
      </c>
      <c r="G5" s="95" t="s">
        <v>2639</v>
      </c>
      <c r="H5" s="89" t="s">
        <v>2201</v>
      </c>
      <c r="I5" s="89" t="s">
        <v>2202</v>
      </c>
      <c r="J5" s="96" t="s">
        <v>3459</v>
      </c>
      <c r="K5" s="89" t="s">
        <v>5226</v>
      </c>
      <c r="L5" s="89" t="s">
        <v>5227</v>
      </c>
    </row>
    <row r="6" spans="2:12">
      <c r="B6" s="6"/>
      <c r="C6" s="94"/>
      <c r="D6" s="94"/>
      <c r="E6" s="89" t="s">
        <v>5228</v>
      </c>
      <c r="F6" s="89" t="s">
        <v>5229</v>
      </c>
      <c r="G6" s="95" t="s">
        <v>2640</v>
      </c>
      <c r="H6" s="89" t="s">
        <v>5230</v>
      </c>
      <c r="I6" s="89" t="s">
        <v>5231</v>
      </c>
      <c r="J6" s="96" t="s">
        <v>3453</v>
      </c>
      <c r="K6" s="89" t="s">
        <v>5232</v>
      </c>
      <c r="L6" s="89" t="s">
        <v>5233</v>
      </c>
    </row>
    <row r="7" spans="2:12">
      <c r="B7" s="6"/>
      <c r="C7" s="94"/>
      <c r="D7" s="94"/>
      <c r="E7" s="89" t="s">
        <v>5234</v>
      </c>
      <c r="F7" s="89" t="s">
        <v>5235</v>
      </c>
      <c r="G7" s="95" t="s">
        <v>2641</v>
      </c>
      <c r="H7" s="89" t="s">
        <v>5236</v>
      </c>
      <c r="I7" s="89" t="s">
        <v>5237</v>
      </c>
      <c r="J7" s="96" t="s">
        <v>3459</v>
      </c>
      <c r="K7" s="89" t="s">
        <v>5238</v>
      </c>
      <c r="L7" s="89" t="s">
        <v>5239</v>
      </c>
    </row>
    <row r="8" spans="2:12" ht="15" customHeight="1">
      <c r="B8" s="6"/>
      <c r="C8" s="94"/>
      <c r="D8" s="94" t="s">
        <v>2208</v>
      </c>
      <c r="E8" s="89" t="s">
        <v>5240</v>
      </c>
      <c r="F8" s="89" t="s">
        <v>5241</v>
      </c>
      <c r="G8" s="95" t="s">
        <v>2639</v>
      </c>
      <c r="H8" s="89" t="s">
        <v>5242</v>
      </c>
      <c r="I8" s="89" t="s">
        <v>5243</v>
      </c>
      <c r="J8" s="96" t="s">
        <v>3459</v>
      </c>
      <c r="K8" s="89" t="s">
        <v>1996</v>
      </c>
      <c r="L8" s="89" t="s">
        <v>5244</v>
      </c>
    </row>
    <row r="9" spans="2:12">
      <c r="B9" s="6"/>
      <c r="C9" s="94"/>
      <c r="D9" s="94"/>
      <c r="E9" s="89" t="s">
        <v>5245</v>
      </c>
      <c r="F9" s="89" t="s">
        <v>5246</v>
      </c>
      <c r="G9" s="95" t="s">
        <v>2639</v>
      </c>
      <c r="H9" s="89" t="s">
        <v>5247</v>
      </c>
      <c r="I9" s="89" t="s">
        <v>4928</v>
      </c>
      <c r="J9" s="96" t="s">
        <v>3453</v>
      </c>
      <c r="K9" s="89" t="s">
        <v>5248</v>
      </c>
      <c r="L9" s="89" t="s">
        <v>5249</v>
      </c>
    </row>
    <row r="10" spans="2:12">
      <c r="B10" s="6"/>
      <c r="C10" s="94"/>
      <c r="D10" s="94"/>
      <c r="E10" s="89" t="s">
        <v>5250</v>
      </c>
      <c r="F10" s="89" t="s">
        <v>5251</v>
      </c>
      <c r="G10" s="95" t="s">
        <v>2640</v>
      </c>
      <c r="H10" s="89" t="s">
        <v>5230</v>
      </c>
      <c r="I10" s="89" t="s">
        <v>5252</v>
      </c>
      <c r="J10" s="96" t="s">
        <v>3453</v>
      </c>
      <c r="K10" s="89" t="s">
        <v>5253</v>
      </c>
      <c r="L10" s="89" t="s">
        <v>5254</v>
      </c>
    </row>
    <row r="11" spans="2:12">
      <c r="B11" s="6"/>
      <c r="C11" s="94"/>
      <c r="D11" s="94"/>
      <c r="E11" s="89" t="s">
        <v>2856</v>
      </c>
      <c r="F11" s="89" t="s">
        <v>5255</v>
      </c>
      <c r="G11" s="95" t="s">
        <v>2639</v>
      </c>
      <c r="H11" s="89" t="s">
        <v>5256</v>
      </c>
      <c r="I11" s="89" t="s">
        <v>5257</v>
      </c>
      <c r="J11" s="96" t="s">
        <v>3459</v>
      </c>
      <c r="K11" s="89" t="s">
        <v>2217</v>
      </c>
      <c r="L11" s="89" t="s">
        <v>5258</v>
      </c>
    </row>
    <row r="12" spans="2:12">
      <c r="B12" s="6"/>
      <c r="C12" s="94"/>
      <c r="D12" s="94"/>
      <c r="E12" s="89" t="s">
        <v>5259</v>
      </c>
      <c r="F12" s="89" t="s">
        <v>5260</v>
      </c>
      <c r="G12" s="95" t="s">
        <v>2641</v>
      </c>
      <c r="H12" s="89" t="s">
        <v>3634</v>
      </c>
      <c r="I12" s="89" t="s">
        <v>5261</v>
      </c>
      <c r="J12" s="96" t="s">
        <v>3459</v>
      </c>
      <c r="K12" s="89" t="s">
        <v>5262</v>
      </c>
      <c r="L12" s="89" t="s">
        <v>5263</v>
      </c>
    </row>
    <row r="13" spans="2:12" ht="15" customHeight="1">
      <c r="B13" s="6"/>
      <c r="C13" s="94"/>
      <c r="D13" s="94" t="s">
        <v>1385</v>
      </c>
      <c r="E13" s="89" t="s">
        <v>5264</v>
      </c>
      <c r="F13" s="89" t="s">
        <v>5265</v>
      </c>
      <c r="G13" s="95" t="s">
        <v>2639</v>
      </c>
      <c r="H13" s="89" t="s">
        <v>5266</v>
      </c>
      <c r="I13" s="89" t="s">
        <v>5267</v>
      </c>
      <c r="J13" s="96" t="s">
        <v>3453</v>
      </c>
      <c r="K13" s="89" t="s">
        <v>5268</v>
      </c>
      <c r="L13" s="89" t="s">
        <v>5269</v>
      </c>
    </row>
    <row r="14" spans="2:12">
      <c r="B14" s="6"/>
      <c r="C14" s="94"/>
      <c r="D14" s="94"/>
      <c r="E14" s="89" t="s">
        <v>5270</v>
      </c>
      <c r="F14" s="89" t="s">
        <v>5271</v>
      </c>
      <c r="G14" s="95" t="s">
        <v>2639</v>
      </c>
      <c r="H14" s="89" t="s">
        <v>5272</v>
      </c>
      <c r="I14" s="89" t="s">
        <v>5273</v>
      </c>
      <c r="J14" s="96" t="s">
        <v>3459</v>
      </c>
      <c r="K14" s="89" t="s">
        <v>5274</v>
      </c>
      <c r="L14" s="89" t="s">
        <v>5275</v>
      </c>
    </row>
    <row r="15" spans="2:12">
      <c r="B15" s="6"/>
      <c r="C15" s="94"/>
      <c r="D15" s="94"/>
      <c r="E15" s="89" t="s">
        <v>5276</v>
      </c>
      <c r="F15" s="89" t="s">
        <v>5277</v>
      </c>
      <c r="G15" s="95" t="s">
        <v>2640</v>
      </c>
      <c r="H15" s="89" t="s">
        <v>5278</v>
      </c>
      <c r="I15" s="89" t="s">
        <v>5279</v>
      </c>
      <c r="J15" s="96" t="s">
        <v>3459</v>
      </c>
      <c r="K15" s="89" t="s">
        <v>5280</v>
      </c>
      <c r="L15" s="89" t="s">
        <v>5281</v>
      </c>
    </row>
    <row r="16" spans="2:12">
      <c r="B16" s="6"/>
      <c r="C16" s="94"/>
      <c r="D16" s="94"/>
      <c r="E16" s="89" t="s">
        <v>5282</v>
      </c>
      <c r="F16" s="89" t="s">
        <v>5283</v>
      </c>
      <c r="G16" s="95" t="s">
        <v>2641</v>
      </c>
      <c r="H16" s="89" t="s">
        <v>5284</v>
      </c>
      <c r="I16" s="89" t="s">
        <v>5285</v>
      </c>
      <c r="J16" s="96" t="s">
        <v>3453</v>
      </c>
      <c r="K16" s="89" t="s">
        <v>5286</v>
      </c>
      <c r="L16" s="89" t="s">
        <v>5287</v>
      </c>
    </row>
    <row r="17" spans="2:12">
      <c r="B17" s="6"/>
      <c r="C17" s="94"/>
      <c r="D17" s="94"/>
      <c r="E17" s="89" t="s">
        <v>5288</v>
      </c>
      <c r="F17" s="89" t="s">
        <v>5289</v>
      </c>
      <c r="G17" s="95" t="s">
        <v>2639</v>
      </c>
      <c r="H17" s="89" t="s">
        <v>5290</v>
      </c>
      <c r="I17" s="89" t="s">
        <v>5291</v>
      </c>
      <c r="J17" s="96" t="s">
        <v>3459</v>
      </c>
      <c r="K17" s="89" t="s">
        <v>2221</v>
      </c>
      <c r="L17" s="89" t="s">
        <v>5292</v>
      </c>
    </row>
    <row r="18" spans="2:12" ht="15" customHeight="1">
      <c r="B18" s="6"/>
      <c r="C18" s="94"/>
      <c r="D18" s="94" t="s">
        <v>1386</v>
      </c>
      <c r="E18" s="89" t="s">
        <v>5293</v>
      </c>
      <c r="F18" s="89" t="s">
        <v>5294</v>
      </c>
      <c r="G18" s="95" t="s">
        <v>2639</v>
      </c>
      <c r="H18" s="89" t="s">
        <v>5295</v>
      </c>
      <c r="I18" s="89" t="s">
        <v>5296</v>
      </c>
      <c r="J18" s="96" t="s">
        <v>3453</v>
      </c>
      <c r="K18" s="89" t="s">
        <v>2214</v>
      </c>
      <c r="L18" s="89" t="s">
        <v>5297</v>
      </c>
    </row>
    <row r="19" spans="2:12">
      <c r="B19" s="6"/>
      <c r="C19" s="94"/>
      <c r="D19" s="94"/>
      <c r="E19" s="89" t="s">
        <v>5298</v>
      </c>
      <c r="F19" s="89" t="s">
        <v>5299</v>
      </c>
      <c r="G19" s="95" t="s">
        <v>2639</v>
      </c>
      <c r="H19" s="89" t="s">
        <v>5300</v>
      </c>
      <c r="I19" s="89" t="s">
        <v>5301</v>
      </c>
      <c r="J19" s="96" t="s">
        <v>3459</v>
      </c>
      <c r="K19" s="89" t="s">
        <v>5302</v>
      </c>
      <c r="L19" s="89" t="s">
        <v>5303</v>
      </c>
    </row>
    <row r="20" spans="2:12">
      <c r="B20" s="6"/>
      <c r="C20" s="94"/>
      <c r="D20" s="94"/>
      <c r="E20" s="89" t="s">
        <v>5304</v>
      </c>
      <c r="F20" s="89" t="s">
        <v>5305</v>
      </c>
      <c r="G20" s="95" t="s">
        <v>2640</v>
      </c>
      <c r="H20" s="89" t="s">
        <v>5306</v>
      </c>
      <c r="I20" s="89" t="s">
        <v>2212</v>
      </c>
      <c r="J20" s="96" t="s">
        <v>3459</v>
      </c>
      <c r="K20" s="89" t="s">
        <v>5307</v>
      </c>
      <c r="L20" s="89" t="s">
        <v>5308</v>
      </c>
    </row>
    <row r="21" spans="2:12">
      <c r="B21" s="6"/>
      <c r="C21" s="94"/>
      <c r="D21" s="94"/>
      <c r="E21" s="89" t="s">
        <v>5309</v>
      </c>
      <c r="F21" s="89" t="s">
        <v>5310</v>
      </c>
      <c r="G21" s="95" t="s">
        <v>2639</v>
      </c>
      <c r="H21" s="89" t="s">
        <v>2211</v>
      </c>
      <c r="I21" s="89" t="s">
        <v>5311</v>
      </c>
      <c r="J21" s="96" t="s">
        <v>3459</v>
      </c>
      <c r="K21" s="89" t="s">
        <v>5312</v>
      </c>
      <c r="L21" s="89" t="s">
        <v>5313</v>
      </c>
    </row>
    <row r="22" spans="2:12">
      <c r="B22" s="6"/>
      <c r="C22" s="94"/>
      <c r="D22" s="94"/>
      <c r="E22" s="89" t="s">
        <v>5314</v>
      </c>
      <c r="F22" s="89" t="s">
        <v>5315</v>
      </c>
      <c r="G22" s="95" t="s">
        <v>2640</v>
      </c>
      <c r="H22" s="89" t="s">
        <v>5316</v>
      </c>
      <c r="I22" s="89" t="s">
        <v>5317</v>
      </c>
      <c r="J22" s="96" t="s">
        <v>3453</v>
      </c>
      <c r="K22" s="89" t="s">
        <v>5318</v>
      </c>
      <c r="L22" s="89" t="s">
        <v>5319</v>
      </c>
    </row>
    <row r="23" spans="2:12" ht="15" customHeight="1">
      <c r="B23" s="6"/>
      <c r="C23" s="94"/>
      <c r="D23" s="94" t="s">
        <v>1387</v>
      </c>
      <c r="E23" s="89" t="s">
        <v>5320</v>
      </c>
      <c r="F23" s="89" t="s">
        <v>5321</v>
      </c>
      <c r="G23" s="95" t="s">
        <v>2639</v>
      </c>
      <c r="H23" s="89" t="s">
        <v>5322</v>
      </c>
      <c r="I23" s="89" t="s">
        <v>5323</v>
      </c>
      <c r="J23" s="96" t="s">
        <v>3459</v>
      </c>
      <c r="K23" s="89" t="s">
        <v>5324</v>
      </c>
      <c r="L23" s="89" t="s">
        <v>5325</v>
      </c>
    </row>
    <row r="24" spans="2:12">
      <c r="B24" s="6"/>
      <c r="C24" s="94"/>
      <c r="D24" s="94"/>
      <c r="E24" s="89" t="s">
        <v>5326</v>
      </c>
      <c r="F24" s="89" t="s">
        <v>5327</v>
      </c>
      <c r="G24" s="95" t="s">
        <v>2640</v>
      </c>
      <c r="H24" s="89" t="s">
        <v>5328</v>
      </c>
      <c r="I24" s="89" t="s">
        <v>5329</v>
      </c>
      <c r="J24" s="96" t="s">
        <v>3453</v>
      </c>
      <c r="K24" s="89" t="s">
        <v>5232</v>
      </c>
      <c r="L24" s="89" t="s">
        <v>5330</v>
      </c>
    </row>
    <row r="25" spans="2:12">
      <c r="B25" s="6"/>
      <c r="C25" s="94"/>
      <c r="D25" s="94"/>
      <c r="E25" s="89" t="s">
        <v>5331</v>
      </c>
      <c r="F25" s="89" t="s">
        <v>5332</v>
      </c>
      <c r="G25" s="95" t="s">
        <v>2641</v>
      </c>
      <c r="H25" s="89" t="s">
        <v>2216</v>
      </c>
      <c r="I25" s="89" t="s">
        <v>5333</v>
      </c>
      <c r="J25" s="96" t="s">
        <v>3453</v>
      </c>
      <c r="K25" s="89" t="s">
        <v>2218</v>
      </c>
      <c r="L25" s="89" t="s">
        <v>5334</v>
      </c>
    </row>
    <row r="26" spans="2:12">
      <c r="B26" s="6"/>
      <c r="C26" s="94"/>
      <c r="D26" s="94"/>
      <c r="E26" s="89" t="s">
        <v>5335</v>
      </c>
      <c r="F26" s="89" t="s">
        <v>5336</v>
      </c>
      <c r="G26" s="95" t="s">
        <v>2639</v>
      </c>
      <c r="H26" s="89" t="s">
        <v>5337</v>
      </c>
      <c r="I26" s="89" t="s">
        <v>5338</v>
      </c>
      <c r="J26" s="96" t="s">
        <v>3459</v>
      </c>
      <c r="K26" s="89" t="s">
        <v>5339</v>
      </c>
      <c r="L26" s="89" t="s">
        <v>5340</v>
      </c>
    </row>
    <row r="27" spans="2:12">
      <c r="B27" s="6"/>
      <c r="C27" s="94"/>
      <c r="D27" s="94"/>
      <c r="E27" s="89" t="s">
        <v>5341</v>
      </c>
      <c r="F27" s="89" t="s">
        <v>5342</v>
      </c>
      <c r="G27" s="95" t="s">
        <v>2640</v>
      </c>
      <c r="H27" s="89" t="s">
        <v>5343</v>
      </c>
      <c r="I27" s="89" t="s">
        <v>5344</v>
      </c>
      <c r="J27" s="96" t="s">
        <v>3459</v>
      </c>
      <c r="K27" s="89" t="s">
        <v>2237</v>
      </c>
      <c r="L27" s="89" t="s">
        <v>5345</v>
      </c>
    </row>
    <row r="28" spans="2:12" ht="15" customHeight="1">
      <c r="B28" s="6"/>
      <c r="C28" s="94" t="s">
        <v>1371</v>
      </c>
      <c r="D28" s="94" t="s">
        <v>1389</v>
      </c>
      <c r="E28" s="89" t="s">
        <v>5346</v>
      </c>
      <c r="F28" s="89" t="s">
        <v>2223</v>
      </c>
      <c r="G28" s="95" t="s">
        <v>2639</v>
      </c>
      <c r="H28" s="89" t="s">
        <v>2213</v>
      </c>
      <c r="I28" s="89" t="s">
        <v>5347</v>
      </c>
      <c r="J28" s="96" t="s">
        <v>3453</v>
      </c>
      <c r="K28" s="89" t="s">
        <v>5348</v>
      </c>
      <c r="L28" s="89" t="s">
        <v>5349</v>
      </c>
    </row>
    <row r="29" spans="2:12">
      <c r="B29" s="6"/>
      <c r="C29" s="94"/>
      <c r="D29" s="94"/>
      <c r="E29" s="89" t="s">
        <v>5350</v>
      </c>
      <c r="F29" s="89" t="s">
        <v>5351</v>
      </c>
      <c r="G29" s="95" t="s">
        <v>2639</v>
      </c>
      <c r="H29" s="89" t="s">
        <v>5352</v>
      </c>
      <c r="I29" s="89" t="s">
        <v>5353</v>
      </c>
      <c r="J29" s="96" t="s">
        <v>3459</v>
      </c>
      <c r="K29" s="89" t="s">
        <v>5354</v>
      </c>
      <c r="L29" s="89" t="s">
        <v>5355</v>
      </c>
    </row>
    <row r="30" spans="2:12">
      <c r="B30" s="6"/>
      <c r="C30" s="94"/>
      <c r="D30" s="94"/>
      <c r="E30" s="89" t="s">
        <v>5356</v>
      </c>
      <c r="F30" s="89" t="s">
        <v>5357</v>
      </c>
      <c r="G30" s="95" t="s">
        <v>2640</v>
      </c>
      <c r="H30" s="89" t="s">
        <v>2215</v>
      </c>
      <c r="I30" s="89" t="s">
        <v>5358</v>
      </c>
      <c r="J30" s="96" t="s">
        <v>3453</v>
      </c>
      <c r="K30" s="89" t="s">
        <v>5359</v>
      </c>
      <c r="L30" s="89" t="s">
        <v>5360</v>
      </c>
    </row>
    <row r="31" spans="2:12">
      <c r="B31" s="6"/>
      <c r="C31" s="94"/>
      <c r="D31" s="94"/>
      <c r="E31" s="89" t="s">
        <v>5361</v>
      </c>
      <c r="F31" s="89" t="s">
        <v>5362</v>
      </c>
      <c r="G31" s="95" t="s">
        <v>2641</v>
      </c>
      <c r="H31" s="89" t="s">
        <v>5363</v>
      </c>
      <c r="I31" s="89" t="s">
        <v>5364</v>
      </c>
      <c r="J31" s="96" t="s">
        <v>3459</v>
      </c>
      <c r="K31" s="89" t="s">
        <v>5365</v>
      </c>
      <c r="L31" s="89" t="s">
        <v>5366</v>
      </c>
    </row>
    <row r="32" spans="2:12">
      <c r="B32" s="6"/>
      <c r="C32" s="94"/>
      <c r="D32" s="94"/>
      <c r="E32" s="89" t="s">
        <v>5367</v>
      </c>
      <c r="F32" s="89" t="s">
        <v>5368</v>
      </c>
      <c r="G32" s="95" t="s">
        <v>2640</v>
      </c>
      <c r="H32" s="89" t="s">
        <v>5343</v>
      </c>
      <c r="I32" s="89" t="s">
        <v>3591</v>
      </c>
      <c r="J32" s="96" t="s">
        <v>3459</v>
      </c>
      <c r="K32" s="89" t="s">
        <v>5369</v>
      </c>
      <c r="L32" s="89" t="s">
        <v>5370</v>
      </c>
    </row>
    <row r="33" spans="2:12" ht="15" customHeight="1">
      <c r="B33" s="6"/>
      <c r="C33" s="94"/>
      <c r="D33" s="94" t="s">
        <v>1390</v>
      </c>
      <c r="E33" s="89" t="s">
        <v>5430</v>
      </c>
      <c r="F33" s="89" t="s">
        <v>5431</v>
      </c>
      <c r="G33" s="95" t="s">
        <v>2641</v>
      </c>
      <c r="H33" s="89" t="s">
        <v>5432</v>
      </c>
      <c r="I33" s="89" t="s">
        <v>5433</v>
      </c>
      <c r="J33" s="96" t="s">
        <v>3453</v>
      </c>
      <c r="K33" s="89" t="s">
        <v>5434</v>
      </c>
      <c r="L33" s="89" t="s">
        <v>5435</v>
      </c>
    </row>
    <row r="34" spans="2:12">
      <c r="B34" s="6"/>
      <c r="C34" s="94"/>
      <c r="D34" s="94"/>
      <c r="E34" s="89" t="s">
        <v>5372</v>
      </c>
      <c r="F34" s="89" t="s">
        <v>5436</v>
      </c>
      <c r="G34" s="95" t="s">
        <v>2639</v>
      </c>
      <c r="H34" s="89" t="s">
        <v>5437</v>
      </c>
      <c r="I34" s="89" t="s">
        <v>5438</v>
      </c>
      <c r="J34" s="96" t="s">
        <v>3459</v>
      </c>
      <c r="K34" s="89" t="s">
        <v>5439</v>
      </c>
      <c r="L34" s="89" t="s">
        <v>5440</v>
      </c>
    </row>
    <row r="35" spans="2:12">
      <c r="B35" s="6"/>
      <c r="C35" s="94"/>
      <c r="D35" s="94"/>
      <c r="E35" s="89" t="s">
        <v>5441</v>
      </c>
      <c r="F35" s="89" t="s">
        <v>5442</v>
      </c>
      <c r="G35" s="95" t="s">
        <v>2640</v>
      </c>
      <c r="H35" s="89" t="s">
        <v>5443</v>
      </c>
      <c r="I35" s="89" t="s">
        <v>5444</v>
      </c>
      <c r="J35" s="96" t="s">
        <v>3459</v>
      </c>
      <c r="K35" s="89" t="s">
        <v>5445</v>
      </c>
      <c r="L35" s="89" t="s">
        <v>5446</v>
      </c>
    </row>
    <row r="36" spans="2:12">
      <c r="B36" s="6"/>
      <c r="C36" s="94"/>
      <c r="D36" s="94"/>
      <c r="E36" s="89" t="s">
        <v>5447</v>
      </c>
      <c r="F36" s="89" t="s">
        <v>5448</v>
      </c>
      <c r="G36" s="95" t="s">
        <v>2640</v>
      </c>
      <c r="H36" s="89" t="s">
        <v>5449</v>
      </c>
      <c r="I36" s="89" t="s">
        <v>5450</v>
      </c>
      <c r="J36" s="96" t="s">
        <v>3453</v>
      </c>
      <c r="K36" s="89" t="s">
        <v>5451</v>
      </c>
      <c r="L36" s="89" t="s">
        <v>5452</v>
      </c>
    </row>
    <row r="37" spans="2:12">
      <c r="B37" s="6"/>
      <c r="C37" s="94"/>
      <c r="D37" s="94"/>
      <c r="E37" s="89" t="s">
        <v>5453</v>
      </c>
      <c r="F37" s="89" t="s">
        <v>5454</v>
      </c>
      <c r="G37" s="95" t="s">
        <v>2639</v>
      </c>
      <c r="H37" s="89" t="s">
        <v>5455</v>
      </c>
      <c r="I37" s="89" t="s">
        <v>5456</v>
      </c>
      <c r="J37" s="96" t="s">
        <v>3459</v>
      </c>
      <c r="K37" s="89" t="s">
        <v>5457</v>
      </c>
      <c r="L37" s="89" t="s">
        <v>5458</v>
      </c>
    </row>
    <row r="38" spans="2:12" ht="15" customHeight="1">
      <c r="B38" s="6"/>
      <c r="C38" s="94"/>
      <c r="D38" s="94" t="s">
        <v>1391</v>
      </c>
      <c r="E38" s="89" t="s">
        <v>5459</v>
      </c>
      <c r="F38" s="89" t="s">
        <v>5460</v>
      </c>
      <c r="G38" s="95" t="s">
        <v>2639</v>
      </c>
      <c r="H38" s="89" t="s">
        <v>5461</v>
      </c>
      <c r="I38" s="89" t="s">
        <v>5462</v>
      </c>
      <c r="J38" s="96" t="s">
        <v>3459</v>
      </c>
      <c r="K38" s="89" t="s">
        <v>5463</v>
      </c>
      <c r="L38" s="89" t="s">
        <v>5464</v>
      </c>
    </row>
    <row r="39" spans="2:12">
      <c r="B39" s="6"/>
      <c r="C39" s="94"/>
      <c r="D39" s="94"/>
      <c r="E39" s="89" t="s">
        <v>5465</v>
      </c>
      <c r="F39" s="89" t="s">
        <v>5466</v>
      </c>
      <c r="G39" s="95" t="s">
        <v>2640</v>
      </c>
      <c r="H39" s="89" t="s">
        <v>5467</v>
      </c>
      <c r="I39" s="89" t="s">
        <v>5468</v>
      </c>
      <c r="J39" s="96" t="s">
        <v>3453</v>
      </c>
      <c r="K39" s="89" t="s">
        <v>5469</v>
      </c>
      <c r="L39" s="89" t="s">
        <v>5470</v>
      </c>
    </row>
    <row r="40" spans="2:12">
      <c r="B40" s="6"/>
      <c r="C40" s="94"/>
      <c r="D40" s="94"/>
      <c r="E40" s="89" t="s">
        <v>5471</v>
      </c>
      <c r="F40" s="89" t="s">
        <v>5472</v>
      </c>
      <c r="G40" s="95" t="s">
        <v>2640</v>
      </c>
      <c r="H40" s="89" t="s">
        <v>5473</v>
      </c>
      <c r="I40" s="89" t="s">
        <v>5474</v>
      </c>
      <c r="J40" s="96" t="s">
        <v>3459</v>
      </c>
      <c r="K40" s="89" t="s">
        <v>5475</v>
      </c>
      <c r="L40" s="89" t="s">
        <v>5476</v>
      </c>
    </row>
    <row r="41" spans="2:12">
      <c r="B41" s="6"/>
      <c r="C41" s="94"/>
      <c r="D41" s="94"/>
      <c r="E41" s="89" t="s">
        <v>5477</v>
      </c>
      <c r="F41" s="89" t="s">
        <v>5478</v>
      </c>
      <c r="G41" s="95" t="s">
        <v>2641</v>
      </c>
      <c r="H41" s="89" t="s">
        <v>5479</v>
      </c>
      <c r="I41" s="89" t="s">
        <v>5480</v>
      </c>
      <c r="J41" s="96" t="s">
        <v>3453</v>
      </c>
      <c r="K41" s="89" t="s">
        <v>5481</v>
      </c>
      <c r="L41" s="89" t="s">
        <v>5482</v>
      </c>
    </row>
    <row r="42" spans="2:12">
      <c r="B42" s="6"/>
      <c r="C42" s="94"/>
      <c r="D42" s="94"/>
      <c r="E42" s="89" t="s">
        <v>5483</v>
      </c>
      <c r="F42" s="89" t="s">
        <v>5484</v>
      </c>
      <c r="G42" s="95" t="s">
        <v>2639</v>
      </c>
      <c r="H42" s="89" t="s">
        <v>5485</v>
      </c>
      <c r="I42" s="89" t="s">
        <v>5486</v>
      </c>
      <c r="J42" s="96" t="s">
        <v>3459</v>
      </c>
      <c r="K42" s="89" t="s">
        <v>5487</v>
      </c>
      <c r="L42" s="89" t="s">
        <v>5488</v>
      </c>
    </row>
    <row r="43" spans="2:12" ht="15" customHeight="1">
      <c r="B43" s="6"/>
      <c r="C43" s="94"/>
      <c r="D43" s="94" t="s">
        <v>1392</v>
      </c>
      <c r="E43" s="89" t="s">
        <v>5374</v>
      </c>
      <c r="F43" s="89" t="s">
        <v>5375</v>
      </c>
      <c r="G43" s="95" t="s">
        <v>2639</v>
      </c>
      <c r="H43" s="89" t="s">
        <v>2228</v>
      </c>
      <c r="I43" s="89" t="s">
        <v>5376</v>
      </c>
      <c r="J43" s="96" t="s">
        <v>3459</v>
      </c>
      <c r="K43" s="89" t="s">
        <v>5377</v>
      </c>
      <c r="L43" s="89" t="s">
        <v>5378</v>
      </c>
    </row>
    <row r="44" spans="2:12">
      <c r="B44" s="6"/>
      <c r="C44" s="94"/>
      <c r="D44" s="94"/>
      <c r="E44" s="89" t="s">
        <v>5379</v>
      </c>
      <c r="F44" s="89" t="s">
        <v>5380</v>
      </c>
      <c r="G44" s="95" t="s">
        <v>2639</v>
      </c>
      <c r="H44" s="89" t="s">
        <v>5381</v>
      </c>
      <c r="I44" s="89" t="s">
        <v>5382</v>
      </c>
      <c r="J44" s="96" t="s">
        <v>3581</v>
      </c>
      <c r="K44" s="89" t="s">
        <v>5383</v>
      </c>
      <c r="L44" s="89" t="s">
        <v>5384</v>
      </c>
    </row>
    <row r="45" spans="2:12">
      <c r="B45" s="6"/>
      <c r="C45" s="94"/>
      <c r="D45" s="94"/>
      <c r="E45" s="89" t="s">
        <v>5385</v>
      </c>
      <c r="F45" s="89" t="s">
        <v>5386</v>
      </c>
      <c r="G45" s="95" t="s">
        <v>2640</v>
      </c>
      <c r="H45" s="89" t="s">
        <v>5387</v>
      </c>
      <c r="I45" s="89" t="s">
        <v>5388</v>
      </c>
      <c r="J45" s="96" t="s">
        <v>3459</v>
      </c>
      <c r="K45" s="89" t="s">
        <v>5389</v>
      </c>
      <c r="L45" s="89" t="s">
        <v>5390</v>
      </c>
    </row>
    <row r="46" spans="2:12">
      <c r="B46" s="6"/>
      <c r="C46" s="94"/>
      <c r="D46" s="94"/>
      <c r="E46" s="89" t="s">
        <v>5391</v>
      </c>
      <c r="F46" s="89" t="s">
        <v>5392</v>
      </c>
      <c r="G46" s="95" t="s">
        <v>2641</v>
      </c>
      <c r="H46" s="89" t="s">
        <v>2215</v>
      </c>
      <c r="I46" s="89" t="s">
        <v>5393</v>
      </c>
      <c r="J46" s="96" t="s">
        <v>3459</v>
      </c>
      <c r="K46" s="89" t="s">
        <v>5394</v>
      </c>
      <c r="L46" s="89" t="s">
        <v>5395</v>
      </c>
    </row>
    <row r="47" spans="2:12">
      <c r="B47" s="6"/>
      <c r="C47" s="94"/>
      <c r="D47" s="94"/>
      <c r="E47" s="89" t="s">
        <v>5396</v>
      </c>
      <c r="F47" s="89" t="s">
        <v>5397</v>
      </c>
      <c r="G47" s="95" t="s">
        <v>2640</v>
      </c>
      <c r="H47" s="89" t="s">
        <v>5398</v>
      </c>
      <c r="I47" s="89" t="s">
        <v>5399</v>
      </c>
      <c r="J47" s="96" t="s">
        <v>3453</v>
      </c>
      <c r="K47" s="89" t="s">
        <v>5400</v>
      </c>
      <c r="L47" s="89" t="s">
        <v>5401</v>
      </c>
    </row>
    <row r="48" spans="2:12" ht="15" customHeight="1">
      <c r="B48" s="6"/>
      <c r="C48" s="94"/>
      <c r="D48" s="94" t="s">
        <v>1393</v>
      </c>
      <c r="E48" s="89" t="s">
        <v>5402</v>
      </c>
      <c r="F48" s="89" t="s">
        <v>5403</v>
      </c>
      <c r="G48" s="95" t="s">
        <v>2640</v>
      </c>
      <c r="H48" s="89" t="s">
        <v>5404</v>
      </c>
      <c r="I48" s="89" t="s">
        <v>5405</v>
      </c>
      <c r="J48" s="96" t="s">
        <v>3453</v>
      </c>
      <c r="K48" s="89" t="s">
        <v>5406</v>
      </c>
      <c r="L48" s="89" t="s">
        <v>5407</v>
      </c>
    </row>
    <row r="49" spans="2:12">
      <c r="B49" s="6"/>
      <c r="C49" s="94"/>
      <c r="D49" s="94"/>
      <c r="E49" s="89" t="s">
        <v>5408</v>
      </c>
      <c r="F49" s="89" t="s">
        <v>5409</v>
      </c>
      <c r="G49" s="95" t="s">
        <v>2641</v>
      </c>
      <c r="H49" s="89" t="s">
        <v>5410</v>
      </c>
      <c r="I49" s="89" t="s">
        <v>5411</v>
      </c>
      <c r="J49" s="96" t="s">
        <v>3453</v>
      </c>
      <c r="K49" s="89" t="s">
        <v>5412</v>
      </c>
      <c r="L49" s="89" t="s">
        <v>5413</v>
      </c>
    </row>
    <row r="50" spans="2:12">
      <c r="B50" s="6"/>
      <c r="C50" s="94"/>
      <c r="D50" s="94"/>
      <c r="E50" s="89" t="s">
        <v>5414</v>
      </c>
      <c r="F50" s="89" t="s">
        <v>5415</v>
      </c>
      <c r="G50" s="95" t="s">
        <v>2640</v>
      </c>
      <c r="H50" s="89" t="s">
        <v>5416</v>
      </c>
      <c r="I50" s="89" t="s">
        <v>5417</v>
      </c>
      <c r="J50" s="96" t="s">
        <v>3459</v>
      </c>
      <c r="K50" s="89" t="s">
        <v>2199</v>
      </c>
      <c r="L50" s="89" t="s">
        <v>5418</v>
      </c>
    </row>
    <row r="51" spans="2:12">
      <c r="B51" s="6"/>
      <c r="C51" s="94"/>
      <c r="D51" s="94"/>
      <c r="E51" s="89" t="s">
        <v>5419</v>
      </c>
      <c r="F51" s="89" t="s">
        <v>5420</v>
      </c>
      <c r="G51" s="95" t="s">
        <v>2639</v>
      </c>
      <c r="H51" s="89" t="s">
        <v>5421</v>
      </c>
      <c r="I51" s="89" t="s">
        <v>5422</v>
      </c>
      <c r="J51" s="96" t="s">
        <v>3459</v>
      </c>
      <c r="K51" s="89" t="s">
        <v>5423</v>
      </c>
      <c r="L51" s="89" t="s">
        <v>5424</v>
      </c>
    </row>
    <row r="52" spans="2:12">
      <c r="B52" s="6"/>
      <c r="C52" s="94"/>
      <c r="D52" s="94"/>
      <c r="E52" s="89" t="s">
        <v>5425</v>
      </c>
      <c r="F52" s="89" t="s">
        <v>5426</v>
      </c>
      <c r="G52" s="95" t="s">
        <v>2639</v>
      </c>
      <c r="H52" s="89" t="s">
        <v>5427</v>
      </c>
      <c r="I52" s="89" t="s">
        <v>5428</v>
      </c>
      <c r="J52" s="96" t="s">
        <v>3581</v>
      </c>
      <c r="K52" s="89" t="s">
        <v>2236</v>
      </c>
      <c r="L52" s="89" t="s">
        <v>5429</v>
      </c>
    </row>
    <row r="53" spans="2:12">
      <c r="B53" s="6"/>
      <c r="C53" s="94" t="s">
        <v>1372</v>
      </c>
      <c r="D53" s="94" t="s">
        <v>1394</v>
      </c>
      <c r="E53" s="89" t="s">
        <v>5489</v>
      </c>
      <c r="F53" s="89" t="s">
        <v>5490</v>
      </c>
      <c r="G53" s="95" t="s">
        <v>2639</v>
      </c>
      <c r="H53" s="89" t="s">
        <v>5491</v>
      </c>
      <c r="I53" s="89" t="s">
        <v>2233</v>
      </c>
      <c r="J53" s="96" t="s">
        <v>3459</v>
      </c>
      <c r="K53" s="89" t="s">
        <v>5492</v>
      </c>
      <c r="L53" s="89" t="s">
        <v>5493</v>
      </c>
    </row>
    <row r="54" spans="2:12">
      <c r="B54" s="6"/>
      <c r="C54" s="94"/>
      <c r="D54" s="94"/>
      <c r="E54" s="89" t="s">
        <v>2234</v>
      </c>
      <c r="F54" s="89" t="s">
        <v>5494</v>
      </c>
      <c r="G54" s="95" t="s">
        <v>2640</v>
      </c>
      <c r="H54" s="89" t="s">
        <v>5495</v>
      </c>
      <c r="I54" s="89" t="s">
        <v>3337</v>
      </c>
      <c r="J54" s="96" t="s">
        <v>3453</v>
      </c>
      <c r="K54" s="89" t="s">
        <v>5496</v>
      </c>
      <c r="L54" s="89" t="s">
        <v>5497</v>
      </c>
    </row>
    <row r="55" spans="2:12">
      <c r="B55" s="6"/>
      <c r="C55" s="94"/>
      <c r="D55" s="94"/>
      <c r="E55" s="89" t="s">
        <v>5498</v>
      </c>
      <c r="F55" s="89" t="s">
        <v>5499</v>
      </c>
      <c r="G55" s="95" t="s">
        <v>2639</v>
      </c>
      <c r="H55" s="89" t="s">
        <v>5500</v>
      </c>
      <c r="I55" s="89" t="s">
        <v>5501</v>
      </c>
      <c r="J55" s="96" t="s">
        <v>3459</v>
      </c>
      <c r="K55" s="89" t="s">
        <v>5502</v>
      </c>
      <c r="L55" s="89" t="s">
        <v>5503</v>
      </c>
    </row>
    <row r="56" spans="2:12">
      <c r="B56" s="6"/>
      <c r="C56" s="94"/>
      <c r="D56" s="94"/>
      <c r="E56" s="89" t="s">
        <v>5504</v>
      </c>
      <c r="F56" s="89" t="s">
        <v>5505</v>
      </c>
      <c r="G56" s="95" t="s">
        <v>2641</v>
      </c>
      <c r="H56" s="89" t="s">
        <v>5506</v>
      </c>
      <c r="I56" s="89" t="s">
        <v>5507</v>
      </c>
      <c r="J56" s="96" t="s">
        <v>3453</v>
      </c>
      <c r="K56" s="89" t="s">
        <v>5508</v>
      </c>
      <c r="L56" s="89" t="s">
        <v>5509</v>
      </c>
    </row>
    <row r="57" spans="2:12">
      <c r="B57" s="6"/>
      <c r="C57" s="94"/>
      <c r="D57" s="94"/>
      <c r="E57" s="89" t="s">
        <v>5510</v>
      </c>
      <c r="F57" s="89" t="s">
        <v>5511</v>
      </c>
      <c r="G57" s="95" t="s">
        <v>2640</v>
      </c>
      <c r="H57" s="89" t="s">
        <v>5512</v>
      </c>
      <c r="I57" s="89" t="s">
        <v>5388</v>
      </c>
      <c r="J57" s="96" t="s">
        <v>3459</v>
      </c>
      <c r="K57" s="89" t="s">
        <v>5513</v>
      </c>
      <c r="L57" s="89" t="s">
        <v>5514</v>
      </c>
    </row>
    <row r="58" spans="2:12">
      <c r="B58" s="6"/>
      <c r="C58" s="94"/>
      <c r="D58" s="94" t="s">
        <v>1395</v>
      </c>
      <c r="E58" s="89" t="s">
        <v>5136</v>
      </c>
      <c r="F58" s="89" t="s">
        <v>5515</v>
      </c>
      <c r="G58" s="95" t="s">
        <v>2639</v>
      </c>
      <c r="H58" s="89" t="s">
        <v>5516</v>
      </c>
      <c r="I58" s="89" t="s">
        <v>5517</v>
      </c>
      <c r="J58" s="96" t="s">
        <v>3453</v>
      </c>
      <c r="K58" s="89" t="s">
        <v>5518</v>
      </c>
      <c r="L58" s="89" t="s">
        <v>5519</v>
      </c>
    </row>
    <row r="59" spans="2:12">
      <c r="B59" s="6"/>
      <c r="C59" s="94"/>
      <c r="D59" s="94"/>
      <c r="E59" s="89" t="s">
        <v>5520</v>
      </c>
      <c r="F59" s="89" t="s">
        <v>5521</v>
      </c>
      <c r="G59" s="95" t="s">
        <v>2639</v>
      </c>
      <c r="H59" s="89" t="s">
        <v>5522</v>
      </c>
      <c r="I59" s="89" t="s">
        <v>5523</v>
      </c>
      <c r="J59" s="96" t="s">
        <v>3459</v>
      </c>
      <c r="K59" s="89" t="s">
        <v>5524</v>
      </c>
      <c r="L59" s="89" t="s">
        <v>5525</v>
      </c>
    </row>
    <row r="60" spans="2:12">
      <c r="B60" s="6"/>
      <c r="C60" s="94"/>
      <c r="D60" s="94"/>
      <c r="E60" s="89" t="s">
        <v>4595</v>
      </c>
      <c r="F60" s="89" t="s">
        <v>5526</v>
      </c>
      <c r="G60" s="95" t="s">
        <v>2640</v>
      </c>
      <c r="H60" s="89" t="s">
        <v>2215</v>
      </c>
      <c r="I60" s="89" t="s">
        <v>5527</v>
      </c>
      <c r="J60" s="96" t="s">
        <v>3459</v>
      </c>
      <c r="K60" s="89" t="s">
        <v>5528</v>
      </c>
      <c r="L60" s="89" t="s">
        <v>5529</v>
      </c>
    </row>
    <row r="61" spans="2:12">
      <c r="B61" s="6"/>
      <c r="C61" s="94"/>
      <c r="D61" s="94"/>
      <c r="E61" s="89" t="s">
        <v>5530</v>
      </c>
      <c r="F61" s="89" t="s">
        <v>5531</v>
      </c>
      <c r="G61" s="95" t="s">
        <v>2641</v>
      </c>
      <c r="H61" s="89" t="s">
        <v>2995</v>
      </c>
      <c r="I61" s="89" t="s">
        <v>2235</v>
      </c>
      <c r="J61" s="96" t="s">
        <v>3459</v>
      </c>
      <c r="K61" s="89" t="s">
        <v>5532</v>
      </c>
      <c r="L61" s="89" t="s">
        <v>5533</v>
      </c>
    </row>
    <row r="62" spans="2:12">
      <c r="B62" s="6"/>
      <c r="C62" s="94"/>
      <c r="D62" s="94"/>
      <c r="E62" s="89" t="s">
        <v>5534</v>
      </c>
      <c r="F62" s="89" t="s">
        <v>5535</v>
      </c>
      <c r="G62" s="95" t="s">
        <v>2640</v>
      </c>
      <c r="H62" s="89" t="s">
        <v>3037</v>
      </c>
      <c r="I62" s="89" t="s">
        <v>5536</v>
      </c>
      <c r="J62" s="96" t="s">
        <v>3581</v>
      </c>
      <c r="K62" s="89" t="s">
        <v>5537</v>
      </c>
      <c r="L62" s="89" t="s">
        <v>5538</v>
      </c>
    </row>
    <row r="63" spans="2:12">
      <c r="B63" s="6"/>
      <c r="C63" s="94"/>
      <c r="D63" s="94" t="s">
        <v>1396</v>
      </c>
      <c r="E63" s="89" t="s">
        <v>5539</v>
      </c>
      <c r="F63" s="89" t="s">
        <v>5540</v>
      </c>
      <c r="G63" s="95" t="s">
        <v>2639</v>
      </c>
      <c r="H63" s="89" t="s">
        <v>2244</v>
      </c>
      <c r="I63" s="89" t="s">
        <v>5541</v>
      </c>
      <c r="J63" s="96" t="s">
        <v>3459</v>
      </c>
      <c r="K63" s="89" t="s">
        <v>5542</v>
      </c>
      <c r="L63" s="89" t="s">
        <v>5543</v>
      </c>
    </row>
    <row r="64" spans="2:12">
      <c r="B64" s="6"/>
      <c r="C64" s="94"/>
      <c r="D64" s="94"/>
      <c r="E64" s="89" t="s">
        <v>5544</v>
      </c>
      <c r="F64" s="89" t="s">
        <v>5545</v>
      </c>
      <c r="G64" s="95" t="s">
        <v>2639</v>
      </c>
      <c r="H64" s="89" t="s">
        <v>5546</v>
      </c>
      <c r="I64" s="89" t="s">
        <v>5547</v>
      </c>
      <c r="J64" s="96" t="s">
        <v>3453</v>
      </c>
      <c r="K64" s="89" t="s">
        <v>5548</v>
      </c>
      <c r="L64" s="89" t="s">
        <v>5549</v>
      </c>
    </row>
    <row r="65" spans="2:12">
      <c r="B65" s="6"/>
      <c r="C65" s="94"/>
      <c r="D65" s="94"/>
      <c r="E65" s="89" t="s">
        <v>5550</v>
      </c>
      <c r="F65" s="89" t="s">
        <v>5551</v>
      </c>
      <c r="G65" s="95" t="s">
        <v>2640</v>
      </c>
      <c r="H65" s="89" t="s">
        <v>5552</v>
      </c>
      <c r="I65" s="89" t="s">
        <v>5553</v>
      </c>
      <c r="J65" s="96" t="s">
        <v>3459</v>
      </c>
      <c r="K65" s="89" t="s">
        <v>5554</v>
      </c>
      <c r="L65" s="89" t="s">
        <v>5555</v>
      </c>
    </row>
    <row r="66" spans="2:12">
      <c r="B66" s="6"/>
      <c r="C66" s="94"/>
      <c r="D66" s="94"/>
      <c r="E66" s="89" t="s">
        <v>5556</v>
      </c>
      <c r="F66" s="89" t="s">
        <v>5557</v>
      </c>
      <c r="G66" s="95" t="s">
        <v>2639</v>
      </c>
      <c r="H66" s="89" t="s">
        <v>5558</v>
      </c>
      <c r="I66" s="89" t="s">
        <v>5559</v>
      </c>
      <c r="J66" s="96" t="s">
        <v>3453</v>
      </c>
      <c r="K66" s="89" t="s">
        <v>5560</v>
      </c>
      <c r="L66" s="89" t="s">
        <v>5561</v>
      </c>
    </row>
    <row r="67" spans="2:12">
      <c r="B67" s="6"/>
      <c r="C67" s="94"/>
      <c r="D67" s="94"/>
      <c r="E67" s="89" t="s">
        <v>5562</v>
      </c>
      <c r="F67" s="89" t="s">
        <v>5563</v>
      </c>
      <c r="G67" s="95" t="s">
        <v>2641</v>
      </c>
      <c r="H67" s="89" t="s">
        <v>5564</v>
      </c>
      <c r="I67" s="89" t="s">
        <v>3141</v>
      </c>
      <c r="J67" s="96" t="s">
        <v>3459</v>
      </c>
      <c r="K67" s="89" t="s">
        <v>5565</v>
      </c>
      <c r="L67" s="89" t="s">
        <v>5566</v>
      </c>
    </row>
    <row r="68" spans="2:12">
      <c r="B68" s="6"/>
      <c r="C68" s="94"/>
      <c r="D68" s="94" t="s">
        <v>1397</v>
      </c>
      <c r="E68" s="89" t="s">
        <v>5567</v>
      </c>
      <c r="F68" s="89" t="s">
        <v>5568</v>
      </c>
      <c r="G68" s="95" t="s">
        <v>2639</v>
      </c>
      <c r="H68" s="89" t="s">
        <v>5569</v>
      </c>
      <c r="I68" s="89" t="s">
        <v>5570</v>
      </c>
      <c r="J68" s="96" t="s">
        <v>3453</v>
      </c>
      <c r="K68" s="89" t="s">
        <v>5571</v>
      </c>
      <c r="L68" s="89" t="s">
        <v>5572</v>
      </c>
    </row>
    <row r="69" spans="2:12">
      <c r="B69" s="6"/>
      <c r="C69" s="94"/>
      <c r="D69" s="94"/>
      <c r="E69" s="89" t="s">
        <v>5573</v>
      </c>
      <c r="F69" s="89" t="s">
        <v>5574</v>
      </c>
      <c r="G69" s="95" t="s">
        <v>2639</v>
      </c>
      <c r="H69" s="89" t="s">
        <v>5575</v>
      </c>
      <c r="I69" s="89" t="s">
        <v>5576</v>
      </c>
      <c r="J69" s="96" t="s">
        <v>3459</v>
      </c>
      <c r="K69" s="89" t="s">
        <v>5577</v>
      </c>
      <c r="L69" s="89" t="s">
        <v>5578</v>
      </c>
    </row>
    <row r="70" spans="2:12">
      <c r="B70" s="6"/>
      <c r="C70" s="94"/>
      <c r="D70" s="94"/>
      <c r="E70" s="89" t="s">
        <v>5579</v>
      </c>
      <c r="F70" s="89" t="s">
        <v>5580</v>
      </c>
      <c r="G70" s="95" t="s">
        <v>2639</v>
      </c>
      <c r="H70" s="89" t="s">
        <v>5581</v>
      </c>
      <c r="I70" s="89" t="s">
        <v>5582</v>
      </c>
      <c r="J70" s="96" t="s">
        <v>3459</v>
      </c>
      <c r="K70" s="89" t="s">
        <v>5583</v>
      </c>
      <c r="L70" s="89" t="s">
        <v>5584</v>
      </c>
    </row>
    <row r="71" spans="2:12">
      <c r="B71" s="6"/>
      <c r="C71" s="94"/>
      <c r="D71" s="94"/>
      <c r="E71" s="89" t="s">
        <v>5585</v>
      </c>
      <c r="F71" s="89" t="s">
        <v>5586</v>
      </c>
      <c r="G71" s="95" t="s">
        <v>2640</v>
      </c>
      <c r="H71" s="89" t="s">
        <v>2215</v>
      </c>
      <c r="I71" s="89" t="s">
        <v>5553</v>
      </c>
      <c r="J71" s="96" t="s">
        <v>3453</v>
      </c>
      <c r="K71" s="89" t="s">
        <v>5587</v>
      </c>
      <c r="L71" s="89" t="s">
        <v>5588</v>
      </c>
    </row>
    <row r="72" spans="2:12">
      <c r="B72" s="6"/>
      <c r="C72" s="94"/>
      <c r="D72" s="94"/>
      <c r="E72" s="89" t="s">
        <v>5589</v>
      </c>
      <c r="F72" s="89" t="s">
        <v>5590</v>
      </c>
      <c r="G72" s="95" t="s">
        <v>2641</v>
      </c>
      <c r="H72" s="89" t="s">
        <v>5591</v>
      </c>
      <c r="I72" s="89" t="s">
        <v>5592</v>
      </c>
      <c r="J72" s="96" t="s">
        <v>3453</v>
      </c>
      <c r="K72" s="89" t="s">
        <v>5593</v>
      </c>
      <c r="L72" s="89" t="s">
        <v>5594</v>
      </c>
    </row>
    <row r="73" spans="2:12">
      <c r="C73" s="94"/>
      <c r="D73" s="94" t="s">
        <v>1398</v>
      </c>
      <c r="E73" s="89" t="s">
        <v>2238</v>
      </c>
      <c r="F73" s="89" t="s">
        <v>5595</v>
      </c>
      <c r="G73" s="95" t="s">
        <v>2639</v>
      </c>
      <c r="H73" s="89" t="s">
        <v>5596</v>
      </c>
      <c r="I73" s="89" t="s">
        <v>5597</v>
      </c>
      <c r="J73" s="96" t="s">
        <v>3459</v>
      </c>
      <c r="K73" s="89" t="s">
        <v>5598</v>
      </c>
      <c r="L73" s="89" t="s">
        <v>5599</v>
      </c>
    </row>
    <row r="74" spans="2:12">
      <c r="C74" s="94"/>
      <c r="D74" s="94"/>
      <c r="E74" s="89" t="s">
        <v>5600</v>
      </c>
      <c r="F74" s="89" t="s">
        <v>5601</v>
      </c>
      <c r="G74" s="95" t="s">
        <v>2639</v>
      </c>
      <c r="H74" s="89" t="s">
        <v>5602</v>
      </c>
      <c r="I74" s="89" t="s">
        <v>5603</v>
      </c>
      <c r="J74" s="96" t="s">
        <v>3453</v>
      </c>
      <c r="K74" s="89" t="s">
        <v>5604</v>
      </c>
      <c r="L74" s="89" t="s">
        <v>5605</v>
      </c>
    </row>
    <row r="75" spans="2:12">
      <c r="C75" s="94"/>
      <c r="D75" s="94"/>
      <c r="E75" s="89" t="s">
        <v>5606</v>
      </c>
      <c r="F75" s="89" t="s">
        <v>5607</v>
      </c>
      <c r="G75" s="95" t="s">
        <v>2640</v>
      </c>
      <c r="H75" s="89" t="s">
        <v>5608</v>
      </c>
      <c r="I75" s="89" t="s">
        <v>5609</v>
      </c>
      <c r="J75" s="96" t="s">
        <v>3453</v>
      </c>
      <c r="K75" s="89" t="s">
        <v>5610</v>
      </c>
      <c r="L75" s="89" t="s">
        <v>5611</v>
      </c>
    </row>
    <row r="76" spans="2:12">
      <c r="C76" s="94"/>
      <c r="D76" s="94"/>
      <c r="E76" s="89" t="s">
        <v>2241</v>
      </c>
      <c r="F76" s="89" t="s">
        <v>5612</v>
      </c>
      <c r="G76" s="95" t="s">
        <v>2640</v>
      </c>
      <c r="H76" s="89" t="s">
        <v>3392</v>
      </c>
      <c r="I76" s="89" t="s">
        <v>5613</v>
      </c>
      <c r="J76" s="96" t="s">
        <v>3459</v>
      </c>
      <c r="K76" s="89" t="s">
        <v>5614</v>
      </c>
      <c r="L76" s="89" t="s">
        <v>5615</v>
      </c>
    </row>
    <row r="77" spans="2:12">
      <c r="C77" s="94"/>
      <c r="D77" s="94"/>
      <c r="E77" s="89" t="s">
        <v>5616</v>
      </c>
      <c r="F77" s="89" t="s">
        <v>5617</v>
      </c>
      <c r="G77" s="95" t="s">
        <v>2639</v>
      </c>
      <c r="H77" s="89" t="s">
        <v>5618</v>
      </c>
      <c r="I77" s="89" t="s">
        <v>5619</v>
      </c>
      <c r="J77" s="96" t="s">
        <v>3581</v>
      </c>
      <c r="K77" s="89" t="s">
        <v>4929</v>
      </c>
      <c r="L77" s="89" t="s">
        <v>5620</v>
      </c>
    </row>
    <row r="78" spans="2:12">
      <c r="C78" s="94" t="s">
        <v>1373</v>
      </c>
      <c r="D78" s="94" t="s">
        <v>1399</v>
      </c>
      <c r="E78" s="89" t="s">
        <v>5621</v>
      </c>
      <c r="F78" s="89" t="s">
        <v>5622</v>
      </c>
      <c r="G78" s="95" t="s">
        <v>2639</v>
      </c>
      <c r="H78" s="89" t="s">
        <v>5623</v>
      </c>
      <c r="I78" s="89" t="s">
        <v>2692</v>
      </c>
      <c r="J78" s="96" t="s">
        <v>3459</v>
      </c>
      <c r="K78" s="89" t="s">
        <v>5624</v>
      </c>
      <c r="L78" s="89" t="s">
        <v>5625</v>
      </c>
    </row>
    <row r="79" spans="2:12">
      <c r="C79" s="94"/>
      <c r="D79" s="94"/>
      <c r="E79" s="89" t="s">
        <v>5626</v>
      </c>
      <c r="F79" s="89" t="s">
        <v>5627</v>
      </c>
      <c r="G79" s="95" t="s">
        <v>2640</v>
      </c>
      <c r="H79" s="89" t="s">
        <v>5628</v>
      </c>
      <c r="I79" s="89" t="s">
        <v>4319</v>
      </c>
      <c r="J79" s="96" t="s">
        <v>3453</v>
      </c>
      <c r="K79" s="89" t="s">
        <v>5629</v>
      </c>
      <c r="L79" s="89" t="s">
        <v>5630</v>
      </c>
    </row>
    <row r="80" spans="2:12">
      <c r="C80" s="94"/>
      <c r="D80" s="94"/>
      <c r="E80" s="89" t="s">
        <v>5631</v>
      </c>
      <c r="F80" s="89" t="s">
        <v>5632</v>
      </c>
      <c r="G80" s="95" t="s">
        <v>2639</v>
      </c>
      <c r="H80" s="89" t="s">
        <v>5633</v>
      </c>
      <c r="I80" s="89" t="s">
        <v>5634</v>
      </c>
      <c r="J80" s="96" t="s">
        <v>3459</v>
      </c>
      <c r="K80" s="89" t="s">
        <v>5635</v>
      </c>
      <c r="L80" s="89" t="s">
        <v>5636</v>
      </c>
    </row>
    <row r="81" spans="3:12">
      <c r="C81" s="94"/>
      <c r="D81" s="94"/>
      <c r="E81" s="89" t="s">
        <v>2203</v>
      </c>
      <c r="F81" s="89" t="s">
        <v>5637</v>
      </c>
      <c r="G81" s="95" t="s">
        <v>2639</v>
      </c>
      <c r="H81" s="89" t="s">
        <v>5638</v>
      </c>
      <c r="I81" s="89" t="s">
        <v>5639</v>
      </c>
      <c r="J81" s="96" t="s">
        <v>3453</v>
      </c>
      <c r="K81" s="89" t="s">
        <v>5640</v>
      </c>
      <c r="L81" s="89" t="s">
        <v>5641</v>
      </c>
    </row>
    <row r="82" spans="3:12">
      <c r="C82" s="94"/>
      <c r="D82" s="94"/>
      <c r="E82" s="89" t="s">
        <v>5642</v>
      </c>
      <c r="F82" s="89" t="s">
        <v>5643</v>
      </c>
      <c r="G82" s="95" t="s">
        <v>2640</v>
      </c>
      <c r="H82" s="89" t="s">
        <v>5596</v>
      </c>
      <c r="I82" s="89" t="s">
        <v>5644</v>
      </c>
      <c r="J82" s="96" t="s">
        <v>3459</v>
      </c>
      <c r="K82" s="89" t="s">
        <v>5645</v>
      </c>
      <c r="L82" s="89" t="s">
        <v>5646</v>
      </c>
    </row>
    <row r="83" spans="3:12">
      <c r="C83" s="94"/>
      <c r="D83" s="94" t="s">
        <v>1400</v>
      </c>
      <c r="E83" s="89" t="s">
        <v>5647</v>
      </c>
      <c r="F83" s="89" t="s">
        <v>5648</v>
      </c>
      <c r="G83" s="95" t="s">
        <v>2639</v>
      </c>
      <c r="H83" s="89" t="s">
        <v>5649</v>
      </c>
      <c r="I83" s="89" t="s">
        <v>5650</v>
      </c>
      <c r="J83" s="96" t="s">
        <v>3453</v>
      </c>
      <c r="K83" s="89" t="s">
        <v>5651</v>
      </c>
      <c r="L83" s="89" t="s">
        <v>5652</v>
      </c>
    </row>
    <row r="84" spans="3:12">
      <c r="C84" s="94"/>
      <c r="D84" s="94"/>
      <c r="E84" s="89" t="s">
        <v>5653</v>
      </c>
      <c r="F84" s="89" t="s">
        <v>5654</v>
      </c>
      <c r="G84" s="95" t="s">
        <v>2639</v>
      </c>
      <c r="H84" s="89" t="s">
        <v>5655</v>
      </c>
      <c r="I84" s="89" t="s">
        <v>5656</v>
      </c>
      <c r="J84" s="96" t="s">
        <v>3459</v>
      </c>
      <c r="K84" s="89" t="s">
        <v>5657</v>
      </c>
      <c r="L84" s="89" t="s">
        <v>5658</v>
      </c>
    </row>
    <row r="85" spans="3:12">
      <c r="C85" s="94"/>
      <c r="D85" s="94"/>
      <c r="E85" s="89" t="s">
        <v>5659</v>
      </c>
      <c r="F85" s="89" t="s">
        <v>5660</v>
      </c>
      <c r="G85" s="95" t="s">
        <v>2640</v>
      </c>
      <c r="H85" s="89" t="s">
        <v>5661</v>
      </c>
      <c r="I85" s="89" t="s">
        <v>5662</v>
      </c>
      <c r="J85" s="96" t="s">
        <v>3453</v>
      </c>
      <c r="K85" s="89" t="s">
        <v>5663</v>
      </c>
      <c r="L85" s="89" t="s">
        <v>5664</v>
      </c>
    </row>
    <row r="86" spans="3:12">
      <c r="C86" s="94"/>
      <c r="D86" s="94"/>
      <c r="E86" s="89" t="s">
        <v>5665</v>
      </c>
      <c r="F86" s="89" t="s">
        <v>5666</v>
      </c>
      <c r="G86" s="95" t="s">
        <v>2641</v>
      </c>
      <c r="H86" s="89" t="s">
        <v>5667</v>
      </c>
      <c r="I86" s="89" t="s">
        <v>5668</v>
      </c>
      <c r="J86" s="96" t="s">
        <v>3459</v>
      </c>
      <c r="K86" s="89" t="s">
        <v>5669</v>
      </c>
      <c r="L86" s="89" t="s">
        <v>5670</v>
      </c>
    </row>
    <row r="87" spans="3:12">
      <c r="C87" s="94"/>
      <c r="D87" s="94"/>
      <c r="E87" s="89" t="s">
        <v>5671</v>
      </c>
      <c r="F87" s="89" t="s">
        <v>5672</v>
      </c>
      <c r="G87" s="95" t="s">
        <v>2640</v>
      </c>
      <c r="H87" s="89" t="s">
        <v>5673</v>
      </c>
      <c r="I87" s="89" t="s">
        <v>5674</v>
      </c>
      <c r="J87" s="96" t="s">
        <v>3459</v>
      </c>
      <c r="K87" s="89" t="s">
        <v>5675</v>
      </c>
      <c r="L87" s="89" t="s">
        <v>5676</v>
      </c>
    </row>
    <row r="88" spans="3:12">
      <c r="C88" s="94"/>
      <c r="D88" s="94" t="s">
        <v>1401</v>
      </c>
      <c r="E88" s="89" t="s">
        <v>5677</v>
      </c>
      <c r="F88" s="89" t="s">
        <v>5678</v>
      </c>
      <c r="G88" s="95" t="s">
        <v>2639</v>
      </c>
      <c r="H88" s="89" t="s">
        <v>5679</v>
      </c>
      <c r="I88" s="89" t="s">
        <v>5680</v>
      </c>
      <c r="J88" s="96" t="s">
        <v>3453</v>
      </c>
      <c r="K88" s="89" t="s">
        <v>5681</v>
      </c>
      <c r="L88" s="89" t="s">
        <v>5682</v>
      </c>
    </row>
    <row r="89" spans="3:12">
      <c r="C89" s="94"/>
      <c r="D89" s="94"/>
      <c r="E89" s="89" t="s">
        <v>5683</v>
      </c>
      <c r="F89" s="89" t="s">
        <v>5684</v>
      </c>
      <c r="G89" s="95" t="s">
        <v>2639</v>
      </c>
      <c r="H89" s="89" t="s">
        <v>5685</v>
      </c>
      <c r="I89" s="89" t="s">
        <v>5686</v>
      </c>
      <c r="J89" s="96" t="s">
        <v>3453</v>
      </c>
      <c r="K89" s="89" t="s">
        <v>5687</v>
      </c>
      <c r="L89" s="89" t="s">
        <v>5688</v>
      </c>
    </row>
    <row r="90" spans="3:12">
      <c r="C90" s="94"/>
      <c r="D90" s="94"/>
      <c r="E90" s="89" t="s">
        <v>5689</v>
      </c>
      <c r="F90" s="89" t="s">
        <v>5690</v>
      </c>
      <c r="G90" s="95" t="s">
        <v>2640</v>
      </c>
      <c r="H90" s="89" t="s">
        <v>5591</v>
      </c>
      <c r="I90" s="89" t="s">
        <v>5691</v>
      </c>
      <c r="J90" s="96" t="s">
        <v>3459</v>
      </c>
      <c r="K90" s="89" t="s">
        <v>5692</v>
      </c>
      <c r="L90" s="89" t="s">
        <v>5693</v>
      </c>
    </row>
    <row r="91" spans="3:12">
      <c r="C91" s="94"/>
      <c r="D91" s="94"/>
      <c r="E91" s="89" t="s">
        <v>5694</v>
      </c>
      <c r="F91" s="89" t="s">
        <v>5695</v>
      </c>
      <c r="G91" s="95" t="s">
        <v>2639</v>
      </c>
      <c r="H91" s="89" t="s">
        <v>5696</v>
      </c>
      <c r="I91" s="89" t="s">
        <v>5697</v>
      </c>
      <c r="J91" s="96" t="s">
        <v>3453</v>
      </c>
      <c r="K91" s="89" t="s">
        <v>5698</v>
      </c>
      <c r="L91" s="89" t="s">
        <v>5699</v>
      </c>
    </row>
    <row r="92" spans="3:12">
      <c r="C92" s="94"/>
      <c r="D92" s="94"/>
      <c r="E92" s="89" t="s">
        <v>5700</v>
      </c>
      <c r="F92" s="89" t="s">
        <v>5701</v>
      </c>
      <c r="G92" s="95" t="s">
        <v>2640</v>
      </c>
      <c r="H92" s="89" t="s">
        <v>5702</v>
      </c>
      <c r="I92" s="89" t="s">
        <v>5703</v>
      </c>
      <c r="J92" s="96" t="s">
        <v>3459</v>
      </c>
      <c r="K92" s="89" t="s">
        <v>5704</v>
      </c>
      <c r="L92" s="89" t="s">
        <v>5705</v>
      </c>
    </row>
    <row r="93" spans="3:12">
      <c r="C93" s="94"/>
      <c r="D93" s="94" t="s">
        <v>1402</v>
      </c>
      <c r="E93" s="89" t="s">
        <v>5706</v>
      </c>
      <c r="F93" s="89" t="s">
        <v>5707</v>
      </c>
      <c r="G93" s="95" t="s">
        <v>2639</v>
      </c>
      <c r="H93" s="89" t="s">
        <v>5708</v>
      </c>
      <c r="I93" s="89" t="s">
        <v>5709</v>
      </c>
      <c r="J93" s="96" t="s">
        <v>3453</v>
      </c>
      <c r="K93" s="89" t="s">
        <v>5710</v>
      </c>
      <c r="L93" s="89" t="s">
        <v>5711</v>
      </c>
    </row>
    <row r="94" spans="3:12">
      <c r="C94" s="94"/>
      <c r="D94" s="94"/>
      <c r="E94" s="89" t="s">
        <v>5712</v>
      </c>
      <c r="F94" s="89" t="s">
        <v>5713</v>
      </c>
      <c r="G94" s="95" t="s">
        <v>2639</v>
      </c>
      <c r="H94" s="89" t="s">
        <v>5714</v>
      </c>
      <c r="I94" s="89" t="s">
        <v>5715</v>
      </c>
      <c r="J94" s="96" t="s">
        <v>3459</v>
      </c>
      <c r="K94" s="89" t="s">
        <v>5307</v>
      </c>
      <c r="L94" s="89" t="s">
        <v>5716</v>
      </c>
    </row>
    <row r="95" spans="3:12">
      <c r="C95" s="94"/>
      <c r="D95" s="94"/>
      <c r="E95" s="89" t="s">
        <v>5717</v>
      </c>
      <c r="F95" s="89" t="s">
        <v>5718</v>
      </c>
      <c r="G95" s="95" t="s">
        <v>2639</v>
      </c>
      <c r="H95" s="89" t="s">
        <v>5719</v>
      </c>
      <c r="I95" s="89" t="s">
        <v>3516</v>
      </c>
      <c r="J95" s="96" t="s">
        <v>3459</v>
      </c>
      <c r="K95" s="89" t="s">
        <v>5720</v>
      </c>
      <c r="L95" s="89" t="s">
        <v>5721</v>
      </c>
    </row>
    <row r="96" spans="3:12">
      <c r="C96" s="94"/>
      <c r="D96" s="94"/>
      <c r="E96" s="89" t="s">
        <v>5722</v>
      </c>
      <c r="F96" s="89" t="s">
        <v>5723</v>
      </c>
      <c r="G96" s="95" t="s">
        <v>2640</v>
      </c>
      <c r="H96" s="89" t="s">
        <v>5724</v>
      </c>
      <c r="I96" s="89" t="s">
        <v>5725</v>
      </c>
      <c r="J96" s="96" t="s">
        <v>3453</v>
      </c>
      <c r="K96" s="89" t="s">
        <v>5726</v>
      </c>
      <c r="L96" s="89" t="s">
        <v>5727</v>
      </c>
    </row>
    <row r="97" spans="3:12">
      <c r="C97" s="94"/>
      <c r="D97" s="94"/>
      <c r="E97" s="89" t="s">
        <v>5728</v>
      </c>
      <c r="F97" s="89" t="s">
        <v>5729</v>
      </c>
      <c r="G97" s="95" t="s">
        <v>2639</v>
      </c>
      <c r="H97" s="89" t="s">
        <v>5730</v>
      </c>
      <c r="I97" s="89" t="s">
        <v>5731</v>
      </c>
      <c r="J97" s="96" t="s">
        <v>3459</v>
      </c>
      <c r="K97" s="89" t="s">
        <v>5732</v>
      </c>
      <c r="L97" s="89" t="s">
        <v>5733</v>
      </c>
    </row>
    <row r="98" spans="3:12">
      <c r="C98" s="94"/>
      <c r="D98" s="94" t="s">
        <v>1403</v>
      </c>
      <c r="E98" s="89" t="s">
        <v>5734</v>
      </c>
      <c r="F98" s="89" t="s">
        <v>5735</v>
      </c>
      <c r="G98" s="95" t="s">
        <v>2639</v>
      </c>
      <c r="H98" s="89" t="s">
        <v>5708</v>
      </c>
      <c r="I98" s="89" t="s">
        <v>3950</v>
      </c>
      <c r="J98" s="96" t="s">
        <v>3453</v>
      </c>
      <c r="K98" s="89" t="s">
        <v>5736</v>
      </c>
      <c r="L98" s="89" t="s">
        <v>5737</v>
      </c>
    </row>
    <row r="99" spans="3:12">
      <c r="C99" s="94"/>
      <c r="D99" s="94"/>
      <c r="E99" s="89" t="s">
        <v>5738</v>
      </c>
      <c r="F99" s="89" t="s">
        <v>5739</v>
      </c>
      <c r="G99" s="95" t="s">
        <v>2639</v>
      </c>
      <c r="H99" s="89" t="s">
        <v>5740</v>
      </c>
      <c r="I99" s="89" t="s">
        <v>5741</v>
      </c>
      <c r="J99" s="96" t="s">
        <v>3459</v>
      </c>
      <c r="K99" s="89" t="s">
        <v>5742</v>
      </c>
      <c r="L99" s="89" t="s">
        <v>5743</v>
      </c>
    </row>
    <row r="100" spans="3:12">
      <c r="C100" s="94"/>
      <c r="D100" s="94"/>
      <c r="E100" s="89" t="s">
        <v>5744</v>
      </c>
      <c r="F100" s="89" t="s">
        <v>5745</v>
      </c>
      <c r="G100" s="95" t="s">
        <v>2640</v>
      </c>
      <c r="H100" s="89" t="s">
        <v>5746</v>
      </c>
      <c r="I100" s="89" t="s">
        <v>5747</v>
      </c>
      <c r="J100" s="96" t="s">
        <v>3453</v>
      </c>
      <c r="K100" s="89" t="s">
        <v>5748</v>
      </c>
      <c r="L100" s="89" t="s">
        <v>5749</v>
      </c>
    </row>
    <row r="101" spans="3:12">
      <c r="C101" s="94"/>
      <c r="D101" s="94"/>
      <c r="E101" s="89" t="s">
        <v>4260</v>
      </c>
      <c r="F101" s="89" t="s">
        <v>5750</v>
      </c>
      <c r="G101" s="95" t="s">
        <v>2639</v>
      </c>
      <c r="H101" s="89" t="s">
        <v>5751</v>
      </c>
      <c r="I101" s="89" t="s">
        <v>5752</v>
      </c>
      <c r="J101" s="96" t="s">
        <v>3459</v>
      </c>
      <c r="K101" s="89" t="s">
        <v>2873</v>
      </c>
      <c r="L101" s="89" t="s">
        <v>5753</v>
      </c>
    </row>
    <row r="102" spans="3:12">
      <c r="C102" s="94"/>
      <c r="D102" s="94"/>
      <c r="E102" s="89" t="s">
        <v>3489</v>
      </c>
      <c r="F102" s="89" t="s">
        <v>5754</v>
      </c>
      <c r="G102" s="95" t="s">
        <v>2639</v>
      </c>
      <c r="H102" s="89" t="s">
        <v>5755</v>
      </c>
      <c r="I102" s="89" t="s">
        <v>5756</v>
      </c>
      <c r="J102" s="96" t="s">
        <v>3453</v>
      </c>
      <c r="K102" s="89" t="s">
        <v>5757</v>
      </c>
      <c r="L102" s="89" t="s">
        <v>5758</v>
      </c>
    </row>
    <row r="103" spans="3:12">
      <c r="C103" s="94" t="s">
        <v>1374</v>
      </c>
      <c r="D103" s="94" t="s">
        <v>1404</v>
      </c>
      <c r="E103" s="89" t="s">
        <v>5759</v>
      </c>
      <c r="F103" s="89" t="s">
        <v>5760</v>
      </c>
      <c r="G103" s="95" t="s">
        <v>2639</v>
      </c>
      <c r="H103" s="89" t="s">
        <v>5761</v>
      </c>
      <c r="I103" s="89" t="s">
        <v>5762</v>
      </c>
      <c r="J103" s="96" t="s">
        <v>3453</v>
      </c>
      <c r="K103" s="89" t="s">
        <v>5763</v>
      </c>
      <c r="L103" s="89" t="s">
        <v>5764</v>
      </c>
    </row>
    <row r="104" spans="3:12">
      <c r="C104" s="94"/>
      <c r="D104" s="94"/>
      <c r="E104" s="89" t="s">
        <v>5765</v>
      </c>
      <c r="F104" s="89" t="s">
        <v>5766</v>
      </c>
      <c r="G104" s="95" t="s">
        <v>2640</v>
      </c>
      <c r="H104" s="89" t="s">
        <v>5767</v>
      </c>
      <c r="I104" s="89" t="s">
        <v>5768</v>
      </c>
      <c r="J104" s="96" t="s">
        <v>3453</v>
      </c>
      <c r="K104" s="89" t="s">
        <v>5769</v>
      </c>
      <c r="L104" s="89" t="s">
        <v>5770</v>
      </c>
    </row>
    <row r="105" spans="3:12">
      <c r="C105" s="94"/>
      <c r="D105" s="94"/>
      <c r="E105" s="89" t="s">
        <v>5771</v>
      </c>
      <c r="F105" s="89" t="s">
        <v>5772</v>
      </c>
      <c r="G105" s="95" t="s">
        <v>2639</v>
      </c>
      <c r="H105" s="89" t="s">
        <v>5773</v>
      </c>
      <c r="I105" s="89" t="s">
        <v>5774</v>
      </c>
      <c r="J105" s="96" t="s">
        <v>3453</v>
      </c>
      <c r="K105" s="89" t="s">
        <v>5775</v>
      </c>
      <c r="L105" s="89" t="s">
        <v>5776</v>
      </c>
    </row>
    <row r="106" spans="3:12">
      <c r="C106" s="94"/>
      <c r="D106" s="94"/>
      <c r="E106" s="89" t="s">
        <v>5777</v>
      </c>
      <c r="F106" s="89" t="s">
        <v>5778</v>
      </c>
      <c r="G106" s="95" t="s">
        <v>2641</v>
      </c>
      <c r="H106" s="89" t="s">
        <v>5779</v>
      </c>
      <c r="I106" s="89" t="s">
        <v>5780</v>
      </c>
      <c r="J106" s="96" t="s">
        <v>3459</v>
      </c>
      <c r="K106" s="89" t="s">
        <v>5781</v>
      </c>
      <c r="L106" s="89" t="s">
        <v>5782</v>
      </c>
    </row>
    <row r="107" spans="3:12">
      <c r="C107" s="94"/>
      <c r="D107" s="94"/>
      <c r="E107" s="89" t="s">
        <v>4282</v>
      </c>
      <c r="F107" s="89" t="s">
        <v>5783</v>
      </c>
      <c r="G107" s="95" t="s">
        <v>2640</v>
      </c>
      <c r="H107" s="89" t="s">
        <v>5784</v>
      </c>
      <c r="I107" s="89" t="s">
        <v>5785</v>
      </c>
      <c r="J107" s="96" t="s">
        <v>3459</v>
      </c>
      <c r="K107" s="89" t="s">
        <v>5786</v>
      </c>
      <c r="L107" s="89" t="s">
        <v>5787</v>
      </c>
    </row>
    <row r="108" spans="3:12">
      <c r="C108" s="94"/>
      <c r="D108" s="94" t="s">
        <v>1405</v>
      </c>
      <c r="E108" s="89" t="s">
        <v>5788</v>
      </c>
      <c r="F108" s="89" t="s">
        <v>5789</v>
      </c>
      <c r="G108" s="95" t="s">
        <v>2639</v>
      </c>
      <c r="H108" s="89" t="s">
        <v>5790</v>
      </c>
      <c r="I108" s="89" t="s">
        <v>5791</v>
      </c>
      <c r="J108" s="96" t="s">
        <v>3453</v>
      </c>
      <c r="K108" s="89" t="s">
        <v>5792</v>
      </c>
      <c r="L108" s="89" t="s">
        <v>5793</v>
      </c>
    </row>
    <row r="109" spans="3:12">
      <c r="C109" s="94"/>
      <c r="D109" s="94"/>
      <c r="E109" s="89" t="s">
        <v>5794</v>
      </c>
      <c r="F109" s="89" t="s">
        <v>5795</v>
      </c>
      <c r="G109" s="95" t="s">
        <v>2639</v>
      </c>
      <c r="H109" s="89" t="s">
        <v>5796</v>
      </c>
      <c r="I109" s="89" t="s">
        <v>4043</v>
      </c>
      <c r="J109" s="96" t="s">
        <v>3453</v>
      </c>
      <c r="K109" s="89" t="s">
        <v>5797</v>
      </c>
      <c r="L109" s="89" t="s">
        <v>5798</v>
      </c>
    </row>
    <row r="110" spans="3:12">
      <c r="C110" s="94"/>
      <c r="D110" s="94"/>
      <c r="E110" s="89" t="s">
        <v>5799</v>
      </c>
      <c r="F110" s="89" t="s">
        <v>5800</v>
      </c>
      <c r="G110" s="95" t="s">
        <v>2641</v>
      </c>
      <c r="H110" s="89" t="s">
        <v>5801</v>
      </c>
      <c r="I110" s="89" t="s">
        <v>5802</v>
      </c>
      <c r="J110" s="96" t="s">
        <v>3459</v>
      </c>
      <c r="K110" s="89" t="s">
        <v>5803</v>
      </c>
      <c r="L110" s="89" t="s">
        <v>5804</v>
      </c>
    </row>
    <row r="111" spans="3:12">
      <c r="C111" s="94"/>
      <c r="D111" s="94"/>
      <c r="E111" s="89" t="s">
        <v>5805</v>
      </c>
      <c r="F111" s="89" t="s">
        <v>5806</v>
      </c>
      <c r="G111" s="95" t="s">
        <v>2639</v>
      </c>
      <c r="H111" s="89" t="s">
        <v>5807</v>
      </c>
      <c r="I111" s="89" t="s">
        <v>5808</v>
      </c>
      <c r="J111" s="96" t="s">
        <v>3453</v>
      </c>
      <c r="K111" s="89" t="s">
        <v>5809</v>
      </c>
      <c r="L111" s="89" t="s">
        <v>5810</v>
      </c>
    </row>
    <row r="112" spans="3:12">
      <c r="C112" s="94"/>
      <c r="D112" s="94"/>
      <c r="E112" s="89" t="s">
        <v>5811</v>
      </c>
      <c r="F112" s="89" t="s">
        <v>5812</v>
      </c>
      <c r="G112" s="95" t="s">
        <v>2640</v>
      </c>
      <c r="H112" s="89" t="s">
        <v>5813</v>
      </c>
      <c r="I112" s="89" t="s">
        <v>5814</v>
      </c>
      <c r="J112" s="96" t="s">
        <v>3459</v>
      </c>
      <c r="K112" s="89" t="s">
        <v>5815</v>
      </c>
      <c r="L112" s="89" t="s">
        <v>5816</v>
      </c>
    </row>
    <row r="113" spans="3:12">
      <c r="C113" s="94"/>
      <c r="D113" s="94" t="s">
        <v>1406</v>
      </c>
      <c r="E113" s="89" t="s">
        <v>5817</v>
      </c>
      <c r="F113" s="89" t="s">
        <v>5818</v>
      </c>
      <c r="G113" s="95" t="s">
        <v>2639</v>
      </c>
      <c r="H113" s="89" t="s">
        <v>5819</v>
      </c>
      <c r="I113" s="89" t="s">
        <v>5820</v>
      </c>
      <c r="J113" s="96" t="s">
        <v>3453</v>
      </c>
      <c r="K113" s="89" t="s">
        <v>5821</v>
      </c>
      <c r="L113" s="89" t="s">
        <v>5822</v>
      </c>
    </row>
    <row r="114" spans="3:12">
      <c r="C114" s="94"/>
      <c r="D114" s="94"/>
      <c r="E114" s="89" t="s">
        <v>5823</v>
      </c>
      <c r="F114" s="89" t="s">
        <v>5824</v>
      </c>
      <c r="G114" s="95" t="s">
        <v>2639</v>
      </c>
      <c r="H114" s="89" t="s">
        <v>5825</v>
      </c>
      <c r="I114" s="89" t="s">
        <v>5826</v>
      </c>
      <c r="J114" s="96" t="s">
        <v>3453</v>
      </c>
      <c r="K114" s="89" t="s">
        <v>5827</v>
      </c>
      <c r="L114" s="89" t="s">
        <v>5828</v>
      </c>
    </row>
    <row r="115" spans="3:12">
      <c r="C115" s="94"/>
      <c r="D115" s="94"/>
      <c r="E115" s="89" t="s">
        <v>5829</v>
      </c>
      <c r="F115" s="89" t="s">
        <v>5830</v>
      </c>
      <c r="G115" s="95" t="s">
        <v>2641</v>
      </c>
      <c r="H115" s="89" t="s">
        <v>5831</v>
      </c>
      <c r="I115" s="89" t="s">
        <v>5832</v>
      </c>
      <c r="J115" s="96" t="s">
        <v>3453</v>
      </c>
      <c r="K115" s="89" t="s">
        <v>5833</v>
      </c>
      <c r="L115" s="89" t="s">
        <v>5834</v>
      </c>
    </row>
    <row r="116" spans="3:12">
      <c r="C116" s="94"/>
      <c r="D116" s="94"/>
      <c r="E116" s="89" t="s">
        <v>5835</v>
      </c>
      <c r="F116" s="89" t="s">
        <v>5836</v>
      </c>
      <c r="G116" s="95" t="s">
        <v>2639</v>
      </c>
      <c r="H116" s="89" t="s">
        <v>5837</v>
      </c>
      <c r="I116" s="89" t="s">
        <v>5838</v>
      </c>
      <c r="J116" s="96" t="s">
        <v>3459</v>
      </c>
      <c r="K116" s="89" t="s">
        <v>5839</v>
      </c>
      <c r="L116" s="89" t="s">
        <v>5840</v>
      </c>
    </row>
    <row r="117" spans="3:12">
      <c r="C117" s="94"/>
      <c r="D117" s="94"/>
      <c r="E117" s="89" t="s">
        <v>3853</v>
      </c>
      <c r="F117" s="89" t="s">
        <v>5841</v>
      </c>
      <c r="G117" s="95" t="s">
        <v>2640</v>
      </c>
      <c r="H117" s="89" t="s">
        <v>5842</v>
      </c>
      <c r="I117" s="89" t="s">
        <v>5843</v>
      </c>
      <c r="J117" s="96" t="s">
        <v>3459</v>
      </c>
      <c r="K117" s="89" t="s">
        <v>5844</v>
      </c>
      <c r="L117" s="89" t="s">
        <v>5845</v>
      </c>
    </row>
    <row r="118" spans="3:12">
      <c r="C118" s="94"/>
      <c r="D118" s="94" t="s">
        <v>1407</v>
      </c>
      <c r="E118" s="89" t="s">
        <v>5846</v>
      </c>
      <c r="F118" s="89" t="s">
        <v>5847</v>
      </c>
      <c r="G118" s="95" t="s">
        <v>2639</v>
      </c>
      <c r="H118" s="89" t="s">
        <v>5848</v>
      </c>
      <c r="I118" s="89" t="s">
        <v>5849</v>
      </c>
      <c r="J118" s="96" t="s">
        <v>3453</v>
      </c>
      <c r="K118" s="89" t="s">
        <v>5850</v>
      </c>
      <c r="L118" s="89" t="s">
        <v>5851</v>
      </c>
    </row>
    <row r="119" spans="3:12">
      <c r="C119" s="94"/>
      <c r="D119" s="94"/>
      <c r="E119" s="89" t="s">
        <v>5702</v>
      </c>
      <c r="F119" s="89" t="s">
        <v>5852</v>
      </c>
      <c r="G119" s="95" t="s">
        <v>2639</v>
      </c>
      <c r="H119" s="89" t="s">
        <v>5853</v>
      </c>
      <c r="I119" s="89" t="s">
        <v>5854</v>
      </c>
      <c r="J119" s="96" t="s">
        <v>3453</v>
      </c>
      <c r="K119" s="89" t="s">
        <v>5855</v>
      </c>
      <c r="L119" s="89" t="s">
        <v>5856</v>
      </c>
    </row>
    <row r="120" spans="3:12">
      <c r="C120" s="94"/>
      <c r="D120" s="94"/>
      <c r="E120" s="89" t="s">
        <v>5857</v>
      </c>
      <c r="F120" s="89" t="s">
        <v>5858</v>
      </c>
      <c r="G120" s="95" t="s">
        <v>2639</v>
      </c>
      <c r="H120" s="89" t="s">
        <v>5859</v>
      </c>
      <c r="I120" s="89" t="s">
        <v>3141</v>
      </c>
      <c r="J120" s="96" t="s">
        <v>3453</v>
      </c>
      <c r="K120" s="89" t="s">
        <v>5860</v>
      </c>
      <c r="L120" s="89" t="s">
        <v>5861</v>
      </c>
    </row>
    <row r="121" spans="3:12">
      <c r="C121" s="94"/>
      <c r="D121" s="94"/>
      <c r="E121" s="89" t="s">
        <v>5862</v>
      </c>
      <c r="F121" s="89" t="s">
        <v>5863</v>
      </c>
      <c r="G121" s="95" t="s">
        <v>2640</v>
      </c>
      <c r="H121" s="89" t="s">
        <v>5864</v>
      </c>
      <c r="I121" s="89" t="s">
        <v>5865</v>
      </c>
      <c r="J121" s="96" t="s">
        <v>3453</v>
      </c>
      <c r="K121" s="89" t="s">
        <v>5866</v>
      </c>
      <c r="L121" s="89" t="s">
        <v>5867</v>
      </c>
    </row>
    <row r="122" spans="3:12">
      <c r="C122" s="94"/>
      <c r="D122" s="94"/>
      <c r="E122" s="89" t="s">
        <v>5868</v>
      </c>
      <c r="F122" s="89" t="s">
        <v>5869</v>
      </c>
      <c r="G122" s="95" t="s">
        <v>2640</v>
      </c>
      <c r="H122" s="89" t="s">
        <v>5870</v>
      </c>
      <c r="I122" s="89" t="s">
        <v>5871</v>
      </c>
      <c r="J122" s="96" t="s">
        <v>3459</v>
      </c>
      <c r="K122" s="89" t="s">
        <v>5872</v>
      </c>
      <c r="L122" s="89" t="s">
        <v>5873</v>
      </c>
    </row>
    <row r="123" spans="3:12">
      <c r="C123" s="94"/>
      <c r="D123" s="94" t="s">
        <v>1408</v>
      </c>
      <c r="E123" s="89" t="s">
        <v>5874</v>
      </c>
      <c r="F123" s="89" t="s">
        <v>5875</v>
      </c>
      <c r="G123" s="95" t="s">
        <v>2639</v>
      </c>
      <c r="H123" s="89" t="s">
        <v>5876</v>
      </c>
      <c r="I123" s="89" t="s">
        <v>5877</v>
      </c>
      <c r="J123" s="96" t="s">
        <v>3459</v>
      </c>
      <c r="K123" s="89" t="s">
        <v>5878</v>
      </c>
      <c r="L123" s="89" t="s">
        <v>5879</v>
      </c>
    </row>
    <row r="124" spans="3:12">
      <c r="C124" s="94"/>
      <c r="D124" s="94"/>
      <c r="E124" s="89" t="s">
        <v>5880</v>
      </c>
      <c r="F124" s="89" t="s">
        <v>5881</v>
      </c>
      <c r="G124" s="95" t="s">
        <v>2640</v>
      </c>
      <c r="H124" s="89" t="s">
        <v>5882</v>
      </c>
      <c r="I124" s="89" t="s">
        <v>5883</v>
      </c>
      <c r="J124" s="96" t="s">
        <v>3453</v>
      </c>
      <c r="K124" s="89" t="s">
        <v>5884</v>
      </c>
      <c r="L124" s="89" t="s">
        <v>5885</v>
      </c>
    </row>
    <row r="125" spans="3:12">
      <c r="C125" s="94"/>
      <c r="D125" s="94"/>
      <c r="E125" s="89" t="s">
        <v>5886</v>
      </c>
      <c r="F125" s="89" t="s">
        <v>5887</v>
      </c>
      <c r="G125" s="95" t="s">
        <v>2639</v>
      </c>
      <c r="H125" s="89" t="s">
        <v>5888</v>
      </c>
      <c r="I125" s="89" t="s">
        <v>5889</v>
      </c>
      <c r="J125" s="96" t="s">
        <v>3459</v>
      </c>
      <c r="K125" s="89" t="s">
        <v>5890</v>
      </c>
      <c r="L125" s="89" t="s">
        <v>5891</v>
      </c>
    </row>
    <row r="126" spans="3:12">
      <c r="C126" s="94"/>
      <c r="D126" s="94"/>
      <c r="E126" s="89" t="s">
        <v>5892</v>
      </c>
      <c r="F126" s="89" t="s">
        <v>5893</v>
      </c>
      <c r="G126" s="95" t="s">
        <v>2640</v>
      </c>
      <c r="H126" s="89" t="s">
        <v>5894</v>
      </c>
      <c r="I126" s="89" t="s">
        <v>5895</v>
      </c>
      <c r="J126" s="96" t="s">
        <v>3453</v>
      </c>
      <c r="K126" s="89" t="s">
        <v>5896</v>
      </c>
      <c r="L126" s="89" t="s">
        <v>5897</v>
      </c>
    </row>
    <row r="127" spans="3:12">
      <c r="C127" s="94"/>
      <c r="D127" s="94"/>
      <c r="E127" s="89" t="s">
        <v>5898</v>
      </c>
      <c r="F127" s="89" t="s">
        <v>5899</v>
      </c>
      <c r="G127" s="95" t="s">
        <v>2639</v>
      </c>
      <c r="H127" s="89" t="s">
        <v>5900</v>
      </c>
      <c r="I127" s="89" t="s">
        <v>5901</v>
      </c>
      <c r="J127" s="96" t="s">
        <v>3459</v>
      </c>
      <c r="K127" s="89" t="s">
        <v>5902</v>
      </c>
      <c r="L127" s="89" t="s">
        <v>5903</v>
      </c>
    </row>
    <row r="128" spans="3:12">
      <c r="C128" s="94" t="s">
        <v>1375</v>
      </c>
      <c r="D128" s="94" t="s">
        <v>1409</v>
      </c>
      <c r="E128" s="89" t="s">
        <v>5904</v>
      </c>
      <c r="F128" s="89" t="s">
        <v>5905</v>
      </c>
      <c r="G128" s="95" t="s">
        <v>2639</v>
      </c>
      <c r="H128" s="89" t="s">
        <v>5906</v>
      </c>
      <c r="I128" s="89" t="s">
        <v>5907</v>
      </c>
      <c r="J128" s="96" t="s">
        <v>3453</v>
      </c>
      <c r="K128" s="89" t="s">
        <v>5704</v>
      </c>
      <c r="L128" s="89" t="s">
        <v>5908</v>
      </c>
    </row>
    <row r="129" spans="3:12">
      <c r="C129" s="94"/>
      <c r="D129" s="94"/>
      <c r="E129" s="89" t="s">
        <v>5909</v>
      </c>
      <c r="F129" s="89" t="s">
        <v>5910</v>
      </c>
      <c r="G129" s="95" t="s">
        <v>2639</v>
      </c>
      <c r="H129" s="89" t="s">
        <v>5911</v>
      </c>
      <c r="I129" s="89" t="s">
        <v>5912</v>
      </c>
      <c r="J129" s="96" t="s">
        <v>3453</v>
      </c>
      <c r="K129" s="89" t="s">
        <v>5913</v>
      </c>
      <c r="L129" s="89" t="s">
        <v>5914</v>
      </c>
    </row>
    <row r="130" spans="3:12">
      <c r="C130" s="94"/>
      <c r="D130" s="94"/>
      <c r="E130" s="89" t="s">
        <v>5915</v>
      </c>
      <c r="F130" s="89" t="s">
        <v>5916</v>
      </c>
      <c r="G130" s="95" t="s">
        <v>2640</v>
      </c>
      <c r="H130" s="89" t="s">
        <v>5917</v>
      </c>
      <c r="I130" s="89" t="s">
        <v>5918</v>
      </c>
      <c r="J130" s="96" t="s">
        <v>3459</v>
      </c>
      <c r="K130" s="89" t="s">
        <v>5919</v>
      </c>
      <c r="L130" s="89" t="s">
        <v>5920</v>
      </c>
    </row>
    <row r="131" spans="3:12">
      <c r="C131" s="94"/>
      <c r="D131" s="94"/>
      <c r="E131" s="89" t="s">
        <v>5921</v>
      </c>
      <c r="F131" s="89" t="s">
        <v>5922</v>
      </c>
      <c r="G131" s="95" t="s">
        <v>2641</v>
      </c>
      <c r="H131" s="89" t="s">
        <v>5923</v>
      </c>
      <c r="I131" s="89" t="s">
        <v>3141</v>
      </c>
      <c r="J131" s="96" t="s">
        <v>3453</v>
      </c>
      <c r="K131" s="89" t="s">
        <v>5924</v>
      </c>
      <c r="L131" s="89" t="s">
        <v>5925</v>
      </c>
    </row>
    <row r="132" spans="3:12">
      <c r="C132" s="94"/>
      <c r="D132" s="94"/>
      <c r="E132" s="89" t="s">
        <v>5926</v>
      </c>
      <c r="F132" s="89" t="s">
        <v>5927</v>
      </c>
      <c r="G132" s="95" t="s">
        <v>2640</v>
      </c>
      <c r="H132" s="89" t="s">
        <v>5928</v>
      </c>
      <c r="I132" s="89" t="s">
        <v>5929</v>
      </c>
      <c r="J132" s="96" t="s">
        <v>3459</v>
      </c>
      <c r="K132" s="89" t="s">
        <v>5930</v>
      </c>
      <c r="L132" s="89" t="s">
        <v>5931</v>
      </c>
    </row>
    <row r="133" spans="3:12">
      <c r="C133" s="94"/>
      <c r="D133" s="94" t="s">
        <v>1410</v>
      </c>
      <c r="E133" s="89" t="s">
        <v>5932</v>
      </c>
      <c r="F133" s="89" t="s">
        <v>5933</v>
      </c>
      <c r="G133" s="95" t="s">
        <v>2639</v>
      </c>
      <c r="H133" s="89" t="s">
        <v>5934</v>
      </c>
      <c r="I133" s="89" t="s">
        <v>5935</v>
      </c>
      <c r="J133" s="96" t="s">
        <v>3453</v>
      </c>
      <c r="K133" s="89" t="s">
        <v>5936</v>
      </c>
      <c r="L133" s="89" t="s">
        <v>5937</v>
      </c>
    </row>
    <row r="134" spans="3:12">
      <c r="C134" s="94"/>
      <c r="D134" s="94"/>
      <c r="E134" s="89" t="s">
        <v>5938</v>
      </c>
      <c r="F134" s="89" t="s">
        <v>5939</v>
      </c>
      <c r="G134" s="95" t="s">
        <v>2640</v>
      </c>
      <c r="H134" s="89" t="s">
        <v>5940</v>
      </c>
      <c r="I134" s="89" t="s">
        <v>5941</v>
      </c>
      <c r="J134" s="96" t="s">
        <v>3453</v>
      </c>
      <c r="K134" s="89" t="s">
        <v>5942</v>
      </c>
      <c r="L134" s="89" t="s">
        <v>5943</v>
      </c>
    </row>
    <row r="135" spans="3:12">
      <c r="C135" s="94"/>
      <c r="D135" s="94"/>
      <c r="E135" s="89" t="s">
        <v>5944</v>
      </c>
      <c r="F135" s="89" t="s">
        <v>5945</v>
      </c>
      <c r="G135" s="95" t="s">
        <v>2639</v>
      </c>
      <c r="H135" s="89" t="s">
        <v>5934</v>
      </c>
      <c r="I135" s="89" t="s">
        <v>5946</v>
      </c>
      <c r="J135" s="96" t="s">
        <v>3459</v>
      </c>
      <c r="K135" s="89" t="s">
        <v>5947</v>
      </c>
      <c r="L135" s="89" t="s">
        <v>5948</v>
      </c>
    </row>
    <row r="136" spans="3:12">
      <c r="C136" s="94"/>
      <c r="D136" s="94"/>
      <c r="E136" s="89" t="s">
        <v>5949</v>
      </c>
      <c r="F136" s="89" t="s">
        <v>5950</v>
      </c>
      <c r="G136" s="95" t="s">
        <v>2641</v>
      </c>
      <c r="H136" s="89" t="s">
        <v>5951</v>
      </c>
      <c r="I136" s="89" t="s">
        <v>5952</v>
      </c>
      <c r="J136" s="96" t="s">
        <v>3453</v>
      </c>
      <c r="K136" s="89" t="s">
        <v>5953</v>
      </c>
      <c r="L136" s="89" t="s">
        <v>5954</v>
      </c>
    </row>
    <row r="137" spans="3:12">
      <c r="C137" s="94"/>
      <c r="D137" s="94"/>
      <c r="E137" s="89" t="s">
        <v>5955</v>
      </c>
      <c r="F137" s="89" t="s">
        <v>5956</v>
      </c>
      <c r="G137" s="95" t="s">
        <v>2640</v>
      </c>
      <c r="H137" s="89" t="s">
        <v>5864</v>
      </c>
      <c r="I137" s="89" t="s">
        <v>5957</v>
      </c>
      <c r="J137" s="96" t="s">
        <v>3453</v>
      </c>
      <c r="K137" s="89" t="s">
        <v>5958</v>
      </c>
      <c r="L137" s="89" t="s">
        <v>5959</v>
      </c>
    </row>
    <row r="138" spans="3:12">
      <c r="C138" s="94"/>
      <c r="D138" s="94" t="s">
        <v>1411</v>
      </c>
      <c r="E138" s="89" t="s">
        <v>5960</v>
      </c>
      <c r="F138" s="89" t="s">
        <v>5961</v>
      </c>
      <c r="G138" s="95" t="s">
        <v>2639</v>
      </c>
      <c r="H138" s="89" t="s">
        <v>5962</v>
      </c>
      <c r="I138" s="89" t="s">
        <v>5963</v>
      </c>
      <c r="J138" s="96" t="s">
        <v>3453</v>
      </c>
      <c r="K138" s="89" t="s">
        <v>5964</v>
      </c>
      <c r="L138" s="89" t="s">
        <v>5965</v>
      </c>
    </row>
    <row r="139" spans="3:12">
      <c r="C139" s="94"/>
      <c r="D139" s="94"/>
      <c r="E139" s="89" t="s">
        <v>5966</v>
      </c>
      <c r="F139" s="89" t="s">
        <v>5967</v>
      </c>
      <c r="G139" s="95" t="s">
        <v>2639</v>
      </c>
      <c r="H139" s="89" t="s">
        <v>5962</v>
      </c>
      <c r="I139" s="89" t="s">
        <v>5968</v>
      </c>
      <c r="J139" s="96" t="s">
        <v>3453</v>
      </c>
      <c r="K139" s="89" t="s">
        <v>5704</v>
      </c>
      <c r="L139" s="89" t="s">
        <v>5969</v>
      </c>
    </row>
    <row r="140" spans="3:12">
      <c r="C140" s="94"/>
      <c r="D140" s="94"/>
      <c r="E140" s="89" t="s">
        <v>5921</v>
      </c>
      <c r="F140" s="89" t="s">
        <v>5970</v>
      </c>
      <c r="G140" s="95" t="s">
        <v>2639</v>
      </c>
      <c r="H140" s="89" t="s">
        <v>5971</v>
      </c>
      <c r="I140" s="89" t="s">
        <v>5832</v>
      </c>
      <c r="J140" s="96" t="s">
        <v>3453</v>
      </c>
      <c r="K140" s="89" t="s">
        <v>5972</v>
      </c>
      <c r="L140" s="89" t="s">
        <v>5973</v>
      </c>
    </row>
    <row r="141" spans="3:12">
      <c r="C141" s="94"/>
      <c r="D141" s="94"/>
      <c r="E141" s="89" t="s">
        <v>5974</v>
      </c>
      <c r="F141" s="89" t="s">
        <v>5975</v>
      </c>
      <c r="G141" s="95" t="s">
        <v>2640</v>
      </c>
      <c r="H141" s="89" t="s">
        <v>5976</v>
      </c>
      <c r="I141" s="89" t="s">
        <v>5977</v>
      </c>
      <c r="J141" s="96" t="s">
        <v>3459</v>
      </c>
      <c r="K141" s="89" t="s">
        <v>5978</v>
      </c>
      <c r="L141" s="89" t="s">
        <v>5979</v>
      </c>
    </row>
    <row r="142" spans="3:12">
      <c r="C142" s="94"/>
      <c r="D142" s="94"/>
      <c r="E142" s="89" t="s">
        <v>5980</v>
      </c>
      <c r="F142" s="89" t="s">
        <v>5981</v>
      </c>
      <c r="G142" s="95" t="s">
        <v>2639</v>
      </c>
      <c r="H142" s="89" t="s">
        <v>5962</v>
      </c>
      <c r="I142" s="89" t="s">
        <v>3827</v>
      </c>
      <c r="J142" s="96" t="s">
        <v>3459</v>
      </c>
      <c r="K142" s="89" t="s">
        <v>5982</v>
      </c>
      <c r="L142" s="89" t="s">
        <v>5983</v>
      </c>
    </row>
    <row r="143" spans="3:12">
      <c r="C143" s="94"/>
      <c r="D143" s="94" t="s">
        <v>1412</v>
      </c>
      <c r="E143" s="89" t="s">
        <v>5984</v>
      </c>
      <c r="F143" s="89" t="s">
        <v>5985</v>
      </c>
      <c r="G143" s="95" t="s">
        <v>2639</v>
      </c>
      <c r="H143" s="89" t="s">
        <v>5986</v>
      </c>
      <c r="I143" s="89" t="s">
        <v>5987</v>
      </c>
      <c r="J143" s="96" t="s">
        <v>3453</v>
      </c>
      <c r="K143" s="89" t="s">
        <v>5988</v>
      </c>
      <c r="L143" s="89" t="s">
        <v>5989</v>
      </c>
    </row>
    <row r="144" spans="3:12">
      <c r="C144" s="94"/>
      <c r="D144" s="94"/>
      <c r="E144" s="89" t="s">
        <v>5990</v>
      </c>
      <c r="F144" s="89" t="s">
        <v>5991</v>
      </c>
      <c r="G144" s="95" t="s">
        <v>2640</v>
      </c>
      <c r="H144" s="89" t="s">
        <v>5992</v>
      </c>
      <c r="I144" s="89" t="s">
        <v>5993</v>
      </c>
      <c r="J144" s="96" t="s">
        <v>3453</v>
      </c>
      <c r="K144" s="89" t="s">
        <v>5994</v>
      </c>
      <c r="L144" s="89" t="s">
        <v>5995</v>
      </c>
    </row>
    <row r="145" spans="3:12">
      <c r="C145" s="94"/>
      <c r="D145" s="94"/>
      <c r="E145" s="89" t="s">
        <v>5996</v>
      </c>
      <c r="F145" s="89" t="s">
        <v>5997</v>
      </c>
      <c r="G145" s="95" t="s">
        <v>2639</v>
      </c>
      <c r="H145" s="89" t="s">
        <v>5998</v>
      </c>
      <c r="I145" s="89" t="s">
        <v>3539</v>
      </c>
      <c r="J145" s="96" t="s">
        <v>3453</v>
      </c>
      <c r="K145" s="89" t="s">
        <v>5698</v>
      </c>
      <c r="L145" s="89" t="s">
        <v>5999</v>
      </c>
    </row>
    <row r="146" spans="3:12">
      <c r="C146" s="94"/>
      <c r="D146" s="94"/>
      <c r="E146" s="89" t="s">
        <v>6000</v>
      </c>
      <c r="F146" s="89" t="s">
        <v>6001</v>
      </c>
      <c r="G146" s="95" t="s">
        <v>2641</v>
      </c>
      <c r="H146" s="89" t="s">
        <v>6002</v>
      </c>
      <c r="I146" s="89" t="s">
        <v>6003</v>
      </c>
      <c r="J146" s="96" t="s">
        <v>3453</v>
      </c>
      <c r="K146" s="89" t="s">
        <v>6004</v>
      </c>
      <c r="L146" s="89" t="s">
        <v>6005</v>
      </c>
    </row>
    <row r="147" spans="3:12">
      <c r="C147" s="94"/>
      <c r="D147" s="94"/>
      <c r="E147" s="89" t="s">
        <v>6006</v>
      </c>
      <c r="F147" s="89" t="s">
        <v>6007</v>
      </c>
      <c r="G147" s="95" t="s">
        <v>2639</v>
      </c>
      <c r="H147" s="89" t="s">
        <v>3410</v>
      </c>
      <c r="I147" s="89" t="s">
        <v>6008</v>
      </c>
      <c r="J147" s="96" t="s">
        <v>3459</v>
      </c>
      <c r="K147" s="89" t="s">
        <v>6009</v>
      </c>
      <c r="L147" s="89" t="s">
        <v>6010</v>
      </c>
    </row>
    <row r="148" spans="3:12">
      <c r="C148" s="94" t="s">
        <v>1376</v>
      </c>
      <c r="D148" s="94" t="s">
        <v>1413</v>
      </c>
      <c r="E148" s="89" t="s">
        <v>5984</v>
      </c>
      <c r="F148" s="89" t="s">
        <v>5985</v>
      </c>
      <c r="G148" s="95" t="s">
        <v>2639</v>
      </c>
      <c r="H148" s="89" t="s">
        <v>5986</v>
      </c>
      <c r="I148" s="89" t="s">
        <v>5987</v>
      </c>
      <c r="J148" s="96" t="s">
        <v>3453</v>
      </c>
      <c r="K148" s="89" t="s">
        <v>5988</v>
      </c>
      <c r="L148" s="89" t="s">
        <v>5989</v>
      </c>
    </row>
    <row r="149" spans="3:12">
      <c r="C149" s="94"/>
      <c r="D149" s="94"/>
      <c r="E149" s="89" t="s">
        <v>5990</v>
      </c>
      <c r="F149" s="89" t="s">
        <v>5991</v>
      </c>
      <c r="G149" s="95" t="s">
        <v>2640</v>
      </c>
      <c r="H149" s="89" t="s">
        <v>5992</v>
      </c>
      <c r="I149" s="89" t="s">
        <v>5993</v>
      </c>
      <c r="J149" s="96" t="s">
        <v>3453</v>
      </c>
      <c r="K149" s="89" t="s">
        <v>5994</v>
      </c>
      <c r="L149" s="89" t="s">
        <v>5995</v>
      </c>
    </row>
    <row r="150" spans="3:12">
      <c r="C150" s="94"/>
      <c r="D150" s="94"/>
      <c r="E150" s="89" t="s">
        <v>5996</v>
      </c>
      <c r="F150" s="89" t="s">
        <v>5997</v>
      </c>
      <c r="G150" s="95" t="s">
        <v>2639</v>
      </c>
      <c r="H150" s="89" t="s">
        <v>5998</v>
      </c>
      <c r="I150" s="89" t="s">
        <v>3539</v>
      </c>
      <c r="J150" s="96" t="s">
        <v>3453</v>
      </c>
      <c r="K150" s="89" t="s">
        <v>5698</v>
      </c>
      <c r="L150" s="89" t="s">
        <v>5999</v>
      </c>
    </row>
    <row r="151" spans="3:12">
      <c r="C151" s="94"/>
      <c r="D151" s="94"/>
      <c r="E151" s="89" t="s">
        <v>6000</v>
      </c>
      <c r="F151" s="89" t="s">
        <v>6001</v>
      </c>
      <c r="G151" s="95" t="s">
        <v>2641</v>
      </c>
      <c r="H151" s="89" t="s">
        <v>6002</v>
      </c>
      <c r="I151" s="89" t="s">
        <v>6003</v>
      </c>
      <c r="J151" s="96" t="s">
        <v>3453</v>
      </c>
      <c r="K151" s="89" t="s">
        <v>6004</v>
      </c>
      <c r="L151" s="89" t="s">
        <v>6005</v>
      </c>
    </row>
    <row r="152" spans="3:12">
      <c r="C152" s="94"/>
      <c r="D152" s="94"/>
      <c r="E152" s="89" t="s">
        <v>6006</v>
      </c>
      <c r="F152" s="89" t="s">
        <v>6007</v>
      </c>
      <c r="G152" s="95" t="s">
        <v>2639</v>
      </c>
      <c r="H152" s="89" t="s">
        <v>3410</v>
      </c>
      <c r="I152" s="89" t="s">
        <v>6008</v>
      </c>
      <c r="J152" s="96" t="s">
        <v>3459</v>
      </c>
      <c r="K152" s="89" t="s">
        <v>6009</v>
      </c>
      <c r="L152" s="89" t="s">
        <v>6010</v>
      </c>
    </row>
    <row r="153" spans="3:12">
      <c r="C153" s="94"/>
      <c r="D153" s="94" t="s">
        <v>1414</v>
      </c>
      <c r="E153" s="89" t="s">
        <v>6011</v>
      </c>
      <c r="F153" s="89" t="s">
        <v>6012</v>
      </c>
      <c r="G153" s="95" t="s">
        <v>2639</v>
      </c>
      <c r="H153" s="89" t="s">
        <v>6013</v>
      </c>
      <c r="I153" s="89" t="s">
        <v>6014</v>
      </c>
      <c r="J153" s="96" t="s">
        <v>3459</v>
      </c>
      <c r="K153" s="89" t="s">
        <v>6015</v>
      </c>
      <c r="L153" s="89" t="s">
        <v>6016</v>
      </c>
    </row>
    <row r="154" spans="3:12">
      <c r="C154" s="94"/>
      <c r="D154" s="94"/>
      <c r="E154" s="89" t="s">
        <v>6017</v>
      </c>
      <c r="F154" s="89" t="s">
        <v>6018</v>
      </c>
      <c r="G154" s="95" t="s">
        <v>2639</v>
      </c>
      <c r="H154" s="89" t="s">
        <v>6019</v>
      </c>
      <c r="I154" s="89" t="s">
        <v>6020</v>
      </c>
      <c r="J154" s="96" t="s">
        <v>3453</v>
      </c>
      <c r="K154" s="89" t="s">
        <v>6021</v>
      </c>
      <c r="L154" s="89" t="s">
        <v>6022</v>
      </c>
    </row>
    <row r="155" spans="3:12">
      <c r="C155" s="94"/>
      <c r="D155" s="94"/>
      <c r="E155" s="89" t="s">
        <v>6023</v>
      </c>
      <c r="F155" s="89" t="s">
        <v>6024</v>
      </c>
      <c r="G155" s="95" t="s">
        <v>2639</v>
      </c>
      <c r="H155" s="89" t="s">
        <v>6025</v>
      </c>
      <c r="I155" s="89" t="s">
        <v>6026</v>
      </c>
      <c r="J155" s="96" t="s">
        <v>3459</v>
      </c>
      <c r="K155" s="89" t="s">
        <v>6027</v>
      </c>
      <c r="L155" s="89" t="s">
        <v>6028</v>
      </c>
    </row>
    <row r="156" spans="3:12">
      <c r="C156" s="94"/>
      <c r="D156" s="94"/>
      <c r="E156" s="101" t="s">
        <v>12357</v>
      </c>
      <c r="F156" s="87" t="s">
        <v>12358</v>
      </c>
      <c r="G156" s="88" t="s">
        <v>2641</v>
      </c>
      <c r="H156" s="89" t="s">
        <v>12359</v>
      </c>
      <c r="I156" s="89" t="s">
        <v>12360</v>
      </c>
      <c r="J156" s="96" t="s">
        <v>3453</v>
      </c>
      <c r="K156" s="89" t="s">
        <v>12361</v>
      </c>
      <c r="L156" s="89" t="s">
        <v>12362</v>
      </c>
    </row>
    <row r="157" spans="3:12">
      <c r="C157" s="94"/>
      <c r="D157" s="94"/>
      <c r="E157" s="87" t="s">
        <v>12363</v>
      </c>
      <c r="F157" s="87" t="s">
        <v>12364</v>
      </c>
      <c r="G157" s="88" t="s">
        <v>2641</v>
      </c>
      <c r="H157" s="89" t="s">
        <v>12365</v>
      </c>
      <c r="I157" s="89" t="s">
        <v>12366</v>
      </c>
      <c r="J157" s="96" t="s">
        <v>3459</v>
      </c>
      <c r="K157" s="89" t="s">
        <v>12367</v>
      </c>
      <c r="L157" s="89" t="s">
        <v>12368</v>
      </c>
    </row>
    <row r="158" spans="3:12">
      <c r="C158" s="94"/>
      <c r="D158" s="94" t="s">
        <v>1415</v>
      </c>
      <c r="E158" s="89" t="s">
        <v>6029</v>
      </c>
      <c r="F158" s="89" t="s">
        <v>6030</v>
      </c>
      <c r="G158" s="95" t="s">
        <v>2639</v>
      </c>
      <c r="H158" s="89" t="s">
        <v>6031</v>
      </c>
      <c r="I158" s="89" t="s">
        <v>6032</v>
      </c>
      <c r="J158" s="96" t="s">
        <v>3453</v>
      </c>
      <c r="K158" s="89" t="s">
        <v>6033</v>
      </c>
      <c r="L158" s="89" t="s">
        <v>6034</v>
      </c>
    </row>
    <row r="159" spans="3:12">
      <c r="C159" s="94"/>
      <c r="D159" s="94"/>
      <c r="E159" s="89" t="s">
        <v>6035</v>
      </c>
      <c r="F159" s="89" t="s">
        <v>6036</v>
      </c>
      <c r="G159" s="95" t="s">
        <v>2639</v>
      </c>
      <c r="H159" s="89" t="s">
        <v>6037</v>
      </c>
      <c r="I159" s="89" t="s">
        <v>6038</v>
      </c>
      <c r="J159" s="96" t="s">
        <v>3453</v>
      </c>
      <c r="K159" s="89" t="s">
        <v>6039</v>
      </c>
      <c r="L159" s="89" t="s">
        <v>6040</v>
      </c>
    </row>
    <row r="160" spans="3:12">
      <c r="C160" s="94"/>
      <c r="D160" s="94"/>
      <c r="E160" s="89" t="s">
        <v>6041</v>
      </c>
      <c r="F160" s="89" t="s">
        <v>6042</v>
      </c>
      <c r="G160" s="95" t="s">
        <v>2640</v>
      </c>
      <c r="H160" s="89" t="s">
        <v>3282</v>
      </c>
      <c r="I160" s="89" t="s">
        <v>6043</v>
      </c>
      <c r="J160" s="96" t="s">
        <v>3459</v>
      </c>
      <c r="K160" s="89" t="s">
        <v>6044</v>
      </c>
      <c r="L160" s="89" t="s">
        <v>6045</v>
      </c>
    </row>
    <row r="161" spans="3:12">
      <c r="C161" s="94"/>
      <c r="D161" s="94"/>
      <c r="E161" s="89" t="s">
        <v>6046</v>
      </c>
      <c r="F161" s="89" t="s">
        <v>6047</v>
      </c>
      <c r="G161" s="95" t="s">
        <v>2639</v>
      </c>
      <c r="H161" s="89" t="s">
        <v>3410</v>
      </c>
      <c r="I161" s="89" t="s">
        <v>3334</v>
      </c>
      <c r="J161" s="96" t="s">
        <v>3453</v>
      </c>
      <c r="K161" s="89" t="s">
        <v>6048</v>
      </c>
      <c r="L161" s="89" t="s">
        <v>6049</v>
      </c>
    </row>
    <row r="162" spans="3:12">
      <c r="C162" s="94"/>
      <c r="D162" s="94"/>
      <c r="E162" s="89" t="s">
        <v>6050</v>
      </c>
      <c r="F162" s="89" t="s">
        <v>6051</v>
      </c>
      <c r="G162" s="95" t="s">
        <v>2640</v>
      </c>
      <c r="H162" s="89" t="s">
        <v>5928</v>
      </c>
      <c r="I162" s="89" t="s">
        <v>5785</v>
      </c>
      <c r="J162" s="96" t="s">
        <v>3459</v>
      </c>
      <c r="K162" s="89" t="s">
        <v>6052</v>
      </c>
      <c r="L162" s="89" t="s">
        <v>6053</v>
      </c>
    </row>
    <row r="163" spans="3:12">
      <c r="C163" s="94"/>
      <c r="D163" s="94" t="s">
        <v>1416</v>
      </c>
      <c r="E163" s="89" t="s">
        <v>6159</v>
      </c>
      <c r="F163" s="89" t="s">
        <v>6160</v>
      </c>
      <c r="G163" s="95" t="s">
        <v>2639</v>
      </c>
      <c r="H163" s="89" t="s">
        <v>5222</v>
      </c>
      <c r="I163" s="89" t="s">
        <v>6161</v>
      </c>
      <c r="J163" s="96" t="s">
        <v>3453</v>
      </c>
      <c r="K163" s="89" t="s">
        <v>6162</v>
      </c>
      <c r="L163" s="89" t="s">
        <v>6163</v>
      </c>
    </row>
    <row r="164" spans="3:12">
      <c r="C164" s="94"/>
      <c r="D164" s="94"/>
      <c r="E164" s="89" t="s">
        <v>6164</v>
      </c>
      <c r="F164" s="89" t="s">
        <v>6165</v>
      </c>
      <c r="G164" s="95" t="s">
        <v>2639</v>
      </c>
      <c r="H164" s="89" t="s">
        <v>6166</v>
      </c>
      <c r="I164" s="89" t="s">
        <v>6167</v>
      </c>
      <c r="J164" s="96" t="s">
        <v>3459</v>
      </c>
      <c r="K164" s="89" t="s">
        <v>6168</v>
      </c>
      <c r="L164" s="89" t="s">
        <v>6169</v>
      </c>
    </row>
    <row r="165" spans="3:12">
      <c r="C165" s="94"/>
      <c r="D165" s="94"/>
      <c r="E165" s="89" t="s">
        <v>6170</v>
      </c>
      <c r="F165" s="89" t="s">
        <v>6171</v>
      </c>
      <c r="G165" s="95" t="s">
        <v>2640</v>
      </c>
      <c r="H165" s="89" t="s">
        <v>6172</v>
      </c>
      <c r="I165" s="89" t="s">
        <v>6173</v>
      </c>
      <c r="J165" s="96" t="s">
        <v>3453</v>
      </c>
      <c r="K165" s="89" t="s">
        <v>6174</v>
      </c>
      <c r="L165" s="89" t="s">
        <v>6175</v>
      </c>
    </row>
    <row r="166" spans="3:12">
      <c r="C166" s="94"/>
      <c r="D166" s="94"/>
      <c r="E166" s="89" t="s">
        <v>6176</v>
      </c>
      <c r="F166" s="89" t="s">
        <v>6177</v>
      </c>
      <c r="G166" s="95" t="s">
        <v>2639</v>
      </c>
      <c r="H166" s="89" t="s">
        <v>6178</v>
      </c>
      <c r="I166" s="89" t="s">
        <v>6179</v>
      </c>
      <c r="J166" s="96" t="s">
        <v>3459</v>
      </c>
      <c r="K166" s="89" t="s">
        <v>6180</v>
      </c>
      <c r="L166" s="89" t="s">
        <v>6181</v>
      </c>
    </row>
    <row r="167" spans="3:12">
      <c r="C167" s="94"/>
      <c r="D167" s="94"/>
      <c r="E167" s="89" t="s">
        <v>6182</v>
      </c>
      <c r="F167" s="89" t="s">
        <v>6183</v>
      </c>
      <c r="G167" s="95" t="s">
        <v>2639</v>
      </c>
      <c r="H167" s="89" t="s">
        <v>6184</v>
      </c>
      <c r="I167" s="89" t="s">
        <v>6185</v>
      </c>
      <c r="J167" s="96" t="s">
        <v>3459</v>
      </c>
      <c r="K167" s="89" t="s">
        <v>6186</v>
      </c>
      <c r="L167" s="89" t="s">
        <v>6187</v>
      </c>
    </row>
    <row r="168" spans="3:12">
      <c r="C168" s="94"/>
      <c r="D168" s="94" t="s">
        <v>1417</v>
      </c>
      <c r="E168" s="89" t="s">
        <v>6188</v>
      </c>
      <c r="F168" s="89" t="s">
        <v>6189</v>
      </c>
      <c r="G168" s="95" t="s">
        <v>2639</v>
      </c>
      <c r="H168" s="89" t="s">
        <v>6190</v>
      </c>
      <c r="I168" s="89" t="s">
        <v>3539</v>
      </c>
      <c r="J168" s="96" t="s">
        <v>3453</v>
      </c>
      <c r="K168" s="89" t="s">
        <v>6021</v>
      </c>
      <c r="L168" s="89" t="s">
        <v>6191</v>
      </c>
    </row>
    <row r="169" spans="3:12">
      <c r="C169" s="94"/>
      <c r="D169" s="94"/>
      <c r="E169" s="89" t="s">
        <v>6192</v>
      </c>
      <c r="F169" s="89" t="s">
        <v>6193</v>
      </c>
      <c r="G169" s="95" t="s">
        <v>2639</v>
      </c>
      <c r="H169" s="89" t="s">
        <v>5998</v>
      </c>
      <c r="I169" s="89" t="s">
        <v>6194</v>
      </c>
      <c r="J169" s="96" t="s">
        <v>3453</v>
      </c>
      <c r="K169" s="89" t="s">
        <v>6195</v>
      </c>
      <c r="L169" s="89" t="s">
        <v>6196</v>
      </c>
    </row>
    <row r="170" spans="3:12">
      <c r="C170" s="94"/>
      <c r="D170" s="94"/>
      <c r="E170" s="89" t="s">
        <v>6197</v>
      </c>
      <c r="F170" s="89" t="s">
        <v>6198</v>
      </c>
      <c r="G170" s="95" t="s">
        <v>2639</v>
      </c>
      <c r="H170" s="89" t="s">
        <v>6199</v>
      </c>
      <c r="I170" s="89" t="s">
        <v>6200</v>
      </c>
      <c r="J170" s="96" t="s">
        <v>3453</v>
      </c>
      <c r="K170" s="89" t="s">
        <v>6201</v>
      </c>
      <c r="L170" s="89" t="s">
        <v>6202</v>
      </c>
    </row>
    <row r="171" spans="3:12">
      <c r="C171" s="94"/>
      <c r="D171" s="94"/>
      <c r="E171" s="89" t="s">
        <v>6203</v>
      </c>
      <c r="F171" s="89" t="s">
        <v>6204</v>
      </c>
      <c r="G171" s="95" t="s">
        <v>2640</v>
      </c>
      <c r="H171" s="89" t="s">
        <v>6205</v>
      </c>
      <c r="I171" s="89" t="s">
        <v>6206</v>
      </c>
      <c r="J171" s="96" t="s">
        <v>3459</v>
      </c>
      <c r="K171" s="89" t="s">
        <v>6207</v>
      </c>
      <c r="L171" s="89" t="s">
        <v>6208</v>
      </c>
    </row>
    <row r="172" spans="3:12">
      <c r="C172" s="94"/>
      <c r="D172" s="94"/>
      <c r="E172" s="89" t="s">
        <v>6209</v>
      </c>
      <c r="F172" s="89" t="s">
        <v>6210</v>
      </c>
      <c r="G172" s="95" t="s">
        <v>2640</v>
      </c>
      <c r="H172" s="89" t="s">
        <v>6211</v>
      </c>
      <c r="I172" s="89" t="s">
        <v>6212</v>
      </c>
      <c r="J172" s="96" t="s">
        <v>3459</v>
      </c>
      <c r="K172" s="89" t="s">
        <v>6213</v>
      </c>
      <c r="L172" s="89" t="s">
        <v>6214</v>
      </c>
    </row>
    <row r="173" spans="3:12">
      <c r="C173" s="94" t="s">
        <v>1377</v>
      </c>
      <c r="D173" s="94" t="s">
        <v>1418</v>
      </c>
      <c r="E173" s="89" t="s">
        <v>6215</v>
      </c>
      <c r="F173" s="89" t="s">
        <v>6216</v>
      </c>
      <c r="G173" s="95" t="s">
        <v>2639</v>
      </c>
      <c r="H173" s="89" t="s">
        <v>6031</v>
      </c>
      <c r="I173" s="89" t="s">
        <v>6032</v>
      </c>
      <c r="J173" s="96" t="s">
        <v>3453</v>
      </c>
      <c r="K173" s="89" t="s">
        <v>6217</v>
      </c>
      <c r="L173" s="89" t="s">
        <v>6034</v>
      </c>
    </row>
    <row r="174" spans="3:12">
      <c r="C174" s="94"/>
      <c r="D174" s="94"/>
      <c r="E174" s="89" t="s">
        <v>6035</v>
      </c>
      <c r="F174" s="89" t="s">
        <v>6218</v>
      </c>
      <c r="G174" s="95" t="s">
        <v>2639</v>
      </c>
      <c r="H174" s="89" t="s">
        <v>6219</v>
      </c>
      <c r="I174" s="89" t="s">
        <v>6038</v>
      </c>
      <c r="J174" s="96" t="s">
        <v>3453</v>
      </c>
      <c r="K174" s="89" t="s">
        <v>6220</v>
      </c>
      <c r="L174" s="89" t="s">
        <v>6221</v>
      </c>
    </row>
    <row r="175" spans="3:12">
      <c r="C175" s="94"/>
      <c r="D175" s="94"/>
      <c r="E175" s="89" t="s">
        <v>6041</v>
      </c>
      <c r="F175" s="89" t="s">
        <v>6222</v>
      </c>
      <c r="G175" s="95" t="s">
        <v>2640</v>
      </c>
      <c r="H175" s="89" t="s">
        <v>3282</v>
      </c>
      <c r="I175" s="89" t="s">
        <v>6043</v>
      </c>
      <c r="J175" s="96" t="s">
        <v>3453</v>
      </c>
      <c r="K175" s="89" t="s">
        <v>6223</v>
      </c>
      <c r="L175" s="89" t="s">
        <v>6224</v>
      </c>
    </row>
    <row r="176" spans="3:12">
      <c r="C176" s="94"/>
      <c r="D176" s="94"/>
      <c r="E176" s="89" t="s">
        <v>6046</v>
      </c>
      <c r="F176" s="89" t="s">
        <v>6225</v>
      </c>
      <c r="G176" s="95" t="s">
        <v>2639</v>
      </c>
      <c r="H176" s="89" t="s">
        <v>3410</v>
      </c>
      <c r="I176" s="89" t="s">
        <v>3334</v>
      </c>
      <c r="J176" s="96" t="s">
        <v>3453</v>
      </c>
      <c r="K176" s="89" t="s">
        <v>6226</v>
      </c>
      <c r="L176" s="89" t="s">
        <v>6227</v>
      </c>
    </row>
    <row r="177" spans="3:12">
      <c r="C177" s="94"/>
      <c r="D177" s="94"/>
      <c r="E177" s="89" t="s">
        <v>6050</v>
      </c>
      <c r="F177" s="89" t="s">
        <v>6051</v>
      </c>
      <c r="G177" s="95" t="s">
        <v>2640</v>
      </c>
      <c r="H177" s="89" t="s">
        <v>5928</v>
      </c>
      <c r="I177" s="89" t="s">
        <v>5785</v>
      </c>
      <c r="J177" s="96" t="s">
        <v>3459</v>
      </c>
      <c r="K177" s="89" t="s">
        <v>6228</v>
      </c>
      <c r="L177" s="89" t="s">
        <v>6229</v>
      </c>
    </row>
    <row r="178" spans="3:12">
      <c r="C178" s="94"/>
      <c r="D178" s="94" t="s">
        <v>1419</v>
      </c>
      <c r="E178" s="89" t="s">
        <v>6054</v>
      </c>
      <c r="F178" s="89" t="s">
        <v>6055</v>
      </c>
      <c r="G178" s="95" t="s">
        <v>2639</v>
      </c>
      <c r="H178" s="89" t="s">
        <v>4208</v>
      </c>
      <c r="I178" s="89" t="s">
        <v>6056</v>
      </c>
      <c r="J178" s="96" t="s">
        <v>3453</v>
      </c>
      <c r="K178" s="89" t="s">
        <v>6057</v>
      </c>
      <c r="L178" s="89" t="s">
        <v>6058</v>
      </c>
    </row>
    <row r="179" spans="3:12">
      <c r="C179" s="94"/>
      <c r="D179" s="94"/>
      <c r="E179" s="89" t="s">
        <v>6059</v>
      </c>
      <c r="F179" s="89" t="s">
        <v>6060</v>
      </c>
      <c r="G179" s="95" t="s">
        <v>2639</v>
      </c>
      <c r="H179" s="89" t="s">
        <v>6061</v>
      </c>
      <c r="I179" s="89" t="s">
        <v>6062</v>
      </c>
      <c r="J179" s="96" t="s">
        <v>3459</v>
      </c>
      <c r="K179" s="89" t="s">
        <v>6063</v>
      </c>
      <c r="L179" s="89" t="s">
        <v>6064</v>
      </c>
    </row>
    <row r="180" spans="3:12">
      <c r="C180" s="94"/>
      <c r="D180" s="94"/>
      <c r="E180" s="89" t="s">
        <v>6065</v>
      </c>
      <c r="F180" s="89" t="s">
        <v>6066</v>
      </c>
      <c r="G180" s="95" t="s">
        <v>2640</v>
      </c>
      <c r="H180" s="89" t="s">
        <v>6067</v>
      </c>
      <c r="I180" s="89" t="s">
        <v>6068</v>
      </c>
      <c r="J180" s="96" t="s">
        <v>3459</v>
      </c>
      <c r="K180" s="89" t="s">
        <v>6069</v>
      </c>
      <c r="L180" s="89" t="s">
        <v>6070</v>
      </c>
    </row>
    <row r="181" spans="3:12">
      <c r="C181" s="94"/>
      <c r="D181" s="94"/>
      <c r="E181" s="89" t="s">
        <v>6071</v>
      </c>
      <c r="F181" s="89" t="s">
        <v>6072</v>
      </c>
      <c r="G181" s="95" t="s">
        <v>2639</v>
      </c>
      <c r="H181" s="89" t="s">
        <v>6073</v>
      </c>
      <c r="I181" s="89" t="s">
        <v>5704</v>
      </c>
      <c r="J181" s="96" t="s">
        <v>3453</v>
      </c>
      <c r="K181" s="89" t="s">
        <v>6074</v>
      </c>
      <c r="L181" s="89" t="s">
        <v>6075</v>
      </c>
    </row>
    <row r="182" spans="3:12">
      <c r="C182" s="94"/>
      <c r="D182" s="94"/>
      <c r="E182" s="89" t="s">
        <v>6076</v>
      </c>
      <c r="F182" s="89" t="s">
        <v>6077</v>
      </c>
      <c r="G182" s="95" t="s">
        <v>2640</v>
      </c>
      <c r="H182" s="89" t="s">
        <v>5928</v>
      </c>
      <c r="I182" s="89" t="s">
        <v>6078</v>
      </c>
      <c r="J182" s="96" t="s">
        <v>3459</v>
      </c>
      <c r="K182" s="89" t="s">
        <v>6079</v>
      </c>
      <c r="L182" s="89" t="s">
        <v>6080</v>
      </c>
    </row>
    <row r="183" spans="3:12">
      <c r="C183" s="94"/>
      <c r="D183" s="94" t="s">
        <v>1420</v>
      </c>
      <c r="E183" s="89" t="s">
        <v>6081</v>
      </c>
      <c r="F183" s="89" t="s">
        <v>6082</v>
      </c>
      <c r="G183" s="95" t="s">
        <v>2639</v>
      </c>
      <c r="H183" s="89" t="s">
        <v>6083</v>
      </c>
      <c r="I183" s="89" t="s">
        <v>6084</v>
      </c>
      <c r="J183" s="96" t="s">
        <v>3453</v>
      </c>
      <c r="K183" s="89" t="s">
        <v>6085</v>
      </c>
      <c r="L183" s="89" t="s">
        <v>6086</v>
      </c>
    </row>
    <row r="184" spans="3:12">
      <c r="C184" s="94"/>
      <c r="D184" s="94"/>
      <c r="E184" s="89" t="s">
        <v>6087</v>
      </c>
      <c r="F184" s="89" t="s">
        <v>6088</v>
      </c>
      <c r="G184" s="95" t="s">
        <v>2640</v>
      </c>
      <c r="H184" s="89" t="s">
        <v>6089</v>
      </c>
      <c r="I184" s="89" t="s">
        <v>6090</v>
      </c>
      <c r="J184" s="96" t="s">
        <v>3459</v>
      </c>
      <c r="K184" s="89" t="s">
        <v>6091</v>
      </c>
      <c r="L184" s="89" t="s">
        <v>6092</v>
      </c>
    </row>
    <row r="185" spans="3:12">
      <c r="C185" s="94"/>
      <c r="D185" s="94"/>
      <c r="E185" s="89" t="s">
        <v>6093</v>
      </c>
      <c r="F185" s="89" t="s">
        <v>6094</v>
      </c>
      <c r="G185" s="95" t="s">
        <v>2639</v>
      </c>
      <c r="H185" s="89" t="s">
        <v>6095</v>
      </c>
      <c r="I185" s="89" t="s">
        <v>6096</v>
      </c>
      <c r="J185" s="96" t="s">
        <v>3459</v>
      </c>
      <c r="K185" s="89" t="s">
        <v>6097</v>
      </c>
      <c r="L185" s="89" t="s">
        <v>6098</v>
      </c>
    </row>
    <row r="186" spans="3:12">
      <c r="C186" s="94"/>
      <c r="D186" s="94"/>
      <c r="E186" s="89" t="s">
        <v>6099</v>
      </c>
      <c r="F186" s="89" t="s">
        <v>6100</v>
      </c>
      <c r="G186" s="95" t="s">
        <v>2640</v>
      </c>
      <c r="H186" s="89" t="s">
        <v>6101</v>
      </c>
      <c r="I186" s="89" t="s">
        <v>6102</v>
      </c>
      <c r="J186" s="96" t="s">
        <v>3459</v>
      </c>
      <c r="K186" s="89" t="s">
        <v>6103</v>
      </c>
      <c r="L186" s="89" t="s">
        <v>6104</v>
      </c>
    </row>
    <row r="187" spans="3:12">
      <c r="C187" s="94"/>
      <c r="D187" s="94"/>
      <c r="E187" s="89" t="s">
        <v>6105</v>
      </c>
      <c r="F187" s="89" t="s">
        <v>6106</v>
      </c>
      <c r="G187" s="95" t="s">
        <v>2640</v>
      </c>
      <c r="H187" s="89" t="s">
        <v>6107</v>
      </c>
      <c r="I187" s="89" t="s">
        <v>6108</v>
      </c>
      <c r="J187" s="96" t="s">
        <v>3459</v>
      </c>
      <c r="K187" s="89" t="s">
        <v>6109</v>
      </c>
      <c r="L187" s="89" t="s">
        <v>6110</v>
      </c>
    </row>
    <row r="188" spans="3:12">
      <c r="C188" s="94"/>
      <c r="D188" s="94" t="s">
        <v>1421</v>
      </c>
      <c r="E188" s="89" t="s">
        <v>6029</v>
      </c>
      <c r="F188" s="89" t="s">
        <v>6111</v>
      </c>
      <c r="G188" s="95" t="s">
        <v>2639</v>
      </c>
      <c r="H188" s="89" t="s">
        <v>6112</v>
      </c>
      <c r="I188" s="89" t="s">
        <v>6032</v>
      </c>
      <c r="J188" s="96" t="s">
        <v>3453</v>
      </c>
      <c r="K188" s="89" t="s">
        <v>6113</v>
      </c>
      <c r="L188" s="89" t="s">
        <v>6114</v>
      </c>
    </row>
    <row r="189" spans="3:12">
      <c r="C189" s="94"/>
      <c r="D189" s="94"/>
      <c r="E189" s="89" t="s">
        <v>6115</v>
      </c>
      <c r="F189" s="89" t="s">
        <v>6116</v>
      </c>
      <c r="G189" s="95" t="s">
        <v>2639</v>
      </c>
      <c r="H189" s="89" t="s">
        <v>6117</v>
      </c>
      <c r="I189" s="89" t="s">
        <v>6118</v>
      </c>
      <c r="J189" s="96" t="s">
        <v>3453</v>
      </c>
      <c r="K189" s="89" t="s">
        <v>6119</v>
      </c>
      <c r="L189" s="89" t="s">
        <v>6120</v>
      </c>
    </row>
    <row r="190" spans="3:12">
      <c r="C190" s="94"/>
      <c r="D190" s="94"/>
      <c r="E190" s="89" t="s">
        <v>6054</v>
      </c>
      <c r="F190" s="89" t="s">
        <v>6121</v>
      </c>
      <c r="G190" s="95" t="s">
        <v>2640</v>
      </c>
      <c r="H190" s="89" t="s">
        <v>6122</v>
      </c>
      <c r="I190" s="89" t="s">
        <v>6123</v>
      </c>
      <c r="J190" s="96" t="s">
        <v>3453</v>
      </c>
      <c r="K190" s="89" t="s">
        <v>6124</v>
      </c>
      <c r="L190" s="89" t="s">
        <v>6125</v>
      </c>
    </row>
    <row r="191" spans="3:12">
      <c r="C191" s="94"/>
      <c r="D191" s="94"/>
      <c r="E191" s="89" t="s">
        <v>5777</v>
      </c>
      <c r="F191" s="89" t="s">
        <v>6126</v>
      </c>
      <c r="G191" s="95" t="s">
        <v>2639</v>
      </c>
      <c r="H191" s="89" t="s">
        <v>4208</v>
      </c>
      <c r="I191" s="89" t="s">
        <v>1987</v>
      </c>
      <c r="J191" s="96" t="s">
        <v>3459</v>
      </c>
      <c r="K191" s="89" t="s">
        <v>6127</v>
      </c>
      <c r="L191" s="89" t="s">
        <v>6128</v>
      </c>
    </row>
    <row r="192" spans="3:12">
      <c r="C192" s="94"/>
      <c r="D192" s="94"/>
      <c r="E192" s="89" t="s">
        <v>3594</v>
      </c>
      <c r="F192" s="89" t="s">
        <v>6129</v>
      </c>
      <c r="G192" s="95" t="s">
        <v>2640</v>
      </c>
      <c r="H192" s="89" t="s">
        <v>6130</v>
      </c>
      <c r="I192" s="89" t="s">
        <v>6131</v>
      </c>
      <c r="J192" s="96" t="s">
        <v>3459</v>
      </c>
      <c r="K192" s="89" t="s">
        <v>6132</v>
      </c>
      <c r="L192" s="89" t="s">
        <v>6133</v>
      </c>
    </row>
    <row r="193" spans="3:12">
      <c r="C193" s="94"/>
      <c r="D193" s="94" t="s">
        <v>1422</v>
      </c>
      <c r="E193" s="89" t="s">
        <v>6134</v>
      </c>
      <c r="F193" s="89" t="s">
        <v>6135</v>
      </c>
      <c r="G193" s="95" t="s">
        <v>2639</v>
      </c>
      <c r="H193" s="89" t="s">
        <v>6136</v>
      </c>
      <c r="I193" s="89" t="s">
        <v>6137</v>
      </c>
      <c r="J193" s="96" t="s">
        <v>3453</v>
      </c>
      <c r="K193" s="89" t="s">
        <v>6138</v>
      </c>
      <c r="L193" s="89" t="s">
        <v>6139</v>
      </c>
    </row>
    <row r="194" spans="3:12">
      <c r="C194" s="94"/>
      <c r="D194" s="94"/>
      <c r="E194" s="89" t="s">
        <v>6140</v>
      </c>
      <c r="F194" s="89" t="s">
        <v>6141</v>
      </c>
      <c r="G194" s="95" t="s">
        <v>2639</v>
      </c>
      <c r="H194" s="89" t="s">
        <v>6142</v>
      </c>
      <c r="I194" s="89" t="s">
        <v>6143</v>
      </c>
      <c r="J194" s="96" t="s">
        <v>3459</v>
      </c>
      <c r="K194" s="89" t="s">
        <v>6144</v>
      </c>
      <c r="L194" s="89" t="s">
        <v>6145</v>
      </c>
    </row>
    <row r="195" spans="3:12">
      <c r="C195" s="94"/>
      <c r="D195" s="94"/>
      <c r="E195" s="89" t="s">
        <v>6065</v>
      </c>
      <c r="F195" s="89" t="s">
        <v>6146</v>
      </c>
      <c r="G195" s="95" t="s">
        <v>2640</v>
      </c>
      <c r="H195" s="89" t="s">
        <v>3160</v>
      </c>
      <c r="I195" s="89" t="s">
        <v>6147</v>
      </c>
      <c r="J195" s="96" t="s">
        <v>3459</v>
      </c>
      <c r="K195" s="89" t="s">
        <v>6056</v>
      </c>
      <c r="L195" s="89" t="s">
        <v>6070</v>
      </c>
    </row>
    <row r="196" spans="3:12">
      <c r="C196" s="94"/>
      <c r="D196" s="94"/>
      <c r="E196" s="89" t="s">
        <v>6148</v>
      </c>
      <c r="F196" s="89" t="s">
        <v>6149</v>
      </c>
      <c r="G196" s="95" t="s">
        <v>2640</v>
      </c>
      <c r="H196" s="89" t="s">
        <v>6150</v>
      </c>
      <c r="I196" s="89" t="s">
        <v>6151</v>
      </c>
      <c r="J196" s="96" t="s">
        <v>3453</v>
      </c>
      <c r="K196" s="89" t="s">
        <v>6152</v>
      </c>
      <c r="L196" s="89" t="s">
        <v>6153</v>
      </c>
    </row>
    <row r="197" spans="3:12">
      <c r="C197" s="94"/>
      <c r="D197" s="94"/>
      <c r="E197" s="89" t="s">
        <v>6154</v>
      </c>
      <c r="F197" s="89" t="s">
        <v>6155</v>
      </c>
      <c r="G197" s="95" t="s">
        <v>2639</v>
      </c>
      <c r="H197" s="89" t="s">
        <v>6061</v>
      </c>
      <c r="I197" s="89" t="s">
        <v>6156</v>
      </c>
      <c r="J197" s="96" t="s">
        <v>3459</v>
      </c>
      <c r="K197" s="89" t="s">
        <v>6157</v>
      </c>
      <c r="L197" s="89" t="s">
        <v>6158</v>
      </c>
    </row>
    <row r="198" spans="3:12" ht="15" customHeight="1">
      <c r="C198" s="94" t="s">
        <v>1378</v>
      </c>
      <c r="D198" s="94" t="s">
        <v>1423</v>
      </c>
      <c r="E198" s="89" t="s">
        <v>6231</v>
      </c>
      <c r="F198" s="89" t="s">
        <v>6232</v>
      </c>
      <c r="G198" s="95" t="s">
        <v>2639</v>
      </c>
      <c r="H198" s="89" t="s">
        <v>6112</v>
      </c>
      <c r="I198" s="89" t="s">
        <v>6233</v>
      </c>
      <c r="J198" s="96" t="s">
        <v>3453</v>
      </c>
      <c r="K198" s="89" t="s">
        <v>6234</v>
      </c>
      <c r="L198" s="89" t="s">
        <v>6235</v>
      </c>
    </row>
    <row r="199" spans="3:12">
      <c r="C199" s="94"/>
      <c r="D199" s="94"/>
      <c r="E199" s="89" t="s">
        <v>6236</v>
      </c>
      <c r="F199" s="89" t="s">
        <v>6237</v>
      </c>
      <c r="G199" s="95" t="s">
        <v>2639</v>
      </c>
      <c r="H199" s="89" t="s">
        <v>6238</v>
      </c>
      <c r="I199" s="89" t="s">
        <v>6239</v>
      </c>
      <c r="J199" s="96" t="s">
        <v>3453</v>
      </c>
      <c r="K199" s="89" t="s">
        <v>6240</v>
      </c>
      <c r="L199" s="89" t="s">
        <v>6241</v>
      </c>
    </row>
    <row r="200" spans="3:12">
      <c r="C200" s="94"/>
      <c r="D200" s="94"/>
      <c r="E200" s="89" t="s">
        <v>6242</v>
      </c>
      <c r="F200" s="89" t="s">
        <v>6243</v>
      </c>
      <c r="G200" s="95" t="s">
        <v>2639</v>
      </c>
      <c r="H200" s="89" t="s">
        <v>6244</v>
      </c>
      <c r="I200" s="89" t="s">
        <v>6245</v>
      </c>
      <c r="J200" s="96" t="s">
        <v>3459</v>
      </c>
      <c r="K200" s="89" t="s">
        <v>6246</v>
      </c>
      <c r="L200" s="89" t="s">
        <v>6247</v>
      </c>
    </row>
    <row r="201" spans="3:12">
      <c r="C201" s="94"/>
      <c r="D201" s="94"/>
      <c r="E201" s="89" t="s">
        <v>6248</v>
      </c>
      <c r="F201" s="89" t="s">
        <v>6249</v>
      </c>
      <c r="G201" s="95" t="s">
        <v>2639</v>
      </c>
      <c r="H201" s="89" t="s">
        <v>6250</v>
      </c>
      <c r="I201" s="89" t="s">
        <v>6251</v>
      </c>
      <c r="J201" s="96" t="s">
        <v>3459</v>
      </c>
      <c r="K201" s="89" t="s">
        <v>6252</v>
      </c>
      <c r="L201" s="89" t="s">
        <v>6253</v>
      </c>
    </row>
    <row r="202" spans="3:12">
      <c r="C202" s="94"/>
      <c r="D202" s="94"/>
      <c r="E202" s="89" t="s">
        <v>6254</v>
      </c>
      <c r="F202" s="89" t="s">
        <v>6255</v>
      </c>
      <c r="G202" s="95" t="s">
        <v>2641</v>
      </c>
      <c r="H202" s="89" t="s">
        <v>6256</v>
      </c>
      <c r="I202" s="89" t="s">
        <v>5785</v>
      </c>
      <c r="J202" s="96" t="s">
        <v>3459</v>
      </c>
      <c r="K202" s="89" t="s">
        <v>6257</v>
      </c>
      <c r="L202" s="89" t="s">
        <v>6258</v>
      </c>
    </row>
    <row r="203" spans="3:12">
      <c r="C203" s="94"/>
      <c r="D203" s="94" t="s">
        <v>1419</v>
      </c>
      <c r="E203" s="89" t="s">
        <v>6259</v>
      </c>
      <c r="F203" s="89" t="s">
        <v>6260</v>
      </c>
      <c r="G203" s="95" t="s">
        <v>2639</v>
      </c>
      <c r="H203" s="89" t="s">
        <v>6261</v>
      </c>
      <c r="I203" s="89" t="s">
        <v>6084</v>
      </c>
      <c r="J203" s="96" t="s">
        <v>3453</v>
      </c>
      <c r="K203" s="89" t="s">
        <v>6262</v>
      </c>
      <c r="L203" s="89" t="s">
        <v>6263</v>
      </c>
    </row>
    <row r="204" spans="3:12">
      <c r="C204" s="94"/>
      <c r="D204" s="94"/>
      <c r="E204" s="89" t="s">
        <v>6264</v>
      </c>
      <c r="F204" s="89" t="s">
        <v>6265</v>
      </c>
      <c r="G204" s="95" t="s">
        <v>2640</v>
      </c>
      <c r="H204" s="89" t="s">
        <v>2240</v>
      </c>
      <c r="I204" s="89" t="s">
        <v>6266</v>
      </c>
      <c r="J204" s="96" t="s">
        <v>3453</v>
      </c>
      <c r="K204" s="89" t="s">
        <v>6267</v>
      </c>
      <c r="L204" s="89" t="s">
        <v>6268</v>
      </c>
    </row>
    <row r="205" spans="3:12">
      <c r="C205" s="94"/>
      <c r="D205" s="94"/>
      <c r="E205" s="89" t="s">
        <v>6269</v>
      </c>
      <c r="F205" s="89" t="s">
        <v>6270</v>
      </c>
      <c r="G205" s="95" t="s">
        <v>2641</v>
      </c>
      <c r="H205" s="89" t="s">
        <v>3029</v>
      </c>
      <c r="I205" s="89" t="s">
        <v>1915</v>
      </c>
      <c r="J205" s="96" t="s">
        <v>3459</v>
      </c>
      <c r="K205" s="89" t="s">
        <v>6271</v>
      </c>
      <c r="L205" s="89" t="s">
        <v>6272</v>
      </c>
    </row>
    <row r="206" spans="3:12">
      <c r="C206" s="94"/>
      <c r="D206" s="94"/>
      <c r="E206" s="89" t="s">
        <v>6273</v>
      </c>
      <c r="F206" s="89" t="s">
        <v>6274</v>
      </c>
      <c r="G206" s="95" t="s">
        <v>2640</v>
      </c>
      <c r="H206" s="89" t="s">
        <v>3178</v>
      </c>
      <c r="I206" s="89" t="s">
        <v>5785</v>
      </c>
      <c r="J206" s="96" t="s">
        <v>3459</v>
      </c>
      <c r="K206" s="89" t="s">
        <v>6275</v>
      </c>
      <c r="L206" s="89" t="s">
        <v>6276</v>
      </c>
    </row>
    <row r="207" spans="3:12">
      <c r="C207" s="94"/>
      <c r="D207" s="94"/>
      <c r="E207" s="89" t="s">
        <v>6277</v>
      </c>
      <c r="F207" s="89" t="s">
        <v>6278</v>
      </c>
      <c r="G207" s="95" t="s">
        <v>2639</v>
      </c>
      <c r="H207" s="89" t="s">
        <v>6279</v>
      </c>
      <c r="I207" s="89" t="s">
        <v>6280</v>
      </c>
      <c r="J207" s="96" t="s">
        <v>3459</v>
      </c>
      <c r="K207" s="89" t="s">
        <v>6281</v>
      </c>
      <c r="L207" s="89" t="s">
        <v>6282</v>
      </c>
    </row>
    <row r="208" spans="3:12">
      <c r="C208" s="94"/>
      <c r="D208" s="94" t="s">
        <v>1424</v>
      </c>
      <c r="E208" s="89" t="s">
        <v>6283</v>
      </c>
      <c r="F208" s="89" t="s">
        <v>6284</v>
      </c>
      <c r="G208" s="95" t="s">
        <v>2641</v>
      </c>
      <c r="H208" s="89" t="s">
        <v>6285</v>
      </c>
      <c r="I208" s="89" t="s">
        <v>6286</v>
      </c>
      <c r="J208" s="96" t="s">
        <v>3453</v>
      </c>
      <c r="K208" s="89" t="s">
        <v>6287</v>
      </c>
      <c r="L208" s="89" t="s">
        <v>6288</v>
      </c>
    </row>
    <row r="209" spans="3:12">
      <c r="C209" s="94"/>
      <c r="D209" s="94"/>
      <c r="E209" s="89" t="s">
        <v>6289</v>
      </c>
      <c r="F209" s="89" t="s">
        <v>6290</v>
      </c>
      <c r="G209" s="95" t="s">
        <v>2640</v>
      </c>
      <c r="H209" s="89" t="s">
        <v>3807</v>
      </c>
      <c r="I209" s="89" t="s">
        <v>6291</v>
      </c>
      <c r="J209" s="96" t="s">
        <v>3459</v>
      </c>
      <c r="K209" s="89" t="s">
        <v>6292</v>
      </c>
      <c r="L209" s="89" t="s">
        <v>6293</v>
      </c>
    </row>
    <row r="210" spans="3:12">
      <c r="C210" s="94"/>
      <c r="D210" s="94"/>
      <c r="E210" s="89" t="s">
        <v>6294</v>
      </c>
      <c r="F210" s="89" t="s">
        <v>6295</v>
      </c>
      <c r="G210" s="95" t="s">
        <v>2639</v>
      </c>
      <c r="H210" s="89" t="s">
        <v>5917</v>
      </c>
      <c r="I210" s="89" t="s">
        <v>5762</v>
      </c>
      <c r="J210" s="96" t="s">
        <v>3453</v>
      </c>
      <c r="K210" s="89" t="s">
        <v>6296</v>
      </c>
      <c r="L210" s="89" t="s">
        <v>6297</v>
      </c>
    </row>
    <row r="211" spans="3:12">
      <c r="C211" s="94"/>
      <c r="D211" s="94"/>
      <c r="E211" s="89" t="s">
        <v>6298</v>
      </c>
      <c r="F211" s="89" t="s">
        <v>6299</v>
      </c>
      <c r="G211" s="95" t="s">
        <v>2641</v>
      </c>
      <c r="H211" s="89" t="s">
        <v>6300</v>
      </c>
      <c r="I211" s="89" t="s">
        <v>6301</v>
      </c>
      <c r="J211" s="96" t="s">
        <v>3459</v>
      </c>
      <c r="K211" s="89" t="s">
        <v>6302</v>
      </c>
      <c r="L211" s="89" t="s">
        <v>6303</v>
      </c>
    </row>
    <row r="212" spans="3:12">
      <c r="C212" s="94"/>
      <c r="D212" s="94"/>
      <c r="E212" s="89" t="s">
        <v>6304</v>
      </c>
      <c r="F212" s="89" t="s">
        <v>6305</v>
      </c>
      <c r="G212" s="95" t="s">
        <v>2640</v>
      </c>
      <c r="H212" s="89" t="s">
        <v>6306</v>
      </c>
      <c r="I212" s="89" t="s">
        <v>6307</v>
      </c>
      <c r="J212" s="96" t="s">
        <v>3459</v>
      </c>
      <c r="K212" s="89" t="s">
        <v>6308</v>
      </c>
      <c r="L212" s="89" t="s">
        <v>6309</v>
      </c>
    </row>
    <row r="213" spans="3:12">
      <c r="C213" s="94"/>
      <c r="D213" s="94" t="s">
        <v>1425</v>
      </c>
      <c r="E213" s="89" t="s">
        <v>6310</v>
      </c>
      <c r="F213" s="89" t="s">
        <v>6311</v>
      </c>
      <c r="G213" s="95" t="s">
        <v>2639</v>
      </c>
      <c r="H213" s="89" t="s">
        <v>6230</v>
      </c>
      <c r="I213" s="89" t="s">
        <v>6312</v>
      </c>
      <c r="J213" s="96" t="s">
        <v>3453</v>
      </c>
      <c r="K213" s="89" t="s">
        <v>6313</v>
      </c>
      <c r="L213" s="89" t="s">
        <v>6314</v>
      </c>
    </row>
    <row r="214" spans="3:12">
      <c r="C214" s="94"/>
      <c r="D214" s="94"/>
      <c r="E214" s="89" t="s">
        <v>6315</v>
      </c>
      <c r="F214" s="89" t="s">
        <v>6316</v>
      </c>
      <c r="G214" s="95" t="s">
        <v>2639</v>
      </c>
      <c r="H214" s="89" t="s">
        <v>6317</v>
      </c>
      <c r="I214" s="89" t="s">
        <v>6318</v>
      </c>
      <c r="J214" s="96" t="s">
        <v>3453</v>
      </c>
      <c r="K214" s="89" t="s">
        <v>6319</v>
      </c>
      <c r="L214" s="89" t="s">
        <v>6320</v>
      </c>
    </row>
    <row r="215" spans="3:12">
      <c r="C215" s="94"/>
      <c r="D215" s="94"/>
      <c r="E215" s="89" t="s">
        <v>6321</v>
      </c>
      <c r="F215" s="89" t="s">
        <v>6322</v>
      </c>
      <c r="G215" s="95" t="s">
        <v>2640</v>
      </c>
      <c r="H215" s="89" t="s">
        <v>6323</v>
      </c>
      <c r="I215" s="89" t="s">
        <v>6324</v>
      </c>
      <c r="J215" s="96" t="s">
        <v>3459</v>
      </c>
      <c r="K215" s="89" t="s">
        <v>6325</v>
      </c>
      <c r="L215" s="89" t="s">
        <v>6326</v>
      </c>
    </row>
    <row r="216" spans="3:12">
      <c r="C216" s="94"/>
      <c r="D216" s="94"/>
      <c r="E216" s="89" t="s">
        <v>6327</v>
      </c>
      <c r="F216" s="89" t="s">
        <v>6328</v>
      </c>
      <c r="G216" s="95" t="s">
        <v>2639</v>
      </c>
      <c r="H216" s="89" t="s">
        <v>6329</v>
      </c>
      <c r="I216" s="89" t="s">
        <v>4522</v>
      </c>
      <c r="J216" s="96" t="s">
        <v>3581</v>
      </c>
      <c r="K216" s="89" t="s">
        <v>6330</v>
      </c>
      <c r="L216" s="89" t="s">
        <v>6331</v>
      </c>
    </row>
    <row r="217" spans="3:12">
      <c r="C217" s="94"/>
      <c r="D217" s="94"/>
      <c r="E217" s="89" t="s">
        <v>6332</v>
      </c>
      <c r="F217" s="89" t="s">
        <v>6333</v>
      </c>
      <c r="G217" s="95" t="s">
        <v>2639</v>
      </c>
      <c r="H217" s="89" t="s">
        <v>6334</v>
      </c>
      <c r="I217" s="89" t="s">
        <v>6335</v>
      </c>
      <c r="J217" s="96" t="s">
        <v>3459</v>
      </c>
      <c r="K217" s="89" t="s">
        <v>6336</v>
      </c>
      <c r="L217" s="89" t="s">
        <v>6337</v>
      </c>
    </row>
    <row r="218" spans="3:12">
      <c r="C218" s="94"/>
      <c r="D218" s="94" t="s">
        <v>1426</v>
      </c>
      <c r="E218" s="89" t="s">
        <v>6338</v>
      </c>
      <c r="F218" s="89" t="s">
        <v>6339</v>
      </c>
      <c r="G218" s="95" t="s">
        <v>2640</v>
      </c>
      <c r="H218" s="89" t="s">
        <v>2921</v>
      </c>
      <c r="I218" s="89" t="s">
        <v>2229</v>
      </c>
      <c r="J218" s="96" t="s">
        <v>3453</v>
      </c>
      <c r="K218" s="89" t="s">
        <v>6340</v>
      </c>
      <c r="L218" s="89" t="s">
        <v>6341</v>
      </c>
    </row>
    <row r="219" spans="3:12">
      <c r="C219" s="94"/>
      <c r="D219" s="94"/>
      <c r="E219" s="89" t="s">
        <v>6342</v>
      </c>
      <c r="F219" s="89" t="s">
        <v>6343</v>
      </c>
      <c r="G219" s="95" t="s">
        <v>2640</v>
      </c>
      <c r="H219" s="89" t="s">
        <v>6344</v>
      </c>
      <c r="I219" s="89" t="s">
        <v>6345</v>
      </c>
      <c r="J219" s="96" t="s">
        <v>3453</v>
      </c>
      <c r="K219" s="89" t="s">
        <v>6346</v>
      </c>
      <c r="L219" s="89" t="s">
        <v>6347</v>
      </c>
    </row>
    <row r="220" spans="3:12">
      <c r="C220" s="94"/>
      <c r="D220" s="94"/>
      <c r="E220" s="89" t="s">
        <v>3079</v>
      </c>
      <c r="F220" s="89" t="s">
        <v>6348</v>
      </c>
      <c r="G220" s="95" t="s">
        <v>2641</v>
      </c>
      <c r="H220" s="89" t="s">
        <v>3160</v>
      </c>
      <c r="I220" s="89" t="s">
        <v>2229</v>
      </c>
      <c r="J220" s="96" t="s">
        <v>3459</v>
      </c>
      <c r="K220" s="89" t="s">
        <v>6349</v>
      </c>
      <c r="L220" s="89" t="s">
        <v>6350</v>
      </c>
    </row>
    <row r="221" spans="3:12">
      <c r="C221" s="94"/>
      <c r="D221" s="94"/>
      <c r="E221" s="89" t="s">
        <v>6351</v>
      </c>
      <c r="F221" s="89" t="s">
        <v>6352</v>
      </c>
      <c r="G221" s="95" t="s">
        <v>2639</v>
      </c>
      <c r="H221" s="89" t="s">
        <v>6353</v>
      </c>
      <c r="I221" s="89" t="s">
        <v>6354</v>
      </c>
      <c r="J221" s="96" t="s">
        <v>3459</v>
      </c>
      <c r="K221" s="89" t="s">
        <v>6355</v>
      </c>
      <c r="L221" s="89" t="s">
        <v>6356</v>
      </c>
    </row>
    <row r="222" spans="3:12">
      <c r="C222" s="94"/>
      <c r="D222" s="94"/>
      <c r="E222" s="89" t="s">
        <v>6357</v>
      </c>
      <c r="F222" s="89" t="s">
        <v>6358</v>
      </c>
      <c r="G222" s="95" t="s">
        <v>2639</v>
      </c>
      <c r="H222" s="89" t="s">
        <v>6359</v>
      </c>
      <c r="I222" s="89" t="s">
        <v>6360</v>
      </c>
      <c r="J222" s="96" t="s">
        <v>3459</v>
      </c>
      <c r="K222" s="89" t="s">
        <v>6361</v>
      </c>
      <c r="L222" s="89"/>
    </row>
    <row r="223" spans="3:12">
      <c r="C223" s="94" t="s">
        <v>1379</v>
      </c>
      <c r="D223" s="94" t="s">
        <v>1427</v>
      </c>
      <c r="E223" s="89" t="s">
        <v>6362</v>
      </c>
      <c r="F223" s="89" t="s">
        <v>6363</v>
      </c>
      <c r="G223" s="95" t="s">
        <v>2639</v>
      </c>
      <c r="H223" s="89" t="s">
        <v>5094</v>
      </c>
      <c r="I223" s="89" t="s">
        <v>6364</v>
      </c>
      <c r="J223" s="96" t="s">
        <v>3459</v>
      </c>
      <c r="K223" s="89" t="s">
        <v>6365</v>
      </c>
      <c r="L223" s="89" t="s">
        <v>6366</v>
      </c>
    </row>
    <row r="224" spans="3:12">
      <c r="C224" s="94"/>
      <c r="D224" s="94"/>
      <c r="E224" s="89" t="s">
        <v>6367</v>
      </c>
      <c r="F224" s="89" t="s">
        <v>6368</v>
      </c>
      <c r="G224" s="95" t="s">
        <v>2640</v>
      </c>
      <c r="H224" s="89" t="s">
        <v>6369</v>
      </c>
      <c r="I224" s="89" t="s">
        <v>6370</v>
      </c>
      <c r="J224" s="96" t="s">
        <v>3453</v>
      </c>
      <c r="K224" s="89" t="s">
        <v>2232</v>
      </c>
      <c r="L224" s="89" t="s">
        <v>6371</v>
      </c>
    </row>
    <row r="225" spans="3:12">
      <c r="C225" s="94"/>
      <c r="D225" s="94"/>
      <c r="E225" s="89" t="s">
        <v>6372</v>
      </c>
      <c r="F225" s="89" t="s">
        <v>6373</v>
      </c>
      <c r="G225" s="95" t="s">
        <v>2639</v>
      </c>
      <c r="H225" s="89" t="s">
        <v>2742</v>
      </c>
      <c r="I225" s="89" t="s">
        <v>3000</v>
      </c>
      <c r="J225" s="96" t="s">
        <v>3459</v>
      </c>
      <c r="K225" s="89" t="s">
        <v>6374</v>
      </c>
      <c r="L225" s="89" t="s">
        <v>6375</v>
      </c>
    </row>
    <row r="226" spans="3:12">
      <c r="C226" s="94"/>
      <c r="D226" s="94"/>
      <c r="E226" s="89" t="s">
        <v>6376</v>
      </c>
      <c r="F226" s="89" t="s">
        <v>6377</v>
      </c>
      <c r="G226" s="95" t="s">
        <v>2639</v>
      </c>
      <c r="H226" s="89" t="s">
        <v>6378</v>
      </c>
      <c r="I226" s="89" t="s">
        <v>6379</v>
      </c>
      <c r="J226" s="96" t="s">
        <v>3459</v>
      </c>
      <c r="K226" s="89" t="s">
        <v>6380</v>
      </c>
      <c r="L226" s="89" t="s">
        <v>6381</v>
      </c>
    </row>
    <row r="227" spans="3:12">
      <c r="C227" s="94"/>
      <c r="D227" s="94"/>
      <c r="E227" s="89" t="s">
        <v>6382</v>
      </c>
      <c r="F227" s="89" t="s">
        <v>6383</v>
      </c>
      <c r="G227" s="95" t="s">
        <v>2641</v>
      </c>
      <c r="H227" s="89" t="s">
        <v>6384</v>
      </c>
      <c r="I227" s="89" t="s">
        <v>6385</v>
      </c>
      <c r="J227" s="96" t="s">
        <v>3453</v>
      </c>
      <c r="K227" s="89" t="s">
        <v>6386</v>
      </c>
      <c r="L227" s="89" t="s">
        <v>6387</v>
      </c>
    </row>
    <row r="228" spans="3:12">
      <c r="C228" s="94"/>
      <c r="D228" s="94" t="s">
        <v>1428</v>
      </c>
      <c r="E228" s="89" t="s">
        <v>6388</v>
      </c>
      <c r="F228" s="89" t="s">
        <v>6389</v>
      </c>
      <c r="G228" s="95" t="s">
        <v>2640</v>
      </c>
      <c r="H228" s="89" t="s">
        <v>2213</v>
      </c>
      <c r="I228" s="89" t="s">
        <v>2229</v>
      </c>
      <c r="J228" s="96" t="s">
        <v>3453</v>
      </c>
      <c r="K228" s="89" t="s">
        <v>5406</v>
      </c>
      <c r="L228" s="89" t="s">
        <v>6390</v>
      </c>
    </row>
    <row r="229" spans="3:12">
      <c r="C229" s="94"/>
      <c r="D229" s="94"/>
      <c r="E229" s="89" t="s">
        <v>6391</v>
      </c>
      <c r="F229" s="89" t="s">
        <v>6392</v>
      </c>
      <c r="G229" s="95" t="s">
        <v>2639</v>
      </c>
      <c r="H229" s="89" t="s">
        <v>6393</v>
      </c>
      <c r="I229" s="89" t="s">
        <v>6394</v>
      </c>
      <c r="J229" s="96" t="s">
        <v>3459</v>
      </c>
      <c r="K229" s="89" t="s">
        <v>6395</v>
      </c>
      <c r="L229" s="89" t="s">
        <v>6396</v>
      </c>
    </row>
    <row r="230" spans="3:12">
      <c r="C230" s="94"/>
      <c r="D230" s="94"/>
      <c r="E230" s="89" t="s">
        <v>6397</v>
      </c>
      <c r="F230" s="89" t="s">
        <v>6398</v>
      </c>
      <c r="G230" s="95" t="s">
        <v>2640</v>
      </c>
      <c r="H230" s="89" t="s">
        <v>6399</v>
      </c>
      <c r="I230" s="89" t="s">
        <v>6400</v>
      </c>
      <c r="J230" s="96" t="s">
        <v>3453</v>
      </c>
      <c r="K230" s="89" t="s">
        <v>6401</v>
      </c>
      <c r="L230" s="89" t="s">
        <v>6402</v>
      </c>
    </row>
    <row r="231" spans="3:12">
      <c r="C231" s="94"/>
      <c r="D231" s="94"/>
      <c r="E231" s="89" t="s">
        <v>6403</v>
      </c>
      <c r="F231" s="89" t="s">
        <v>6404</v>
      </c>
      <c r="G231" s="95" t="s">
        <v>2641</v>
      </c>
      <c r="H231" s="89" t="s">
        <v>6405</v>
      </c>
      <c r="I231" s="89" t="s">
        <v>6406</v>
      </c>
      <c r="J231" s="96" t="s">
        <v>3459</v>
      </c>
      <c r="K231" s="89" t="s">
        <v>6407</v>
      </c>
      <c r="L231" s="89" t="s">
        <v>6408</v>
      </c>
    </row>
    <row r="232" spans="3:12">
      <c r="C232" s="94"/>
      <c r="D232" s="94"/>
      <c r="E232" s="89" t="s">
        <v>6409</v>
      </c>
      <c r="F232" s="89" t="s">
        <v>6410</v>
      </c>
      <c r="G232" s="95" t="s">
        <v>2639</v>
      </c>
      <c r="H232" s="89" t="s">
        <v>6411</v>
      </c>
      <c r="I232" s="89" t="s">
        <v>6412</v>
      </c>
      <c r="J232" s="96" t="s">
        <v>3459</v>
      </c>
      <c r="K232" s="89" t="s">
        <v>6413</v>
      </c>
      <c r="L232" s="89" t="s">
        <v>6414</v>
      </c>
    </row>
    <row r="233" spans="3:12">
      <c r="C233" s="94"/>
      <c r="D233" s="94" t="s">
        <v>1429</v>
      </c>
      <c r="E233" s="89" t="s">
        <v>6415</v>
      </c>
      <c r="F233" s="89" t="s">
        <v>6416</v>
      </c>
      <c r="G233" s="95" t="s">
        <v>2639</v>
      </c>
      <c r="H233" s="89" t="s">
        <v>6417</v>
      </c>
      <c r="I233" s="89" t="s">
        <v>6418</v>
      </c>
      <c r="J233" s="96" t="s">
        <v>3459</v>
      </c>
      <c r="K233" s="89" t="s">
        <v>6419</v>
      </c>
      <c r="L233" s="89" t="s">
        <v>6420</v>
      </c>
    </row>
    <row r="234" spans="3:12">
      <c r="C234" s="94"/>
      <c r="D234" s="94"/>
      <c r="E234" s="89" t="s">
        <v>6421</v>
      </c>
      <c r="F234" s="89" t="s">
        <v>6422</v>
      </c>
      <c r="G234" s="95" t="s">
        <v>2640</v>
      </c>
      <c r="H234" s="89" t="s">
        <v>6423</v>
      </c>
      <c r="I234" s="89" t="s">
        <v>6424</v>
      </c>
      <c r="J234" s="96" t="s">
        <v>3459</v>
      </c>
      <c r="K234" s="89" t="s">
        <v>6425</v>
      </c>
      <c r="L234" s="89" t="s">
        <v>6426</v>
      </c>
    </row>
    <row r="235" spans="3:12">
      <c r="C235" s="94"/>
      <c r="D235" s="94"/>
      <c r="E235" s="89" t="s">
        <v>6427</v>
      </c>
      <c r="F235" s="89" t="s">
        <v>6428</v>
      </c>
      <c r="G235" s="95" t="s">
        <v>2639</v>
      </c>
      <c r="H235" s="89" t="s">
        <v>6429</v>
      </c>
      <c r="I235" s="89" t="s">
        <v>6430</v>
      </c>
      <c r="J235" s="96" t="s">
        <v>3581</v>
      </c>
      <c r="K235" s="89" t="s">
        <v>6431</v>
      </c>
      <c r="L235" s="89" t="s">
        <v>6432</v>
      </c>
    </row>
    <row r="236" spans="3:12">
      <c r="C236" s="94"/>
      <c r="D236" s="94"/>
      <c r="E236" s="89" t="s">
        <v>6433</v>
      </c>
      <c r="F236" s="89" t="s">
        <v>6434</v>
      </c>
      <c r="G236" s="95" t="s">
        <v>2640</v>
      </c>
      <c r="H236" s="89" t="s">
        <v>6435</v>
      </c>
      <c r="I236" s="89" t="s">
        <v>6436</v>
      </c>
      <c r="J236" s="96" t="s">
        <v>3453</v>
      </c>
      <c r="K236" s="89" t="s">
        <v>6437</v>
      </c>
      <c r="L236" s="89" t="s">
        <v>6438</v>
      </c>
    </row>
    <row r="237" spans="3:12">
      <c r="C237" s="94"/>
      <c r="D237" s="94"/>
      <c r="E237" s="89" t="s">
        <v>6439</v>
      </c>
      <c r="F237" s="89" t="s">
        <v>6440</v>
      </c>
      <c r="G237" s="95" t="s">
        <v>2639</v>
      </c>
      <c r="H237" s="89" t="s">
        <v>6441</v>
      </c>
      <c r="I237" s="89" t="s">
        <v>6442</v>
      </c>
      <c r="J237" s="96" t="s">
        <v>3459</v>
      </c>
      <c r="K237" s="89" t="s">
        <v>6443</v>
      </c>
      <c r="L237" s="89" t="s">
        <v>6444</v>
      </c>
    </row>
    <row r="238" spans="3:12">
      <c r="C238" s="94"/>
      <c r="D238" s="94" t="s">
        <v>1430</v>
      </c>
      <c r="E238" s="89" t="s">
        <v>6445</v>
      </c>
      <c r="F238" s="89" t="s">
        <v>6446</v>
      </c>
      <c r="G238" s="95" t="s">
        <v>2639</v>
      </c>
      <c r="H238" s="89" t="s">
        <v>6447</v>
      </c>
      <c r="I238" s="89" t="s">
        <v>6448</v>
      </c>
      <c r="J238" s="96" t="s">
        <v>3453</v>
      </c>
      <c r="K238" s="89" t="s">
        <v>6449</v>
      </c>
      <c r="L238" s="89" t="s">
        <v>6450</v>
      </c>
    </row>
    <row r="239" spans="3:12">
      <c r="C239" s="94"/>
      <c r="D239" s="94"/>
      <c r="E239" s="89" t="s">
        <v>6451</v>
      </c>
      <c r="F239" s="89" t="s">
        <v>6452</v>
      </c>
      <c r="G239" s="95" t="s">
        <v>2640</v>
      </c>
      <c r="H239" s="89" t="s">
        <v>6453</v>
      </c>
      <c r="I239" s="89" t="s">
        <v>6454</v>
      </c>
      <c r="J239" s="96" t="s">
        <v>3453</v>
      </c>
      <c r="K239" s="89" t="s">
        <v>6455</v>
      </c>
      <c r="L239" s="89" t="s">
        <v>6456</v>
      </c>
    </row>
    <row r="240" spans="3:12">
      <c r="C240" s="94"/>
      <c r="D240" s="94"/>
      <c r="E240" s="89" t="s">
        <v>6457</v>
      </c>
      <c r="F240" s="89" t="s">
        <v>6458</v>
      </c>
      <c r="G240" s="95" t="s">
        <v>2640</v>
      </c>
      <c r="H240" s="89" t="s">
        <v>6459</v>
      </c>
      <c r="I240" s="89" t="s">
        <v>6460</v>
      </c>
      <c r="J240" s="96" t="s">
        <v>3459</v>
      </c>
      <c r="K240" s="89" t="s">
        <v>6461</v>
      </c>
      <c r="L240" s="89" t="s">
        <v>6462</v>
      </c>
    </row>
    <row r="241" spans="3:12">
      <c r="C241" s="94"/>
      <c r="D241" s="94"/>
      <c r="E241" s="89" t="s">
        <v>6463</v>
      </c>
      <c r="F241" s="89" t="s">
        <v>6464</v>
      </c>
      <c r="G241" s="95" t="s">
        <v>2641</v>
      </c>
      <c r="H241" s="89" t="s">
        <v>6465</v>
      </c>
      <c r="I241" s="89" t="s">
        <v>6466</v>
      </c>
      <c r="J241" s="96" t="s">
        <v>3453</v>
      </c>
      <c r="K241" s="89" t="s">
        <v>6467</v>
      </c>
      <c r="L241" s="89" t="s">
        <v>6468</v>
      </c>
    </row>
    <row r="242" spans="3:12">
      <c r="C242" s="94"/>
      <c r="D242" s="94"/>
      <c r="E242" s="89" t="s">
        <v>6469</v>
      </c>
      <c r="F242" s="89" t="s">
        <v>6470</v>
      </c>
      <c r="G242" s="95" t="s">
        <v>2639</v>
      </c>
      <c r="H242" s="89" t="s">
        <v>2774</v>
      </c>
      <c r="I242" s="89" t="s">
        <v>6471</v>
      </c>
      <c r="J242" s="96" t="s">
        <v>3459</v>
      </c>
      <c r="K242" s="89" t="s">
        <v>6472</v>
      </c>
      <c r="L242" s="89" t="s">
        <v>6473</v>
      </c>
    </row>
    <row r="243" spans="3:12">
      <c r="C243" s="94"/>
      <c r="D243" s="94" t="s">
        <v>1431</v>
      </c>
      <c r="E243" s="89" t="s">
        <v>6474</v>
      </c>
      <c r="F243" s="89" t="s">
        <v>6475</v>
      </c>
      <c r="G243" s="95" t="s">
        <v>2639</v>
      </c>
      <c r="H243" s="89" t="s">
        <v>6476</v>
      </c>
      <c r="I243" s="89" t="s">
        <v>6477</v>
      </c>
      <c r="J243" s="96" t="s">
        <v>3459</v>
      </c>
      <c r="K243" s="89" t="s">
        <v>6478</v>
      </c>
      <c r="L243" s="89" t="s">
        <v>6479</v>
      </c>
    </row>
    <row r="244" spans="3:12">
      <c r="C244" s="94"/>
      <c r="D244" s="94"/>
      <c r="E244" s="89" t="s">
        <v>6480</v>
      </c>
      <c r="F244" s="89" t="s">
        <v>6481</v>
      </c>
      <c r="G244" s="95" t="s">
        <v>2640</v>
      </c>
      <c r="H244" s="89" t="s">
        <v>6482</v>
      </c>
      <c r="I244" s="89" t="s">
        <v>6483</v>
      </c>
      <c r="J244" s="96" t="s">
        <v>3453</v>
      </c>
      <c r="K244" s="89" t="s">
        <v>6484</v>
      </c>
      <c r="L244" s="89" t="s">
        <v>6485</v>
      </c>
    </row>
    <row r="245" spans="3:12">
      <c r="C245" s="94"/>
      <c r="D245" s="94"/>
      <c r="E245" s="89" t="s">
        <v>2734</v>
      </c>
      <c r="F245" s="89" t="s">
        <v>6486</v>
      </c>
      <c r="G245" s="95" t="s">
        <v>2640</v>
      </c>
      <c r="H245" s="89" t="s">
        <v>6487</v>
      </c>
      <c r="I245" s="89" t="s">
        <v>6488</v>
      </c>
      <c r="J245" s="96" t="s">
        <v>3459</v>
      </c>
      <c r="K245" s="89" t="s">
        <v>6489</v>
      </c>
      <c r="L245" s="89" t="s">
        <v>6490</v>
      </c>
    </row>
    <row r="246" spans="3:12">
      <c r="C246" s="94"/>
      <c r="D246" s="94"/>
      <c r="E246" s="89" t="s">
        <v>6491</v>
      </c>
      <c r="F246" s="89" t="s">
        <v>6492</v>
      </c>
      <c r="G246" s="95" t="s">
        <v>2641</v>
      </c>
      <c r="H246" s="89" t="s">
        <v>2902</v>
      </c>
      <c r="I246" s="89" t="s">
        <v>6493</v>
      </c>
      <c r="J246" s="96" t="s">
        <v>3459</v>
      </c>
      <c r="K246" s="89" t="s">
        <v>2227</v>
      </c>
      <c r="L246" s="89" t="s">
        <v>6494</v>
      </c>
    </row>
    <row r="247" spans="3:12">
      <c r="C247" s="94"/>
      <c r="D247" s="94"/>
      <c r="E247" s="89" t="s">
        <v>6495</v>
      </c>
      <c r="F247" s="89" t="s">
        <v>6496</v>
      </c>
      <c r="G247" s="95" t="s">
        <v>2639</v>
      </c>
      <c r="H247" s="89" t="s">
        <v>6497</v>
      </c>
      <c r="I247" s="89" t="s">
        <v>6498</v>
      </c>
      <c r="J247" s="96" t="s">
        <v>3581</v>
      </c>
      <c r="K247" s="89" t="s">
        <v>6425</v>
      </c>
      <c r="L247" s="89" t="s">
        <v>6499</v>
      </c>
    </row>
    <row r="248" spans="3:12">
      <c r="C248" s="94" t="s">
        <v>1380</v>
      </c>
      <c r="D248" s="94" t="s">
        <v>1432</v>
      </c>
      <c r="E248" s="89" t="s">
        <v>6500</v>
      </c>
      <c r="F248" s="89" t="s">
        <v>6501</v>
      </c>
      <c r="G248" s="95" t="s">
        <v>2640</v>
      </c>
      <c r="H248" s="89" t="s">
        <v>3374</v>
      </c>
      <c r="I248" s="89" t="s">
        <v>6502</v>
      </c>
      <c r="J248" s="96" t="s">
        <v>3459</v>
      </c>
      <c r="K248" s="89" t="s">
        <v>6503</v>
      </c>
      <c r="L248" s="89" t="s">
        <v>6504</v>
      </c>
    </row>
    <row r="249" spans="3:12">
      <c r="C249" s="94"/>
      <c r="D249" s="94"/>
      <c r="E249" s="89" t="s">
        <v>6505</v>
      </c>
      <c r="F249" s="89" t="s">
        <v>6506</v>
      </c>
      <c r="G249" s="95" t="s">
        <v>2640</v>
      </c>
      <c r="H249" s="89" t="s">
        <v>6507</v>
      </c>
      <c r="I249" s="89" t="s">
        <v>2224</v>
      </c>
      <c r="J249" s="96" t="s">
        <v>3453</v>
      </c>
      <c r="K249" s="89" t="s">
        <v>6508</v>
      </c>
      <c r="L249" s="89" t="s">
        <v>6509</v>
      </c>
    </row>
    <row r="250" spans="3:12">
      <c r="C250" s="94"/>
      <c r="D250" s="94"/>
      <c r="E250" s="89" t="s">
        <v>6510</v>
      </c>
      <c r="F250" s="89" t="s">
        <v>6511</v>
      </c>
      <c r="G250" s="95" t="s">
        <v>2639</v>
      </c>
      <c r="H250" s="89" t="s">
        <v>6512</v>
      </c>
      <c r="I250" s="89" t="s">
        <v>6513</v>
      </c>
      <c r="J250" s="96" t="s">
        <v>3459</v>
      </c>
      <c r="K250" s="89" t="s">
        <v>2076</v>
      </c>
      <c r="L250" s="89" t="s">
        <v>6514</v>
      </c>
    </row>
    <row r="251" spans="3:12">
      <c r="C251" s="94"/>
      <c r="D251" s="94"/>
      <c r="E251" s="89" t="s">
        <v>6515</v>
      </c>
      <c r="F251" s="89" t="s">
        <v>6516</v>
      </c>
      <c r="G251" s="95" t="s">
        <v>2641</v>
      </c>
      <c r="H251" s="89" t="s">
        <v>6517</v>
      </c>
      <c r="I251" s="89" t="s">
        <v>6518</v>
      </c>
      <c r="J251" s="96" t="s">
        <v>3459</v>
      </c>
      <c r="K251" s="89" t="s">
        <v>6519</v>
      </c>
      <c r="L251" s="89" t="s">
        <v>6520</v>
      </c>
    </row>
    <row r="252" spans="3:12">
      <c r="C252" s="94"/>
      <c r="D252" s="94"/>
      <c r="E252" s="89" t="s">
        <v>6521</v>
      </c>
      <c r="F252" s="89" t="s">
        <v>6522</v>
      </c>
      <c r="G252" s="95" t="s">
        <v>2640</v>
      </c>
      <c r="H252" s="89" t="s">
        <v>6523</v>
      </c>
      <c r="I252" s="89" t="s">
        <v>6524</v>
      </c>
      <c r="J252" s="96" t="s">
        <v>3453</v>
      </c>
      <c r="K252" s="89" t="s">
        <v>6525</v>
      </c>
      <c r="L252" s="89" t="s">
        <v>6526</v>
      </c>
    </row>
    <row r="253" spans="3:12">
      <c r="C253" s="94"/>
      <c r="D253" s="94" t="s">
        <v>1433</v>
      </c>
      <c r="E253" s="89" t="s">
        <v>6527</v>
      </c>
      <c r="F253" s="89" t="s">
        <v>6528</v>
      </c>
      <c r="G253" s="95" t="s">
        <v>2640</v>
      </c>
      <c r="H253" s="89" t="s">
        <v>3410</v>
      </c>
      <c r="I253" s="89" t="s">
        <v>6529</v>
      </c>
      <c r="J253" s="96" t="s">
        <v>3453</v>
      </c>
      <c r="K253" s="89" t="s">
        <v>6530</v>
      </c>
      <c r="L253" s="89" t="s">
        <v>6531</v>
      </c>
    </row>
    <row r="254" spans="3:12">
      <c r="C254" s="94"/>
      <c r="D254" s="94"/>
      <c r="E254" s="89" t="s">
        <v>6532</v>
      </c>
      <c r="F254" s="89" t="s">
        <v>6533</v>
      </c>
      <c r="G254" s="95" t="s">
        <v>2640</v>
      </c>
      <c r="H254" s="89" t="s">
        <v>6534</v>
      </c>
      <c r="I254" s="89" t="s">
        <v>6535</v>
      </c>
      <c r="J254" s="96" t="s">
        <v>3459</v>
      </c>
      <c r="K254" s="89" t="s">
        <v>6536</v>
      </c>
      <c r="L254" s="89" t="s">
        <v>6537</v>
      </c>
    </row>
    <row r="255" spans="3:12">
      <c r="C255" s="94"/>
      <c r="D255" s="94"/>
      <c r="E255" s="89" t="s">
        <v>6538</v>
      </c>
      <c r="F255" s="89" t="s">
        <v>6539</v>
      </c>
      <c r="G255" s="95" t="s">
        <v>2639</v>
      </c>
      <c r="H255" s="89" t="s">
        <v>6540</v>
      </c>
      <c r="I255" s="89" t="s">
        <v>6541</v>
      </c>
      <c r="J255" s="96" t="s">
        <v>3581</v>
      </c>
      <c r="K255" s="89" t="s">
        <v>6542</v>
      </c>
      <c r="L255" s="89" t="s">
        <v>6543</v>
      </c>
    </row>
    <row r="256" spans="3:12">
      <c r="C256" s="94"/>
      <c r="D256" s="94"/>
      <c r="E256" s="89" t="s">
        <v>6544</v>
      </c>
      <c r="F256" s="89" t="s">
        <v>6545</v>
      </c>
      <c r="G256" s="95" t="s">
        <v>2639</v>
      </c>
      <c r="H256" s="89" t="s">
        <v>6546</v>
      </c>
      <c r="I256" s="89" t="s">
        <v>6547</v>
      </c>
      <c r="J256" s="96" t="s">
        <v>3459</v>
      </c>
      <c r="K256" s="89" t="s">
        <v>6548</v>
      </c>
      <c r="L256" s="89" t="s">
        <v>6549</v>
      </c>
    </row>
    <row r="257" spans="3:12">
      <c r="C257" s="94"/>
      <c r="D257" s="94"/>
      <c r="E257" s="89" t="s">
        <v>6550</v>
      </c>
      <c r="F257" s="89" t="s">
        <v>6551</v>
      </c>
      <c r="G257" s="95" t="s">
        <v>2641</v>
      </c>
      <c r="H257" s="89" t="s">
        <v>6552</v>
      </c>
      <c r="I257" s="89" t="s">
        <v>5237</v>
      </c>
      <c r="J257" s="96" t="s">
        <v>3459</v>
      </c>
      <c r="K257" s="89" t="s">
        <v>2210</v>
      </c>
      <c r="L257" s="89" t="s">
        <v>6553</v>
      </c>
    </row>
    <row r="258" spans="3:12">
      <c r="C258" s="94"/>
      <c r="D258" s="94" t="s">
        <v>1434</v>
      </c>
      <c r="E258" s="89" t="s">
        <v>6554</v>
      </c>
      <c r="F258" s="89" t="s">
        <v>6555</v>
      </c>
      <c r="G258" s="95" t="s">
        <v>2639</v>
      </c>
      <c r="H258" s="89" t="s">
        <v>6556</v>
      </c>
      <c r="I258" s="89" t="s">
        <v>6557</v>
      </c>
      <c r="J258" s="96" t="s">
        <v>3459</v>
      </c>
      <c r="K258" s="89" t="s">
        <v>6558</v>
      </c>
      <c r="L258" s="89" t="s">
        <v>6559</v>
      </c>
    </row>
    <row r="259" spans="3:12">
      <c r="C259" s="94"/>
      <c r="D259" s="94"/>
      <c r="E259" s="89" t="s">
        <v>6560</v>
      </c>
      <c r="F259" s="89" t="s">
        <v>6561</v>
      </c>
      <c r="G259" s="95" t="s">
        <v>2640</v>
      </c>
      <c r="H259" s="89" t="s">
        <v>6562</v>
      </c>
      <c r="I259" s="89" t="s">
        <v>6563</v>
      </c>
      <c r="J259" s="96" t="s">
        <v>3459</v>
      </c>
      <c r="K259" s="89" t="s">
        <v>6564</v>
      </c>
      <c r="L259" s="89" t="s">
        <v>6565</v>
      </c>
    </row>
    <row r="260" spans="3:12">
      <c r="C260" s="94"/>
      <c r="D260" s="94"/>
      <c r="E260" s="89" t="s">
        <v>6566</v>
      </c>
      <c r="F260" s="89" t="s">
        <v>6567</v>
      </c>
      <c r="G260" s="95" t="s">
        <v>2640</v>
      </c>
      <c r="H260" s="89" t="s">
        <v>6568</v>
      </c>
      <c r="I260" s="89" t="s">
        <v>6569</v>
      </c>
      <c r="J260" s="96" t="s">
        <v>3453</v>
      </c>
      <c r="K260" s="89" t="s">
        <v>6570</v>
      </c>
      <c r="L260" s="89" t="s">
        <v>6571</v>
      </c>
    </row>
    <row r="261" spans="3:12">
      <c r="C261" s="94"/>
      <c r="D261" s="94"/>
      <c r="E261" s="89" t="s">
        <v>6572</v>
      </c>
      <c r="F261" s="89" t="s">
        <v>6573</v>
      </c>
      <c r="G261" s="95" t="s">
        <v>2641</v>
      </c>
      <c r="H261" s="89" t="s">
        <v>6574</v>
      </c>
      <c r="I261" s="89" t="s">
        <v>6575</v>
      </c>
      <c r="J261" s="96" t="s">
        <v>3459</v>
      </c>
      <c r="K261" s="89" t="s">
        <v>2225</v>
      </c>
      <c r="L261" s="89" t="s">
        <v>6576</v>
      </c>
    </row>
    <row r="262" spans="3:12">
      <c r="C262" s="94"/>
      <c r="D262" s="94"/>
      <c r="E262" s="89" t="s">
        <v>6577</v>
      </c>
      <c r="F262" s="89" t="s">
        <v>6578</v>
      </c>
      <c r="G262" s="95" t="s">
        <v>2640</v>
      </c>
      <c r="H262" s="89" t="s">
        <v>6579</v>
      </c>
      <c r="I262" s="89" t="s">
        <v>6580</v>
      </c>
      <c r="J262" s="96" t="s">
        <v>3459</v>
      </c>
      <c r="K262" s="89" t="s">
        <v>6581</v>
      </c>
      <c r="L262" s="89" t="s">
        <v>6582</v>
      </c>
    </row>
    <row r="263" spans="3:12">
      <c r="C263" s="94"/>
      <c r="D263" s="94" t="s">
        <v>1435</v>
      </c>
      <c r="E263" s="89" t="s">
        <v>6583</v>
      </c>
      <c r="F263" s="89" t="s">
        <v>6584</v>
      </c>
      <c r="G263" s="95" t="s">
        <v>2640</v>
      </c>
      <c r="H263" s="89" t="s">
        <v>6476</v>
      </c>
      <c r="I263" s="89" t="s">
        <v>2236</v>
      </c>
      <c r="J263" s="96" t="s">
        <v>3453</v>
      </c>
      <c r="K263" s="89" t="s">
        <v>6585</v>
      </c>
      <c r="L263" s="89" t="s">
        <v>6586</v>
      </c>
    </row>
    <row r="264" spans="3:12">
      <c r="C264" s="94"/>
      <c r="D264" s="94"/>
      <c r="E264" s="89" t="s">
        <v>6587</v>
      </c>
      <c r="F264" s="89" t="s">
        <v>6588</v>
      </c>
      <c r="G264" s="95" t="s">
        <v>2641</v>
      </c>
      <c r="H264" s="89" t="s">
        <v>6589</v>
      </c>
      <c r="I264" s="89" t="s">
        <v>6590</v>
      </c>
      <c r="J264" s="96" t="s">
        <v>3459</v>
      </c>
      <c r="K264" s="89" t="s">
        <v>6591</v>
      </c>
      <c r="L264" s="89" t="s">
        <v>6592</v>
      </c>
    </row>
    <row r="265" spans="3:12">
      <c r="C265" s="94"/>
      <c r="D265" s="94"/>
      <c r="E265" s="89" t="s">
        <v>2239</v>
      </c>
      <c r="F265" s="89" t="s">
        <v>6593</v>
      </c>
      <c r="G265" s="95" t="s">
        <v>2640</v>
      </c>
      <c r="H265" s="89" t="s">
        <v>6594</v>
      </c>
      <c r="I265" s="89" t="s">
        <v>6595</v>
      </c>
      <c r="J265" s="96" t="s">
        <v>3459</v>
      </c>
      <c r="K265" s="89" t="s">
        <v>6596</v>
      </c>
      <c r="L265" s="89" t="s">
        <v>6597</v>
      </c>
    </row>
    <row r="266" spans="3:12">
      <c r="C266" s="94"/>
      <c r="D266" s="94"/>
      <c r="E266" s="89" t="s">
        <v>6598</v>
      </c>
      <c r="F266" s="89" t="s">
        <v>6599</v>
      </c>
      <c r="G266" s="95" t="s">
        <v>2639</v>
      </c>
      <c r="H266" s="89" t="s">
        <v>6600</v>
      </c>
      <c r="I266" s="89" t="s">
        <v>6601</v>
      </c>
      <c r="J266" s="96" t="s">
        <v>3581</v>
      </c>
      <c r="K266" s="89" t="s">
        <v>6602</v>
      </c>
      <c r="L266" s="89" t="s">
        <v>6603</v>
      </c>
    </row>
    <row r="267" spans="3:12">
      <c r="C267" s="94"/>
      <c r="D267" s="94"/>
      <c r="E267" s="89" t="s">
        <v>6604</v>
      </c>
      <c r="F267" s="89" t="s">
        <v>6605</v>
      </c>
      <c r="G267" s="95" t="s">
        <v>2640</v>
      </c>
      <c r="H267" s="89" t="s">
        <v>6606</v>
      </c>
      <c r="I267" s="89" t="s">
        <v>6607</v>
      </c>
      <c r="J267" s="96" t="s">
        <v>3459</v>
      </c>
      <c r="K267" s="89" t="s">
        <v>6608</v>
      </c>
      <c r="L267" s="89" t="s">
        <v>6609</v>
      </c>
    </row>
    <row r="268" spans="3:12">
      <c r="C268" s="94"/>
      <c r="D268" s="94" t="s">
        <v>1436</v>
      </c>
      <c r="E268" s="89" t="s">
        <v>5960</v>
      </c>
      <c r="F268" s="89" t="s">
        <v>6610</v>
      </c>
      <c r="G268" s="95" t="s">
        <v>2640</v>
      </c>
      <c r="H268" s="89" t="s">
        <v>3029</v>
      </c>
      <c r="I268" s="89" t="s">
        <v>6611</v>
      </c>
      <c r="J268" s="96" t="s">
        <v>3453</v>
      </c>
      <c r="K268" s="89" t="s">
        <v>6612</v>
      </c>
      <c r="L268" s="89" t="s">
        <v>6613</v>
      </c>
    </row>
    <row r="269" spans="3:12">
      <c r="C269" s="94"/>
      <c r="D269" s="94"/>
      <c r="E269" s="89" t="s">
        <v>6614</v>
      </c>
      <c r="F269" s="89" t="s">
        <v>6615</v>
      </c>
      <c r="G269" s="95" t="s">
        <v>2641</v>
      </c>
      <c r="H269" s="89" t="s">
        <v>6616</v>
      </c>
      <c r="I269" s="89" t="s">
        <v>6617</v>
      </c>
      <c r="J269" s="96" t="s">
        <v>3459</v>
      </c>
      <c r="K269" s="89" t="s">
        <v>6618</v>
      </c>
      <c r="L269" s="89" t="s">
        <v>6619</v>
      </c>
    </row>
    <row r="270" spans="3:12">
      <c r="C270" s="94"/>
      <c r="D270" s="94"/>
      <c r="E270" s="89" t="s">
        <v>6620</v>
      </c>
      <c r="F270" s="89" t="s">
        <v>6621</v>
      </c>
      <c r="G270" s="95" t="s">
        <v>2640</v>
      </c>
      <c r="H270" s="89" t="s">
        <v>6622</v>
      </c>
      <c r="I270" s="89" t="s">
        <v>6623</v>
      </c>
      <c r="J270" s="96" t="s">
        <v>3459</v>
      </c>
      <c r="K270" s="89" t="s">
        <v>6624</v>
      </c>
      <c r="L270" s="89" t="s">
        <v>6625</v>
      </c>
    </row>
    <row r="271" spans="3:12">
      <c r="C271" s="94"/>
      <c r="D271" s="94"/>
      <c r="E271" s="89" t="s">
        <v>6626</v>
      </c>
      <c r="F271" s="89" t="s">
        <v>6627</v>
      </c>
      <c r="G271" s="95" t="s">
        <v>2639</v>
      </c>
      <c r="H271" s="89" t="s">
        <v>6628</v>
      </c>
      <c r="I271" s="89" t="s">
        <v>6629</v>
      </c>
      <c r="J271" s="96" t="s">
        <v>3581</v>
      </c>
      <c r="K271" s="89" t="s">
        <v>6575</v>
      </c>
      <c r="L271" s="89" t="s">
        <v>6630</v>
      </c>
    </row>
    <row r="272" spans="3:12">
      <c r="C272" s="94"/>
      <c r="D272" s="94"/>
      <c r="E272" s="89" t="s">
        <v>6631</v>
      </c>
      <c r="F272" s="89" t="s">
        <v>6632</v>
      </c>
      <c r="G272" s="95" t="s">
        <v>2640</v>
      </c>
      <c r="H272" s="89" t="s">
        <v>6633</v>
      </c>
      <c r="I272" s="89" t="s">
        <v>6634</v>
      </c>
      <c r="J272" s="96" t="s">
        <v>3459</v>
      </c>
      <c r="K272" s="89" t="s">
        <v>6635</v>
      </c>
      <c r="L272" s="89" t="s">
        <v>6636</v>
      </c>
    </row>
    <row r="273" spans="3:12">
      <c r="C273" s="94" t="s">
        <v>1381</v>
      </c>
      <c r="D273" s="94" t="s">
        <v>1437</v>
      </c>
      <c r="E273" s="89" t="s">
        <v>7029</v>
      </c>
      <c r="F273" s="89" t="s">
        <v>6637</v>
      </c>
      <c r="G273" s="95" t="s">
        <v>2639</v>
      </c>
      <c r="H273" s="89" t="s">
        <v>6638</v>
      </c>
      <c r="I273" s="89" t="s">
        <v>6639</v>
      </c>
      <c r="J273" s="96" t="s">
        <v>3453</v>
      </c>
      <c r="K273" s="89" t="s">
        <v>6640</v>
      </c>
      <c r="L273" s="89" t="s">
        <v>6641</v>
      </c>
    </row>
    <row r="274" spans="3:12">
      <c r="C274" s="94"/>
      <c r="D274" s="94"/>
      <c r="E274" s="89" t="s">
        <v>5938</v>
      </c>
      <c r="F274" s="89" t="s">
        <v>6642</v>
      </c>
      <c r="G274" s="95" t="s">
        <v>2640</v>
      </c>
      <c r="H274" s="89" t="s">
        <v>2006</v>
      </c>
      <c r="I274" s="89" t="s">
        <v>6643</v>
      </c>
      <c r="J274" s="96" t="s">
        <v>3459</v>
      </c>
      <c r="K274" s="89" t="s">
        <v>6644</v>
      </c>
      <c r="L274" s="89" t="s">
        <v>2998</v>
      </c>
    </row>
    <row r="275" spans="3:12">
      <c r="C275" s="94"/>
      <c r="D275" s="94"/>
      <c r="E275" s="89" t="s">
        <v>5944</v>
      </c>
      <c r="F275" s="89" t="s">
        <v>6645</v>
      </c>
      <c r="G275" s="95" t="s">
        <v>2639</v>
      </c>
      <c r="H275" s="89" t="s">
        <v>6646</v>
      </c>
      <c r="I275" s="89" t="s">
        <v>6647</v>
      </c>
      <c r="J275" s="96" t="s">
        <v>3459</v>
      </c>
      <c r="K275" s="89" t="s">
        <v>6648</v>
      </c>
      <c r="L275" s="89" t="s">
        <v>6649</v>
      </c>
    </row>
    <row r="276" spans="3:12">
      <c r="C276" s="94"/>
      <c r="D276" s="94"/>
      <c r="E276" s="89" t="s">
        <v>7030</v>
      </c>
      <c r="F276" s="89" t="s">
        <v>6650</v>
      </c>
      <c r="G276" s="95" t="s">
        <v>2641</v>
      </c>
      <c r="H276" s="89" t="s">
        <v>6651</v>
      </c>
      <c r="I276" s="89" t="s">
        <v>6652</v>
      </c>
      <c r="J276" s="96" t="s">
        <v>3453</v>
      </c>
      <c r="K276" s="89" t="s">
        <v>6653</v>
      </c>
      <c r="L276" s="89" t="s">
        <v>6654</v>
      </c>
    </row>
    <row r="277" spans="3:12">
      <c r="C277" s="94"/>
      <c r="D277" s="94"/>
      <c r="E277" s="89" t="s">
        <v>7031</v>
      </c>
      <c r="F277" s="89" t="s">
        <v>6655</v>
      </c>
      <c r="G277" s="95" t="s">
        <v>2640</v>
      </c>
      <c r="H277" s="89" t="s">
        <v>6656</v>
      </c>
      <c r="I277" s="89" t="s">
        <v>6657</v>
      </c>
      <c r="J277" s="96" t="s">
        <v>3459</v>
      </c>
      <c r="K277" s="89" t="s">
        <v>6658</v>
      </c>
      <c r="L277" s="89" t="s">
        <v>6659</v>
      </c>
    </row>
    <row r="278" spans="3:12">
      <c r="C278" s="94"/>
      <c r="D278" s="94" t="s">
        <v>1438</v>
      </c>
      <c r="E278" s="89" t="s">
        <v>7032</v>
      </c>
      <c r="F278" s="89" t="s">
        <v>6660</v>
      </c>
      <c r="G278" s="95" t="s">
        <v>2640</v>
      </c>
      <c r="H278" s="89" t="s">
        <v>6230</v>
      </c>
      <c r="I278" s="89" t="s">
        <v>6661</v>
      </c>
      <c r="J278" s="96" t="s">
        <v>3459</v>
      </c>
      <c r="K278" s="89" t="s">
        <v>6662</v>
      </c>
      <c r="L278" s="89" t="s">
        <v>6663</v>
      </c>
    </row>
    <row r="279" spans="3:12">
      <c r="C279" s="94"/>
      <c r="D279" s="94"/>
      <c r="E279" s="89" t="s">
        <v>7033</v>
      </c>
      <c r="F279" s="89" t="s">
        <v>6664</v>
      </c>
      <c r="G279" s="95" t="s">
        <v>2641</v>
      </c>
      <c r="H279" s="89" t="s">
        <v>6665</v>
      </c>
      <c r="I279" s="89" t="s">
        <v>6666</v>
      </c>
      <c r="J279" s="96" t="s">
        <v>3453</v>
      </c>
      <c r="K279" s="89" t="s">
        <v>6667</v>
      </c>
      <c r="L279" s="89" t="s">
        <v>6668</v>
      </c>
    </row>
    <row r="280" spans="3:12">
      <c r="C280" s="94"/>
      <c r="D280" s="94"/>
      <c r="E280" s="89" t="s">
        <v>7034</v>
      </c>
      <c r="F280" s="89" t="s">
        <v>6669</v>
      </c>
      <c r="G280" s="95" t="s">
        <v>2640</v>
      </c>
      <c r="H280" s="89" t="s">
        <v>6670</v>
      </c>
      <c r="I280" s="89" t="s">
        <v>6671</v>
      </c>
      <c r="J280" s="96" t="s">
        <v>3453</v>
      </c>
      <c r="K280" s="89" t="s">
        <v>6672</v>
      </c>
      <c r="L280" s="89" t="s">
        <v>6673</v>
      </c>
    </row>
    <row r="281" spans="3:12">
      <c r="C281" s="94"/>
      <c r="D281" s="94"/>
      <c r="E281" s="89" t="s">
        <v>7035</v>
      </c>
      <c r="F281" s="89" t="s">
        <v>6674</v>
      </c>
      <c r="G281" s="95" t="s">
        <v>2640</v>
      </c>
      <c r="H281" s="89" t="s">
        <v>6675</v>
      </c>
      <c r="I281" s="89" t="s">
        <v>6676</v>
      </c>
      <c r="J281" s="96" t="s">
        <v>3459</v>
      </c>
      <c r="K281" s="89" t="s">
        <v>6677</v>
      </c>
      <c r="L281" s="89" t="s">
        <v>6678</v>
      </c>
    </row>
    <row r="282" spans="3:12">
      <c r="C282" s="94"/>
      <c r="D282" s="94"/>
      <c r="E282" s="89" t="s">
        <v>7036</v>
      </c>
      <c r="F282" s="89" t="s">
        <v>6679</v>
      </c>
      <c r="G282" s="95" t="s">
        <v>2639</v>
      </c>
      <c r="H282" s="89" t="s">
        <v>6680</v>
      </c>
      <c r="I282" s="89" t="s">
        <v>6681</v>
      </c>
      <c r="J282" s="96" t="s">
        <v>3581</v>
      </c>
      <c r="K282" s="89" t="s">
        <v>6682</v>
      </c>
      <c r="L282" s="89" t="s">
        <v>6683</v>
      </c>
    </row>
    <row r="283" spans="3:12">
      <c r="C283" s="94"/>
      <c r="D283" s="94" t="s">
        <v>1439</v>
      </c>
      <c r="E283" s="89" t="s">
        <v>7037</v>
      </c>
      <c r="F283" s="89" t="s">
        <v>6684</v>
      </c>
      <c r="G283" s="95" t="s">
        <v>2640</v>
      </c>
      <c r="H283" s="89" t="s">
        <v>6685</v>
      </c>
      <c r="I283" s="89" t="s">
        <v>2122</v>
      </c>
      <c r="J283" s="96" t="s">
        <v>3453</v>
      </c>
      <c r="K283" s="89" t="s">
        <v>6686</v>
      </c>
      <c r="L283" s="89" t="s">
        <v>6687</v>
      </c>
    </row>
    <row r="284" spans="3:12">
      <c r="C284" s="94"/>
      <c r="D284" s="94"/>
      <c r="E284" s="89" t="s">
        <v>7038</v>
      </c>
      <c r="F284" s="89" t="s">
        <v>6688</v>
      </c>
      <c r="G284" s="95" t="s">
        <v>2640</v>
      </c>
      <c r="H284" s="89" t="s">
        <v>5110</v>
      </c>
      <c r="I284" s="89" t="s">
        <v>6689</v>
      </c>
      <c r="J284" s="96" t="s">
        <v>3459</v>
      </c>
      <c r="K284" s="89" t="s">
        <v>6690</v>
      </c>
      <c r="L284" s="89" t="s">
        <v>6691</v>
      </c>
    </row>
    <row r="285" spans="3:12">
      <c r="C285" s="94"/>
      <c r="D285" s="94"/>
      <c r="E285" s="89" t="s">
        <v>7051</v>
      </c>
      <c r="F285" s="89" t="s">
        <v>6692</v>
      </c>
      <c r="G285" s="95" t="s">
        <v>2639</v>
      </c>
      <c r="H285" s="89" t="s">
        <v>6693</v>
      </c>
      <c r="I285" s="89" t="s">
        <v>6694</v>
      </c>
      <c r="J285" s="96" t="s">
        <v>3459</v>
      </c>
      <c r="K285" s="89" t="s">
        <v>6695</v>
      </c>
      <c r="L285" s="89" t="s">
        <v>6696</v>
      </c>
    </row>
    <row r="286" spans="3:12">
      <c r="C286" s="94"/>
      <c r="D286" s="94"/>
      <c r="E286" s="89" t="s">
        <v>7039</v>
      </c>
      <c r="F286" s="89" t="s">
        <v>6697</v>
      </c>
      <c r="G286" s="95" t="s">
        <v>2641</v>
      </c>
      <c r="H286" s="89" t="s">
        <v>6698</v>
      </c>
      <c r="I286" s="89" t="s">
        <v>6699</v>
      </c>
      <c r="J286" s="96" t="s">
        <v>3453</v>
      </c>
      <c r="K286" s="89" t="s">
        <v>6700</v>
      </c>
      <c r="L286" s="89" t="s">
        <v>6701</v>
      </c>
    </row>
    <row r="287" spans="3:12">
      <c r="C287" s="94"/>
      <c r="D287" s="94"/>
      <c r="E287" s="89" t="s">
        <v>7040</v>
      </c>
      <c r="F287" s="89" t="s">
        <v>6702</v>
      </c>
      <c r="G287" s="95" t="s">
        <v>2640</v>
      </c>
      <c r="H287" s="89" t="s">
        <v>6703</v>
      </c>
      <c r="I287" s="89" t="s">
        <v>6704</v>
      </c>
      <c r="J287" s="96" t="s">
        <v>3581</v>
      </c>
      <c r="K287" s="89" t="s">
        <v>6705</v>
      </c>
      <c r="L287" s="89" t="s">
        <v>6706</v>
      </c>
    </row>
    <row r="288" spans="3:12">
      <c r="C288" s="94"/>
      <c r="D288" s="94" t="s">
        <v>1440</v>
      </c>
      <c r="E288" s="89" t="s">
        <v>7041</v>
      </c>
      <c r="F288" s="89" t="s">
        <v>6707</v>
      </c>
      <c r="G288" s="95" t="s">
        <v>2639</v>
      </c>
      <c r="H288" s="89" t="s">
        <v>6638</v>
      </c>
      <c r="I288" s="89" t="s">
        <v>6708</v>
      </c>
      <c r="J288" s="96" t="s">
        <v>3459</v>
      </c>
      <c r="K288" s="89" t="s">
        <v>6709</v>
      </c>
      <c r="L288" s="89" t="s">
        <v>6710</v>
      </c>
    </row>
    <row r="289" spans="3:12">
      <c r="C289" s="94"/>
      <c r="D289" s="94"/>
      <c r="E289" s="89" t="s">
        <v>7042</v>
      </c>
      <c r="F289" s="89" t="s">
        <v>6711</v>
      </c>
      <c r="G289" s="95" t="s">
        <v>2640</v>
      </c>
      <c r="H289" s="89" t="s">
        <v>6638</v>
      </c>
      <c r="I289" s="89" t="s">
        <v>6712</v>
      </c>
      <c r="J289" s="96" t="s">
        <v>3453</v>
      </c>
      <c r="K289" s="89" t="s">
        <v>6713</v>
      </c>
      <c r="L289" s="89" t="s">
        <v>6714</v>
      </c>
    </row>
    <row r="290" spans="3:12">
      <c r="C290" s="94"/>
      <c r="D290" s="94"/>
      <c r="E290" s="89" t="s">
        <v>7043</v>
      </c>
      <c r="F290" s="89" t="s">
        <v>6715</v>
      </c>
      <c r="G290" s="95" t="s">
        <v>2640</v>
      </c>
      <c r="H290" s="89" t="s">
        <v>6716</v>
      </c>
      <c r="I290" s="89" t="s">
        <v>6717</v>
      </c>
      <c r="J290" s="96" t="s">
        <v>3459</v>
      </c>
      <c r="K290" s="89" t="s">
        <v>4450</v>
      </c>
      <c r="L290" s="89" t="s">
        <v>6718</v>
      </c>
    </row>
    <row r="291" spans="3:12">
      <c r="C291" s="94"/>
      <c r="D291" s="94"/>
      <c r="E291" s="89" t="s">
        <v>7044</v>
      </c>
      <c r="F291" s="89" t="s">
        <v>6719</v>
      </c>
      <c r="G291" s="95" t="s">
        <v>2640</v>
      </c>
      <c r="H291" s="89" t="s">
        <v>6638</v>
      </c>
      <c r="I291" s="89" t="s">
        <v>6720</v>
      </c>
      <c r="J291" s="96" t="s">
        <v>3453</v>
      </c>
      <c r="K291" s="89" t="s">
        <v>6721</v>
      </c>
      <c r="L291" s="89" t="s">
        <v>6722</v>
      </c>
    </row>
    <row r="292" spans="3:12">
      <c r="C292" s="94"/>
      <c r="D292" s="94"/>
      <c r="E292" s="89" t="s">
        <v>7045</v>
      </c>
      <c r="F292" s="89" t="s">
        <v>6723</v>
      </c>
      <c r="G292" s="95" t="s">
        <v>2639</v>
      </c>
      <c r="H292" s="89" t="s">
        <v>6724</v>
      </c>
      <c r="I292" s="89" t="s">
        <v>6725</v>
      </c>
      <c r="J292" s="96" t="s">
        <v>3459</v>
      </c>
      <c r="K292" s="89" t="s">
        <v>6726</v>
      </c>
      <c r="L292" s="89" t="s">
        <v>6727</v>
      </c>
    </row>
    <row r="293" spans="3:12">
      <c r="C293" s="94"/>
      <c r="D293" s="94" t="s">
        <v>1441</v>
      </c>
      <c r="E293" s="89" t="s">
        <v>7046</v>
      </c>
      <c r="F293" s="89" t="s">
        <v>6728</v>
      </c>
      <c r="G293" s="95" t="s">
        <v>2639</v>
      </c>
      <c r="H293" s="89" t="s">
        <v>6638</v>
      </c>
      <c r="I293" s="89" t="s">
        <v>6729</v>
      </c>
      <c r="J293" s="96" t="s">
        <v>3459</v>
      </c>
      <c r="K293" s="89" t="s">
        <v>6730</v>
      </c>
      <c r="L293" s="89" t="s">
        <v>6731</v>
      </c>
    </row>
    <row r="294" spans="3:12">
      <c r="C294" s="94"/>
      <c r="D294" s="94"/>
      <c r="E294" s="89" t="s">
        <v>7047</v>
      </c>
      <c r="F294" s="89" t="s">
        <v>6732</v>
      </c>
      <c r="G294" s="95" t="s">
        <v>2640</v>
      </c>
      <c r="H294" s="89" t="s">
        <v>6733</v>
      </c>
      <c r="I294" s="89" t="s">
        <v>6734</v>
      </c>
      <c r="J294" s="96" t="s">
        <v>3453</v>
      </c>
      <c r="K294" s="89" t="s">
        <v>6735</v>
      </c>
      <c r="L294" s="89" t="s">
        <v>6736</v>
      </c>
    </row>
    <row r="295" spans="3:12">
      <c r="C295" s="94"/>
      <c r="D295" s="94"/>
      <c r="E295" s="89" t="s">
        <v>7048</v>
      </c>
      <c r="F295" s="89" t="s">
        <v>6737</v>
      </c>
      <c r="G295" s="95" t="s">
        <v>2640</v>
      </c>
      <c r="H295" s="89" t="s">
        <v>6638</v>
      </c>
      <c r="I295" s="89" t="s">
        <v>6738</v>
      </c>
      <c r="J295" s="96" t="s">
        <v>3459</v>
      </c>
      <c r="K295" s="89" t="s">
        <v>6739</v>
      </c>
      <c r="L295" s="89" t="s">
        <v>6740</v>
      </c>
    </row>
    <row r="296" spans="3:12">
      <c r="C296" s="94"/>
      <c r="D296" s="94"/>
      <c r="E296" s="89" t="s">
        <v>7049</v>
      </c>
      <c r="F296" s="89" t="s">
        <v>6741</v>
      </c>
      <c r="G296" s="95" t="s">
        <v>2640</v>
      </c>
      <c r="H296" s="89" t="s">
        <v>6742</v>
      </c>
      <c r="I296" s="89" t="s">
        <v>6743</v>
      </c>
      <c r="J296" s="96" t="s">
        <v>3453</v>
      </c>
      <c r="K296" s="89" t="s">
        <v>6744</v>
      </c>
      <c r="L296" s="89" t="s">
        <v>6745</v>
      </c>
    </row>
    <row r="297" spans="3:12">
      <c r="C297" s="94"/>
      <c r="D297" s="94"/>
      <c r="E297" s="89" t="s">
        <v>7050</v>
      </c>
      <c r="F297" s="89" t="s">
        <v>6746</v>
      </c>
      <c r="G297" s="95" t="s">
        <v>2640</v>
      </c>
      <c r="H297" s="89" t="s">
        <v>6747</v>
      </c>
      <c r="I297" s="89" t="s">
        <v>6748</v>
      </c>
      <c r="J297" s="96" t="s">
        <v>3459</v>
      </c>
      <c r="K297" s="89" t="s">
        <v>3141</v>
      </c>
      <c r="L297" s="89" t="s">
        <v>6749</v>
      </c>
    </row>
    <row r="298" spans="3:12">
      <c r="C298" s="94" t="s">
        <v>1382</v>
      </c>
      <c r="D298" s="94" t="s">
        <v>1442</v>
      </c>
      <c r="E298" s="89" t="s">
        <v>6751</v>
      </c>
      <c r="F298" s="89" t="s">
        <v>6752</v>
      </c>
      <c r="G298" s="95" t="s">
        <v>2639</v>
      </c>
      <c r="H298" s="89" t="s">
        <v>6753</v>
      </c>
      <c r="I298" s="89" t="s">
        <v>6754</v>
      </c>
      <c r="J298" s="96" t="s">
        <v>3459</v>
      </c>
      <c r="K298" s="89" t="s">
        <v>6755</v>
      </c>
      <c r="L298" s="89" t="s">
        <v>6756</v>
      </c>
    </row>
    <row r="299" spans="3:12">
      <c r="C299" s="94"/>
      <c r="D299" s="94"/>
      <c r="E299" s="89" t="s">
        <v>6757</v>
      </c>
      <c r="F299" s="89" t="s">
        <v>6758</v>
      </c>
      <c r="G299" s="95" t="s">
        <v>2639</v>
      </c>
      <c r="H299" s="89" t="s">
        <v>6759</v>
      </c>
      <c r="I299" s="89" t="s">
        <v>5656</v>
      </c>
      <c r="J299" s="96" t="s">
        <v>3459</v>
      </c>
      <c r="K299" s="89" t="s">
        <v>6760</v>
      </c>
      <c r="L299" s="89" t="s">
        <v>6761</v>
      </c>
    </row>
    <row r="300" spans="3:12">
      <c r="C300" s="94"/>
      <c r="D300" s="94"/>
      <c r="E300" s="89" t="s">
        <v>6762</v>
      </c>
      <c r="F300" s="89" t="s">
        <v>6763</v>
      </c>
      <c r="G300" s="95" t="s">
        <v>2641</v>
      </c>
      <c r="H300" s="89" t="s">
        <v>6764</v>
      </c>
      <c r="I300" s="89" t="s">
        <v>4319</v>
      </c>
      <c r="J300" s="96" t="s">
        <v>3453</v>
      </c>
      <c r="K300" s="89" t="s">
        <v>6765</v>
      </c>
      <c r="L300" s="89" t="s">
        <v>6766</v>
      </c>
    </row>
    <row r="301" spans="3:12">
      <c r="C301" s="94"/>
      <c r="D301" s="94"/>
      <c r="E301" s="89" t="s">
        <v>6767</v>
      </c>
      <c r="F301" s="89" t="s">
        <v>6768</v>
      </c>
      <c r="G301" s="95" t="s">
        <v>2640</v>
      </c>
      <c r="H301" s="89" t="s">
        <v>6769</v>
      </c>
      <c r="I301" s="89" t="s">
        <v>4043</v>
      </c>
      <c r="J301" s="96" t="s">
        <v>3581</v>
      </c>
      <c r="K301" s="89" t="s">
        <v>6770</v>
      </c>
      <c r="L301" s="89" t="s">
        <v>6771</v>
      </c>
    </row>
    <row r="302" spans="3:12">
      <c r="C302" s="94"/>
      <c r="D302" s="94"/>
      <c r="E302" s="89" t="s">
        <v>6772</v>
      </c>
      <c r="F302" s="89" t="s">
        <v>6773</v>
      </c>
      <c r="G302" s="95" t="s">
        <v>2640</v>
      </c>
      <c r="H302" s="89" t="s">
        <v>6774</v>
      </c>
      <c r="I302" s="89" t="s">
        <v>6775</v>
      </c>
      <c r="J302" s="96" t="s">
        <v>3459</v>
      </c>
      <c r="K302" s="89" t="s">
        <v>6776</v>
      </c>
      <c r="L302" s="89" t="s">
        <v>6777</v>
      </c>
    </row>
    <row r="303" spans="3:12">
      <c r="C303" s="94"/>
      <c r="D303" s="94" t="s">
        <v>1443</v>
      </c>
      <c r="E303" s="89" t="s">
        <v>6778</v>
      </c>
      <c r="F303" s="89" t="s">
        <v>6779</v>
      </c>
      <c r="G303" s="95" t="s">
        <v>2639</v>
      </c>
      <c r="H303" s="89" t="s">
        <v>6780</v>
      </c>
      <c r="I303" s="89" t="s">
        <v>6781</v>
      </c>
      <c r="J303" s="96" t="s">
        <v>3459</v>
      </c>
      <c r="K303" s="89" t="s">
        <v>6782</v>
      </c>
      <c r="L303" s="89" t="s">
        <v>6783</v>
      </c>
    </row>
    <row r="304" spans="3:12">
      <c r="C304" s="94"/>
      <c r="D304" s="94"/>
      <c r="E304" s="89" t="s">
        <v>6784</v>
      </c>
      <c r="F304" s="89" t="s">
        <v>6785</v>
      </c>
      <c r="G304" s="95" t="s">
        <v>2641</v>
      </c>
      <c r="H304" s="89" t="s">
        <v>6786</v>
      </c>
      <c r="I304" s="89" t="s">
        <v>6787</v>
      </c>
      <c r="J304" s="96" t="s">
        <v>3459</v>
      </c>
      <c r="K304" s="89" t="s">
        <v>6788</v>
      </c>
      <c r="L304" s="89" t="s">
        <v>6789</v>
      </c>
    </row>
    <row r="305" spans="3:12">
      <c r="C305" s="94"/>
      <c r="D305" s="94"/>
      <c r="E305" s="89" t="s">
        <v>6790</v>
      </c>
      <c r="F305" s="89" t="s">
        <v>6791</v>
      </c>
      <c r="G305" s="95" t="s">
        <v>2640</v>
      </c>
      <c r="H305" s="89" t="s">
        <v>5500</v>
      </c>
      <c r="I305" s="89" t="s">
        <v>6792</v>
      </c>
      <c r="J305" s="96" t="s">
        <v>3453</v>
      </c>
      <c r="K305" s="89" t="s">
        <v>6793</v>
      </c>
      <c r="L305" s="89" t="s">
        <v>6794</v>
      </c>
    </row>
    <row r="306" spans="3:12">
      <c r="C306" s="94"/>
      <c r="D306" s="94"/>
      <c r="E306" s="89" t="s">
        <v>6795</v>
      </c>
      <c r="F306" s="89" t="s">
        <v>6796</v>
      </c>
      <c r="G306" s="95" t="s">
        <v>2639</v>
      </c>
      <c r="H306" s="89" t="s">
        <v>6797</v>
      </c>
      <c r="I306" s="89" t="s">
        <v>6798</v>
      </c>
      <c r="J306" s="96" t="s">
        <v>3581</v>
      </c>
      <c r="K306" s="89" t="s">
        <v>6799</v>
      </c>
      <c r="L306" s="89" t="s">
        <v>6800</v>
      </c>
    </row>
    <row r="307" spans="3:12">
      <c r="C307" s="94"/>
      <c r="D307" s="94"/>
      <c r="E307" s="89" t="s">
        <v>6801</v>
      </c>
      <c r="F307" s="89" t="s">
        <v>6802</v>
      </c>
      <c r="G307" s="95" t="s">
        <v>2640</v>
      </c>
      <c r="H307" s="89" t="s">
        <v>6803</v>
      </c>
      <c r="I307" s="89" t="s">
        <v>6804</v>
      </c>
      <c r="J307" s="96" t="s">
        <v>3453</v>
      </c>
      <c r="K307" s="89" t="s">
        <v>6805</v>
      </c>
      <c r="L307" s="89" t="s">
        <v>6806</v>
      </c>
    </row>
    <row r="308" spans="3:12">
      <c r="C308" s="94"/>
      <c r="D308" s="94" t="s">
        <v>1444</v>
      </c>
      <c r="E308" s="89" t="s">
        <v>6807</v>
      </c>
      <c r="F308" s="89" t="s">
        <v>6808</v>
      </c>
      <c r="G308" s="95" t="s">
        <v>2640</v>
      </c>
      <c r="H308" s="89" t="s">
        <v>6809</v>
      </c>
      <c r="I308" s="89" t="s">
        <v>6810</v>
      </c>
      <c r="J308" s="96" t="s">
        <v>3453</v>
      </c>
      <c r="K308" s="89" t="s">
        <v>6811</v>
      </c>
      <c r="L308" s="89" t="s">
        <v>6812</v>
      </c>
    </row>
    <row r="309" spans="3:12">
      <c r="C309" s="94"/>
      <c r="D309" s="94"/>
      <c r="E309" s="89" t="s">
        <v>6813</v>
      </c>
      <c r="F309" s="89" t="s">
        <v>6814</v>
      </c>
      <c r="G309" s="95" t="s">
        <v>2639</v>
      </c>
      <c r="H309" s="89" t="s">
        <v>6815</v>
      </c>
      <c r="I309" s="89" t="s">
        <v>6816</v>
      </c>
      <c r="J309" s="96" t="s">
        <v>3459</v>
      </c>
      <c r="K309" s="89" t="s">
        <v>6817</v>
      </c>
      <c r="L309" s="89" t="s">
        <v>6818</v>
      </c>
    </row>
    <row r="310" spans="3:12">
      <c r="C310" s="94"/>
      <c r="D310" s="94"/>
      <c r="E310" s="89" t="s">
        <v>6819</v>
      </c>
      <c r="F310" s="89" t="s">
        <v>6820</v>
      </c>
      <c r="G310" s="95" t="s">
        <v>2639</v>
      </c>
      <c r="H310" s="89" t="s">
        <v>6821</v>
      </c>
      <c r="I310" s="89" t="s">
        <v>6822</v>
      </c>
      <c r="J310" s="96" t="s">
        <v>3581</v>
      </c>
      <c r="K310" s="89" t="s">
        <v>6823</v>
      </c>
      <c r="L310" s="89" t="s">
        <v>6824</v>
      </c>
    </row>
    <row r="311" spans="3:12">
      <c r="C311" s="94"/>
      <c r="D311" s="94"/>
      <c r="E311" s="89" t="s">
        <v>6825</v>
      </c>
      <c r="F311" s="89" t="s">
        <v>6826</v>
      </c>
      <c r="G311" s="95" t="s">
        <v>2640</v>
      </c>
      <c r="H311" s="89" t="s">
        <v>6827</v>
      </c>
      <c r="I311" s="89" t="s">
        <v>6828</v>
      </c>
      <c r="J311" s="96" t="s">
        <v>3453</v>
      </c>
      <c r="K311" s="89" t="s">
        <v>6829</v>
      </c>
      <c r="L311" s="89" t="s">
        <v>6830</v>
      </c>
    </row>
    <row r="312" spans="3:12">
      <c r="C312" s="94"/>
      <c r="D312" s="94"/>
      <c r="E312" s="89" t="s">
        <v>6831</v>
      </c>
      <c r="F312" s="89" t="s">
        <v>6832</v>
      </c>
      <c r="G312" s="95" t="s">
        <v>2641</v>
      </c>
      <c r="H312" s="89" t="s">
        <v>6833</v>
      </c>
      <c r="I312" s="89" t="s">
        <v>6834</v>
      </c>
      <c r="J312" s="96" t="s">
        <v>3459</v>
      </c>
      <c r="K312" s="89" t="s">
        <v>6835</v>
      </c>
      <c r="L312" s="89" t="s">
        <v>6836</v>
      </c>
    </row>
    <row r="313" spans="3:12">
      <c r="C313" s="94"/>
      <c r="D313" s="94" t="s">
        <v>1445</v>
      </c>
      <c r="E313" s="89" t="s">
        <v>6837</v>
      </c>
      <c r="F313" s="89" t="s">
        <v>6838</v>
      </c>
      <c r="G313" s="95" t="s">
        <v>2639</v>
      </c>
      <c r="H313" s="89" t="s">
        <v>6839</v>
      </c>
      <c r="I313" s="89" t="s">
        <v>6840</v>
      </c>
      <c r="J313" s="96" t="s">
        <v>3459</v>
      </c>
      <c r="K313" s="89" t="s">
        <v>6841</v>
      </c>
      <c r="L313" s="89" t="s">
        <v>6842</v>
      </c>
    </row>
    <row r="314" spans="3:12">
      <c r="C314" s="94"/>
      <c r="D314" s="94"/>
      <c r="E314" s="89" t="s">
        <v>6843</v>
      </c>
      <c r="F314" s="89" t="s">
        <v>6844</v>
      </c>
      <c r="G314" s="95" t="s">
        <v>2639</v>
      </c>
      <c r="H314" s="89" t="s">
        <v>6845</v>
      </c>
      <c r="I314" s="89" t="s">
        <v>6846</v>
      </c>
      <c r="J314" s="96" t="s">
        <v>3453</v>
      </c>
      <c r="K314" s="89" t="s">
        <v>6847</v>
      </c>
      <c r="L314" s="89" t="s">
        <v>6848</v>
      </c>
    </row>
    <row r="315" spans="3:12">
      <c r="C315" s="94"/>
      <c r="D315" s="94"/>
      <c r="E315" s="89" t="s">
        <v>6849</v>
      </c>
      <c r="F315" s="89" t="s">
        <v>6850</v>
      </c>
      <c r="G315" s="95" t="s">
        <v>2640</v>
      </c>
      <c r="H315" s="89" t="s">
        <v>6851</v>
      </c>
      <c r="I315" s="89" t="s">
        <v>6852</v>
      </c>
      <c r="J315" s="96" t="s">
        <v>3459</v>
      </c>
      <c r="K315" s="89" t="s">
        <v>6853</v>
      </c>
      <c r="L315" s="89" t="s">
        <v>6854</v>
      </c>
    </row>
    <row r="316" spans="3:12">
      <c r="C316" s="94"/>
      <c r="D316" s="94"/>
      <c r="E316" s="89" t="s">
        <v>6855</v>
      </c>
      <c r="F316" s="89" t="s">
        <v>6856</v>
      </c>
      <c r="G316" s="95" t="s">
        <v>2640</v>
      </c>
      <c r="H316" s="89" t="s">
        <v>6857</v>
      </c>
      <c r="I316" s="89" t="s">
        <v>6858</v>
      </c>
      <c r="J316" s="96" t="s">
        <v>3453</v>
      </c>
      <c r="K316" s="89" t="s">
        <v>6859</v>
      </c>
      <c r="L316" s="89" t="s">
        <v>6860</v>
      </c>
    </row>
    <row r="317" spans="3:12">
      <c r="C317" s="94"/>
      <c r="D317" s="94"/>
      <c r="E317" s="89" t="s">
        <v>6861</v>
      </c>
      <c r="F317" s="89" t="s">
        <v>6862</v>
      </c>
      <c r="G317" s="95" t="s">
        <v>2641</v>
      </c>
      <c r="H317" s="89" t="s">
        <v>5500</v>
      </c>
      <c r="I317" s="89" t="s">
        <v>6863</v>
      </c>
      <c r="J317" s="96" t="s">
        <v>3459</v>
      </c>
      <c r="K317" s="89" t="s">
        <v>6864</v>
      </c>
      <c r="L317" s="89" t="s">
        <v>6865</v>
      </c>
    </row>
    <row r="318" spans="3:12">
      <c r="C318" s="94"/>
      <c r="D318" s="94" t="s">
        <v>1446</v>
      </c>
      <c r="E318" s="89" t="s">
        <v>6866</v>
      </c>
      <c r="F318" s="89" t="s">
        <v>6867</v>
      </c>
      <c r="G318" s="95" t="s">
        <v>2639</v>
      </c>
      <c r="H318" s="89" t="s">
        <v>6868</v>
      </c>
      <c r="I318" s="89" t="s">
        <v>2210</v>
      </c>
      <c r="J318" s="96" t="s">
        <v>3459</v>
      </c>
      <c r="K318" s="89" t="s">
        <v>6869</v>
      </c>
      <c r="L318" s="89" t="s">
        <v>6870</v>
      </c>
    </row>
    <row r="319" spans="3:12">
      <c r="C319" s="94"/>
      <c r="D319" s="94"/>
      <c r="E319" s="89" t="s">
        <v>6871</v>
      </c>
      <c r="F319" s="89" t="s">
        <v>6872</v>
      </c>
      <c r="G319" s="95" t="s">
        <v>2639</v>
      </c>
      <c r="H319" s="89" t="s">
        <v>6827</v>
      </c>
      <c r="I319" s="89" t="s">
        <v>6873</v>
      </c>
      <c r="J319" s="96" t="s">
        <v>3459</v>
      </c>
      <c r="K319" s="89" t="s">
        <v>6874</v>
      </c>
      <c r="L319" s="89" t="s">
        <v>6875</v>
      </c>
    </row>
    <row r="320" spans="3:12">
      <c r="C320" s="94"/>
      <c r="D320" s="94"/>
      <c r="E320" s="89" t="s">
        <v>6876</v>
      </c>
      <c r="F320" s="89" t="s">
        <v>6877</v>
      </c>
      <c r="G320" s="95" t="s">
        <v>2640</v>
      </c>
      <c r="H320" s="89" t="s">
        <v>6786</v>
      </c>
      <c r="I320" s="89" t="s">
        <v>6878</v>
      </c>
      <c r="J320" s="96" t="s">
        <v>3453</v>
      </c>
      <c r="K320" s="89" t="s">
        <v>6879</v>
      </c>
      <c r="L320" s="89" t="s">
        <v>6880</v>
      </c>
    </row>
    <row r="321" spans="3:12">
      <c r="C321" s="94"/>
      <c r="D321" s="94"/>
      <c r="E321" s="89" t="s">
        <v>6881</v>
      </c>
      <c r="F321" s="89" t="s">
        <v>6882</v>
      </c>
      <c r="G321" s="95" t="s">
        <v>2639</v>
      </c>
      <c r="H321" s="89" t="s">
        <v>6883</v>
      </c>
      <c r="I321" s="89" t="s">
        <v>2168</v>
      </c>
      <c r="J321" s="96" t="s">
        <v>3581</v>
      </c>
      <c r="K321" s="89" t="s">
        <v>6884</v>
      </c>
      <c r="L321" s="89" t="s">
        <v>6885</v>
      </c>
    </row>
    <row r="322" spans="3:12">
      <c r="C322" s="94"/>
      <c r="D322" s="94"/>
      <c r="E322" s="89" t="s">
        <v>6886</v>
      </c>
      <c r="F322" s="89" t="s">
        <v>6887</v>
      </c>
      <c r="G322" s="95" t="s">
        <v>2641</v>
      </c>
      <c r="H322" s="89" t="s">
        <v>6888</v>
      </c>
      <c r="I322" s="89" t="s">
        <v>6889</v>
      </c>
      <c r="J322" s="96" t="s">
        <v>3459</v>
      </c>
      <c r="K322" s="89" t="s">
        <v>6890</v>
      </c>
      <c r="L322" s="89" t="s">
        <v>6891</v>
      </c>
    </row>
    <row r="323" spans="3:12">
      <c r="C323" s="94" t="s">
        <v>1383</v>
      </c>
      <c r="D323" s="94" t="s">
        <v>1447</v>
      </c>
      <c r="E323" s="89" t="s">
        <v>6892</v>
      </c>
      <c r="F323" s="89" t="s">
        <v>6893</v>
      </c>
      <c r="G323" s="95" t="s">
        <v>2639</v>
      </c>
      <c r="H323" s="89" t="s">
        <v>6894</v>
      </c>
      <c r="I323" s="89" t="s">
        <v>6895</v>
      </c>
      <c r="J323" s="96" t="s">
        <v>3459</v>
      </c>
      <c r="K323" s="89" t="s">
        <v>6896</v>
      </c>
      <c r="L323" s="89" t="s">
        <v>6897</v>
      </c>
    </row>
    <row r="324" spans="3:12">
      <c r="C324" s="94"/>
      <c r="D324" s="94"/>
      <c r="E324" s="89" t="s">
        <v>2902</v>
      </c>
      <c r="F324" s="89" t="s">
        <v>6898</v>
      </c>
      <c r="G324" s="95" t="s">
        <v>2640</v>
      </c>
      <c r="H324" s="89" t="s">
        <v>6899</v>
      </c>
      <c r="I324" s="89" t="s">
        <v>3556</v>
      </c>
      <c r="J324" s="96" t="s">
        <v>3453</v>
      </c>
      <c r="K324" s="89" t="s">
        <v>6900</v>
      </c>
      <c r="L324" s="89" t="s">
        <v>6901</v>
      </c>
    </row>
    <row r="325" spans="3:12">
      <c r="C325" s="94"/>
      <c r="D325" s="94"/>
      <c r="E325" s="89" t="s">
        <v>6902</v>
      </c>
      <c r="F325" s="89" t="s">
        <v>6903</v>
      </c>
      <c r="G325" s="95" t="s">
        <v>2639</v>
      </c>
      <c r="H325" s="89" t="s">
        <v>6904</v>
      </c>
      <c r="I325" s="89" t="s">
        <v>6905</v>
      </c>
      <c r="J325" s="96" t="s">
        <v>3459</v>
      </c>
      <c r="K325" s="89" t="s">
        <v>6906</v>
      </c>
      <c r="L325" s="89" t="s">
        <v>6907</v>
      </c>
    </row>
    <row r="326" spans="3:12">
      <c r="C326" s="94"/>
      <c r="D326" s="94"/>
      <c r="E326" s="89" t="s">
        <v>6908</v>
      </c>
      <c r="F326" s="89" t="s">
        <v>6909</v>
      </c>
      <c r="G326" s="95" t="s">
        <v>2640</v>
      </c>
      <c r="H326" s="89" t="s">
        <v>6910</v>
      </c>
      <c r="I326" s="89" t="s">
        <v>6911</v>
      </c>
      <c r="J326" s="96" t="s">
        <v>3459</v>
      </c>
      <c r="K326" s="89" t="s">
        <v>6912</v>
      </c>
      <c r="L326" s="89" t="s">
        <v>6913</v>
      </c>
    </row>
    <row r="327" spans="3:12">
      <c r="C327" s="94"/>
      <c r="D327" s="94"/>
      <c r="E327" s="89" t="s">
        <v>6914</v>
      </c>
      <c r="F327" s="89" t="s">
        <v>6915</v>
      </c>
      <c r="G327" s="95" t="s">
        <v>2641</v>
      </c>
      <c r="H327" s="89" t="s">
        <v>6916</v>
      </c>
      <c r="I327" s="89" t="s">
        <v>6864</v>
      </c>
      <c r="J327" s="96" t="s">
        <v>3453</v>
      </c>
      <c r="K327" s="89" t="s">
        <v>6917</v>
      </c>
      <c r="L327" s="89" t="s">
        <v>6918</v>
      </c>
    </row>
    <row r="328" spans="3:12">
      <c r="C328" s="94"/>
      <c r="D328" s="94" t="s">
        <v>1448</v>
      </c>
      <c r="E328" s="89" t="s">
        <v>6919</v>
      </c>
      <c r="F328" s="89" t="s">
        <v>6920</v>
      </c>
      <c r="G328" s="95" t="s">
        <v>2639</v>
      </c>
      <c r="H328" s="89" t="s">
        <v>6921</v>
      </c>
      <c r="I328" s="89" t="s">
        <v>6922</v>
      </c>
      <c r="J328" s="96" t="s">
        <v>3581</v>
      </c>
      <c r="K328" s="89" t="s">
        <v>6923</v>
      </c>
      <c r="L328" s="89" t="s">
        <v>6924</v>
      </c>
    </row>
    <row r="329" spans="3:12">
      <c r="C329" s="94"/>
      <c r="D329" s="94"/>
      <c r="E329" s="89" t="s">
        <v>6925</v>
      </c>
      <c r="F329" s="89" t="s">
        <v>6926</v>
      </c>
      <c r="G329" s="95" t="s">
        <v>2639</v>
      </c>
      <c r="H329" s="89" t="s">
        <v>6927</v>
      </c>
      <c r="I329" s="89" t="s">
        <v>6928</v>
      </c>
      <c r="J329" s="96" t="s">
        <v>3581</v>
      </c>
      <c r="K329" s="89" t="s">
        <v>6929</v>
      </c>
      <c r="L329" s="89" t="s">
        <v>6930</v>
      </c>
    </row>
    <row r="330" spans="3:12">
      <c r="C330" s="94"/>
      <c r="D330" s="94"/>
      <c r="E330" s="89" t="s">
        <v>6931</v>
      </c>
      <c r="F330" s="89" t="s">
        <v>6932</v>
      </c>
      <c r="G330" s="95" t="s">
        <v>2640</v>
      </c>
      <c r="H330" s="89" t="s">
        <v>6933</v>
      </c>
      <c r="I330" s="89" t="s">
        <v>6934</v>
      </c>
      <c r="J330" s="96" t="s">
        <v>3459</v>
      </c>
      <c r="K330" s="89" t="s">
        <v>6935</v>
      </c>
      <c r="L330" s="89" t="s">
        <v>6936</v>
      </c>
    </row>
    <row r="331" spans="3:12">
      <c r="C331" s="94"/>
      <c r="D331" s="94"/>
      <c r="E331" s="89" t="s">
        <v>5156</v>
      </c>
      <c r="F331" s="89" t="s">
        <v>6937</v>
      </c>
      <c r="G331" s="95" t="s">
        <v>2639</v>
      </c>
      <c r="H331" s="89" t="s">
        <v>6938</v>
      </c>
      <c r="I331" s="89" t="s">
        <v>2487</v>
      </c>
      <c r="J331" s="96" t="s">
        <v>3581</v>
      </c>
      <c r="K331" s="89" t="s">
        <v>6939</v>
      </c>
      <c r="L331" s="89" t="s">
        <v>6940</v>
      </c>
    </row>
    <row r="332" spans="3:12">
      <c r="C332" s="94"/>
      <c r="D332" s="94"/>
      <c r="E332" s="89" t="s">
        <v>6750</v>
      </c>
      <c r="F332" s="89" t="s">
        <v>6941</v>
      </c>
      <c r="G332" s="95" t="s">
        <v>2641</v>
      </c>
      <c r="H332" s="89" t="s">
        <v>6942</v>
      </c>
      <c r="I332" s="89" t="s">
        <v>6943</v>
      </c>
      <c r="J332" s="96" t="s">
        <v>3459</v>
      </c>
      <c r="K332" s="89" t="s">
        <v>6944</v>
      </c>
      <c r="L332" s="89" t="s">
        <v>6945</v>
      </c>
    </row>
    <row r="333" spans="3:12">
      <c r="C333" s="94"/>
      <c r="D333" s="94" t="s">
        <v>1449</v>
      </c>
      <c r="E333" s="89" t="s">
        <v>6946</v>
      </c>
      <c r="F333" s="89" t="s">
        <v>6947</v>
      </c>
      <c r="G333" s="95" t="s">
        <v>2639</v>
      </c>
      <c r="H333" s="89" t="s">
        <v>6948</v>
      </c>
      <c r="I333" s="89" t="s">
        <v>6949</v>
      </c>
      <c r="J333" s="96" t="s">
        <v>3459</v>
      </c>
      <c r="K333" s="89" t="s">
        <v>6950</v>
      </c>
      <c r="L333" s="89" t="s">
        <v>6951</v>
      </c>
    </row>
    <row r="334" spans="3:12">
      <c r="C334" s="94"/>
      <c r="D334" s="94"/>
      <c r="E334" s="89" t="s">
        <v>6952</v>
      </c>
      <c r="F334" s="89" t="s">
        <v>6953</v>
      </c>
      <c r="G334" s="95" t="s">
        <v>2640</v>
      </c>
      <c r="H334" s="89" t="s">
        <v>6954</v>
      </c>
      <c r="I334" s="89" t="s">
        <v>6955</v>
      </c>
      <c r="J334" s="96" t="s">
        <v>3459</v>
      </c>
      <c r="K334" s="89" t="s">
        <v>6956</v>
      </c>
      <c r="L334" s="89" t="s">
        <v>6957</v>
      </c>
    </row>
    <row r="335" spans="3:12">
      <c r="C335" s="94"/>
      <c r="D335" s="94"/>
      <c r="E335" s="89" t="s">
        <v>6958</v>
      </c>
      <c r="F335" s="89" t="s">
        <v>6959</v>
      </c>
      <c r="G335" s="95" t="s">
        <v>2641</v>
      </c>
      <c r="H335" s="89" t="s">
        <v>6960</v>
      </c>
      <c r="I335" s="89" t="s">
        <v>6961</v>
      </c>
      <c r="J335" s="96" t="s">
        <v>3453</v>
      </c>
      <c r="K335" s="89" t="s">
        <v>6962</v>
      </c>
      <c r="L335" s="89" t="s">
        <v>6963</v>
      </c>
    </row>
    <row r="336" spans="3:12">
      <c r="C336" s="94"/>
      <c r="D336" s="94"/>
      <c r="E336" s="89" t="s">
        <v>6964</v>
      </c>
      <c r="F336" s="89" t="s">
        <v>6965</v>
      </c>
      <c r="G336" s="95" t="s">
        <v>2640</v>
      </c>
      <c r="H336" s="89" t="s">
        <v>6966</v>
      </c>
      <c r="I336" s="89" t="s">
        <v>6967</v>
      </c>
      <c r="J336" s="96" t="s">
        <v>3453</v>
      </c>
      <c r="K336" s="89" t="s">
        <v>6968</v>
      </c>
      <c r="L336" s="89" t="s">
        <v>6969</v>
      </c>
    </row>
    <row r="337" spans="3:12">
      <c r="C337" s="94"/>
      <c r="D337" s="94"/>
      <c r="E337" s="89" t="s">
        <v>6970</v>
      </c>
      <c r="F337" s="89" t="s">
        <v>6971</v>
      </c>
      <c r="G337" s="95" t="s">
        <v>2641</v>
      </c>
      <c r="H337" s="89" t="s">
        <v>6972</v>
      </c>
      <c r="I337" s="89" t="s">
        <v>6973</v>
      </c>
      <c r="J337" s="96" t="s">
        <v>3459</v>
      </c>
      <c r="K337" s="89" t="s">
        <v>6974</v>
      </c>
      <c r="L337" s="89" t="s">
        <v>6975</v>
      </c>
    </row>
    <row r="338" spans="3:12">
      <c r="C338" s="94"/>
      <c r="D338" s="94" t="s">
        <v>1450</v>
      </c>
      <c r="E338" s="89" t="s">
        <v>6976</v>
      </c>
      <c r="F338" s="89" t="s">
        <v>6977</v>
      </c>
      <c r="G338" s="95" t="s">
        <v>2640</v>
      </c>
      <c r="H338" s="89" t="s">
        <v>6507</v>
      </c>
      <c r="I338" s="89" t="s">
        <v>6978</v>
      </c>
      <c r="J338" s="96" t="s">
        <v>3453</v>
      </c>
      <c r="K338" s="89" t="s">
        <v>6979</v>
      </c>
      <c r="L338" s="89" t="s">
        <v>6980</v>
      </c>
    </row>
    <row r="339" spans="3:12">
      <c r="C339" s="94"/>
      <c r="D339" s="94"/>
      <c r="E339" s="89" t="s">
        <v>6981</v>
      </c>
      <c r="F339" s="89" t="s">
        <v>6982</v>
      </c>
      <c r="G339" s="95" t="s">
        <v>2640</v>
      </c>
      <c r="H339" s="89" t="s">
        <v>6983</v>
      </c>
      <c r="I339" s="89" t="s">
        <v>6984</v>
      </c>
      <c r="J339" s="96" t="s">
        <v>3453</v>
      </c>
      <c r="K339" s="89" t="s">
        <v>6985</v>
      </c>
      <c r="L339" s="89" t="s">
        <v>6986</v>
      </c>
    </row>
    <row r="340" spans="3:12">
      <c r="C340" s="94"/>
      <c r="D340" s="94"/>
      <c r="E340" s="89" t="s">
        <v>5373</v>
      </c>
      <c r="F340" s="89" t="s">
        <v>6987</v>
      </c>
      <c r="G340" s="95" t="s">
        <v>2641</v>
      </c>
      <c r="H340" s="89" t="s">
        <v>6988</v>
      </c>
      <c r="I340" s="89" t="s">
        <v>6989</v>
      </c>
      <c r="J340" s="96" t="s">
        <v>3459</v>
      </c>
      <c r="K340" s="89" t="s">
        <v>6990</v>
      </c>
      <c r="L340" s="89" t="s">
        <v>6991</v>
      </c>
    </row>
    <row r="341" spans="3:12">
      <c r="C341" s="94"/>
      <c r="D341" s="94"/>
      <c r="E341" s="89" t="s">
        <v>5371</v>
      </c>
      <c r="F341" s="89" t="s">
        <v>6992</v>
      </c>
      <c r="G341" s="95" t="s">
        <v>2639</v>
      </c>
      <c r="H341" s="89" t="s">
        <v>2213</v>
      </c>
      <c r="I341" s="89" t="s">
        <v>6993</v>
      </c>
      <c r="J341" s="96" t="s">
        <v>3459</v>
      </c>
      <c r="K341" s="89" t="s">
        <v>6994</v>
      </c>
      <c r="L341" s="89" t="s">
        <v>6995</v>
      </c>
    </row>
    <row r="342" spans="3:12">
      <c r="C342" s="94"/>
      <c r="D342" s="94"/>
      <c r="E342" s="89" t="s">
        <v>2203</v>
      </c>
      <c r="F342" s="89" t="s">
        <v>6996</v>
      </c>
      <c r="G342" s="95" t="s">
        <v>2640</v>
      </c>
      <c r="H342" s="89" t="s">
        <v>5230</v>
      </c>
      <c r="I342" s="89" t="s">
        <v>2206</v>
      </c>
      <c r="J342" s="96" t="s">
        <v>3459</v>
      </c>
      <c r="K342" s="89" t="s">
        <v>6997</v>
      </c>
      <c r="L342" s="89" t="s">
        <v>6998</v>
      </c>
    </row>
    <row r="343" spans="3:12">
      <c r="C343" s="94"/>
      <c r="D343" s="94" t="s">
        <v>1451</v>
      </c>
      <c r="E343" s="89" t="s">
        <v>6999</v>
      </c>
      <c r="F343" s="89" t="s">
        <v>7000</v>
      </c>
      <c r="G343" s="95" t="s">
        <v>2639</v>
      </c>
      <c r="H343" s="89" t="s">
        <v>7001</v>
      </c>
      <c r="I343" s="89" t="s">
        <v>7002</v>
      </c>
      <c r="J343" s="96" t="s">
        <v>3581</v>
      </c>
      <c r="K343" s="89" t="s">
        <v>7003</v>
      </c>
      <c r="L343" s="89" t="s">
        <v>7004</v>
      </c>
    </row>
    <row r="344" spans="3:12">
      <c r="C344" s="94"/>
      <c r="D344" s="94"/>
      <c r="E344" s="89" t="s">
        <v>7005</v>
      </c>
      <c r="F344" s="89" t="s">
        <v>7006</v>
      </c>
      <c r="G344" s="95" t="s">
        <v>2640</v>
      </c>
      <c r="H344" s="89" t="s">
        <v>7007</v>
      </c>
      <c r="I344" s="89" t="s">
        <v>7008</v>
      </c>
      <c r="J344" s="96" t="s">
        <v>3459</v>
      </c>
      <c r="K344" s="89" t="s">
        <v>7009</v>
      </c>
      <c r="L344" s="89" t="s">
        <v>7010</v>
      </c>
    </row>
    <row r="345" spans="3:12">
      <c r="C345" s="94"/>
      <c r="D345" s="94"/>
      <c r="E345" s="89" t="s">
        <v>7011</v>
      </c>
      <c r="F345" s="89" t="s">
        <v>7012</v>
      </c>
      <c r="G345" s="95" t="s">
        <v>2640</v>
      </c>
      <c r="H345" s="89" t="s">
        <v>7013</v>
      </c>
      <c r="I345" s="89" t="s">
        <v>7014</v>
      </c>
      <c r="J345" s="96" t="s">
        <v>3581</v>
      </c>
      <c r="K345" s="89" t="s">
        <v>7015</v>
      </c>
      <c r="L345" s="89" t="s">
        <v>7016</v>
      </c>
    </row>
    <row r="346" spans="3:12">
      <c r="C346" s="94"/>
      <c r="D346" s="94"/>
      <c r="E346" s="89" t="s">
        <v>7017</v>
      </c>
      <c r="F346" s="89" t="s">
        <v>7018</v>
      </c>
      <c r="G346" s="95" t="s">
        <v>2641</v>
      </c>
      <c r="H346" s="89" t="s">
        <v>7019</v>
      </c>
      <c r="I346" s="89" t="s">
        <v>7020</v>
      </c>
      <c r="J346" s="96" t="s">
        <v>3459</v>
      </c>
      <c r="K346" s="89" t="s">
        <v>7021</v>
      </c>
      <c r="L346" s="89" t="s">
        <v>7022</v>
      </c>
    </row>
    <row r="347" spans="3:12">
      <c r="C347" s="94"/>
      <c r="D347" s="94"/>
      <c r="E347" s="89" t="s">
        <v>7023</v>
      </c>
      <c r="F347" s="89" t="s">
        <v>7024</v>
      </c>
      <c r="G347" s="95" t="s">
        <v>2640</v>
      </c>
      <c r="H347" s="89" t="s">
        <v>7025</v>
      </c>
      <c r="I347" s="89" t="s">
        <v>7026</v>
      </c>
      <c r="J347" s="96" t="s">
        <v>3453</v>
      </c>
      <c r="K347" s="89" t="s">
        <v>7027</v>
      </c>
      <c r="L347" s="89" t="s">
        <v>7028</v>
      </c>
    </row>
    <row r="348" spans="3:12" ht="15.75" customHeight="1">
      <c r="C348" s="94" t="s">
        <v>1384</v>
      </c>
      <c r="D348" s="94" t="s">
        <v>1452</v>
      </c>
      <c r="E348" s="89" t="s">
        <v>7052</v>
      </c>
      <c r="F348" s="89" t="s">
        <v>7053</v>
      </c>
      <c r="G348" s="95" t="s">
        <v>2639</v>
      </c>
      <c r="H348" s="89" t="s">
        <v>7054</v>
      </c>
      <c r="I348" s="89" t="s">
        <v>7055</v>
      </c>
      <c r="J348" s="96" t="s">
        <v>3459</v>
      </c>
      <c r="K348" s="89" t="s">
        <v>5307</v>
      </c>
      <c r="L348" s="97" t="s">
        <v>7056</v>
      </c>
    </row>
    <row r="349" spans="3:12">
      <c r="C349" s="94"/>
      <c r="D349" s="94"/>
      <c r="E349" s="89" t="s">
        <v>7057</v>
      </c>
      <c r="F349" s="89" t="s">
        <v>7058</v>
      </c>
      <c r="G349" s="95" t="s">
        <v>2639</v>
      </c>
      <c r="H349" s="89" t="s">
        <v>6219</v>
      </c>
      <c r="I349" s="89" t="s">
        <v>7059</v>
      </c>
      <c r="J349" s="96" t="s">
        <v>3459</v>
      </c>
      <c r="K349" s="89" t="s">
        <v>7060</v>
      </c>
      <c r="L349" s="97" t="s">
        <v>7061</v>
      </c>
    </row>
    <row r="350" spans="3:12">
      <c r="C350" s="94"/>
      <c r="D350" s="94"/>
      <c r="E350" s="89" t="s">
        <v>7062</v>
      </c>
      <c r="F350" s="89" t="s">
        <v>7063</v>
      </c>
      <c r="G350" s="95" t="s">
        <v>2640</v>
      </c>
      <c r="H350" s="89" t="s">
        <v>7064</v>
      </c>
      <c r="I350" s="89" t="s">
        <v>7065</v>
      </c>
      <c r="J350" s="96" t="s">
        <v>3453</v>
      </c>
      <c r="K350" s="89" t="s">
        <v>4319</v>
      </c>
      <c r="L350" s="97" t="s">
        <v>7066</v>
      </c>
    </row>
    <row r="351" spans="3:12">
      <c r="C351" s="94"/>
      <c r="D351" s="94"/>
      <c r="E351" s="89" t="s">
        <v>7067</v>
      </c>
      <c r="F351" s="89" t="s">
        <v>7068</v>
      </c>
      <c r="G351" s="95" t="s">
        <v>2639</v>
      </c>
      <c r="H351" s="89" t="s">
        <v>7069</v>
      </c>
      <c r="I351" s="89" t="s">
        <v>7070</v>
      </c>
      <c r="J351" s="96" t="s">
        <v>3459</v>
      </c>
      <c r="K351" s="89" t="s">
        <v>7071</v>
      </c>
      <c r="L351" s="97" t="s">
        <v>7072</v>
      </c>
    </row>
    <row r="352" spans="3:12">
      <c r="C352" s="94"/>
      <c r="D352" s="94"/>
      <c r="E352" s="89" t="s">
        <v>7073</v>
      </c>
      <c r="F352" s="89" t="s">
        <v>7074</v>
      </c>
      <c r="G352" s="95" t="s">
        <v>2639</v>
      </c>
      <c r="H352" s="89" t="s">
        <v>7075</v>
      </c>
      <c r="I352" s="89" t="s">
        <v>3283</v>
      </c>
      <c r="J352" s="96" t="s">
        <v>3581</v>
      </c>
      <c r="K352" s="89" t="s">
        <v>4784</v>
      </c>
      <c r="L352" s="97" t="s">
        <v>7076</v>
      </c>
    </row>
    <row r="353" spans="3:12" ht="15" customHeight="1">
      <c r="C353" s="94"/>
      <c r="D353" s="98" t="s">
        <v>7077</v>
      </c>
      <c r="E353" s="89" t="s">
        <v>7078</v>
      </c>
      <c r="F353" s="89" t="s">
        <v>7079</v>
      </c>
      <c r="G353" s="95" t="s">
        <v>2639</v>
      </c>
      <c r="H353" s="89" t="s">
        <v>7080</v>
      </c>
      <c r="I353" s="89" t="s">
        <v>3486</v>
      </c>
      <c r="J353" s="96" t="s">
        <v>3459</v>
      </c>
      <c r="K353" s="89" t="s">
        <v>7081</v>
      </c>
      <c r="L353" s="89" t="s">
        <v>7082</v>
      </c>
    </row>
    <row r="354" spans="3:12">
      <c r="C354" s="94"/>
      <c r="D354" s="99"/>
      <c r="E354" s="89" t="s">
        <v>7083</v>
      </c>
      <c r="F354" s="89" t="s">
        <v>7084</v>
      </c>
      <c r="G354" s="95" t="s">
        <v>2639</v>
      </c>
      <c r="H354" s="89" t="s">
        <v>2215</v>
      </c>
      <c r="I354" s="89" t="s">
        <v>7085</v>
      </c>
      <c r="J354" s="96" t="s">
        <v>3459</v>
      </c>
      <c r="K354" s="89" t="s">
        <v>7086</v>
      </c>
      <c r="L354" s="89" t="s">
        <v>7087</v>
      </c>
    </row>
    <row r="355" spans="3:12">
      <c r="C355" s="94"/>
      <c r="D355" s="99"/>
      <c r="E355" s="89" t="s">
        <v>7088</v>
      </c>
      <c r="F355" s="89" t="s">
        <v>7089</v>
      </c>
      <c r="G355" s="95" t="s">
        <v>2640</v>
      </c>
      <c r="H355" s="89" t="s">
        <v>2006</v>
      </c>
      <c r="I355" s="89" t="s">
        <v>6643</v>
      </c>
      <c r="J355" s="96" t="s">
        <v>3453</v>
      </c>
      <c r="K355" s="89" t="s">
        <v>7090</v>
      </c>
      <c r="L355" s="89" t="s">
        <v>7091</v>
      </c>
    </row>
    <row r="356" spans="3:12">
      <c r="C356" s="94"/>
      <c r="D356" s="99"/>
      <c r="E356" s="89" t="s">
        <v>7092</v>
      </c>
      <c r="F356" s="89" t="s">
        <v>7093</v>
      </c>
      <c r="G356" s="95" t="s">
        <v>2639</v>
      </c>
      <c r="H356" s="89" t="s">
        <v>7094</v>
      </c>
      <c r="I356" s="89" t="s">
        <v>7095</v>
      </c>
      <c r="J356" s="96" t="s">
        <v>3581</v>
      </c>
      <c r="K356" s="89" t="s">
        <v>7096</v>
      </c>
      <c r="L356" s="89" t="s">
        <v>7097</v>
      </c>
    </row>
    <row r="357" spans="3:12">
      <c r="C357" s="94"/>
      <c r="D357" s="100"/>
      <c r="E357" s="89" t="s">
        <v>7098</v>
      </c>
      <c r="F357" s="89" t="s">
        <v>7099</v>
      </c>
      <c r="G357" s="95" t="s">
        <v>2640</v>
      </c>
      <c r="H357" s="89" t="s">
        <v>7100</v>
      </c>
      <c r="I357" s="89" t="s">
        <v>7101</v>
      </c>
      <c r="J357" s="96" t="s">
        <v>3459</v>
      </c>
      <c r="K357" s="89" t="s">
        <v>7102</v>
      </c>
      <c r="L357" s="89" t="s">
        <v>7103</v>
      </c>
    </row>
    <row r="358" spans="3:12" ht="15" customHeight="1">
      <c r="C358" s="94"/>
      <c r="D358" s="98" t="s">
        <v>1453</v>
      </c>
      <c r="E358" s="89" t="s">
        <v>7104</v>
      </c>
      <c r="F358" s="89" t="s">
        <v>7105</v>
      </c>
      <c r="G358" s="95" t="s">
        <v>2639</v>
      </c>
      <c r="H358" s="89" t="s">
        <v>7106</v>
      </c>
      <c r="I358" s="89" t="s">
        <v>7107</v>
      </c>
      <c r="J358" s="96" t="s">
        <v>3459</v>
      </c>
      <c r="K358" s="89" t="s">
        <v>7108</v>
      </c>
      <c r="L358" s="89" t="s">
        <v>7109</v>
      </c>
    </row>
    <row r="359" spans="3:12">
      <c r="C359" s="94"/>
      <c r="D359" s="99"/>
      <c r="E359" s="89" t="s">
        <v>7110</v>
      </c>
      <c r="F359" s="89" t="s">
        <v>7111</v>
      </c>
      <c r="G359" s="95" t="s">
        <v>2639</v>
      </c>
      <c r="H359" s="89" t="s">
        <v>2914</v>
      </c>
      <c r="I359" s="89" t="s">
        <v>3874</v>
      </c>
      <c r="J359" s="96" t="s">
        <v>3459</v>
      </c>
      <c r="K359" s="89" t="s">
        <v>7112</v>
      </c>
      <c r="L359" s="89" t="s">
        <v>7113</v>
      </c>
    </row>
    <row r="360" spans="3:12">
      <c r="C360" s="94"/>
      <c r="D360" s="99"/>
      <c r="E360" s="89" t="s">
        <v>7114</v>
      </c>
      <c r="F360" s="89" t="s">
        <v>7115</v>
      </c>
      <c r="G360" s="95" t="s">
        <v>2640</v>
      </c>
      <c r="H360" s="89" t="s">
        <v>3182</v>
      </c>
      <c r="I360" s="89" t="s">
        <v>4368</v>
      </c>
      <c r="J360" s="96" t="s">
        <v>3453</v>
      </c>
      <c r="K360" s="89" t="s">
        <v>7116</v>
      </c>
      <c r="L360" s="89" t="s">
        <v>7117</v>
      </c>
    </row>
    <row r="361" spans="3:12">
      <c r="C361" s="94"/>
      <c r="D361" s="99"/>
      <c r="E361" s="89" t="s">
        <v>7118</v>
      </c>
      <c r="F361" s="89" t="s">
        <v>7119</v>
      </c>
      <c r="G361" s="95" t="s">
        <v>2640</v>
      </c>
      <c r="H361" s="89" t="s">
        <v>4541</v>
      </c>
      <c r="I361" s="89" t="s">
        <v>7120</v>
      </c>
      <c r="J361" s="96" t="s">
        <v>3459</v>
      </c>
      <c r="K361" s="89" t="s">
        <v>4928</v>
      </c>
      <c r="L361" s="89" t="s">
        <v>7121</v>
      </c>
    </row>
    <row r="362" spans="3:12">
      <c r="C362" s="94"/>
      <c r="D362" s="100"/>
      <c r="E362" s="89" t="s">
        <v>7122</v>
      </c>
      <c r="F362" s="89" t="s">
        <v>7123</v>
      </c>
      <c r="G362" s="95" t="s">
        <v>2640</v>
      </c>
      <c r="H362" s="89" t="s">
        <v>7124</v>
      </c>
      <c r="I362" s="89" t="s">
        <v>3644</v>
      </c>
      <c r="J362" s="96" t="s">
        <v>3459</v>
      </c>
      <c r="K362" s="89" t="s">
        <v>4346</v>
      </c>
      <c r="L362" s="89" t="s">
        <v>7125</v>
      </c>
    </row>
    <row r="363" spans="3:12" ht="15" customHeight="1">
      <c r="C363" s="94"/>
      <c r="D363" s="98" t="s">
        <v>1453</v>
      </c>
      <c r="E363" s="89" t="s">
        <v>7126</v>
      </c>
      <c r="F363" s="89" t="s">
        <v>7127</v>
      </c>
      <c r="G363" s="95" t="s">
        <v>2640</v>
      </c>
      <c r="H363" s="89" t="s">
        <v>6037</v>
      </c>
      <c r="I363" s="89" t="s">
        <v>7128</v>
      </c>
      <c r="J363" s="96" t="s">
        <v>3459</v>
      </c>
      <c r="K363" s="89" t="s">
        <v>7129</v>
      </c>
      <c r="L363" s="89" t="s">
        <v>7130</v>
      </c>
    </row>
    <row r="364" spans="3:12">
      <c r="C364" s="94"/>
      <c r="D364" s="99"/>
      <c r="E364" s="89" t="s">
        <v>7131</v>
      </c>
      <c r="F364" s="89" t="s">
        <v>7132</v>
      </c>
      <c r="G364" s="95" t="s">
        <v>2640</v>
      </c>
      <c r="H364" s="89" t="s">
        <v>7133</v>
      </c>
      <c r="I364" s="89" t="s">
        <v>7134</v>
      </c>
      <c r="J364" s="96" t="s">
        <v>3453</v>
      </c>
      <c r="K364" s="89" t="s">
        <v>7135</v>
      </c>
      <c r="L364" s="89" t="s">
        <v>7136</v>
      </c>
    </row>
    <row r="365" spans="3:12">
      <c r="C365" s="94"/>
      <c r="D365" s="99"/>
      <c r="E365" s="89" t="s">
        <v>7137</v>
      </c>
      <c r="F365" s="89" t="s">
        <v>7138</v>
      </c>
      <c r="G365" s="95" t="s">
        <v>2639</v>
      </c>
      <c r="H365" s="89" t="s">
        <v>7139</v>
      </c>
      <c r="I365" s="89" t="s">
        <v>7140</v>
      </c>
      <c r="J365" s="96" t="s">
        <v>3459</v>
      </c>
      <c r="K365" s="89" t="s">
        <v>7141</v>
      </c>
      <c r="L365" s="89" t="s">
        <v>7142</v>
      </c>
    </row>
    <row r="366" spans="3:12">
      <c r="C366" s="94"/>
      <c r="D366" s="99"/>
      <c r="E366" s="89" t="s">
        <v>7143</v>
      </c>
      <c r="F366" s="89" t="s">
        <v>7144</v>
      </c>
      <c r="G366" s="95" t="s">
        <v>2640</v>
      </c>
      <c r="H366" s="89" t="s">
        <v>7145</v>
      </c>
      <c r="I366" s="89" t="s">
        <v>7146</v>
      </c>
      <c r="J366" s="96" t="s">
        <v>3453</v>
      </c>
      <c r="K366" s="89" t="s">
        <v>7147</v>
      </c>
      <c r="L366" s="89" t="s">
        <v>7148</v>
      </c>
    </row>
    <row r="367" spans="3:12">
      <c r="C367" s="94"/>
      <c r="D367" s="100"/>
      <c r="E367" s="89" t="s">
        <v>7149</v>
      </c>
      <c r="F367" s="89" t="s">
        <v>7150</v>
      </c>
      <c r="G367" s="95" t="s">
        <v>2640</v>
      </c>
      <c r="H367" s="89" t="s">
        <v>7151</v>
      </c>
      <c r="I367" s="89" t="s">
        <v>7152</v>
      </c>
      <c r="J367" s="96" t="s">
        <v>3459</v>
      </c>
      <c r="K367" s="89" t="s">
        <v>7153</v>
      </c>
      <c r="L367" s="89" t="s">
        <v>7154</v>
      </c>
    </row>
    <row r="368" spans="3:12">
      <c r="C368" s="94"/>
      <c r="D368" s="94" t="s">
        <v>1453</v>
      </c>
      <c r="E368" s="89" t="s">
        <v>7176</v>
      </c>
      <c r="F368" s="89" t="s">
        <v>7155</v>
      </c>
      <c r="G368" s="95" t="s">
        <v>2639</v>
      </c>
      <c r="H368" s="89" t="s">
        <v>7156</v>
      </c>
      <c r="I368" s="89" t="s">
        <v>7157</v>
      </c>
      <c r="J368" s="96" t="s">
        <v>3459</v>
      </c>
      <c r="K368" s="89" t="s">
        <v>7158</v>
      </c>
      <c r="L368" s="89" t="s">
        <v>7159</v>
      </c>
    </row>
    <row r="369" spans="3:12">
      <c r="C369" s="94"/>
      <c r="D369" s="94"/>
      <c r="E369" s="89" t="s">
        <v>7177</v>
      </c>
      <c r="F369" s="89" t="s">
        <v>7160</v>
      </c>
      <c r="G369" s="95" t="s">
        <v>2639</v>
      </c>
      <c r="H369" s="89" t="s">
        <v>7161</v>
      </c>
      <c r="I369" s="89" t="s">
        <v>2952</v>
      </c>
      <c r="J369" s="96" t="s">
        <v>3453</v>
      </c>
      <c r="K369" s="89" t="s">
        <v>7162</v>
      </c>
      <c r="L369" s="89" t="s">
        <v>7163</v>
      </c>
    </row>
    <row r="370" spans="3:12">
      <c r="C370" s="94"/>
      <c r="D370" s="94"/>
      <c r="E370" s="89" t="s">
        <v>7178</v>
      </c>
      <c r="F370" s="89" t="s">
        <v>7164</v>
      </c>
      <c r="G370" s="95" t="s">
        <v>2640</v>
      </c>
      <c r="H370" s="89" t="s">
        <v>7165</v>
      </c>
      <c r="I370" s="89" t="s">
        <v>1915</v>
      </c>
      <c r="J370" s="96" t="s">
        <v>3459</v>
      </c>
      <c r="K370" s="89" t="s">
        <v>7166</v>
      </c>
      <c r="L370" s="89" t="s">
        <v>7167</v>
      </c>
    </row>
    <row r="371" spans="3:12">
      <c r="C371" s="94"/>
      <c r="D371" s="94"/>
      <c r="E371" s="89" t="s">
        <v>7179</v>
      </c>
      <c r="F371" s="89" t="s">
        <v>7168</v>
      </c>
      <c r="G371" s="95" t="s">
        <v>2641</v>
      </c>
      <c r="H371" s="89" t="s">
        <v>5089</v>
      </c>
      <c r="I371" s="89" t="s">
        <v>7169</v>
      </c>
      <c r="J371" s="96" t="s">
        <v>3459</v>
      </c>
      <c r="K371" s="89" t="s">
        <v>7170</v>
      </c>
      <c r="L371" s="89" t="s">
        <v>7171</v>
      </c>
    </row>
    <row r="372" spans="3:12">
      <c r="C372" s="94"/>
      <c r="D372" s="94"/>
      <c r="E372" s="89" t="s">
        <v>7180</v>
      </c>
      <c r="F372" s="89" t="s">
        <v>7172</v>
      </c>
      <c r="G372" s="95" t="s">
        <v>2639</v>
      </c>
      <c r="H372" s="89" t="s">
        <v>7173</v>
      </c>
      <c r="I372" s="89" t="s">
        <v>7107</v>
      </c>
      <c r="J372" s="96" t="s">
        <v>3581</v>
      </c>
      <c r="K372" s="89" t="s">
        <v>7174</v>
      </c>
      <c r="L372" s="89" t="s">
        <v>7175</v>
      </c>
    </row>
  </sheetData>
  <mergeCells count="89">
    <mergeCell ref="D368:D372"/>
    <mergeCell ref="D338:D342"/>
    <mergeCell ref="D343:D347"/>
    <mergeCell ref="D348:D352"/>
    <mergeCell ref="D353:D357"/>
    <mergeCell ref="D358:D362"/>
    <mergeCell ref="D363:D367"/>
    <mergeCell ref="D333:D337"/>
    <mergeCell ref="D278:D282"/>
    <mergeCell ref="D283:D287"/>
    <mergeCell ref="D288:D292"/>
    <mergeCell ref="D293:D297"/>
    <mergeCell ref="D298:D302"/>
    <mergeCell ref="D303:D307"/>
    <mergeCell ref="D308:D312"/>
    <mergeCell ref="D313:D317"/>
    <mergeCell ref="D318:D322"/>
    <mergeCell ref="D323:D327"/>
    <mergeCell ref="D328:D332"/>
    <mergeCell ref="D273:D277"/>
    <mergeCell ref="D218:D222"/>
    <mergeCell ref="D223:D227"/>
    <mergeCell ref="D228:D232"/>
    <mergeCell ref="D233:D237"/>
    <mergeCell ref="D238:D242"/>
    <mergeCell ref="D243:D247"/>
    <mergeCell ref="D248:D252"/>
    <mergeCell ref="D253:D257"/>
    <mergeCell ref="D258:D262"/>
    <mergeCell ref="D263:D267"/>
    <mergeCell ref="D268:D272"/>
    <mergeCell ref="D213:D217"/>
    <mergeCell ref="D158:D162"/>
    <mergeCell ref="D163:D167"/>
    <mergeCell ref="D168:D172"/>
    <mergeCell ref="D173:D177"/>
    <mergeCell ref="D178:D182"/>
    <mergeCell ref="D183:D187"/>
    <mergeCell ref="D188:D192"/>
    <mergeCell ref="D193:D197"/>
    <mergeCell ref="D198:D202"/>
    <mergeCell ref="D203:D207"/>
    <mergeCell ref="D208:D212"/>
    <mergeCell ref="D153:D157"/>
    <mergeCell ref="D103:D107"/>
    <mergeCell ref="D108:D112"/>
    <mergeCell ref="D113:D117"/>
    <mergeCell ref="D118:D122"/>
    <mergeCell ref="D123:D127"/>
    <mergeCell ref="D128:D132"/>
    <mergeCell ref="D133:D137"/>
    <mergeCell ref="D138:D142"/>
    <mergeCell ref="D143:D147"/>
    <mergeCell ref="D148:D152"/>
    <mergeCell ref="D98:D102"/>
    <mergeCell ref="D43:D47"/>
    <mergeCell ref="D48:D52"/>
    <mergeCell ref="D53:D57"/>
    <mergeCell ref="D58:D62"/>
    <mergeCell ref="D63:D67"/>
    <mergeCell ref="D68:D72"/>
    <mergeCell ref="D73:D77"/>
    <mergeCell ref="D78:D82"/>
    <mergeCell ref="D83:D87"/>
    <mergeCell ref="D88:D92"/>
    <mergeCell ref="D93:D97"/>
    <mergeCell ref="C28:C52"/>
    <mergeCell ref="C3:C27"/>
    <mergeCell ref="D3:D7"/>
    <mergeCell ref="D8:D12"/>
    <mergeCell ref="D13:D17"/>
    <mergeCell ref="D18:D22"/>
    <mergeCell ref="D23:D27"/>
    <mergeCell ref="D28:D32"/>
    <mergeCell ref="D33:D37"/>
    <mergeCell ref="D38:D42"/>
    <mergeCell ref="C53:C77"/>
    <mergeCell ref="C128:C147"/>
    <mergeCell ref="C103:C127"/>
    <mergeCell ref="C78:C102"/>
    <mergeCell ref="C348:C372"/>
    <mergeCell ref="C323:C347"/>
    <mergeCell ref="C298:C322"/>
    <mergeCell ref="C273:C297"/>
    <mergeCell ref="C248:C272"/>
    <mergeCell ref="C223:C247"/>
    <mergeCell ref="C198:C222"/>
    <mergeCell ref="C173:C197"/>
    <mergeCell ref="C148:C172"/>
  </mergeCells>
  <conditionalFormatting sqref="G1:G1048576">
    <cfRule type="cellIs" dxfId="32" priority="13" operator="equal">
      <formula>$G$7</formula>
    </cfRule>
    <cfRule type="cellIs" dxfId="31" priority="14" operator="equal">
      <formula>$G$3</formula>
    </cfRule>
    <cfRule type="cellIs" dxfId="30" priority="15" operator="equal">
      <formula>$G$6</formula>
    </cfRule>
  </conditionalFormatting>
  <conditionalFormatting sqref="J3:J372">
    <cfRule type="cellIs" dxfId="29" priority="9" operator="equal">
      <formula>$J$255</formula>
    </cfRule>
    <cfRule type="cellIs" dxfId="28" priority="10" operator="equal">
      <formula>$J$153</formula>
    </cfRule>
    <cfRule type="cellIs" dxfId="27" priority="11" operator="equal">
      <formula>$J$161</formula>
    </cfRule>
    <cfRule type="colorScale" priority="12">
      <colorScale>
        <cfvo type="min"/>
        <cfvo type="percentile" val="50"/>
        <cfvo type="max"/>
        <color rgb="FFF8696B"/>
        <color rgb="FFFFEB84"/>
        <color rgb="FF63BE7B"/>
      </colorScale>
    </cfRule>
  </conditionalFormatting>
  <conditionalFormatting sqref="I156">
    <cfRule type="cellIs" dxfId="26" priority="5" operator="equal">
      <formula>$J$255</formula>
    </cfRule>
    <cfRule type="cellIs" dxfId="25" priority="6" operator="equal">
      <formula>$J$153</formula>
    </cfRule>
    <cfRule type="cellIs" dxfId="24" priority="7" operator="equal">
      <formula>$J$161</formula>
    </cfRule>
    <cfRule type="colorScale" priority="8">
      <colorScale>
        <cfvo type="min"/>
        <cfvo type="percentile" val="50"/>
        <cfvo type="max"/>
        <color rgb="FFF8696B"/>
        <color rgb="FFFFEB84"/>
        <color rgb="FF63BE7B"/>
      </colorScale>
    </cfRule>
  </conditionalFormatting>
  <conditionalFormatting sqref="I157">
    <cfRule type="cellIs" dxfId="23" priority="1" operator="equal">
      <formula>$J$255</formula>
    </cfRule>
    <cfRule type="cellIs" dxfId="22" priority="2" operator="equal">
      <formula>$J$153</formula>
    </cfRule>
    <cfRule type="cellIs" dxfId="21" priority="3" operator="equal">
      <formula>$J$161</formula>
    </cfRule>
    <cfRule type="colorScale" priority="4">
      <colorScale>
        <cfvo type="min"/>
        <cfvo type="percentile" val="50"/>
        <cfvo type="max"/>
        <color rgb="FFF8696B"/>
        <color rgb="FFFFEB84"/>
        <color rgb="FF63BE7B"/>
      </colorScale>
    </cfRule>
  </conditionalFormatting>
  <dataValidations count="2">
    <dataValidation type="list" allowBlank="1" showInputMessage="1" showErrorMessage="1" sqref="J3:J1048576">
      <formula1>"ÉLEVÉ,MOYEN,FAIBLE"</formula1>
    </dataValidation>
    <dataValidation type="list" allowBlank="1" showInputMessage="1" showErrorMessage="1" sqref="G156:G157">
      <formula1>"OUI,NON,PAS"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3:K105"/>
  <sheetViews>
    <sheetView topLeftCell="C59" zoomScale="81" workbookViewId="0">
      <selection activeCell="E103" sqref="B3:K103"/>
    </sheetView>
  </sheetViews>
  <sheetFormatPr baseColWidth="10" defaultRowHeight="15"/>
  <cols>
    <col min="2" max="2" width="42" customWidth="1"/>
    <col min="3" max="3" width="53.42578125" customWidth="1"/>
    <col min="4" max="4" width="67.140625" customWidth="1"/>
    <col min="5" max="5" width="90" customWidth="1"/>
    <col min="6" max="6" width="14.5703125" customWidth="1"/>
    <col min="7" max="7" width="57.140625" customWidth="1"/>
    <col min="8" max="8" width="72.7109375" customWidth="1"/>
    <col min="9" max="9" width="17" customWidth="1"/>
    <col min="10" max="10" width="49.5703125" customWidth="1"/>
    <col min="11" max="11" width="92.5703125" customWidth="1"/>
  </cols>
  <sheetData>
    <row r="3" spans="2:11">
      <c r="B3" s="63" t="s">
        <v>1454</v>
      </c>
      <c r="C3" s="63" t="s">
        <v>1455</v>
      </c>
      <c r="D3" s="63" t="s">
        <v>1456</v>
      </c>
      <c r="E3" s="63" t="s">
        <v>1457</v>
      </c>
      <c r="F3" s="63" t="s">
        <v>2638</v>
      </c>
      <c r="G3" s="63" t="s">
        <v>1458</v>
      </c>
      <c r="H3" s="63" t="s">
        <v>1732</v>
      </c>
      <c r="I3" s="63" t="s">
        <v>9927</v>
      </c>
      <c r="J3" s="63" t="s">
        <v>1459</v>
      </c>
      <c r="K3" s="86" t="s">
        <v>11961</v>
      </c>
    </row>
    <row r="4" spans="2:11" ht="15" customHeight="1">
      <c r="B4" s="19" t="s">
        <v>1460</v>
      </c>
      <c r="C4" s="19" t="s">
        <v>1461</v>
      </c>
      <c r="D4" s="7" t="s">
        <v>1483</v>
      </c>
      <c r="E4" s="7" t="s">
        <v>1533</v>
      </c>
      <c r="F4" s="83" t="s">
        <v>2639</v>
      </c>
      <c r="G4" s="7" t="s">
        <v>1583</v>
      </c>
      <c r="H4" s="7" t="s">
        <v>1633</v>
      </c>
      <c r="I4" s="85" t="s">
        <v>3581</v>
      </c>
      <c r="J4" s="76" t="s">
        <v>1683</v>
      </c>
      <c r="K4" s="8" t="s">
        <v>11861</v>
      </c>
    </row>
    <row r="5" spans="2:11">
      <c r="B5" s="19"/>
      <c r="C5" s="19"/>
      <c r="D5" s="7" t="s">
        <v>1484</v>
      </c>
      <c r="E5" s="7" t="s">
        <v>1534</v>
      </c>
      <c r="F5" s="83" t="s">
        <v>2640</v>
      </c>
      <c r="G5" s="7" t="s">
        <v>1584</v>
      </c>
      <c r="H5" s="7" t="s">
        <v>1634</v>
      </c>
      <c r="I5" s="37" t="s">
        <v>3453</v>
      </c>
      <c r="J5" s="76" t="s">
        <v>1684</v>
      </c>
      <c r="K5" s="8" t="s">
        <v>11862</v>
      </c>
    </row>
    <row r="6" spans="2:11" ht="15.75">
      <c r="B6" s="19"/>
      <c r="C6" s="19"/>
      <c r="D6" s="7" t="s">
        <v>1485</v>
      </c>
      <c r="E6" s="7" t="s">
        <v>1535</v>
      </c>
      <c r="F6" s="83" t="s">
        <v>2641</v>
      </c>
      <c r="G6" s="7" t="s">
        <v>1585</v>
      </c>
      <c r="H6" s="7" t="s">
        <v>1635</v>
      </c>
      <c r="I6" s="85" t="s">
        <v>3459</v>
      </c>
      <c r="J6" s="7" t="s">
        <v>1685</v>
      </c>
      <c r="K6" s="8" t="s">
        <v>11863</v>
      </c>
    </row>
    <row r="7" spans="2:11" ht="15.75">
      <c r="B7" s="19"/>
      <c r="C7" s="19"/>
      <c r="D7" s="7" t="s">
        <v>1486</v>
      </c>
      <c r="E7" s="7" t="s">
        <v>1536</v>
      </c>
      <c r="F7" s="83" t="s">
        <v>2639</v>
      </c>
      <c r="G7" s="7" t="s">
        <v>1586</v>
      </c>
      <c r="H7" s="7" t="s">
        <v>1636</v>
      </c>
      <c r="I7" s="85" t="s">
        <v>3581</v>
      </c>
      <c r="J7" s="7" t="s">
        <v>1686</v>
      </c>
      <c r="K7" s="8" t="s">
        <v>11864</v>
      </c>
    </row>
    <row r="8" spans="2:11">
      <c r="B8" s="19"/>
      <c r="C8" s="19"/>
      <c r="D8" s="7" t="s">
        <v>1487</v>
      </c>
      <c r="E8" s="7" t="s">
        <v>1537</v>
      </c>
      <c r="F8" s="83" t="s">
        <v>2640</v>
      </c>
      <c r="G8" s="7" t="s">
        <v>1587</v>
      </c>
      <c r="H8" s="7" t="s">
        <v>1637</v>
      </c>
      <c r="I8" s="37" t="s">
        <v>3453</v>
      </c>
      <c r="J8" s="7" t="s">
        <v>1687</v>
      </c>
      <c r="K8" s="8" t="s">
        <v>11865</v>
      </c>
    </row>
    <row r="9" spans="2:11" ht="15" customHeight="1">
      <c r="B9" s="19"/>
      <c r="C9" s="19" t="s">
        <v>1462</v>
      </c>
      <c r="D9" s="7" t="s">
        <v>1488</v>
      </c>
      <c r="E9" s="7" t="s">
        <v>1538</v>
      </c>
      <c r="F9" s="83" t="s">
        <v>2641</v>
      </c>
      <c r="G9" s="7" t="s">
        <v>1588</v>
      </c>
      <c r="H9" s="7" t="s">
        <v>1638</v>
      </c>
      <c r="I9" s="85" t="s">
        <v>3459</v>
      </c>
      <c r="J9" s="7" t="s">
        <v>1688</v>
      </c>
      <c r="K9" s="8" t="s">
        <v>11866</v>
      </c>
    </row>
    <row r="10" spans="2:11" ht="15.75">
      <c r="B10" s="19"/>
      <c r="C10" s="19"/>
      <c r="D10" s="7" t="s">
        <v>1489</v>
      </c>
      <c r="E10" s="7" t="s">
        <v>1539</v>
      </c>
      <c r="F10" s="83" t="s">
        <v>2639</v>
      </c>
      <c r="G10" s="7" t="s">
        <v>1589</v>
      </c>
      <c r="H10" s="7" t="s">
        <v>1639</v>
      </c>
      <c r="I10" s="85" t="s">
        <v>3581</v>
      </c>
      <c r="J10" s="7" t="s">
        <v>1689</v>
      </c>
      <c r="K10" s="8" t="s">
        <v>11867</v>
      </c>
    </row>
    <row r="11" spans="2:11">
      <c r="B11" s="19"/>
      <c r="C11" s="19"/>
      <c r="D11" s="7" t="s">
        <v>1490</v>
      </c>
      <c r="E11" s="7" t="s">
        <v>1540</v>
      </c>
      <c r="F11" s="83" t="s">
        <v>2640</v>
      </c>
      <c r="G11" s="7" t="s">
        <v>1590</v>
      </c>
      <c r="H11" s="7" t="s">
        <v>1640</v>
      </c>
      <c r="I11" s="37" t="s">
        <v>3453</v>
      </c>
      <c r="J11" s="7" t="s">
        <v>1690</v>
      </c>
      <c r="K11" s="8" t="s">
        <v>11868</v>
      </c>
    </row>
    <row r="12" spans="2:11" ht="15.75">
      <c r="B12" s="19"/>
      <c r="C12" s="19"/>
      <c r="D12" s="7" t="s">
        <v>1491</v>
      </c>
      <c r="E12" s="7" t="s">
        <v>1541</v>
      </c>
      <c r="F12" s="83" t="s">
        <v>2641</v>
      </c>
      <c r="G12" s="7" t="s">
        <v>1591</v>
      </c>
      <c r="H12" s="7" t="s">
        <v>1641</v>
      </c>
      <c r="I12" s="85" t="s">
        <v>3459</v>
      </c>
      <c r="J12" s="7" t="s">
        <v>1691</v>
      </c>
      <c r="K12" s="8" t="s">
        <v>11869</v>
      </c>
    </row>
    <row r="13" spans="2:11" ht="15.75">
      <c r="B13" s="19"/>
      <c r="C13" s="19"/>
      <c r="D13" s="7" t="s">
        <v>1492</v>
      </c>
      <c r="E13" s="7" t="s">
        <v>1542</v>
      </c>
      <c r="F13" s="83" t="s">
        <v>2639</v>
      </c>
      <c r="G13" s="7" t="s">
        <v>1592</v>
      </c>
      <c r="H13" s="7" t="s">
        <v>1642</v>
      </c>
      <c r="I13" s="85" t="s">
        <v>3581</v>
      </c>
      <c r="J13" s="7" t="s">
        <v>1692</v>
      </c>
      <c r="K13" s="8" t="s">
        <v>11870</v>
      </c>
    </row>
    <row r="14" spans="2:11">
      <c r="B14" s="19"/>
      <c r="C14" s="19" t="s">
        <v>1463</v>
      </c>
      <c r="D14" s="7" t="s">
        <v>1493</v>
      </c>
      <c r="E14" s="7" t="s">
        <v>1543</v>
      </c>
      <c r="F14" s="83" t="s">
        <v>2640</v>
      </c>
      <c r="G14" s="7" t="s">
        <v>1593</v>
      </c>
      <c r="H14" s="7" t="s">
        <v>1643</v>
      </c>
      <c r="I14" s="37" t="s">
        <v>3453</v>
      </c>
      <c r="J14" s="7" t="s">
        <v>1693</v>
      </c>
      <c r="K14" s="8" t="s">
        <v>11871</v>
      </c>
    </row>
    <row r="15" spans="2:11" ht="15.75">
      <c r="B15" s="19"/>
      <c r="C15" s="19"/>
      <c r="D15" s="7" t="s">
        <v>1494</v>
      </c>
      <c r="E15" s="7" t="s">
        <v>1544</v>
      </c>
      <c r="F15" s="83" t="s">
        <v>2641</v>
      </c>
      <c r="G15" s="7" t="s">
        <v>1594</v>
      </c>
      <c r="H15" s="7" t="s">
        <v>1644</v>
      </c>
      <c r="I15" s="85" t="s">
        <v>3459</v>
      </c>
      <c r="J15" s="7" t="s">
        <v>1694</v>
      </c>
      <c r="K15" s="8" t="s">
        <v>11872</v>
      </c>
    </row>
    <row r="16" spans="2:11" ht="15.75">
      <c r="B16" s="19"/>
      <c r="C16" s="19"/>
      <c r="D16" s="7" t="s">
        <v>1495</v>
      </c>
      <c r="E16" s="7" t="s">
        <v>1545</v>
      </c>
      <c r="F16" s="83" t="s">
        <v>2639</v>
      </c>
      <c r="G16" s="7" t="s">
        <v>1595</v>
      </c>
      <c r="H16" s="7" t="s">
        <v>1645</v>
      </c>
      <c r="I16" s="85" t="s">
        <v>3581</v>
      </c>
      <c r="J16" s="7" t="s">
        <v>1695</v>
      </c>
      <c r="K16" s="8" t="s">
        <v>11873</v>
      </c>
    </row>
    <row r="17" spans="2:11">
      <c r="B17" s="19"/>
      <c r="C17" s="19"/>
      <c r="D17" s="7" t="s">
        <v>1496</v>
      </c>
      <c r="E17" s="7" t="s">
        <v>1546</v>
      </c>
      <c r="F17" s="83" t="s">
        <v>2640</v>
      </c>
      <c r="G17" s="7" t="s">
        <v>1596</v>
      </c>
      <c r="H17" s="7" t="s">
        <v>1646</v>
      </c>
      <c r="I17" s="37" t="s">
        <v>3453</v>
      </c>
      <c r="J17" s="7" t="s">
        <v>1696</v>
      </c>
      <c r="K17" s="8" t="s">
        <v>11874</v>
      </c>
    </row>
    <row r="18" spans="2:11" ht="15.75">
      <c r="B18" s="19"/>
      <c r="C18" s="19"/>
      <c r="D18" s="7" t="s">
        <v>1497</v>
      </c>
      <c r="E18" s="7" t="s">
        <v>1547</v>
      </c>
      <c r="F18" s="83" t="s">
        <v>2641</v>
      </c>
      <c r="G18" s="7" t="s">
        <v>1597</v>
      </c>
      <c r="H18" s="7" t="s">
        <v>1647</v>
      </c>
      <c r="I18" s="85" t="s">
        <v>3459</v>
      </c>
      <c r="J18" s="7" t="s">
        <v>1697</v>
      </c>
      <c r="K18" s="8" t="s">
        <v>11875</v>
      </c>
    </row>
    <row r="19" spans="2:11" ht="15.75">
      <c r="B19" s="19"/>
      <c r="C19" s="19" t="s">
        <v>1464</v>
      </c>
      <c r="D19" s="7" t="s">
        <v>1498</v>
      </c>
      <c r="E19" s="7" t="s">
        <v>1548</v>
      </c>
      <c r="F19" s="83" t="s">
        <v>2639</v>
      </c>
      <c r="G19" s="7" t="s">
        <v>1598</v>
      </c>
      <c r="H19" s="7" t="s">
        <v>1648</v>
      </c>
      <c r="I19" s="85" t="s">
        <v>3581</v>
      </c>
      <c r="J19" s="7" t="s">
        <v>1698</v>
      </c>
      <c r="K19" s="8" t="s">
        <v>11876</v>
      </c>
    </row>
    <row r="20" spans="2:11">
      <c r="B20" s="19"/>
      <c r="C20" s="19"/>
      <c r="D20" s="7" t="s">
        <v>1499</v>
      </c>
      <c r="E20" s="7" t="s">
        <v>1549</v>
      </c>
      <c r="F20" s="83" t="s">
        <v>2640</v>
      </c>
      <c r="G20" s="7" t="s">
        <v>1599</v>
      </c>
      <c r="H20" s="7" t="s">
        <v>1649</v>
      </c>
      <c r="I20" s="37" t="s">
        <v>3453</v>
      </c>
      <c r="J20" s="7" t="s">
        <v>1699</v>
      </c>
      <c r="K20" s="8" t="s">
        <v>11877</v>
      </c>
    </row>
    <row r="21" spans="2:11" ht="15.75">
      <c r="B21" s="19"/>
      <c r="C21" s="19"/>
      <c r="D21" s="7" t="s">
        <v>1500</v>
      </c>
      <c r="E21" s="7" t="s">
        <v>1550</v>
      </c>
      <c r="F21" s="83" t="s">
        <v>2641</v>
      </c>
      <c r="G21" s="7" t="s">
        <v>1600</v>
      </c>
      <c r="H21" s="7" t="s">
        <v>1650</v>
      </c>
      <c r="I21" s="85" t="s">
        <v>3459</v>
      </c>
      <c r="J21" s="7" t="s">
        <v>1700</v>
      </c>
      <c r="K21" s="8" t="s">
        <v>11878</v>
      </c>
    </row>
    <row r="22" spans="2:11" ht="15.75">
      <c r="B22" s="19"/>
      <c r="C22" s="19"/>
      <c r="D22" s="7" t="s">
        <v>1501</v>
      </c>
      <c r="E22" s="7" t="s">
        <v>1551</v>
      </c>
      <c r="F22" s="83" t="s">
        <v>2639</v>
      </c>
      <c r="G22" s="7" t="s">
        <v>1601</v>
      </c>
      <c r="H22" s="7" t="s">
        <v>1651</v>
      </c>
      <c r="I22" s="85" t="s">
        <v>3581</v>
      </c>
      <c r="J22" s="7" t="s">
        <v>1701</v>
      </c>
      <c r="K22" s="8" t="s">
        <v>11879</v>
      </c>
    </row>
    <row r="23" spans="2:11" ht="15.75">
      <c r="B23" s="19"/>
      <c r="C23" s="19"/>
      <c r="D23" s="7" t="s">
        <v>1502</v>
      </c>
      <c r="E23" s="7" t="s">
        <v>1552</v>
      </c>
      <c r="F23" s="83" t="s">
        <v>2640</v>
      </c>
      <c r="G23" s="7" t="s">
        <v>1602</v>
      </c>
      <c r="H23" s="7" t="s">
        <v>1652</v>
      </c>
      <c r="I23" s="85" t="s">
        <v>11860</v>
      </c>
      <c r="J23" s="7" t="s">
        <v>1702</v>
      </c>
      <c r="K23" s="8" t="s">
        <v>11880</v>
      </c>
    </row>
    <row r="24" spans="2:11" ht="15.75">
      <c r="B24" s="19"/>
      <c r="C24" s="19" t="s">
        <v>1465</v>
      </c>
      <c r="D24" s="7" t="s">
        <v>1503</v>
      </c>
      <c r="E24" s="7" t="s">
        <v>1553</v>
      </c>
      <c r="F24" s="83" t="s">
        <v>2641</v>
      </c>
      <c r="G24" s="7" t="s">
        <v>1603</v>
      </c>
      <c r="H24" s="7" t="s">
        <v>1653</v>
      </c>
      <c r="I24" s="85" t="s">
        <v>3459</v>
      </c>
      <c r="J24" s="7" t="s">
        <v>1703</v>
      </c>
      <c r="K24" s="8" t="s">
        <v>11881</v>
      </c>
    </row>
    <row r="25" spans="2:11" ht="15.75">
      <c r="B25" s="19"/>
      <c r="C25" s="19"/>
      <c r="D25" s="7" t="s">
        <v>1504</v>
      </c>
      <c r="E25" s="7" t="s">
        <v>1554</v>
      </c>
      <c r="F25" s="83" t="s">
        <v>2639</v>
      </c>
      <c r="G25" s="7" t="s">
        <v>1604</v>
      </c>
      <c r="H25" s="7" t="s">
        <v>1654</v>
      </c>
      <c r="I25" s="85" t="s">
        <v>3581</v>
      </c>
      <c r="J25" s="7" t="s">
        <v>1704</v>
      </c>
      <c r="K25" s="8" t="s">
        <v>11882</v>
      </c>
    </row>
    <row r="26" spans="2:11">
      <c r="B26" s="19"/>
      <c r="C26" s="19"/>
      <c r="D26" s="7" t="s">
        <v>1505</v>
      </c>
      <c r="E26" s="7" t="s">
        <v>1555</v>
      </c>
      <c r="F26" s="83" t="s">
        <v>2640</v>
      </c>
      <c r="G26" s="7" t="s">
        <v>1605</v>
      </c>
      <c r="H26" s="7" t="s">
        <v>1655</v>
      </c>
      <c r="I26" s="37" t="s">
        <v>3453</v>
      </c>
      <c r="J26" s="7" t="s">
        <v>1705</v>
      </c>
      <c r="K26" s="8" t="s">
        <v>11883</v>
      </c>
    </row>
    <row r="27" spans="2:11" ht="15.75">
      <c r="B27" s="19"/>
      <c r="C27" s="19"/>
      <c r="D27" s="7" t="s">
        <v>1506</v>
      </c>
      <c r="E27" s="7" t="s">
        <v>1556</v>
      </c>
      <c r="F27" s="83" t="s">
        <v>2641</v>
      </c>
      <c r="G27" s="7" t="s">
        <v>1606</v>
      </c>
      <c r="H27" s="7" t="s">
        <v>1656</v>
      </c>
      <c r="I27" s="85" t="s">
        <v>3459</v>
      </c>
      <c r="J27" s="7" t="s">
        <v>1706</v>
      </c>
      <c r="K27" s="8" t="s">
        <v>11884</v>
      </c>
    </row>
    <row r="28" spans="2:11" ht="15.75">
      <c r="B28" s="19"/>
      <c r="C28" s="19"/>
      <c r="D28" s="7" t="s">
        <v>1507</v>
      </c>
      <c r="E28" s="7" t="s">
        <v>1557</v>
      </c>
      <c r="F28" s="83" t="s">
        <v>2639</v>
      </c>
      <c r="G28" s="7" t="s">
        <v>1607</v>
      </c>
      <c r="H28" s="7" t="s">
        <v>1657</v>
      </c>
      <c r="I28" s="85" t="s">
        <v>3581</v>
      </c>
      <c r="J28" s="7" t="s">
        <v>1707</v>
      </c>
      <c r="K28" s="8" t="s">
        <v>11885</v>
      </c>
    </row>
    <row r="29" spans="2:11" ht="15" customHeight="1">
      <c r="B29" s="19" t="s">
        <v>1466</v>
      </c>
      <c r="C29" s="19" t="s">
        <v>1467</v>
      </c>
      <c r="D29" s="7" t="s">
        <v>1508</v>
      </c>
      <c r="E29" s="7" t="s">
        <v>1558</v>
      </c>
      <c r="F29" s="83" t="s">
        <v>2640</v>
      </c>
      <c r="G29" s="7" t="s">
        <v>1608</v>
      </c>
      <c r="H29" s="7" t="s">
        <v>1658</v>
      </c>
      <c r="I29" s="85" t="s">
        <v>11860</v>
      </c>
      <c r="J29" s="7" t="s">
        <v>1708</v>
      </c>
      <c r="K29" s="8" t="s">
        <v>11886</v>
      </c>
    </row>
    <row r="30" spans="2:11" ht="15.75">
      <c r="B30" s="19"/>
      <c r="C30" s="19"/>
      <c r="D30" s="7" t="s">
        <v>1509</v>
      </c>
      <c r="E30" s="7" t="s">
        <v>1559</v>
      </c>
      <c r="F30" s="83" t="s">
        <v>2641</v>
      </c>
      <c r="G30" s="7" t="s">
        <v>1609</v>
      </c>
      <c r="H30" s="7" t="s">
        <v>1659</v>
      </c>
      <c r="I30" s="85" t="s">
        <v>3459</v>
      </c>
      <c r="J30" s="7" t="s">
        <v>1709</v>
      </c>
      <c r="K30" s="8" t="s">
        <v>11887</v>
      </c>
    </row>
    <row r="31" spans="2:11" ht="15.75">
      <c r="B31" s="19"/>
      <c r="C31" s="19"/>
      <c r="D31" s="7" t="s">
        <v>1510</v>
      </c>
      <c r="E31" s="7" t="s">
        <v>1560</v>
      </c>
      <c r="F31" s="83" t="s">
        <v>2639</v>
      </c>
      <c r="G31" s="7" t="s">
        <v>1610</v>
      </c>
      <c r="H31" s="7" t="s">
        <v>1660</v>
      </c>
      <c r="I31" s="85" t="s">
        <v>3581</v>
      </c>
      <c r="J31" s="7" t="s">
        <v>1710</v>
      </c>
      <c r="K31" s="8" t="s">
        <v>11888</v>
      </c>
    </row>
    <row r="32" spans="2:11" ht="15.75">
      <c r="B32" s="19"/>
      <c r="C32" s="19"/>
      <c r="D32" s="7" t="s">
        <v>1511</v>
      </c>
      <c r="E32" s="7" t="s">
        <v>1561</v>
      </c>
      <c r="F32" s="83" t="s">
        <v>2640</v>
      </c>
      <c r="G32" s="7" t="s">
        <v>1611</v>
      </c>
      <c r="H32" s="7" t="s">
        <v>1661</v>
      </c>
      <c r="I32" s="85" t="s">
        <v>11860</v>
      </c>
      <c r="J32" s="7" t="s">
        <v>1711</v>
      </c>
      <c r="K32" s="8" t="s">
        <v>11889</v>
      </c>
    </row>
    <row r="33" spans="2:11" ht="15.75">
      <c r="B33" s="19"/>
      <c r="C33" s="19"/>
      <c r="D33" s="7" t="s">
        <v>1512</v>
      </c>
      <c r="E33" s="7" t="s">
        <v>1562</v>
      </c>
      <c r="F33" s="83" t="s">
        <v>2641</v>
      </c>
      <c r="G33" s="7" t="s">
        <v>1612</v>
      </c>
      <c r="H33" s="7" t="s">
        <v>1662</v>
      </c>
      <c r="I33" s="85" t="s">
        <v>3459</v>
      </c>
      <c r="J33" s="7" t="s">
        <v>1675</v>
      </c>
      <c r="K33" s="8" t="s">
        <v>11890</v>
      </c>
    </row>
    <row r="34" spans="2:11" ht="15" customHeight="1">
      <c r="B34" s="19"/>
      <c r="C34" s="19" t="s">
        <v>1468</v>
      </c>
      <c r="D34" s="7" t="s">
        <v>1513</v>
      </c>
      <c r="E34" s="7" t="s">
        <v>1563</v>
      </c>
      <c r="F34" s="83" t="s">
        <v>2639</v>
      </c>
      <c r="G34" s="7" t="s">
        <v>1613</v>
      </c>
      <c r="H34" s="7" t="s">
        <v>1663</v>
      </c>
      <c r="I34" s="85" t="s">
        <v>3581</v>
      </c>
      <c r="J34" s="7" t="s">
        <v>1712</v>
      </c>
      <c r="K34" s="8" t="s">
        <v>11891</v>
      </c>
    </row>
    <row r="35" spans="2:11">
      <c r="B35" s="19"/>
      <c r="C35" s="19"/>
      <c r="D35" s="7" t="s">
        <v>1514</v>
      </c>
      <c r="E35" s="7" t="s">
        <v>1564</v>
      </c>
      <c r="F35" s="83" t="s">
        <v>2640</v>
      </c>
      <c r="G35" s="7" t="s">
        <v>1614</v>
      </c>
      <c r="H35" s="7" t="s">
        <v>1664</v>
      </c>
      <c r="I35" s="37" t="s">
        <v>3453</v>
      </c>
      <c r="J35" s="7" t="s">
        <v>1713</v>
      </c>
      <c r="K35" s="8" t="s">
        <v>11892</v>
      </c>
    </row>
    <row r="36" spans="2:11" ht="15.75">
      <c r="B36" s="19"/>
      <c r="C36" s="19"/>
      <c r="D36" s="7" t="s">
        <v>1515</v>
      </c>
      <c r="E36" s="7" t="s">
        <v>1565</v>
      </c>
      <c r="F36" s="83" t="s">
        <v>2641</v>
      </c>
      <c r="G36" s="7" t="s">
        <v>1615</v>
      </c>
      <c r="H36" s="7" t="s">
        <v>1665</v>
      </c>
      <c r="I36" s="85" t="s">
        <v>3459</v>
      </c>
      <c r="J36" s="7" t="s">
        <v>1714</v>
      </c>
      <c r="K36" s="8" t="s">
        <v>11893</v>
      </c>
    </row>
    <row r="37" spans="2:11" ht="15.75">
      <c r="B37" s="19"/>
      <c r="C37" s="19"/>
      <c r="D37" s="7" t="s">
        <v>1516</v>
      </c>
      <c r="E37" s="7" t="s">
        <v>1566</v>
      </c>
      <c r="F37" s="83" t="s">
        <v>2639</v>
      </c>
      <c r="G37" s="7" t="s">
        <v>1616</v>
      </c>
      <c r="H37" s="7" t="s">
        <v>1666</v>
      </c>
      <c r="I37" s="85" t="s">
        <v>3581</v>
      </c>
      <c r="J37" s="7" t="s">
        <v>1715</v>
      </c>
      <c r="K37" s="8" t="s">
        <v>11894</v>
      </c>
    </row>
    <row r="38" spans="2:11">
      <c r="B38" s="19"/>
      <c r="C38" s="19"/>
      <c r="D38" s="7" t="s">
        <v>1517</v>
      </c>
      <c r="E38" s="7" t="s">
        <v>1567</v>
      </c>
      <c r="F38" s="83" t="s">
        <v>2640</v>
      </c>
      <c r="G38" s="7" t="s">
        <v>1617</v>
      </c>
      <c r="H38" s="7" t="s">
        <v>1667</v>
      </c>
      <c r="I38" s="37" t="s">
        <v>3453</v>
      </c>
      <c r="J38" s="7" t="s">
        <v>1716</v>
      </c>
      <c r="K38" s="8" t="s">
        <v>11895</v>
      </c>
    </row>
    <row r="39" spans="2:11" ht="15.75">
      <c r="B39" s="19"/>
      <c r="C39" s="19" t="s">
        <v>1469</v>
      </c>
      <c r="D39" s="7" t="s">
        <v>1518</v>
      </c>
      <c r="E39" s="7" t="s">
        <v>1568</v>
      </c>
      <c r="F39" s="83" t="s">
        <v>2641</v>
      </c>
      <c r="G39" s="7" t="s">
        <v>1618</v>
      </c>
      <c r="H39" s="7" t="s">
        <v>1668</v>
      </c>
      <c r="I39" s="85" t="s">
        <v>3459</v>
      </c>
      <c r="J39" s="7" t="s">
        <v>1717</v>
      </c>
      <c r="K39" s="8" t="s">
        <v>11896</v>
      </c>
    </row>
    <row r="40" spans="2:11" ht="15.75">
      <c r="B40" s="19"/>
      <c r="C40" s="19"/>
      <c r="D40" s="7" t="s">
        <v>1519</v>
      </c>
      <c r="E40" s="7" t="s">
        <v>1569</v>
      </c>
      <c r="F40" s="83" t="s">
        <v>2639</v>
      </c>
      <c r="G40" s="7" t="s">
        <v>1619</v>
      </c>
      <c r="H40" s="7" t="s">
        <v>1669</v>
      </c>
      <c r="I40" s="85" t="s">
        <v>3581</v>
      </c>
      <c r="J40" s="7" t="s">
        <v>1718</v>
      </c>
      <c r="K40" s="8" t="s">
        <v>11897</v>
      </c>
    </row>
    <row r="41" spans="2:11" ht="15.75">
      <c r="B41" s="19"/>
      <c r="C41" s="19"/>
      <c r="D41" s="7" t="s">
        <v>1520</v>
      </c>
      <c r="E41" s="7" t="s">
        <v>1570</v>
      </c>
      <c r="F41" s="83" t="s">
        <v>2640</v>
      </c>
      <c r="G41" s="7" t="s">
        <v>1620</v>
      </c>
      <c r="H41" s="7" t="s">
        <v>1670</v>
      </c>
      <c r="I41" s="85" t="s">
        <v>3459</v>
      </c>
      <c r="J41" s="7" t="s">
        <v>1719</v>
      </c>
      <c r="K41" s="8" t="s">
        <v>11898</v>
      </c>
    </row>
    <row r="42" spans="2:11" ht="15.75">
      <c r="B42" s="19"/>
      <c r="C42" s="19"/>
      <c r="D42" s="7" t="s">
        <v>1521</v>
      </c>
      <c r="E42" s="7" t="s">
        <v>1571</v>
      </c>
      <c r="F42" s="83" t="s">
        <v>2641</v>
      </c>
      <c r="G42" s="7" t="s">
        <v>1621</v>
      </c>
      <c r="H42" s="7" t="s">
        <v>1671</v>
      </c>
      <c r="I42" s="85" t="s">
        <v>3459</v>
      </c>
      <c r="J42" s="7" t="s">
        <v>1720</v>
      </c>
      <c r="K42" s="8" t="s">
        <v>11899</v>
      </c>
    </row>
    <row r="43" spans="2:11" ht="15.75">
      <c r="B43" s="19"/>
      <c r="C43" s="19"/>
      <c r="D43" s="7" t="s">
        <v>1522</v>
      </c>
      <c r="E43" s="7" t="s">
        <v>1572</v>
      </c>
      <c r="F43" s="83" t="s">
        <v>2639</v>
      </c>
      <c r="G43" s="7" t="s">
        <v>1622</v>
      </c>
      <c r="H43" s="7" t="s">
        <v>1672</v>
      </c>
      <c r="I43" s="85" t="s">
        <v>3581</v>
      </c>
      <c r="J43" s="7" t="s">
        <v>1721</v>
      </c>
      <c r="K43" s="8" t="s">
        <v>11900</v>
      </c>
    </row>
    <row r="44" spans="2:11" ht="15" customHeight="1">
      <c r="B44" s="19"/>
      <c r="C44" s="19" t="s">
        <v>1470</v>
      </c>
      <c r="D44" s="7" t="s">
        <v>1523</v>
      </c>
      <c r="E44" s="7" t="s">
        <v>1573</v>
      </c>
      <c r="F44" s="83" t="s">
        <v>2640</v>
      </c>
      <c r="G44" s="7" t="s">
        <v>1623</v>
      </c>
      <c r="H44" s="7" t="s">
        <v>1673</v>
      </c>
      <c r="I44" s="37" t="s">
        <v>3453</v>
      </c>
      <c r="J44" s="7" t="s">
        <v>1722</v>
      </c>
      <c r="K44" s="8" t="s">
        <v>11901</v>
      </c>
    </row>
    <row r="45" spans="2:11" ht="15.75">
      <c r="B45" s="19"/>
      <c r="C45" s="19"/>
      <c r="D45" s="7" t="s">
        <v>1524</v>
      </c>
      <c r="E45" s="7" t="s">
        <v>1574</v>
      </c>
      <c r="F45" s="83" t="s">
        <v>2641</v>
      </c>
      <c r="G45" s="7" t="s">
        <v>1624</v>
      </c>
      <c r="H45" s="7" t="s">
        <v>1674</v>
      </c>
      <c r="I45" s="85" t="s">
        <v>3459</v>
      </c>
      <c r="J45" s="7" t="s">
        <v>1723</v>
      </c>
      <c r="K45" s="8" t="s">
        <v>11902</v>
      </c>
    </row>
    <row r="46" spans="2:11" ht="15.75">
      <c r="B46" s="19"/>
      <c r="C46" s="19"/>
      <c r="D46" s="7" t="s">
        <v>1525</v>
      </c>
      <c r="E46" s="7" t="s">
        <v>1575</v>
      </c>
      <c r="F46" s="83" t="s">
        <v>2639</v>
      </c>
      <c r="G46" s="7" t="s">
        <v>1625</v>
      </c>
      <c r="H46" s="7" t="s">
        <v>1675</v>
      </c>
      <c r="I46" s="85" t="s">
        <v>3581</v>
      </c>
      <c r="J46" s="7" t="s">
        <v>1724</v>
      </c>
      <c r="K46" s="8" t="s">
        <v>11903</v>
      </c>
    </row>
    <row r="47" spans="2:11" ht="15.75">
      <c r="B47" s="19"/>
      <c r="C47" s="19"/>
      <c r="D47" s="7" t="s">
        <v>1526</v>
      </c>
      <c r="E47" s="7" t="s">
        <v>1576</v>
      </c>
      <c r="F47" s="83" t="s">
        <v>2640</v>
      </c>
      <c r="G47" s="7" t="s">
        <v>1626</v>
      </c>
      <c r="H47" s="7" t="s">
        <v>1676</v>
      </c>
      <c r="I47" s="85" t="s">
        <v>11860</v>
      </c>
      <c r="J47" s="7" t="s">
        <v>1725</v>
      </c>
      <c r="K47" s="8" t="s">
        <v>11904</v>
      </c>
    </row>
    <row r="48" spans="2:11" ht="15.75">
      <c r="B48" s="19"/>
      <c r="C48" s="19"/>
      <c r="D48" s="7" t="s">
        <v>1527</v>
      </c>
      <c r="E48" s="7" t="s">
        <v>1577</v>
      </c>
      <c r="F48" s="83" t="s">
        <v>2641</v>
      </c>
      <c r="G48" s="7" t="s">
        <v>1627</v>
      </c>
      <c r="H48" s="7" t="s">
        <v>1677</v>
      </c>
      <c r="I48" s="85" t="s">
        <v>3459</v>
      </c>
      <c r="J48" s="7" t="s">
        <v>1726</v>
      </c>
      <c r="K48" s="8" t="s">
        <v>11905</v>
      </c>
    </row>
    <row r="49" spans="2:11" ht="15.75">
      <c r="B49" s="19"/>
      <c r="C49" s="19" t="s">
        <v>1471</v>
      </c>
      <c r="D49" s="7" t="s">
        <v>1528</v>
      </c>
      <c r="E49" s="7" t="s">
        <v>1578</v>
      </c>
      <c r="F49" s="83" t="s">
        <v>2639</v>
      </c>
      <c r="G49" s="7" t="s">
        <v>1628</v>
      </c>
      <c r="H49" s="7" t="s">
        <v>1678</v>
      </c>
      <c r="I49" s="85" t="s">
        <v>3581</v>
      </c>
      <c r="J49" s="7" t="s">
        <v>1727</v>
      </c>
      <c r="K49" s="8" t="s">
        <v>11906</v>
      </c>
    </row>
    <row r="50" spans="2:11" ht="15.75">
      <c r="B50" s="19"/>
      <c r="C50" s="19"/>
      <c r="D50" s="7" t="s">
        <v>1529</v>
      </c>
      <c r="E50" s="7" t="s">
        <v>1579</v>
      </c>
      <c r="F50" s="83" t="s">
        <v>2640</v>
      </c>
      <c r="G50" s="7" t="s">
        <v>1629</v>
      </c>
      <c r="H50" s="7" t="s">
        <v>1679</v>
      </c>
      <c r="I50" s="85" t="s">
        <v>3459</v>
      </c>
      <c r="J50" s="7" t="s">
        <v>1728</v>
      </c>
      <c r="K50" s="8" t="s">
        <v>11907</v>
      </c>
    </row>
    <row r="51" spans="2:11" ht="15.75">
      <c r="B51" s="19"/>
      <c r="C51" s="19"/>
      <c r="D51" s="7" t="s">
        <v>1530</v>
      </c>
      <c r="E51" s="7" t="s">
        <v>1580</v>
      </c>
      <c r="F51" s="83" t="s">
        <v>2641</v>
      </c>
      <c r="G51" s="7" t="s">
        <v>1630</v>
      </c>
      <c r="H51" s="7" t="s">
        <v>1680</v>
      </c>
      <c r="I51" s="85" t="s">
        <v>3459</v>
      </c>
      <c r="J51" s="7" t="s">
        <v>1729</v>
      </c>
      <c r="K51" s="8" t="s">
        <v>11908</v>
      </c>
    </row>
    <row r="52" spans="2:11" ht="15.75">
      <c r="B52" s="19"/>
      <c r="C52" s="19"/>
      <c r="D52" s="7" t="s">
        <v>1531</v>
      </c>
      <c r="E52" s="7" t="s">
        <v>1581</v>
      </c>
      <c r="F52" s="83" t="s">
        <v>2639</v>
      </c>
      <c r="G52" s="7" t="s">
        <v>1631</v>
      </c>
      <c r="H52" s="7" t="s">
        <v>1681</v>
      </c>
      <c r="I52" s="85" t="s">
        <v>3581</v>
      </c>
      <c r="J52" s="7" t="s">
        <v>1730</v>
      </c>
      <c r="K52" s="8" t="s">
        <v>11909</v>
      </c>
    </row>
    <row r="53" spans="2:11">
      <c r="B53" s="19"/>
      <c r="C53" s="19"/>
      <c r="D53" s="7" t="s">
        <v>1532</v>
      </c>
      <c r="E53" s="7" t="s">
        <v>1582</v>
      </c>
      <c r="F53" s="83" t="s">
        <v>2640</v>
      </c>
      <c r="G53" s="7" t="s">
        <v>1632</v>
      </c>
      <c r="H53" s="7" t="s">
        <v>1682</v>
      </c>
      <c r="I53" s="37" t="s">
        <v>3453</v>
      </c>
      <c r="J53" s="7" t="s">
        <v>1731</v>
      </c>
      <c r="K53" s="8" t="s">
        <v>11910</v>
      </c>
    </row>
    <row r="54" spans="2:11" ht="15" customHeight="1">
      <c r="B54" s="19" t="s">
        <v>1460</v>
      </c>
      <c r="C54" s="19" t="s">
        <v>1472</v>
      </c>
      <c r="D54" s="7" t="s">
        <v>1733</v>
      </c>
      <c r="E54" s="7" t="s">
        <v>1758</v>
      </c>
      <c r="F54" s="83" t="s">
        <v>2641</v>
      </c>
      <c r="G54" s="7" t="s">
        <v>1783</v>
      </c>
      <c r="H54" s="7" t="s">
        <v>1808</v>
      </c>
      <c r="I54" s="85" t="s">
        <v>3459</v>
      </c>
      <c r="J54" s="7" t="s">
        <v>1832</v>
      </c>
      <c r="K54" s="8" t="s">
        <v>11911</v>
      </c>
    </row>
    <row r="55" spans="2:11" ht="15.75">
      <c r="B55" s="19"/>
      <c r="C55" s="19"/>
      <c r="D55" s="7" t="s">
        <v>1734</v>
      </c>
      <c r="E55" s="7" t="s">
        <v>1759</v>
      </c>
      <c r="F55" s="83" t="s">
        <v>2639</v>
      </c>
      <c r="G55" s="7" t="s">
        <v>1784</v>
      </c>
      <c r="H55" s="7" t="s">
        <v>1809</v>
      </c>
      <c r="I55" s="85" t="s">
        <v>3581</v>
      </c>
      <c r="J55" s="7" t="s">
        <v>1833</v>
      </c>
      <c r="K55" s="8" t="s">
        <v>11912</v>
      </c>
    </row>
    <row r="56" spans="2:11" ht="15.75">
      <c r="B56" s="19"/>
      <c r="C56" s="19"/>
      <c r="D56" s="7" t="s">
        <v>1735</v>
      </c>
      <c r="E56" s="7" t="s">
        <v>1760</v>
      </c>
      <c r="F56" s="83" t="s">
        <v>2640</v>
      </c>
      <c r="G56" s="7" t="s">
        <v>1785</v>
      </c>
      <c r="H56" s="7" t="s">
        <v>1810</v>
      </c>
      <c r="I56" s="85" t="s">
        <v>3459</v>
      </c>
      <c r="J56" s="7" t="s">
        <v>1834</v>
      </c>
      <c r="K56" s="8" t="s">
        <v>11913</v>
      </c>
    </row>
    <row r="57" spans="2:11" ht="15.75">
      <c r="B57" s="19"/>
      <c r="C57" s="19"/>
      <c r="D57" s="7" t="s">
        <v>1736</v>
      </c>
      <c r="E57" s="7" t="s">
        <v>1761</v>
      </c>
      <c r="F57" s="83" t="s">
        <v>2641</v>
      </c>
      <c r="G57" s="7" t="s">
        <v>1786</v>
      </c>
      <c r="H57" s="7" t="s">
        <v>1811</v>
      </c>
      <c r="I57" s="85" t="s">
        <v>3459</v>
      </c>
      <c r="J57" s="7" t="s">
        <v>1835</v>
      </c>
      <c r="K57" s="8" t="s">
        <v>11914</v>
      </c>
    </row>
    <row r="58" spans="2:11" ht="15.75">
      <c r="B58" s="19"/>
      <c r="C58" s="19"/>
      <c r="D58" s="7" t="s">
        <v>1737</v>
      </c>
      <c r="E58" s="7" t="s">
        <v>1762</v>
      </c>
      <c r="F58" s="83" t="s">
        <v>2639</v>
      </c>
      <c r="G58" s="7" t="s">
        <v>1787</v>
      </c>
      <c r="H58" s="7" t="s">
        <v>1812</v>
      </c>
      <c r="I58" s="85" t="s">
        <v>3581</v>
      </c>
      <c r="J58" s="7" t="s">
        <v>1836</v>
      </c>
      <c r="K58" s="8" t="s">
        <v>11915</v>
      </c>
    </row>
    <row r="59" spans="2:11" ht="15" customHeight="1">
      <c r="B59" s="19"/>
      <c r="C59" s="19" t="s">
        <v>1473</v>
      </c>
      <c r="D59" s="7" t="s">
        <v>1738</v>
      </c>
      <c r="E59" s="7" t="s">
        <v>1763</v>
      </c>
      <c r="F59" s="83" t="s">
        <v>2640</v>
      </c>
      <c r="G59" s="7" t="s">
        <v>1788</v>
      </c>
      <c r="H59" s="7" t="s">
        <v>1813</v>
      </c>
      <c r="I59" s="37" t="s">
        <v>3453</v>
      </c>
      <c r="J59" s="7" t="s">
        <v>1837</v>
      </c>
      <c r="K59" s="8" t="s">
        <v>11916</v>
      </c>
    </row>
    <row r="60" spans="2:11" ht="15.75">
      <c r="B60" s="19"/>
      <c r="C60" s="19"/>
      <c r="D60" s="7" t="s">
        <v>1739</v>
      </c>
      <c r="E60" s="7" t="s">
        <v>1764</v>
      </c>
      <c r="F60" s="83" t="s">
        <v>2641</v>
      </c>
      <c r="G60" s="7" t="s">
        <v>1789</v>
      </c>
      <c r="H60" s="7" t="s">
        <v>1814</v>
      </c>
      <c r="I60" s="85" t="s">
        <v>3459</v>
      </c>
      <c r="J60" s="7" t="s">
        <v>1838</v>
      </c>
      <c r="K60" s="8" t="s">
        <v>11917</v>
      </c>
    </row>
    <row r="61" spans="2:11" ht="15.75">
      <c r="B61" s="19"/>
      <c r="C61" s="19"/>
      <c r="D61" s="7" t="s">
        <v>1740</v>
      </c>
      <c r="E61" s="7" t="s">
        <v>1765</v>
      </c>
      <c r="F61" s="83" t="s">
        <v>2639</v>
      </c>
      <c r="G61" s="7" t="s">
        <v>1790</v>
      </c>
      <c r="H61" s="7" t="s">
        <v>1815</v>
      </c>
      <c r="I61" s="85" t="s">
        <v>3581</v>
      </c>
      <c r="J61" s="7" t="s">
        <v>1839</v>
      </c>
      <c r="K61" s="8" t="s">
        <v>11918</v>
      </c>
    </row>
    <row r="62" spans="2:11">
      <c r="B62" s="19"/>
      <c r="C62" s="19"/>
      <c r="D62" s="7" t="s">
        <v>1741</v>
      </c>
      <c r="E62" s="7" t="s">
        <v>1766</v>
      </c>
      <c r="F62" s="83" t="s">
        <v>2640</v>
      </c>
      <c r="G62" s="7" t="s">
        <v>1791</v>
      </c>
      <c r="H62" s="7" t="s">
        <v>1816</v>
      </c>
      <c r="I62" s="37" t="s">
        <v>3453</v>
      </c>
      <c r="J62" s="7" t="s">
        <v>1840</v>
      </c>
      <c r="K62" s="8" t="s">
        <v>11919</v>
      </c>
    </row>
    <row r="63" spans="2:11" ht="15.75">
      <c r="B63" s="19"/>
      <c r="C63" s="19"/>
      <c r="D63" s="7" t="s">
        <v>1742</v>
      </c>
      <c r="E63" s="7" t="s">
        <v>1767</v>
      </c>
      <c r="F63" s="83" t="s">
        <v>2641</v>
      </c>
      <c r="G63" s="7" t="s">
        <v>1792</v>
      </c>
      <c r="H63" s="7" t="s">
        <v>1817</v>
      </c>
      <c r="I63" s="85" t="s">
        <v>3459</v>
      </c>
      <c r="J63" s="7" t="s">
        <v>1841</v>
      </c>
      <c r="K63" s="8" t="s">
        <v>11920</v>
      </c>
    </row>
    <row r="64" spans="2:11" ht="15" customHeight="1">
      <c r="B64" s="19"/>
      <c r="C64" s="19" t="s">
        <v>1474</v>
      </c>
      <c r="D64" s="7" t="s">
        <v>1743</v>
      </c>
      <c r="E64" s="7" t="s">
        <v>1768</v>
      </c>
      <c r="F64" s="83" t="s">
        <v>2639</v>
      </c>
      <c r="G64" s="7" t="s">
        <v>1793</v>
      </c>
      <c r="H64" s="7" t="s">
        <v>1818</v>
      </c>
      <c r="I64" s="85" t="s">
        <v>3581</v>
      </c>
      <c r="J64" s="7" t="s">
        <v>1842</v>
      </c>
      <c r="K64" s="8" t="s">
        <v>11921</v>
      </c>
    </row>
    <row r="65" spans="2:11" ht="15.75">
      <c r="B65" s="19"/>
      <c r="C65" s="19"/>
      <c r="D65" s="7" t="s">
        <v>1744</v>
      </c>
      <c r="E65" s="7" t="s">
        <v>1769</v>
      </c>
      <c r="F65" s="83" t="s">
        <v>2640</v>
      </c>
      <c r="G65" s="7" t="s">
        <v>1794</v>
      </c>
      <c r="H65" s="7" t="s">
        <v>1819</v>
      </c>
      <c r="I65" s="85" t="s">
        <v>3459</v>
      </c>
      <c r="J65" s="7" t="s">
        <v>1843</v>
      </c>
      <c r="K65" s="8" t="s">
        <v>11922</v>
      </c>
    </row>
    <row r="66" spans="2:11" ht="15.75">
      <c r="B66" s="19"/>
      <c r="C66" s="19"/>
      <c r="D66" s="7" t="s">
        <v>1745</v>
      </c>
      <c r="E66" s="7" t="s">
        <v>1770</v>
      </c>
      <c r="F66" s="83" t="s">
        <v>2641</v>
      </c>
      <c r="G66" s="7" t="s">
        <v>1795</v>
      </c>
      <c r="H66" s="7" t="s">
        <v>1820</v>
      </c>
      <c r="I66" s="85" t="s">
        <v>3459</v>
      </c>
      <c r="J66" s="7" t="s">
        <v>1844</v>
      </c>
      <c r="K66" s="8" t="s">
        <v>11923</v>
      </c>
    </row>
    <row r="67" spans="2:11" ht="15.75">
      <c r="B67" s="19"/>
      <c r="C67" s="19"/>
      <c r="D67" s="7" t="s">
        <v>1746</v>
      </c>
      <c r="E67" s="7" t="s">
        <v>1771</v>
      </c>
      <c r="F67" s="83" t="s">
        <v>2639</v>
      </c>
      <c r="G67" s="7" t="s">
        <v>1796</v>
      </c>
      <c r="H67" s="7" t="s">
        <v>1821</v>
      </c>
      <c r="I67" s="85" t="s">
        <v>3581</v>
      </c>
      <c r="J67" s="7" t="s">
        <v>1845</v>
      </c>
      <c r="K67" s="8" t="s">
        <v>11924</v>
      </c>
    </row>
    <row r="68" spans="2:11">
      <c r="B68" s="19"/>
      <c r="C68" s="19"/>
      <c r="D68" s="7" t="s">
        <v>1747</v>
      </c>
      <c r="E68" s="7" t="s">
        <v>1772</v>
      </c>
      <c r="F68" s="83" t="s">
        <v>2640</v>
      </c>
      <c r="G68" s="7" t="s">
        <v>1797</v>
      </c>
      <c r="H68" s="7" t="s">
        <v>1822</v>
      </c>
      <c r="I68" s="37" t="s">
        <v>3453</v>
      </c>
      <c r="J68" s="7" t="s">
        <v>1846</v>
      </c>
      <c r="K68" s="8" t="s">
        <v>11925</v>
      </c>
    </row>
    <row r="69" spans="2:11" ht="15" customHeight="1">
      <c r="B69" s="19"/>
      <c r="C69" s="19" t="s">
        <v>1475</v>
      </c>
      <c r="D69" s="7" t="s">
        <v>1748</v>
      </c>
      <c r="E69" s="7" t="s">
        <v>1773</v>
      </c>
      <c r="F69" s="83" t="s">
        <v>2641</v>
      </c>
      <c r="G69" s="7" t="s">
        <v>1798</v>
      </c>
      <c r="H69" s="7" t="s">
        <v>1823</v>
      </c>
      <c r="I69" s="85" t="s">
        <v>3459</v>
      </c>
      <c r="J69" s="7" t="s">
        <v>1847</v>
      </c>
      <c r="K69" s="8" t="s">
        <v>11926</v>
      </c>
    </row>
    <row r="70" spans="2:11" ht="15.75">
      <c r="B70" s="19"/>
      <c r="C70" s="19"/>
      <c r="D70" s="7" t="s">
        <v>1749</v>
      </c>
      <c r="E70" s="7" t="s">
        <v>1774</v>
      </c>
      <c r="F70" s="83" t="s">
        <v>2639</v>
      </c>
      <c r="G70" s="7" t="s">
        <v>1799</v>
      </c>
      <c r="H70" s="7" t="s">
        <v>1824</v>
      </c>
      <c r="I70" s="85" t="s">
        <v>3581</v>
      </c>
      <c r="J70" s="7" t="s">
        <v>1848</v>
      </c>
      <c r="K70" s="8" t="s">
        <v>11927</v>
      </c>
    </row>
    <row r="71" spans="2:11">
      <c r="B71" s="19"/>
      <c r="C71" s="19"/>
      <c r="D71" s="7" t="s">
        <v>1750</v>
      </c>
      <c r="E71" s="7" t="s">
        <v>1775</v>
      </c>
      <c r="F71" s="83" t="s">
        <v>2640</v>
      </c>
      <c r="G71" s="7" t="s">
        <v>1800</v>
      </c>
      <c r="H71" s="7" t="s">
        <v>1825</v>
      </c>
      <c r="I71" s="37" t="s">
        <v>3453</v>
      </c>
      <c r="J71" s="7" t="s">
        <v>1849</v>
      </c>
      <c r="K71" s="8" t="s">
        <v>11928</v>
      </c>
    </row>
    <row r="72" spans="2:11" ht="15.75">
      <c r="B72" s="19"/>
      <c r="C72" s="19"/>
      <c r="D72" s="7" t="s">
        <v>1751</v>
      </c>
      <c r="E72" s="7" t="s">
        <v>1776</v>
      </c>
      <c r="F72" s="83" t="s">
        <v>2641</v>
      </c>
      <c r="G72" s="7" t="s">
        <v>1801</v>
      </c>
      <c r="H72" s="7" t="s">
        <v>1675</v>
      </c>
      <c r="I72" s="85" t="s">
        <v>3459</v>
      </c>
      <c r="J72" s="7" t="s">
        <v>1850</v>
      </c>
      <c r="K72" s="8" t="s">
        <v>11929</v>
      </c>
    </row>
    <row r="73" spans="2:11" ht="15.75">
      <c r="B73" s="19"/>
      <c r="C73" s="19"/>
      <c r="D73" s="7" t="s">
        <v>1752</v>
      </c>
      <c r="E73" s="7" t="s">
        <v>1777</v>
      </c>
      <c r="F73" s="83" t="s">
        <v>2639</v>
      </c>
      <c r="G73" s="7" t="s">
        <v>1802</v>
      </c>
      <c r="H73" s="7" t="s">
        <v>1826</v>
      </c>
      <c r="I73" s="85" t="s">
        <v>3581</v>
      </c>
      <c r="J73" s="7" t="s">
        <v>1851</v>
      </c>
      <c r="K73" s="8" t="s">
        <v>11930</v>
      </c>
    </row>
    <row r="74" spans="2:11" ht="15" customHeight="1">
      <c r="B74" s="19"/>
      <c r="C74" s="19" t="s">
        <v>1476</v>
      </c>
      <c r="D74" s="7" t="s">
        <v>1753</v>
      </c>
      <c r="E74" s="7" t="s">
        <v>1778</v>
      </c>
      <c r="F74" s="83" t="s">
        <v>2640</v>
      </c>
      <c r="G74" s="7" t="s">
        <v>1803</v>
      </c>
      <c r="H74" s="7" t="s">
        <v>1827</v>
      </c>
      <c r="I74" s="37" t="s">
        <v>3453</v>
      </c>
      <c r="J74" s="7" t="s">
        <v>1852</v>
      </c>
      <c r="K74" s="8" t="s">
        <v>11931</v>
      </c>
    </row>
    <row r="75" spans="2:11" ht="15.75">
      <c r="B75" s="19"/>
      <c r="C75" s="19"/>
      <c r="D75" s="7" t="s">
        <v>1754</v>
      </c>
      <c r="E75" s="7" t="s">
        <v>1779</v>
      </c>
      <c r="F75" s="83" t="s">
        <v>2641</v>
      </c>
      <c r="G75" s="7" t="s">
        <v>1804</v>
      </c>
      <c r="H75" s="7" t="s">
        <v>1828</v>
      </c>
      <c r="I75" s="85" t="s">
        <v>3459</v>
      </c>
      <c r="J75" s="7" t="s">
        <v>1853</v>
      </c>
      <c r="K75" s="8" t="s">
        <v>11932</v>
      </c>
    </row>
    <row r="76" spans="2:11" ht="15.75">
      <c r="B76" s="19"/>
      <c r="C76" s="19"/>
      <c r="D76" s="7" t="s">
        <v>1755</v>
      </c>
      <c r="E76" s="7" t="s">
        <v>1780</v>
      </c>
      <c r="F76" s="83" t="s">
        <v>2639</v>
      </c>
      <c r="G76" s="7" t="s">
        <v>1805</v>
      </c>
      <c r="H76" s="7" t="s">
        <v>1829</v>
      </c>
      <c r="I76" s="85" t="s">
        <v>3581</v>
      </c>
      <c r="J76" s="7" t="s">
        <v>1854</v>
      </c>
      <c r="K76" s="8" t="s">
        <v>11933</v>
      </c>
    </row>
    <row r="77" spans="2:11" ht="15.75">
      <c r="B77" s="19"/>
      <c r="C77" s="19"/>
      <c r="D77" s="7" t="s">
        <v>1756</v>
      </c>
      <c r="E77" s="7" t="s">
        <v>1781</v>
      </c>
      <c r="F77" s="83" t="s">
        <v>2640</v>
      </c>
      <c r="G77" s="7" t="s">
        <v>1806</v>
      </c>
      <c r="H77" s="7" t="s">
        <v>1830</v>
      </c>
      <c r="I77" s="85" t="s">
        <v>3459</v>
      </c>
      <c r="J77" s="7" t="s">
        <v>1855</v>
      </c>
      <c r="K77" s="8" t="s">
        <v>11934</v>
      </c>
    </row>
    <row r="78" spans="2:11" ht="15.75">
      <c r="B78" s="19"/>
      <c r="C78" s="19"/>
      <c r="D78" s="7" t="s">
        <v>1757</v>
      </c>
      <c r="E78" s="7" t="s">
        <v>1782</v>
      </c>
      <c r="F78" s="83" t="s">
        <v>2641</v>
      </c>
      <c r="G78" s="7" t="s">
        <v>1807</v>
      </c>
      <c r="H78" s="7" t="s">
        <v>1831</v>
      </c>
      <c r="I78" s="85" t="s">
        <v>3459</v>
      </c>
      <c r="J78" s="7" t="s">
        <v>1856</v>
      </c>
      <c r="K78" s="8" t="s">
        <v>11935</v>
      </c>
    </row>
    <row r="79" spans="2:11" ht="15" customHeight="1">
      <c r="B79" s="19" t="s">
        <v>1477</v>
      </c>
      <c r="C79" s="19" t="s">
        <v>1478</v>
      </c>
      <c r="D79" s="7" t="s">
        <v>1857</v>
      </c>
      <c r="E79" s="7" t="s">
        <v>1858</v>
      </c>
      <c r="F79" s="83" t="s">
        <v>2639</v>
      </c>
      <c r="G79" s="7" t="s">
        <v>1859</v>
      </c>
      <c r="H79" s="7" t="s">
        <v>1860</v>
      </c>
      <c r="I79" s="85" t="s">
        <v>3581</v>
      </c>
      <c r="J79" s="7" t="s">
        <v>1861</v>
      </c>
      <c r="K79" s="8" t="s">
        <v>11936</v>
      </c>
    </row>
    <row r="80" spans="2:11">
      <c r="B80" s="19"/>
      <c r="C80" s="19"/>
      <c r="D80" s="7" t="s">
        <v>1862</v>
      </c>
      <c r="E80" s="7" t="s">
        <v>1863</v>
      </c>
      <c r="F80" s="83" t="s">
        <v>2640</v>
      </c>
      <c r="G80" s="7" t="s">
        <v>1864</v>
      </c>
      <c r="H80" s="7" t="s">
        <v>1865</v>
      </c>
      <c r="I80" s="37" t="s">
        <v>3453</v>
      </c>
      <c r="J80" s="7" t="s">
        <v>1866</v>
      </c>
      <c r="K80" s="8" t="s">
        <v>11937</v>
      </c>
    </row>
    <row r="81" spans="2:11" ht="15.75">
      <c r="B81" s="19"/>
      <c r="C81" s="19"/>
      <c r="D81" s="7" t="s">
        <v>1867</v>
      </c>
      <c r="E81" s="7" t="s">
        <v>1868</v>
      </c>
      <c r="F81" s="83" t="s">
        <v>2641</v>
      </c>
      <c r="G81" s="7" t="s">
        <v>1869</v>
      </c>
      <c r="H81" s="7" t="s">
        <v>1870</v>
      </c>
      <c r="I81" s="85" t="s">
        <v>3459</v>
      </c>
      <c r="J81" s="7" t="s">
        <v>1871</v>
      </c>
      <c r="K81" s="8" t="s">
        <v>11938</v>
      </c>
    </row>
    <row r="82" spans="2:11" ht="15.75">
      <c r="B82" s="19"/>
      <c r="C82" s="19"/>
      <c r="D82" s="7" t="s">
        <v>1872</v>
      </c>
      <c r="E82" s="7" t="s">
        <v>1873</v>
      </c>
      <c r="F82" s="83" t="s">
        <v>2639</v>
      </c>
      <c r="G82" s="7" t="s">
        <v>1874</v>
      </c>
      <c r="H82" s="7" t="s">
        <v>1875</v>
      </c>
      <c r="I82" s="85" t="s">
        <v>3581</v>
      </c>
      <c r="J82" s="7" t="s">
        <v>1876</v>
      </c>
      <c r="K82" s="8" t="s">
        <v>11939</v>
      </c>
    </row>
    <row r="83" spans="2:11" ht="15.75">
      <c r="B83" s="19"/>
      <c r="C83" s="19"/>
      <c r="D83" s="7" t="s">
        <v>1877</v>
      </c>
      <c r="E83" s="7" t="s">
        <v>1878</v>
      </c>
      <c r="F83" s="83" t="s">
        <v>2640</v>
      </c>
      <c r="G83" s="7" t="s">
        <v>1879</v>
      </c>
      <c r="H83" s="7" t="s">
        <v>1880</v>
      </c>
      <c r="I83" s="85" t="s">
        <v>11860</v>
      </c>
      <c r="J83" s="7" t="s">
        <v>1881</v>
      </c>
      <c r="K83" s="8" t="s">
        <v>11940</v>
      </c>
    </row>
    <row r="84" spans="2:11" ht="15" customHeight="1">
      <c r="B84" s="19"/>
      <c r="C84" s="19" t="s">
        <v>1479</v>
      </c>
      <c r="D84" s="7" t="s">
        <v>1882</v>
      </c>
      <c r="E84" s="7" t="s">
        <v>1883</v>
      </c>
      <c r="F84" s="83" t="s">
        <v>2641</v>
      </c>
      <c r="G84" s="7" t="s">
        <v>1884</v>
      </c>
      <c r="H84" s="7" t="s">
        <v>1885</v>
      </c>
      <c r="I84" s="85" t="s">
        <v>3459</v>
      </c>
      <c r="J84" s="7" t="s">
        <v>1886</v>
      </c>
      <c r="K84" s="8" t="s">
        <v>11941</v>
      </c>
    </row>
    <row r="85" spans="2:11" ht="15.75">
      <c r="B85" s="19"/>
      <c r="C85" s="19"/>
      <c r="D85" s="7" t="s">
        <v>1887</v>
      </c>
      <c r="E85" s="7" t="s">
        <v>1888</v>
      </c>
      <c r="F85" s="83" t="s">
        <v>2639</v>
      </c>
      <c r="G85" s="7" t="s">
        <v>1889</v>
      </c>
      <c r="H85" s="7" t="s">
        <v>1890</v>
      </c>
      <c r="I85" s="85" t="s">
        <v>3581</v>
      </c>
      <c r="J85" s="7" t="s">
        <v>1891</v>
      </c>
      <c r="K85" s="8" t="s">
        <v>11942</v>
      </c>
    </row>
    <row r="86" spans="2:11">
      <c r="B86" s="19"/>
      <c r="C86" s="19"/>
      <c r="D86" s="7" t="s">
        <v>1892</v>
      </c>
      <c r="E86" s="7" t="s">
        <v>1893</v>
      </c>
      <c r="F86" s="83" t="s">
        <v>2640</v>
      </c>
      <c r="G86" s="7" t="s">
        <v>1894</v>
      </c>
      <c r="H86" s="7" t="s">
        <v>1895</v>
      </c>
      <c r="I86" s="37" t="s">
        <v>3453</v>
      </c>
      <c r="J86" s="7" t="s">
        <v>1896</v>
      </c>
      <c r="K86" s="8" t="s">
        <v>11943</v>
      </c>
    </row>
    <row r="87" spans="2:11" ht="15.75">
      <c r="B87" s="19"/>
      <c r="C87" s="19"/>
      <c r="D87" s="7" t="s">
        <v>1897</v>
      </c>
      <c r="E87" s="7" t="s">
        <v>1898</v>
      </c>
      <c r="F87" s="83" t="s">
        <v>2641</v>
      </c>
      <c r="G87" s="7" t="s">
        <v>1899</v>
      </c>
      <c r="H87" s="7" t="s">
        <v>1900</v>
      </c>
      <c r="I87" s="85" t="s">
        <v>3459</v>
      </c>
      <c r="J87" s="7" t="s">
        <v>1901</v>
      </c>
      <c r="K87" s="8" t="s">
        <v>11944</v>
      </c>
    </row>
    <row r="88" spans="2:11" ht="15.75">
      <c r="B88" s="19"/>
      <c r="C88" s="19"/>
      <c r="D88" s="7" t="s">
        <v>1902</v>
      </c>
      <c r="E88" s="7" t="s">
        <v>1903</v>
      </c>
      <c r="F88" s="83" t="s">
        <v>2639</v>
      </c>
      <c r="G88" s="7" t="s">
        <v>1904</v>
      </c>
      <c r="H88" s="7" t="s">
        <v>1905</v>
      </c>
      <c r="I88" s="85" t="s">
        <v>3581</v>
      </c>
      <c r="J88" s="7" t="s">
        <v>1906</v>
      </c>
      <c r="K88" s="8" t="s">
        <v>11945</v>
      </c>
    </row>
    <row r="89" spans="2:11">
      <c r="B89" s="19"/>
      <c r="C89" s="19" t="s">
        <v>1480</v>
      </c>
      <c r="D89" s="8" t="s">
        <v>1907</v>
      </c>
      <c r="E89" s="8" t="s">
        <v>1908</v>
      </c>
      <c r="F89" s="83" t="s">
        <v>2640</v>
      </c>
      <c r="G89" s="8" t="s">
        <v>1909</v>
      </c>
      <c r="H89" s="8" t="s">
        <v>1910</v>
      </c>
      <c r="I89" s="37" t="s">
        <v>3453</v>
      </c>
      <c r="J89" s="8" t="s">
        <v>1911</v>
      </c>
      <c r="K89" s="8" t="s">
        <v>11946</v>
      </c>
    </row>
    <row r="90" spans="2:11" ht="15.75">
      <c r="B90" s="19"/>
      <c r="C90" s="19"/>
      <c r="D90" s="8" t="s">
        <v>1912</v>
      </c>
      <c r="E90" s="8" t="s">
        <v>1913</v>
      </c>
      <c r="F90" s="83" t="s">
        <v>2641</v>
      </c>
      <c r="G90" s="8" t="s">
        <v>1914</v>
      </c>
      <c r="H90" s="8" t="s">
        <v>1915</v>
      </c>
      <c r="I90" s="85" t="s">
        <v>3459</v>
      </c>
      <c r="J90" s="8" t="s">
        <v>1916</v>
      </c>
      <c r="K90" s="8" t="s">
        <v>11947</v>
      </c>
    </row>
    <row r="91" spans="2:11" ht="15.75">
      <c r="B91" s="19"/>
      <c r="C91" s="19"/>
      <c r="D91" s="8" t="s">
        <v>1917</v>
      </c>
      <c r="E91" s="8" t="s">
        <v>1918</v>
      </c>
      <c r="F91" s="83" t="s">
        <v>2639</v>
      </c>
      <c r="G91" s="8" t="s">
        <v>1919</v>
      </c>
      <c r="H91" s="8" t="s">
        <v>1920</v>
      </c>
      <c r="I91" s="85" t="s">
        <v>3581</v>
      </c>
      <c r="J91" s="8" t="s">
        <v>1921</v>
      </c>
      <c r="K91" s="8" t="s">
        <v>11948</v>
      </c>
    </row>
    <row r="92" spans="2:11" ht="15.75">
      <c r="B92" s="19"/>
      <c r="C92" s="19"/>
      <c r="D92" s="8" t="s">
        <v>1922</v>
      </c>
      <c r="E92" s="8" t="s">
        <v>1923</v>
      </c>
      <c r="F92" s="83" t="s">
        <v>2640</v>
      </c>
      <c r="G92" s="8" t="s">
        <v>1924</v>
      </c>
      <c r="H92" s="8" t="s">
        <v>1925</v>
      </c>
      <c r="I92" s="85" t="s">
        <v>3459</v>
      </c>
      <c r="J92" s="8" t="s">
        <v>1926</v>
      </c>
      <c r="K92" s="8" t="s">
        <v>11949</v>
      </c>
    </row>
    <row r="93" spans="2:11" ht="15.75">
      <c r="B93" s="19"/>
      <c r="C93" s="19"/>
      <c r="D93" s="8" t="s">
        <v>1927</v>
      </c>
      <c r="E93" s="8" t="s">
        <v>1928</v>
      </c>
      <c r="F93" s="83" t="s">
        <v>2641</v>
      </c>
      <c r="G93" s="8" t="s">
        <v>1929</v>
      </c>
      <c r="H93" s="8" t="s">
        <v>1930</v>
      </c>
      <c r="I93" s="85" t="s">
        <v>3459</v>
      </c>
      <c r="J93" s="8" t="s">
        <v>1931</v>
      </c>
      <c r="K93" s="8" t="s">
        <v>11950</v>
      </c>
    </row>
    <row r="94" spans="2:11" ht="15" customHeight="1">
      <c r="B94" s="19"/>
      <c r="C94" s="19" t="s">
        <v>1481</v>
      </c>
      <c r="D94" s="8" t="s">
        <v>1932</v>
      </c>
      <c r="E94" s="8" t="s">
        <v>1933</v>
      </c>
      <c r="F94" s="83" t="s">
        <v>2639</v>
      </c>
      <c r="G94" s="8" t="s">
        <v>1934</v>
      </c>
      <c r="H94" s="8" t="s">
        <v>1935</v>
      </c>
      <c r="I94" s="85" t="s">
        <v>3581</v>
      </c>
      <c r="J94" s="8" t="s">
        <v>1936</v>
      </c>
      <c r="K94" s="8" t="s">
        <v>11951</v>
      </c>
    </row>
    <row r="95" spans="2:11">
      <c r="B95" s="19"/>
      <c r="C95" s="19"/>
      <c r="D95" s="8" t="s">
        <v>1937</v>
      </c>
      <c r="E95" s="8" t="s">
        <v>1938</v>
      </c>
      <c r="F95" s="83" t="s">
        <v>2640</v>
      </c>
      <c r="G95" s="8" t="s">
        <v>1939</v>
      </c>
      <c r="H95" s="8" t="s">
        <v>1940</v>
      </c>
      <c r="I95" s="37" t="s">
        <v>3453</v>
      </c>
      <c r="J95" s="8" t="s">
        <v>1941</v>
      </c>
      <c r="K95" s="8" t="s">
        <v>11952</v>
      </c>
    </row>
    <row r="96" spans="2:11" ht="15.75">
      <c r="B96" s="19"/>
      <c r="C96" s="19"/>
      <c r="D96" s="8" t="s">
        <v>1942</v>
      </c>
      <c r="E96" s="8" t="s">
        <v>1943</v>
      </c>
      <c r="F96" s="83" t="s">
        <v>2641</v>
      </c>
      <c r="G96" s="8" t="s">
        <v>1944</v>
      </c>
      <c r="H96" s="8" t="s">
        <v>1945</v>
      </c>
      <c r="I96" s="85" t="s">
        <v>3459</v>
      </c>
      <c r="J96" s="8" t="s">
        <v>1946</v>
      </c>
      <c r="K96" s="8" t="s">
        <v>11953</v>
      </c>
    </row>
    <row r="97" spans="2:11" ht="15.75">
      <c r="B97" s="19"/>
      <c r="C97" s="19"/>
      <c r="D97" s="8" t="s">
        <v>1947</v>
      </c>
      <c r="E97" s="8" t="s">
        <v>1948</v>
      </c>
      <c r="F97" s="83" t="s">
        <v>2639</v>
      </c>
      <c r="G97" s="8" t="s">
        <v>1949</v>
      </c>
      <c r="H97" s="8" t="s">
        <v>1950</v>
      </c>
      <c r="I97" s="85" t="s">
        <v>3581</v>
      </c>
      <c r="J97" s="8" t="s">
        <v>1951</v>
      </c>
      <c r="K97" s="8" t="s">
        <v>11954</v>
      </c>
    </row>
    <row r="98" spans="2:11">
      <c r="B98" s="19"/>
      <c r="C98" s="19"/>
      <c r="D98" s="8" t="s">
        <v>1952</v>
      </c>
      <c r="E98" s="8" t="s">
        <v>1953</v>
      </c>
      <c r="F98" s="83" t="s">
        <v>2640</v>
      </c>
      <c r="G98" s="8" t="s">
        <v>1954</v>
      </c>
      <c r="H98" s="8" t="s">
        <v>1955</v>
      </c>
      <c r="I98" s="37" t="s">
        <v>3453</v>
      </c>
      <c r="J98" s="8" t="s">
        <v>1956</v>
      </c>
      <c r="K98" s="8" t="s">
        <v>11955</v>
      </c>
    </row>
    <row r="99" spans="2:11" ht="15" customHeight="1">
      <c r="B99" s="19"/>
      <c r="C99" s="19" t="s">
        <v>1482</v>
      </c>
      <c r="D99" s="8" t="s">
        <v>1957</v>
      </c>
      <c r="E99" s="8" t="s">
        <v>1958</v>
      </c>
      <c r="F99" s="83" t="s">
        <v>2641</v>
      </c>
      <c r="G99" s="8" t="s">
        <v>1959</v>
      </c>
      <c r="H99" s="8" t="s">
        <v>1960</v>
      </c>
      <c r="I99" s="85" t="s">
        <v>3459</v>
      </c>
      <c r="J99" s="8" t="s">
        <v>1961</v>
      </c>
      <c r="K99" s="8" t="s">
        <v>11956</v>
      </c>
    </row>
    <row r="100" spans="2:11" ht="15.75">
      <c r="B100" s="19"/>
      <c r="C100" s="19"/>
      <c r="D100" s="8" t="s">
        <v>1962</v>
      </c>
      <c r="E100" s="8" t="s">
        <v>1963</v>
      </c>
      <c r="F100" s="83" t="s">
        <v>2639</v>
      </c>
      <c r="G100" s="8" t="s">
        <v>1964</v>
      </c>
      <c r="H100" s="8" t="s">
        <v>1965</v>
      </c>
      <c r="I100" s="85" t="s">
        <v>3581</v>
      </c>
      <c r="J100" s="8" t="s">
        <v>1966</v>
      </c>
      <c r="K100" s="8" t="s">
        <v>11957</v>
      </c>
    </row>
    <row r="101" spans="2:11">
      <c r="B101" s="19"/>
      <c r="C101" s="19"/>
      <c r="D101" s="8" t="s">
        <v>1967</v>
      </c>
      <c r="E101" s="8" t="s">
        <v>1968</v>
      </c>
      <c r="F101" s="83" t="s">
        <v>2640</v>
      </c>
      <c r="G101" s="8" t="s">
        <v>1969</v>
      </c>
      <c r="H101" s="8" t="s">
        <v>1970</v>
      </c>
      <c r="I101" s="37" t="s">
        <v>3453</v>
      </c>
      <c r="J101" s="8" t="s">
        <v>1971</v>
      </c>
      <c r="K101" s="8" t="s">
        <v>11958</v>
      </c>
    </row>
    <row r="102" spans="2:11" ht="15.75">
      <c r="B102" s="19"/>
      <c r="C102" s="19"/>
      <c r="D102" s="8" t="s">
        <v>1972</v>
      </c>
      <c r="E102" s="8" t="s">
        <v>1973</v>
      </c>
      <c r="F102" s="83" t="s">
        <v>2641</v>
      </c>
      <c r="G102" s="8" t="s">
        <v>1974</v>
      </c>
      <c r="H102" s="8" t="s">
        <v>1975</v>
      </c>
      <c r="I102" s="85" t="s">
        <v>3459</v>
      </c>
      <c r="J102" s="8" t="s">
        <v>1976</v>
      </c>
      <c r="K102" s="8" t="s">
        <v>11959</v>
      </c>
    </row>
    <row r="103" spans="2:11" ht="15.75">
      <c r="B103" s="19"/>
      <c r="C103" s="19"/>
      <c r="D103" s="8" t="s">
        <v>1977</v>
      </c>
      <c r="E103" s="8" t="s">
        <v>1978</v>
      </c>
      <c r="F103" s="83" t="s">
        <v>2639</v>
      </c>
      <c r="G103" s="8" t="s">
        <v>1979</v>
      </c>
      <c r="H103" s="8" t="s">
        <v>1980</v>
      </c>
      <c r="I103" s="85" t="s">
        <v>3581</v>
      </c>
      <c r="J103" s="8" t="s">
        <v>1981</v>
      </c>
      <c r="K103" s="8" t="s">
        <v>11960</v>
      </c>
    </row>
    <row r="104" spans="2:11" ht="15.75">
      <c r="F104" s="82"/>
      <c r="I104" s="84"/>
      <c r="K104" s="10"/>
    </row>
    <row r="105" spans="2:11" ht="15.75">
      <c r="F105" s="82"/>
      <c r="I105" s="84"/>
      <c r="K105" s="10"/>
    </row>
  </sheetData>
  <mergeCells count="24">
    <mergeCell ref="B4:B28"/>
    <mergeCell ref="C4:C8"/>
    <mergeCell ref="C9:C13"/>
    <mergeCell ref="C14:C18"/>
    <mergeCell ref="C19:C23"/>
    <mergeCell ref="C24:C28"/>
    <mergeCell ref="B29:B53"/>
    <mergeCell ref="C29:C33"/>
    <mergeCell ref="C34:C38"/>
    <mergeCell ref="C39:C43"/>
    <mergeCell ref="C44:C48"/>
    <mergeCell ref="C49:C53"/>
    <mergeCell ref="B79:B103"/>
    <mergeCell ref="B54:B78"/>
    <mergeCell ref="C54:C58"/>
    <mergeCell ref="C59:C63"/>
    <mergeCell ref="C64:C68"/>
    <mergeCell ref="C69:C73"/>
    <mergeCell ref="C74:C78"/>
    <mergeCell ref="C79:C83"/>
    <mergeCell ref="C84:C88"/>
    <mergeCell ref="C89:C93"/>
    <mergeCell ref="C94:C98"/>
    <mergeCell ref="C99:C103"/>
  </mergeCells>
  <conditionalFormatting sqref="I5">
    <cfRule type="cellIs" dxfId="20" priority="10" operator="equal">
      <formula>$H$321</formula>
    </cfRule>
    <cfRule type="cellIs" dxfId="19" priority="11" operator="equal">
      <formula>$H$325</formula>
    </cfRule>
    <cfRule type="cellIs" dxfId="18" priority="12" operator="equal">
      <formula>$H$330</formula>
    </cfRule>
  </conditionalFormatting>
  <conditionalFormatting sqref="I95 I89 I80 I86 I74 I71 I68 I62 I59 I53 I44 I38 I35 I26 I20 I17 I14 I11 I8">
    <cfRule type="cellIs" dxfId="17" priority="4" operator="equal">
      <formula>$H$321</formula>
    </cfRule>
    <cfRule type="cellIs" dxfId="16" priority="5" operator="equal">
      <formula>$H$325</formula>
    </cfRule>
    <cfRule type="cellIs" dxfId="15" priority="6" operator="equal">
      <formula>$H$330</formula>
    </cfRule>
  </conditionalFormatting>
  <conditionalFormatting sqref="I101 I98">
    <cfRule type="cellIs" dxfId="14" priority="1" operator="equal">
      <formula>$H$321</formula>
    </cfRule>
    <cfRule type="cellIs" dxfId="13" priority="2" operator="equal">
      <formula>$H$325</formula>
    </cfRule>
    <cfRule type="cellIs" dxfId="12" priority="3" operator="equal">
      <formula>$H$330</formula>
    </cfRule>
  </conditionalFormatting>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1"/>
  <sheetViews>
    <sheetView zoomScale="74" workbookViewId="0">
      <selection activeCell="H35" sqref="A1:J331"/>
    </sheetView>
  </sheetViews>
  <sheetFormatPr baseColWidth="10" defaultRowHeight="15"/>
  <cols>
    <col min="1" max="1" width="37.5703125" style="34" customWidth="1"/>
    <col min="2" max="2" width="52.28515625" style="38" customWidth="1"/>
    <col min="3" max="3" width="51.7109375" style="34" customWidth="1"/>
    <col min="4" max="4" width="82.140625" style="34" customWidth="1"/>
    <col min="5" max="5" width="10.85546875" style="34" customWidth="1"/>
    <col min="6" max="6" width="67.7109375" style="34" customWidth="1"/>
    <col min="7" max="7" width="50.7109375" style="34" customWidth="1"/>
    <col min="8" max="8" width="11.42578125" style="34"/>
    <col min="9" max="9" width="77.7109375" style="34" customWidth="1"/>
    <col min="10" max="10" width="74.5703125" style="34" customWidth="1"/>
    <col min="11" max="16384" width="11.42578125" style="34"/>
  </cols>
  <sheetData>
    <row r="1" spans="1:10" ht="20.25" customHeight="1">
      <c r="A1" s="27" t="s">
        <v>347</v>
      </c>
      <c r="B1" s="27" t="s">
        <v>348</v>
      </c>
      <c r="C1" s="27" t="s">
        <v>349</v>
      </c>
      <c r="D1" s="27" t="s">
        <v>350</v>
      </c>
      <c r="E1" s="27" t="s">
        <v>2638</v>
      </c>
      <c r="F1" s="27" t="s">
        <v>1369</v>
      </c>
      <c r="G1" s="27" t="s">
        <v>2196</v>
      </c>
      <c r="H1" s="35" t="s">
        <v>2763</v>
      </c>
      <c r="I1" s="27" t="s">
        <v>352</v>
      </c>
      <c r="J1" s="36" t="s">
        <v>2764</v>
      </c>
    </row>
    <row r="2" spans="1:10" ht="15" customHeight="1">
      <c r="A2" s="31" t="s">
        <v>2765</v>
      </c>
      <c r="B2" s="28" t="s">
        <v>2766</v>
      </c>
      <c r="C2" s="34" t="s">
        <v>3451</v>
      </c>
      <c r="D2" s="37" t="s">
        <v>3452</v>
      </c>
      <c r="E2" s="56" t="s">
        <v>2640</v>
      </c>
      <c r="F2" s="37" t="s">
        <v>2649</v>
      </c>
      <c r="G2" s="37" t="s">
        <v>2934</v>
      </c>
      <c r="H2" s="37" t="s">
        <v>3453</v>
      </c>
      <c r="I2" s="37" t="s">
        <v>3454</v>
      </c>
      <c r="J2" s="37" t="s">
        <v>3455</v>
      </c>
    </row>
    <row r="3" spans="1:10">
      <c r="A3" s="32"/>
      <c r="B3" s="29"/>
      <c r="C3" s="37" t="s">
        <v>3456</v>
      </c>
      <c r="D3" s="37" t="s">
        <v>3457</v>
      </c>
      <c r="E3" s="56" t="s">
        <v>2639</v>
      </c>
      <c r="F3" s="37" t="s">
        <v>2774</v>
      </c>
      <c r="G3" s="37" t="s">
        <v>3458</v>
      </c>
      <c r="H3" s="37" t="s">
        <v>3459</v>
      </c>
      <c r="I3" s="37" t="s">
        <v>3460</v>
      </c>
      <c r="J3" s="37" t="s">
        <v>3461</v>
      </c>
    </row>
    <row r="4" spans="1:10">
      <c r="A4" s="32"/>
      <c r="B4" s="29"/>
      <c r="C4" s="37" t="s">
        <v>3462</v>
      </c>
      <c r="D4" s="37" t="s">
        <v>3463</v>
      </c>
      <c r="E4" s="56" t="s">
        <v>2640</v>
      </c>
      <c r="F4" s="37" t="s">
        <v>2937</v>
      </c>
      <c r="G4" s="37" t="s">
        <v>2674</v>
      </c>
      <c r="H4" s="37" t="s">
        <v>3453</v>
      </c>
      <c r="I4" s="37" t="s">
        <v>3464</v>
      </c>
      <c r="J4" s="37" t="s">
        <v>3465</v>
      </c>
    </row>
    <row r="5" spans="1:10">
      <c r="A5" s="32"/>
      <c r="B5" s="29"/>
      <c r="C5" s="37" t="s">
        <v>3466</v>
      </c>
      <c r="D5" s="37" t="s">
        <v>3467</v>
      </c>
      <c r="E5" s="56" t="s">
        <v>2640</v>
      </c>
      <c r="F5" s="37" t="s">
        <v>2661</v>
      </c>
      <c r="G5" s="37" t="s">
        <v>3468</v>
      </c>
      <c r="H5" s="37" t="s">
        <v>3453</v>
      </c>
      <c r="I5" s="37" t="s">
        <v>3469</v>
      </c>
      <c r="J5" s="37" t="s">
        <v>3470</v>
      </c>
    </row>
    <row r="6" spans="1:10">
      <c r="A6" s="32"/>
      <c r="B6" s="30"/>
      <c r="C6" s="37" t="s">
        <v>3471</v>
      </c>
      <c r="D6" s="37" t="s">
        <v>3472</v>
      </c>
      <c r="E6" s="56" t="s">
        <v>2641</v>
      </c>
      <c r="F6" s="37" t="s">
        <v>3473</v>
      </c>
      <c r="G6" s="37" t="s">
        <v>3474</v>
      </c>
      <c r="H6" s="37" t="s">
        <v>3459</v>
      </c>
      <c r="I6" s="37" t="s">
        <v>3475</v>
      </c>
      <c r="J6" s="37" t="s">
        <v>3476</v>
      </c>
    </row>
    <row r="7" spans="1:10" ht="15" customHeight="1">
      <c r="A7" s="32"/>
      <c r="B7" s="28" t="s">
        <v>2767</v>
      </c>
      <c r="C7" s="37" t="s">
        <v>3477</v>
      </c>
      <c r="D7" s="37" t="s">
        <v>3478</v>
      </c>
      <c r="E7" s="56" t="s">
        <v>2640</v>
      </c>
      <c r="F7" s="37" t="s">
        <v>3479</v>
      </c>
      <c r="G7" s="37" t="s">
        <v>3480</v>
      </c>
      <c r="H7" s="37" t="s">
        <v>3453</v>
      </c>
      <c r="I7" s="37" t="s">
        <v>3481</v>
      </c>
      <c r="J7" s="37" t="s">
        <v>3482</v>
      </c>
    </row>
    <row r="8" spans="1:10">
      <c r="A8" s="32"/>
      <c r="B8" s="29"/>
      <c r="C8" s="37" t="s">
        <v>3483</v>
      </c>
      <c r="D8" s="37" t="s">
        <v>3484</v>
      </c>
      <c r="E8" s="56" t="s">
        <v>2639</v>
      </c>
      <c r="F8" s="37" t="s">
        <v>3485</v>
      </c>
      <c r="G8" s="37" t="s">
        <v>3486</v>
      </c>
      <c r="H8" s="37" t="s">
        <v>3459</v>
      </c>
      <c r="I8" s="37" t="s">
        <v>3487</v>
      </c>
      <c r="J8" s="37" t="s">
        <v>3488</v>
      </c>
    </row>
    <row r="9" spans="1:10">
      <c r="A9" s="32"/>
      <c r="B9" s="29"/>
      <c r="C9" s="37" t="s">
        <v>3489</v>
      </c>
      <c r="D9" s="37" t="s">
        <v>3490</v>
      </c>
      <c r="E9" s="56" t="s">
        <v>2640</v>
      </c>
      <c r="F9" s="37" t="s">
        <v>3491</v>
      </c>
      <c r="G9" s="37" t="s">
        <v>3492</v>
      </c>
      <c r="H9" s="37" t="s">
        <v>3459</v>
      </c>
      <c r="I9" s="37" t="s">
        <v>3493</v>
      </c>
      <c r="J9" s="37" t="s">
        <v>3494</v>
      </c>
    </row>
    <row r="10" spans="1:10">
      <c r="A10" s="32"/>
      <c r="B10" s="29"/>
      <c r="C10" s="37" t="s">
        <v>3495</v>
      </c>
      <c r="D10" s="37" t="s">
        <v>3496</v>
      </c>
      <c r="E10" s="56" t="s">
        <v>2640</v>
      </c>
      <c r="F10" s="37" t="s">
        <v>3497</v>
      </c>
      <c r="G10" s="37" t="s">
        <v>3498</v>
      </c>
      <c r="H10" s="37" t="s">
        <v>3453</v>
      </c>
      <c r="I10" s="37" t="s">
        <v>3499</v>
      </c>
      <c r="J10" s="37" t="s">
        <v>3500</v>
      </c>
    </row>
    <row r="11" spans="1:10">
      <c r="A11" s="32"/>
      <c r="B11" s="30"/>
      <c r="C11" s="37" t="s">
        <v>3501</v>
      </c>
      <c r="D11" s="37" t="s">
        <v>3502</v>
      </c>
      <c r="E11" s="56" t="s">
        <v>2640</v>
      </c>
      <c r="F11" s="37" t="s">
        <v>3503</v>
      </c>
      <c r="G11" s="37" t="s">
        <v>3504</v>
      </c>
      <c r="H11" s="37" t="s">
        <v>3453</v>
      </c>
      <c r="I11" s="37" t="s">
        <v>3505</v>
      </c>
      <c r="J11" s="37" t="s">
        <v>3506</v>
      </c>
    </row>
    <row r="12" spans="1:10" ht="15" customHeight="1">
      <c r="A12" s="32"/>
      <c r="B12" s="28" t="s">
        <v>2768</v>
      </c>
      <c r="C12" s="37" t="s">
        <v>3507</v>
      </c>
      <c r="D12" s="37" t="s">
        <v>3508</v>
      </c>
      <c r="E12" s="56" t="s">
        <v>2640</v>
      </c>
      <c r="F12" s="37" t="s">
        <v>3509</v>
      </c>
      <c r="G12" s="37" t="s">
        <v>3510</v>
      </c>
      <c r="H12" s="37" t="s">
        <v>3453</v>
      </c>
      <c r="I12" s="37" t="s">
        <v>3511</v>
      </c>
      <c r="J12" s="37" t="s">
        <v>3512</v>
      </c>
    </row>
    <row r="13" spans="1:10">
      <c r="A13" s="32"/>
      <c r="B13" s="29"/>
      <c r="C13" s="37" t="s">
        <v>3513</v>
      </c>
      <c r="D13" s="37" t="s">
        <v>3514</v>
      </c>
      <c r="E13" s="56" t="s">
        <v>2640</v>
      </c>
      <c r="F13" s="37" t="s">
        <v>3515</v>
      </c>
      <c r="G13" s="37" t="s">
        <v>3516</v>
      </c>
      <c r="H13" s="37" t="s">
        <v>3459</v>
      </c>
      <c r="I13" s="37" t="s">
        <v>3517</v>
      </c>
      <c r="J13" s="37" t="s">
        <v>3518</v>
      </c>
    </row>
    <row r="14" spans="1:10">
      <c r="A14" s="32"/>
      <c r="B14" s="29"/>
      <c r="C14" s="37" t="s">
        <v>3519</v>
      </c>
      <c r="D14" s="37" t="s">
        <v>3520</v>
      </c>
      <c r="E14" s="56" t="s">
        <v>2640</v>
      </c>
      <c r="F14" s="37" t="s">
        <v>3521</v>
      </c>
      <c r="G14" s="37" t="s">
        <v>3522</v>
      </c>
      <c r="H14" s="37" t="s">
        <v>3453</v>
      </c>
      <c r="I14" s="37" t="s">
        <v>3523</v>
      </c>
      <c r="J14" s="37" t="s">
        <v>3524</v>
      </c>
    </row>
    <row r="15" spans="1:10">
      <c r="A15" s="32"/>
      <c r="B15" s="29"/>
      <c r="C15" s="37" t="s">
        <v>3525</v>
      </c>
      <c r="D15" s="37" t="s">
        <v>3526</v>
      </c>
      <c r="E15" s="56" t="s">
        <v>2640</v>
      </c>
      <c r="F15" s="37" t="s">
        <v>3527</v>
      </c>
      <c r="G15" s="37" t="s">
        <v>3528</v>
      </c>
      <c r="H15" s="37" t="s">
        <v>3453</v>
      </c>
      <c r="I15" s="37" t="s">
        <v>3529</v>
      </c>
      <c r="J15" s="37" t="s">
        <v>3530</v>
      </c>
    </row>
    <row r="16" spans="1:10">
      <c r="A16" s="32"/>
      <c r="B16" s="30"/>
      <c r="C16" s="37" t="s">
        <v>3531</v>
      </c>
      <c r="D16" s="37" t="s">
        <v>3532</v>
      </c>
      <c r="E16" s="56" t="s">
        <v>2640</v>
      </c>
      <c r="F16" s="37" t="s">
        <v>3533</v>
      </c>
      <c r="G16" s="37" t="s">
        <v>3534</v>
      </c>
      <c r="H16" s="37" t="s">
        <v>3453</v>
      </c>
      <c r="I16" s="37" t="s">
        <v>3535</v>
      </c>
      <c r="J16" s="37" t="s">
        <v>3536</v>
      </c>
    </row>
    <row r="17" spans="1:10" ht="15" customHeight="1">
      <c r="A17" s="32"/>
      <c r="B17" s="28" t="s">
        <v>2769</v>
      </c>
      <c r="C17" s="37" t="s">
        <v>3537</v>
      </c>
      <c r="D17" s="37" t="s">
        <v>3538</v>
      </c>
      <c r="E17" s="56" t="s">
        <v>2640</v>
      </c>
      <c r="F17" s="37" t="s">
        <v>3537</v>
      </c>
      <c r="G17" s="37" t="s">
        <v>3539</v>
      </c>
      <c r="H17" s="37" t="s">
        <v>3453</v>
      </c>
      <c r="I17" s="37" t="s">
        <v>3540</v>
      </c>
      <c r="J17" s="37" t="s">
        <v>3541</v>
      </c>
    </row>
    <row r="18" spans="1:10" ht="15" customHeight="1">
      <c r="A18" s="32"/>
      <c r="B18" s="29"/>
      <c r="C18" s="37" t="s">
        <v>3542</v>
      </c>
      <c r="D18" s="37" t="s">
        <v>3543</v>
      </c>
      <c r="E18" s="56" t="s">
        <v>2640</v>
      </c>
      <c r="F18" s="37" t="s">
        <v>3544</v>
      </c>
      <c r="G18" s="37" t="s">
        <v>3545</v>
      </c>
      <c r="H18" s="37" t="s">
        <v>3453</v>
      </c>
      <c r="I18" s="37" t="s">
        <v>3546</v>
      </c>
      <c r="J18" s="37" t="s">
        <v>3547</v>
      </c>
    </row>
    <row r="19" spans="1:10">
      <c r="A19" s="32"/>
      <c r="B19" s="29"/>
      <c r="C19" s="37" t="s">
        <v>3548</v>
      </c>
      <c r="D19" s="37" t="s">
        <v>3549</v>
      </c>
      <c r="E19" s="56" t="s">
        <v>2640</v>
      </c>
      <c r="F19" s="37" t="s">
        <v>3160</v>
      </c>
      <c r="G19" s="37" t="s">
        <v>3550</v>
      </c>
      <c r="H19" s="37" t="s">
        <v>3459</v>
      </c>
      <c r="I19" s="37" t="s">
        <v>3551</v>
      </c>
      <c r="J19" s="37" t="s">
        <v>3552</v>
      </c>
    </row>
    <row r="20" spans="1:10">
      <c r="A20" s="32"/>
      <c r="B20" s="29"/>
      <c r="C20" s="37" t="s">
        <v>2242</v>
      </c>
      <c r="D20" s="37" t="s">
        <v>3553</v>
      </c>
      <c r="E20" s="56" t="s">
        <v>2640</v>
      </c>
      <c r="F20" s="37" t="s">
        <v>3554</v>
      </c>
      <c r="G20" s="37" t="s">
        <v>3555</v>
      </c>
      <c r="H20" s="37" t="s">
        <v>3459</v>
      </c>
      <c r="I20" s="37" t="s">
        <v>3556</v>
      </c>
      <c r="J20" s="37" t="s">
        <v>3557</v>
      </c>
    </row>
    <row r="21" spans="1:10">
      <c r="A21" s="32"/>
      <c r="B21" s="30"/>
      <c r="C21" s="37" t="s">
        <v>3558</v>
      </c>
      <c r="D21" s="37" t="s">
        <v>3559</v>
      </c>
      <c r="E21" s="56" t="s">
        <v>2640</v>
      </c>
      <c r="F21" s="37" t="s">
        <v>3560</v>
      </c>
      <c r="G21" s="37" t="s">
        <v>3561</v>
      </c>
      <c r="H21" s="37" t="s">
        <v>3453</v>
      </c>
      <c r="I21" s="37" t="s">
        <v>3562</v>
      </c>
      <c r="J21" s="37" t="s">
        <v>3563</v>
      </c>
    </row>
    <row r="22" spans="1:10" ht="15" customHeight="1">
      <c r="A22" s="32"/>
      <c r="B22" s="28" t="s">
        <v>2770</v>
      </c>
      <c r="C22" s="37" t="s">
        <v>3565</v>
      </c>
      <c r="D22" s="37" t="s">
        <v>3566</v>
      </c>
      <c r="E22" s="56" t="s">
        <v>2640</v>
      </c>
      <c r="F22" s="37" t="s">
        <v>3567</v>
      </c>
      <c r="G22" s="37" t="s">
        <v>3568</v>
      </c>
      <c r="H22" s="37" t="s">
        <v>3459</v>
      </c>
      <c r="I22" s="37" t="s">
        <v>3569</v>
      </c>
      <c r="J22" s="37" t="s">
        <v>3570</v>
      </c>
    </row>
    <row r="23" spans="1:10">
      <c r="A23" s="32"/>
      <c r="B23" s="29"/>
      <c r="C23" s="37" t="s">
        <v>3571</v>
      </c>
      <c r="D23" s="37" t="s">
        <v>3572</v>
      </c>
      <c r="E23" s="56" t="s">
        <v>2640</v>
      </c>
      <c r="F23" s="37" t="s">
        <v>3573</v>
      </c>
      <c r="G23" s="37" t="s">
        <v>3574</v>
      </c>
      <c r="H23" s="37" t="s">
        <v>3453</v>
      </c>
      <c r="I23" s="37" t="s">
        <v>3575</v>
      </c>
      <c r="J23" s="37" t="s">
        <v>3576</v>
      </c>
    </row>
    <row r="24" spans="1:10">
      <c r="A24" s="32"/>
      <c r="B24" s="29"/>
      <c r="C24" s="37" t="s">
        <v>3577</v>
      </c>
      <c r="D24" s="37" t="s">
        <v>3578</v>
      </c>
      <c r="E24" s="56" t="s">
        <v>2640</v>
      </c>
      <c r="F24" s="37" t="s">
        <v>3579</v>
      </c>
      <c r="G24" s="37" t="s">
        <v>3580</v>
      </c>
      <c r="H24" s="37" t="s">
        <v>3581</v>
      </c>
      <c r="I24" s="37" t="s">
        <v>3195</v>
      </c>
      <c r="J24" s="37" t="s">
        <v>3582</v>
      </c>
    </row>
    <row r="25" spans="1:10">
      <c r="A25" s="32"/>
      <c r="B25" s="29"/>
      <c r="C25" s="37" t="s">
        <v>3583</v>
      </c>
      <c r="D25" s="37" t="s">
        <v>3584</v>
      </c>
      <c r="E25" s="56" t="s">
        <v>2640</v>
      </c>
      <c r="F25" s="37" t="s">
        <v>3585</v>
      </c>
      <c r="G25" s="37" t="s">
        <v>3586</v>
      </c>
      <c r="H25" s="37" t="s">
        <v>3459</v>
      </c>
      <c r="I25" s="37" t="s">
        <v>3587</v>
      </c>
      <c r="J25" s="37" t="s">
        <v>3588</v>
      </c>
    </row>
    <row r="26" spans="1:10">
      <c r="A26" s="32"/>
      <c r="B26" s="30"/>
      <c r="C26" s="37" t="s">
        <v>3589</v>
      </c>
      <c r="D26" s="37" t="s">
        <v>3590</v>
      </c>
      <c r="E26" s="56" t="s">
        <v>2640</v>
      </c>
      <c r="F26" s="37" t="s">
        <v>2006</v>
      </c>
      <c r="G26" s="37" t="s">
        <v>3591</v>
      </c>
      <c r="H26" s="37" t="s">
        <v>3459</v>
      </c>
      <c r="I26" s="37" t="s">
        <v>3592</v>
      </c>
      <c r="J26" s="37" t="s">
        <v>3593</v>
      </c>
    </row>
    <row r="27" spans="1:10" ht="15" customHeight="1">
      <c r="A27" s="32"/>
      <c r="B27" s="28" t="s">
        <v>2771</v>
      </c>
      <c r="C27" s="37" t="s">
        <v>3594</v>
      </c>
      <c r="D27" s="37" t="s">
        <v>3595</v>
      </c>
      <c r="E27" s="56" t="s">
        <v>2640</v>
      </c>
      <c r="F27" s="37" t="s">
        <v>3596</v>
      </c>
      <c r="G27" s="37" t="s">
        <v>3597</v>
      </c>
      <c r="H27" s="37" t="s">
        <v>3459</v>
      </c>
      <c r="I27" s="37" t="s">
        <v>3598</v>
      </c>
      <c r="J27" s="37" t="s">
        <v>3599</v>
      </c>
    </row>
    <row r="28" spans="1:10">
      <c r="A28" s="32"/>
      <c r="B28" s="29"/>
      <c r="C28" s="37" t="s">
        <v>3600</v>
      </c>
      <c r="D28" s="37" t="s">
        <v>3601</v>
      </c>
      <c r="E28" s="56" t="s">
        <v>2640</v>
      </c>
      <c r="F28" s="37" t="s">
        <v>3602</v>
      </c>
      <c r="G28" s="37" t="s">
        <v>3603</v>
      </c>
      <c r="H28" s="37" t="s">
        <v>3453</v>
      </c>
      <c r="I28" s="37" t="s">
        <v>3604</v>
      </c>
      <c r="J28" s="37" t="s">
        <v>3605</v>
      </c>
    </row>
    <row r="29" spans="1:10">
      <c r="A29" s="32"/>
      <c r="B29" s="29"/>
      <c r="C29" s="37" t="s">
        <v>3606</v>
      </c>
      <c r="D29" s="37" t="s">
        <v>3607</v>
      </c>
      <c r="E29" s="56" t="s">
        <v>2640</v>
      </c>
      <c r="F29" s="37" t="s">
        <v>3608</v>
      </c>
      <c r="G29" s="37" t="s">
        <v>3609</v>
      </c>
      <c r="H29" s="37" t="s">
        <v>3459</v>
      </c>
      <c r="I29" s="37" t="s">
        <v>3610</v>
      </c>
      <c r="J29" s="37" t="s">
        <v>3611</v>
      </c>
    </row>
    <row r="30" spans="1:10">
      <c r="A30" s="32"/>
      <c r="B30" s="29"/>
      <c r="C30" s="37" t="s">
        <v>3612</v>
      </c>
      <c r="D30" s="37" t="s">
        <v>3613</v>
      </c>
      <c r="E30" s="56" t="s">
        <v>2640</v>
      </c>
      <c r="F30" s="37" t="s">
        <v>3614</v>
      </c>
      <c r="G30" s="37" t="s">
        <v>3615</v>
      </c>
      <c r="H30" s="37" t="s">
        <v>3453</v>
      </c>
      <c r="I30" s="37" t="s">
        <v>3616</v>
      </c>
      <c r="J30" s="37" t="s">
        <v>3617</v>
      </c>
    </row>
    <row r="31" spans="1:10">
      <c r="A31" s="32"/>
      <c r="B31" s="30"/>
      <c r="C31" s="37" t="s">
        <v>3618</v>
      </c>
      <c r="D31" s="37" t="s">
        <v>3619</v>
      </c>
      <c r="E31" s="56" t="s">
        <v>2640</v>
      </c>
      <c r="F31" s="37" t="s">
        <v>3620</v>
      </c>
      <c r="G31" s="37" t="s">
        <v>2027</v>
      </c>
      <c r="H31" s="37" t="s">
        <v>3459</v>
      </c>
      <c r="I31" s="37" t="s">
        <v>3621</v>
      </c>
      <c r="J31" s="37" t="s">
        <v>3622</v>
      </c>
    </row>
    <row r="32" spans="1:10">
      <c r="A32" s="32"/>
      <c r="B32" s="28" t="s">
        <v>2772</v>
      </c>
      <c r="C32" s="37" t="s">
        <v>3594</v>
      </c>
      <c r="D32" s="37" t="s">
        <v>3595</v>
      </c>
      <c r="E32" s="56" t="s">
        <v>2640</v>
      </c>
      <c r="F32" s="37" t="s">
        <v>3596</v>
      </c>
      <c r="G32" s="37" t="s">
        <v>3597</v>
      </c>
      <c r="H32" s="37" t="s">
        <v>3459</v>
      </c>
      <c r="I32" s="37" t="s">
        <v>3598</v>
      </c>
      <c r="J32" s="37" t="s">
        <v>3599</v>
      </c>
    </row>
    <row r="33" spans="1:10">
      <c r="A33" s="32"/>
      <c r="B33" s="29"/>
      <c r="C33" s="37" t="s">
        <v>3600</v>
      </c>
      <c r="D33" s="37" t="s">
        <v>3601</v>
      </c>
      <c r="E33" s="56" t="s">
        <v>2640</v>
      </c>
      <c r="F33" s="37" t="s">
        <v>3602</v>
      </c>
      <c r="G33" s="37" t="s">
        <v>3603</v>
      </c>
      <c r="H33" s="37" t="s">
        <v>3453</v>
      </c>
      <c r="I33" s="37" t="s">
        <v>3604</v>
      </c>
      <c r="J33" s="37" t="s">
        <v>3605</v>
      </c>
    </row>
    <row r="34" spans="1:10">
      <c r="A34" s="32"/>
      <c r="B34" s="29"/>
      <c r="C34" s="37" t="s">
        <v>3606</v>
      </c>
      <c r="D34" s="37" t="s">
        <v>3607</v>
      </c>
      <c r="E34" s="56" t="s">
        <v>2640</v>
      </c>
      <c r="F34" s="37" t="s">
        <v>3608</v>
      </c>
      <c r="G34" s="37" t="s">
        <v>3609</v>
      </c>
      <c r="H34" s="37" t="s">
        <v>3459</v>
      </c>
      <c r="I34" s="37" t="s">
        <v>3610</v>
      </c>
      <c r="J34" s="37" t="s">
        <v>3611</v>
      </c>
    </row>
    <row r="35" spans="1:10">
      <c r="A35" s="32"/>
      <c r="B35" s="29"/>
      <c r="C35" s="37" t="s">
        <v>3612</v>
      </c>
      <c r="D35" s="37" t="s">
        <v>3613</v>
      </c>
      <c r="E35" s="56" t="s">
        <v>2640</v>
      </c>
      <c r="F35" s="37" t="s">
        <v>3614</v>
      </c>
      <c r="G35" s="37" t="s">
        <v>3615</v>
      </c>
      <c r="H35" s="37" t="s">
        <v>3453</v>
      </c>
      <c r="I35" s="37" t="s">
        <v>3616</v>
      </c>
      <c r="J35" s="37" t="s">
        <v>3617</v>
      </c>
    </row>
    <row r="36" spans="1:10">
      <c r="A36" s="32"/>
      <c r="B36" s="30"/>
      <c r="C36" s="37" t="s">
        <v>3618</v>
      </c>
      <c r="D36" s="37" t="s">
        <v>3619</v>
      </c>
      <c r="E36" s="56" t="s">
        <v>2640</v>
      </c>
      <c r="F36" s="37" t="s">
        <v>3620</v>
      </c>
      <c r="G36" s="37" t="s">
        <v>2027</v>
      </c>
      <c r="H36" s="37" t="s">
        <v>3459</v>
      </c>
      <c r="I36" s="37" t="s">
        <v>3621</v>
      </c>
      <c r="J36" s="37" t="s">
        <v>3622</v>
      </c>
    </row>
    <row r="37" spans="1:10" ht="15" customHeight="1">
      <c r="A37" s="32"/>
      <c r="B37" s="28" t="s">
        <v>2773</v>
      </c>
      <c r="C37" s="37" t="s">
        <v>3623</v>
      </c>
      <c r="D37" s="37" t="s">
        <v>3624</v>
      </c>
      <c r="E37" s="56" t="s">
        <v>2640</v>
      </c>
      <c r="F37" s="37" t="s">
        <v>3625</v>
      </c>
      <c r="G37" s="37" t="s">
        <v>3626</v>
      </c>
      <c r="H37" s="37" t="s">
        <v>3453</v>
      </c>
      <c r="I37" s="37" t="s">
        <v>3627</v>
      </c>
      <c r="J37" s="37" t="s">
        <v>3628</v>
      </c>
    </row>
    <row r="38" spans="1:10">
      <c r="A38" s="32"/>
      <c r="B38" s="29"/>
      <c r="C38" s="37" t="s">
        <v>3629</v>
      </c>
      <c r="D38" s="37" t="s">
        <v>3630</v>
      </c>
      <c r="E38" s="56" t="s">
        <v>2640</v>
      </c>
      <c r="F38" s="37" t="s">
        <v>3322</v>
      </c>
      <c r="G38" s="37" t="s">
        <v>3631</v>
      </c>
      <c r="H38" s="37" t="s">
        <v>3453</v>
      </c>
      <c r="I38" s="37" t="s">
        <v>3632</v>
      </c>
      <c r="J38" s="37" t="s">
        <v>3633</v>
      </c>
    </row>
    <row r="39" spans="1:10">
      <c r="A39" s="32"/>
      <c r="B39" s="29"/>
      <c r="C39" s="37" t="s">
        <v>3634</v>
      </c>
      <c r="D39" s="37" t="s">
        <v>3635</v>
      </c>
      <c r="E39" s="56" t="s">
        <v>2640</v>
      </c>
      <c r="F39" s="37" t="s">
        <v>3636</v>
      </c>
      <c r="G39" s="37" t="s">
        <v>3637</v>
      </c>
      <c r="H39" s="37" t="s">
        <v>3459</v>
      </c>
      <c r="I39" s="37" t="s">
        <v>3638</v>
      </c>
      <c r="J39" s="37" t="s">
        <v>3639</v>
      </c>
    </row>
    <row r="40" spans="1:10">
      <c r="A40" s="32"/>
      <c r="B40" s="29"/>
      <c r="C40" s="37" t="s">
        <v>3640</v>
      </c>
      <c r="D40" s="37" t="s">
        <v>3641</v>
      </c>
      <c r="E40" s="56" t="s">
        <v>2640</v>
      </c>
      <c r="F40" s="37" t="s">
        <v>3642</v>
      </c>
      <c r="G40" s="37" t="s">
        <v>3643</v>
      </c>
      <c r="H40" s="37" t="s">
        <v>3459</v>
      </c>
      <c r="I40" s="37" t="s">
        <v>3644</v>
      </c>
      <c r="J40" s="37" t="s">
        <v>3645</v>
      </c>
    </row>
    <row r="41" spans="1:10">
      <c r="A41" s="33"/>
      <c r="B41" s="30"/>
      <c r="C41" s="37" t="s">
        <v>3646</v>
      </c>
      <c r="D41" s="37" t="s">
        <v>3647</v>
      </c>
      <c r="E41" s="56" t="s">
        <v>2640</v>
      </c>
      <c r="F41" s="37" t="s">
        <v>3648</v>
      </c>
      <c r="G41" s="37" t="s">
        <v>3649</v>
      </c>
      <c r="H41" s="37" t="s">
        <v>3581</v>
      </c>
      <c r="I41" s="37" t="s">
        <v>3650</v>
      </c>
      <c r="J41" s="37" t="s">
        <v>3651</v>
      </c>
    </row>
    <row r="42" spans="1:10" ht="15" customHeight="1">
      <c r="A42" s="31" t="s">
        <v>2774</v>
      </c>
      <c r="B42" s="28" t="s">
        <v>2775</v>
      </c>
      <c r="C42" s="37" t="s">
        <v>3675</v>
      </c>
      <c r="D42" s="37" t="s">
        <v>3652</v>
      </c>
      <c r="E42" s="56" t="s">
        <v>2681</v>
      </c>
      <c r="F42" s="37" t="s">
        <v>3137</v>
      </c>
      <c r="G42" s="37" t="s">
        <v>3480</v>
      </c>
      <c r="H42" s="37" t="s">
        <v>3453</v>
      </c>
      <c r="I42" s="37" t="s">
        <v>3653</v>
      </c>
      <c r="J42" s="37" t="s">
        <v>3654</v>
      </c>
    </row>
    <row r="43" spans="1:10">
      <c r="A43" s="32"/>
      <c r="B43" s="29"/>
      <c r="C43" s="37" t="s">
        <v>3676</v>
      </c>
      <c r="D43" s="37" t="s">
        <v>3655</v>
      </c>
      <c r="E43" s="56" t="s">
        <v>2639</v>
      </c>
      <c r="F43" s="37" t="s">
        <v>3656</v>
      </c>
      <c r="G43" s="37" t="s">
        <v>3657</v>
      </c>
      <c r="H43" s="37" t="s">
        <v>3459</v>
      </c>
      <c r="I43" s="37" t="s">
        <v>3658</v>
      </c>
      <c r="J43" s="37" t="s">
        <v>3659</v>
      </c>
    </row>
    <row r="44" spans="1:10">
      <c r="A44" s="32"/>
      <c r="B44" s="29"/>
      <c r="C44" s="37" t="s">
        <v>3677</v>
      </c>
      <c r="D44" s="37" t="s">
        <v>3660</v>
      </c>
      <c r="E44" s="56" t="s">
        <v>2681</v>
      </c>
      <c r="F44" s="37" t="s">
        <v>3661</v>
      </c>
      <c r="G44" s="37" t="s">
        <v>3662</v>
      </c>
      <c r="H44" s="37" t="s">
        <v>3453</v>
      </c>
      <c r="I44" s="37" t="s">
        <v>3663</v>
      </c>
      <c r="J44" s="37" t="s">
        <v>3664</v>
      </c>
    </row>
    <row r="45" spans="1:10">
      <c r="A45" s="32"/>
      <c r="B45" s="29"/>
      <c r="C45" s="37" t="s">
        <v>3678</v>
      </c>
      <c r="D45" s="37" t="s">
        <v>3665</v>
      </c>
      <c r="E45" s="56" t="s">
        <v>2681</v>
      </c>
      <c r="F45" s="37" t="s">
        <v>3666</v>
      </c>
      <c r="G45" s="37" t="s">
        <v>3667</v>
      </c>
      <c r="H45" s="37" t="s">
        <v>3459</v>
      </c>
      <c r="I45" s="37" t="s">
        <v>3668</v>
      </c>
      <c r="J45" s="37" t="s">
        <v>3669</v>
      </c>
    </row>
    <row r="46" spans="1:10">
      <c r="A46" s="32"/>
      <c r="B46" s="30"/>
      <c r="C46" s="37" t="s">
        <v>3679</v>
      </c>
      <c r="D46" s="37" t="s">
        <v>3670</v>
      </c>
      <c r="E46" s="56" t="s">
        <v>2681</v>
      </c>
      <c r="F46" s="37" t="s">
        <v>3671</v>
      </c>
      <c r="G46" s="37" t="s">
        <v>3672</v>
      </c>
      <c r="H46" s="37" t="s">
        <v>3459</v>
      </c>
      <c r="I46" s="37" t="s">
        <v>3673</v>
      </c>
      <c r="J46" s="37" t="s">
        <v>3674</v>
      </c>
    </row>
    <row r="47" spans="1:10" ht="15" customHeight="1">
      <c r="A47" s="32"/>
      <c r="B47" s="28" t="s">
        <v>2776</v>
      </c>
      <c r="C47" s="37" t="s">
        <v>3705</v>
      </c>
      <c r="D47" s="37" t="s">
        <v>3680</v>
      </c>
      <c r="E47" s="56" t="s">
        <v>2690</v>
      </c>
      <c r="F47" s="37" t="s">
        <v>3681</v>
      </c>
      <c r="G47" s="37" t="s">
        <v>3682</v>
      </c>
      <c r="H47" s="37" t="s">
        <v>3459</v>
      </c>
      <c r="I47" s="37" t="s">
        <v>3683</v>
      </c>
      <c r="J47" s="37" t="s">
        <v>3684</v>
      </c>
    </row>
    <row r="48" spans="1:10">
      <c r="A48" s="32"/>
      <c r="B48" s="29"/>
      <c r="C48" s="37" t="s">
        <v>3706</v>
      </c>
      <c r="D48" s="37" t="s">
        <v>3685</v>
      </c>
      <c r="E48" s="56" t="s">
        <v>2681</v>
      </c>
      <c r="F48" s="37" t="s">
        <v>3686</v>
      </c>
      <c r="G48" s="37" t="s">
        <v>3687</v>
      </c>
      <c r="H48" s="37" t="s">
        <v>3459</v>
      </c>
      <c r="I48" s="37" t="s">
        <v>3688</v>
      </c>
      <c r="J48" s="37" t="s">
        <v>3689</v>
      </c>
    </row>
    <row r="49" spans="1:10">
      <c r="A49" s="32"/>
      <c r="B49" s="29"/>
      <c r="C49" s="37" t="s">
        <v>3707</v>
      </c>
      <c r="D49" s="37" t="s">
        <v>3690</v>
      </c>
      <c r="E49" s="56" t="s">
        <v>2681</v>
      </c>
      <c r="F49" s="37" t="s">
        <v>3691</v>
      </c>
      <c r="G49" s="37" t="s">
        <v>3692</v>
      </c>
      <c r="H49" s="37" t="s">
        <v>3581</v>
      </c>
      <c r="I49" s="37" t="s">
        <v>3693</v>
      </c>
      <c r="J49" s="37" t="s">
        <v>3694</v>
      </c>
    </row>
    <row r="50" spans="1:10">
      <c r="A50" s="32"/>
      <c r="B50" s="29"/>
      <c r="C50" s="37" t="s">
        <v>3708</v>
      </c>
      <c r="D50" s="37" t="s">
        <v>3695</v>
      </c>
      <c r="E50" s="56" t="s">
        <v>2681</v>
      </c>
      <c r="F50" s="37" t="s">
        <v>3696</v>
      </c>
      <c r="G50" s="37" t="s">
        <v>3697</v>
      </c>
      <c r="H50" s="37" t="s">
        <v>3459</v>
      </c>
      <c r="I50" s="37" t="s">
        <v>3698</v>
      </c>
      <c r="J50" s="37" t="s">
        <v>3699</v>
      </c>
    </row>
    <row r="51" spans="1:10">
      <c r="A51" s="32"/>
      <c r="B51" s="30"/>
      <c r="C51" s="37" t="s">
        <v>3709</v>
      </c>
      <c r="D51" s="37" t="s">
        <v>3700</v>
      </c>
      <c r="E51" s="56" t="s">
        <v>2681</v>
      </c>
      <c r="F51" s="37" t="s">
        <v>3701</v>
      </c>
      <c r="G51" s="37" t="s">
        <v>3702</v>
      </c>
      <c r="H51" s="37" t="s">
        <v>3459</v>
      </c>
      <c r="I51" s="37" t="s">
        <v>3703</v>
      </c>
      <c r="J51" s="37" t="s">
        <v>3704</v>
      </c>
    </row>
    <row r="52" spans="1:10" ht="15" customHeight="1">
      <c r="A52" s="32"/>
      <c r="B52" s="28" t="s">
        <v>2777</v>
      </c>
      <c r="C52" s="37" t="s">
        <v>2238</v>
      </c>
      <c r="D52" s="37" t="s">
        <v>3710</v>
      </c>
      <c r="E52" s="56" t="s">
        <v>2690</v>
      </c>
      <c r="F52" s="37" t="s">
        <v>3711</v>
      </c>
      <c r="G52" s="37" t="s">
        <v>2007</v>
      </c>
      <c r="H52" s="37" t="s">
        <v>3459</v>
      </c>
      <c r="I52" s="37" t="s">
        <v>3712</v>
      </c>
      <c r="J52" s="37" t="s">
        <v>3713</v>
      </c>
    </row>
    <row r="53" spans="1:10">
      <c r="A53" s="32"/>
      <c r="B53" s="29"/>
      <c r="C53" s="37" t="s">
        <v>3733</v>
      </c>
      <c r="D53" s="37" t="s">
        <v>3714</v>
      </c>
      <c r="E53" s="56" t="s">
        <v>2641</v>
      </c>
      <c r="F53" s="37" t="s">
        <v>3715</v>
      </c>
      <c r="G53" s="37" t="s">
        <v>3716</v>
      </c>
      <c r="H53" s="37" t="s">
        <v>3459</v>
      </c>
      <c r="I53" s="37" t="s">
        <v>3717</v>
      </c>
      <c r="J53" s="37" t="s">
        <v>3718</v>
      </c>
    </row>
    <row r="54" spans="1:10">
      <c r="A54" s="32"/>
      <c r="B54" s="29"/>
      <c r="C54" s="37" t="s">
        <v>3734</v>
      </c>
      <c r="D54" s="37" t="s">
        <v>3719</v>
      </c>
      <c r="E54" s="56" t="s">
        <v>2681</v>
      </c>
      <c r="F54" s="37" t="s">
        <v>3720</v>
      </c>
      <c r="G54" s="37" t="s">
        <v>3721</v>
      </c>
      <c r="H54" s="37" t="s">
        <v>3453</v>
      </c>
      <c r="I54" s="37" t="s">
        <v>3722</v>
      </c>
      <c r="J54" s="37" t="s">
        <v>3723</v>
      </c>
    </row>
    <row r="55" spans="1:10">
      <c r="A55" s="32"/>
      <c r="B55" s="29"/>
      <c r="C55" s="37" t="s">
        <v>3735</v>
      </c>
      <c r="D55" s="37" t="s">
        <v>3724</v>
      </c>
      <c r="E55" s="56" t="s">
        <v>2639</v>
      </c>
      <c r="F55" s="37" t="s">
        <v>3725</v>
      </c>
      <c r="G55" s="37" t="s">
        <v>2004</v>
      </c>
      <c r="H55" s="37" t="s">
        <v>3453</v>
      </c>
      <c r="I55" s="37" t="s">
        <v>3726</v>
      </c>
      <c r="J55" s="37" t="s">
        <v>3727</v>
      </c>
    </row>
    <row r="56" spans="1:10">
      <c r="A56" s="32"/>
      <c r="B56" s="30"/>
      <c r="C56" s="37" t="s">
        <v>3736</v>
      </c>
      <c r="D56" s="37" t="s">
        <v>3728</v>
      </c>
      <c r="E56" s="56" t="s">
        <v>2639</v>
      </c>
      <c r="F56" s="37" t="s">
        <v>3729</v>
      </c>
      <c r="G56" s="37" t="s">
        <v>3730</v>
      </c>
      <c r="H56" s="37" t="s">
        <v>3459</v>
      </c>
      <c r="I56" s="37" t="s">
        <v>3731</v>
      </c>
      <c r="J56" s="37" t="s">
        <v>3732</v>
      </c>
    </row>
    <row r="57" spans="1:10" ht="15" customHeight="1">
      <c r="A57" s="32"/>
      <c r="B57" s="28" t="s">
        <v>2778</v>
      </c>
      <c r="C57" s="37" t="s">
        <v>3761</v>
      </c>
      <c r="D57" s="37" t="s">
        <v>3737</v>
      </c>
      <c r="E57" s="56" t="s">
        <v>2640</v>
      </c>
      <c r="F57" s="37" t="s">
        <v>3738</v>
      </c>
      <c r="G57" s="37" t="s">
        <v>3739</v>
      </c>
      <c r="H57" s="37" t="s">
        <v>3453</v>
      </c>
      <c r="I57" s="37" t="s">
        <v>3740</v>
      </c>
      <c r="J57" s="37" t="s">
        <v>3741</v>
      </c>
    </row>
    <row r="58" spans="1:10">
      <c r="A58" s="32"/>
      <c r="B58" s="29"/>
      <c r="C58" s="37" t="s">
        <v>3762</v>
      </c>
      <c r="D58" s="37" t="s">
        <v>3742</v>
      </c>
      <c r="E58" s="56" t="s">
        <v>2639</v>
      </c>
      <c r="F58" s="37" t="s">
        <v>3743</v>
      </c>
      <c r="G58" s="37" t="s">
        <v>3744</v>
      </c>
      <c r="H58" s="37" t="s">
        <v>3453</v>
      </c>
      <c r="I58" s="37" t="s">
        <v>2306</v>
      </c>
      <c r="J58" s="37" t="s">
        <v>3745</v>
      </c>
    </row>
    <row r="59" spans="1:10">
      <c r="A59" s="32"/>
      <c r="B59" s="29"/>
      <c r="C59" s="37" t="s">
        <v>3763</v>
      </c>
      <c r="D59" s="37" t="s">
        <v>3746</v>
      </c>
      <c r="E59" s="56" t="s">
        <v>2639</v>
      </c>
      <c r="F59" s="37" t="s">
        <v>3747</v>
      </c>
      <c r="G59" s="37" t="s">
        <v>3748</v>
      </c>
      <c r="H59" s="37" t="s">
        <v>3459</v>
      </c>
      <c r="I59" s="37" t="s">
        <v>3749</v>
      </c>
      <c r="J59" s="37" t="s">
        <v>3750</v>
      </c>
    </row>
    <row r="60" spans="1:10">
      <c r="A60" s="32"/>
      <c r="B60" s="29"/>
      <c r="C60" s="37" t="s">
        <v>3764</v>
      </c>
      <c r="D60" s="37" t="s">
        <v>3751</v>
      </c>
      <c r="E60" s="56" t="s">
        <v>2639</v>
      </c>
      <c r="F60" s="37" t="s">
        <v>3752</v>
      </c>
      <c r="G60" s="37" t="s">
        <v>3753</v>
      </c>
      <c r="H60" s="37" t="s">
        <v>3453</v>
      </c>
      <c r="I60" s="37" t="s">
        <v>3754</v>
      </c>
      <c r="J60" s="37" t="s">
        <v>3755</v>
      </c>
    </row>
    <row r="61" spans="1:10">
      <c r="A61" s="32"/>
      <c r="B61" s="30"/>
      <c r="C61" s="37" t="s">
        <v>3765</v>
      </c>
      <c r="D61" s="37" t="s">
        <v>3756</v>
      </c>
      <c r="E61" s="56" t="s">
        <v>2639</v>
      </c>
      <c r="F61" s="37" t="s">
        <v>3757</v>
      </c>
      <c r="G61" s="37" t="s">
        <v>3758</v>
      </c>
      <c r="H61" s="37" t="s">
        <v>3459</v>
      </c>
      <c r="I61" s="37" t="s">
        <v>3759</v>
      </c>
      <c r="J61" s="37" t="s">
        <v>3760</v>
      </c>
    </row>
    <row r="62" spans="1:10">
      <c r="A62" s="31" t="s">
        <v>2779</v>
      </c>
      <c r="B62" s="28" t="s">
        <v>2780</v>
      </c>
      <c r="C62" s="37" t="s">
        <v>3791</v>
      </c>
      <c r="D62" s="37" t="s">
        <v>3766</v>
      </c>
      <c r="E62" s="56" t="s">
        <v>2639</v>
      </c>
      <c r="F62" s="37" t="s">
        <v>3767</v>
      </c>
      <c r="G62" s="37" t="s">
        <v>3768</v>
      </c>
      <c r="H62" s="37" t="s">
        <v>3453</v>
      </c>
      <c r="I62" s="37" t="s">
        <v>3769</v>
      </c>
      <c r="J62" s="37" t="s">
        <v>3770</v>
      </c>
    </row>
    <row r="63" spans="1:10">
      <c r="A63" s="32"/>
      <c r="B63" s="29"/>
      <c r="C63" s="37" t="s">
        <v>3792</v>
      </c>
      <c r="D63" s="37" t="s">
        <v>3771</v>
      </c>
      <c r="E63" s="56" t="s">
        <v>2639</v>
      </c>
      <c r="F63" s="37" t="s">
        <v>3772</v>
      </c>
      <c r="G63" s="37" t="s">
        <v>3773</v>
      </c>
      <c r="H63" s="37" t="s">
        <v>3453</v>
      </c>
      <c r="I63" s="37" t="s">
        <v>3774</v>
      </c>
      <c r="J63" s="37" t="s">
        <v>3775</v>
      </c>
    </row>
    <row r="64" spans="1:10">
      <c r="A64" s="32"/>
      <c r="B64" s="29"/>
      <c r="C64" s="37" t="s">
        <v>3793</v>
      </c>
      <c r="D64" s="37" t="s">
        <v>3776</v>
      </c>
      <c r="E64" s="56" t="s">
        <v>2639</v>
      </c>
      <c r="F64" s="37" t="s">
        <v>3777</v>
      </c>
      <c r="G64" s="37" t="s">
        <v>3778</v>
      </c>
      <c r="H64" s="37" t="s">
        <v>3459</v>
      </c>
      <c r="I64" s="37" t="s">
        <v>3779</v>
      </c>
      <c r="J64" s="37" t="s">
        <v>3780</v>
      </c>
    </row>
    <row r="65" spans="1:10">
      <c r="A65" s="32"/>
      <c r="B65" s="29"/>
      <c r="C65" s="37" t="s">
        <v>3794</v>
      </c>
      <c r="D65" s="37" t="s">
        <v>3781</v>
      </c>
      <c r="E65" s="56" t="s">
        <v>2639</v>
      </c>
      <c r="F65" s="37" t="s">
        <v>3782</v>
      </c>
      <c r="G65" s="37" t="s">
        <v>3783</v>
      </c>
      <c r="H65" s="37" t="s">
        <v>3453</v>
      </c>
      <c r="I65" s="37" t="s">
        <v>3784</v>
      </c>
      <c r="J65" s="37" t="s">
        <v>3785</v>
      </c>
    </row>
    <row r="66" spans="1:10">
      <c r="A66" s="32"/>
      <c r="B66" s="30"/>
      <c r="C66" s="37" t="s">
        <v>3795</v>
      </c>
      <c r="D66" s="37" t="s">
        <v>3786</v>
      </c>
      <c r="E66" s="56" t="s">
        <v>2639</v>
      </c>
      <c r="F66" s="37" t="s">
        <v>3787</v>
      </c>
      <c r="G66" s="37" t="s">
        <v>3788</v>
      </c>
      <c r="H66" s="37" t="s">
        <v>3459</v>
      </c>
      <c r="I66" s="37" t="s">
        <v>3789</v>
      </c>
      <c r="J66" s="37" t="s">
        <v>3790</v>
      </c>
    </row>
    <row r="67" spans="1:10" ht="15" customHeight="1">
      <c r="A67" s="32"/>
      <c r="B67" s="28" t="s">
        <v>2781</v>
      </c>
      <c r="C67" s="37" t="s">
        <v>3820</v>
      </c>
      <c r="D67" s="37" t="s">
        <v>3796</v>
      </c>
      <c r="E67" s="56" t="s">
        <v>2639</v>
      </c>
      <c r="F67" s="37" t="s">
        <v>3797</v>
      </c>
      <c r="G67" s="37" t="s">
        <v>3798</v>
      </c>
      <c r="H67" s="37" t="s">
        <v>3459</v>
      </c>
      <c r="I67" s="37" t="s">
        <v>3799</v>
      </c>
      <c r="J67" s="37" t="s">
        <v>3800</v>
      </c>
    </row>
    <row r="68" spans="1:10">
      <c r="A68" s="32"/>
      <c r="B68" s="29"/>
      <c r="C68" s="37" t="s">
        <v>3821</v>
      </c>
      <c r="D68" s="37" t="s">
        <v>3801</v>
      </c>
      <c r="E68" s="56" t="s">
        <v>2639</v>
      </c>
      <c r="F68" s="37" t="s">
        <v>3802</v>
      </c>
      <c r="G68" s="37" t="s">
        <v>3803</v>
      </c>
      <c r="H68" s="37" t="s">
        <v>3581</v>
      </c>
      <c r="I68" s="37" t="s">
        <v>3804</v>
      </c>
      <c r="J68" s="37" t="s">
        <v>3805</v>
      </c>
    </row>
    <row r="69" spans="1:10">
      <c r="A69" s="32"/>
      <c r="B69" s="29"/>
      <c r="C69" s="37" t="s">
        <v>3822</v>
      </c>
      <c r="D69" s="37" t="s">
        <v>3806</v>
      </c>
      <c r="E69" s="56" t="s">
        <v>2639</v>
      </c>
      <c r="F69" s="37" t="s">
        <v>3807</v>
      </c>
      <c r="G69" s="37" t="s">
        <v>3808</v>
      </c>
      <c r="H69" s="37" t="s">
        <v>3459</v>
      </c>
      <c r="I69" s="37" t="s">
        <v>3809</v>
      </c>
      <c r="J69" s="37" t="s">
        <v>3810</v>
      </c>
    </row>
    <row r="70" spans="1:10">
      <c r="A70" s="32"/>
      <c r="B70" s="29"/>
      <c r="C70" s="37" t="s">
        <v>3823</v>
      </c>
      <c r="D70" s="37" t="s">
        <v>3811</v>
      </c>
      <c r="E70" s="56" t="s">
        <v>2639</v>
      </c>
      <c r="F70" s="37" t="s">
        <v>3812</v>
      </c>
      <c r="G70" s="37" t="s">
        <v>1987</v>
      </c>
      <c r="H70" s="37" t="s">
        <v>3453</v>
      </c>
      <c r="I70" s="37" t="s">
        <v>3813</v>
      </c>
      <c r="J70" s="37" t="s">
        <v>3814</v>
      </c>
    </row>
    <row r="71" spans="1:10">
      <c r="A71" s="32"/>
      <c r="B71" s="30"/>
      <c r="C71" s="37" t="s">
        <v>3824</v>
      </c>
      <c r="D71" s="37" t="s">
        <v>3815</v>
      </c>
      <c r="E71" s="56" t="s">
        <v>2639</v>
      </c>
      <c r="F71" s="37" t="s">
        <v>3816</v>
      </c>
      <c r="G71" s="37" t="s">
        <v>3817</v>
      </c>
      <c r="H71" s="37" t="s">
        <v>3459</v>
      </c>
      <c r="I71" s="37" t="s">
        <v>3818</v>
      </c>
      <c r="J71" s="37" t="s">
        <v>3819</v>
      </c>
    </row>
    <row r="72" spans="1:10" ht="15" customHeight="1">
      <c r="A72" s="32"/>
      <c r="B72" s="28" t="s">
        <v>2782</v>
      </c>
      <c r="C72" s="37" t="s">
        <v>3849</v>
      </c>
      <c r="D72" s="37" t="s">
        <v>3825</v>
      </c>
      <c r="E72" s="56" t="s">
        <v>2639</v>
      </c>
      <c r="F72" s="37" t="s">
        <v>3826</v>
      </c>
      <c r="G72" s="37" t="s">
        <v>3827</v>
      </c>
      <c r="H72" s="37" t="s">
        <v>3459</v>
      </c>
      <c r="I72" s="37" t="s">
        <v>3828</v>
      </c>
      <c r="J72" s="37" t="s">
        <v>3829</v>
      </c>
    </row>
    <row r="73" spans="1:10">
      <c r="A73" s="32"/>
      <c r="B73" s="29"/>
      <c r="C73" s="37" t="s">
        <v>3850</v>
      </c>
      <c r="D73" s="37" t="s">
        <v>3830</v>
      </c>
      <c r="E73" s="56" t="s">
        <v>2639</v>
      </c>
      <c r="F73" s="37" t="s">
        <v>3831</v>
      </c>
      <c r="G73" s="37" t="s">
        <v>3832</v>
      </c>
      <c r="H73" s="37" t="s">
        <v>3459</v>
      </c>
      <c r="I73" s="37" t="s">
        <v>3833</v>
      </c>
      <c r="J73" s="37" t="s">
        <v>3834</v>
      </c>
    </row>
    <row r="74" spans="1:10">
      <c r="A74" s="32"/>
      <c r="B74" s="29"/>
      <c r="C74" s="37" t="s">
        <v>3851</v>
      </c>
      <c r="D74" s="37" t="s">
        <v>3835</v>
      </c>
      <c r="E74" s="56" t="s">
        <v>2639</v>
      </c>
      <c r="F74" s="37" t="s">
        <v>3836</v>
      </c>
      <c r="G74" s="37" t="s">
        <v>3837</v>
      </c>
      <c r="H74" s="37" t="s">
        <v>3459</v>
      </c>
      <c r="I74" s="37" t="s">
        <v>3838</v>
      </c>
      <c r="J74" s="37" t="s">
        <v>3839</v>
      </c>
    </row>
    <row r="75" spans="1:10">
      <c r="A75" s="32"/>
      <c r="B75" s="29"/>
      <c r="C75" s="37" t="s">
        <v>3852</v>
      </c>
      <c r="D75" s="37" t="s">
        <v>3840</v>
      </c>
      <c r="E75" s="56" t="s">
        <v>2639</v>
      </c>
      <c r="F75" s="37" t="s">
        <v>3807</v>
      </c>
      <c r="G75" s="37" t="s">
        <v>3841</v>
      </c>
      <c r="H75" s="37" t="s">
        <v>3453</v>
      </c>
      <c r="I75" s="37" t="s">
        <v>3842</v>
      </c>
      <c r="J75" s="37" t="s">
        <v>3843</v>
      </c>
    </row>
    <row r="76" spans="1:10">
      <c r="A76" s="32"/>
      <c r="B76" s="30"/>
      <c r="C76" s="37" t="s">
        <v>3853</v>
      </c>
      <c r="D76" s="37" t="s">
        <v>3844</v>
      </c>
      <c r="E76" s="56" t="s">
        <v>2639</v>
      </c>
      <c r="F76" s="37" t="s">
        <v>3845</v>
      </c>
      <c r="G76" s="37" t="s">
        <v>3846</v>
      </c>
      <c r="H76" s="37" t="s">
        <v>3459</v>
      </c>
      <c r="I76" s="37" t="s">
        <v>3847</v>
      </c>
      <c r="J76" s="37" t="s">
        <v>3848</v>
      </c>
    </row>
    <row r="77" spans="1:10">
      <c r="A77" s="32"/>
      <c r="B77" s="28" t="s">
        <v>2783</v>
      </c>
      <c r="C77" s="37" t="s">
        <v>3877</v>
      </c>
      <c r="D77" s="37" t="s">
        <v>3854</v>
      </c>
      <c r="E77" s="56" t="s">
        <v>2639</v>
      </c>
      <c r="F77" s="37" t="s">
        <v>3855</v>
      </c>
      <c r="G77" s="37" t="s">
        <v>3856</v>
      </c>
      <c r="H77" s="37" t="s">
        <v>3453</v>
      </c>
      <c r="I77" s="37" t="s">
        <v>3857</v>
      </c>
      <c r="J77" s="37" t="s">
        <v>3858</v>
      </c>
    </row>
    <row r="78" spans="1:10">
      <c r="A78" s="32"/>
      <c r="B78" s="29"/>
      <c r="C78" s="37" t="s">
        <v>3878</v>
      </c>
      <c r="D78" s="37" t="s">
        <v>3859</v>
      </c>
      <c r="E78" s="56" t="s">
        <v>2639</v>
      </c>
      <c r="F78" s="37" t="s">
        <v>3860</v>
      </c>
      <c r="G78" s="37" t="s">
        <v>2911</v>
      </c>
      <c r="H78" s="37" t="s">
        <v>3453</v>
      </c>
      <c r="I78" s="37" t="s">
        <v>3861</v>
      </c>
      <c r="J78" s="37" t="s">
        <v>3360</v>
      </c>
    </row>
    <row r="79" spans="1:10">
      <c r="A79" s="32"/>
      <c r="B79" s="29"/>
      <c r="C79" s="37" t="s">
        <v>3879</v>
      </c>
      <c r="D79" s="37" t="s">
        <v>3862</v>
      </c>
      <c r="E79" s="56" t="s">
        <v>2639</v>
      </c>
      <c r="F79" s="37" t="s">
        <v>3863</v>
      </c>
      <c r="G79" s="37" t="s">
        <v>3864</v>
      </c>
      <c r="H79" s="37" t="s">
        <v>3459</v>
      </c>
      <c r="I79" s="37" t="s">
        <v>3865</v>
      </c>
      <c r="J79" s="37" t="s">
        <v>3866</v>
      </c>
    </row>
    <row r="80" spans="1:10">
      <c r="A80" s="32"/>
      <c r="B80" s="29"/>
      <c r="C80" s="37" t="s">
        <v>3880</v>
      </c>
      <c r="D80" s="37" t="s">
        <v>3867</v>
      </c>
      <c r="E80" s="56" t="s">
        <v>2640</v>
      </c>
      <c r="F80" s="37" t="s">
        <v>3868</v>
      </c>
      <c r="G80" s="37" t="s">
        <v>3869</v>
      </c>
      <c r="H80" s="37" t="s">
        <v>3459</v>
      </c>
      <c r="I80" s="37" t="s">
        <v>3870</v>
      </c>
      <c r="J80" s="37" t="s">
        <v>3871</v>
      </c>
    </row>
    <row r="81" spans="1:10">
      <c r="A81" s="32"/>
      <c r="B81" s="30"/>
      <c r="C81" s="37" t="s">
        <v>3881</v>
      </c>
      <c r="D81" s="37" t="s">
        <v>3872</v>
      </c>
      <c r="E81" s="56" t="s">
        <v>2639</v>
      </c>
      <c r="F81" s="37" t="s">
        <v>3873</v>
      </c>
      <c r="G81" s="37" t="s">
        <v>3874</v>
      </c>
      <c r="H81" s="37" t="s">
        <v>3581</v>
      </c>
      <c r="I81" s="37" t="s">
        <v>3875</v>
      </c>
      <c r="J81" s="37" t="s">
        <v>3876</v>
      </c>
    </row>
    <row r="82" spans="1:10" ht="15" customHeight="1">
      <c r="A82" s="32"/>
      <c r="B82" s="28" t="s">
        <v>2784</v>
      </c>
      <c r="C82" s="37" t="s">
        <v>3905</v>
      </c>
      <c r="D82" s="37" t="s">
        <v>3882</v>
      </c>
      <c r="E82" s="56" t="s">
        <v>2639</v>
      </c>
      <c r="F82" s="37" t="s">
        <v>3883</v>
      </c>
      <c r="G82" s="37" t="s">
        <v>3884</v>
      </c>
      <c r="H82" s="37" t="s">
        <v>3453</v>
      </c>
      <c r="I82" s="37" t="s">
        <v>2362</v>
      </c>
      <c r="J82" s="37" t="s">
        <v>3885</v>
      </c>
    </row>
    <row r="83" spans="1:10">
      <c r="A83" s="32"/>
      <c r="B83" s="29"/>
      <c r="C83" s="37" t="s">
        <v>3906</v>
      </c>
      <c r="D83" s="37" t="s">
        <v>3886</v>
      </c>
      <c r="E83" s="56" t="s">
        <v>2639</v>
      </c>
      <c r="F83" s="37" t="s">
        <v>3887</v>
      </c>
      <c r="G83" s="37" t="s">
        <v>3888</v>
      </c>
      <c r="H83" s="37" t="s">
        <v>3453</v>
      </c>
      <c r="I83" s="37" t="s">
        <v>3889</v>
      </c>
      <c r="J83" s="37" t="s">
        <v>3890</v>
      </c>
    </row>
    <row r="84" spans="1:10">
      <c r="A84" s="32"/>
      <c r="B84" s="29"/>
      <c r="C84" s="37" t="s">
        <v>3907</v>
      </c>
      <c r="D84" s="37" t="s">
        <v>3891</v>
      </c>
      <c r="E84" s="56" t="s">
        <v>2641</v>
      </c>
      <c r="F84" s="37" t="s">
        <v>3892</v>
      </c>
      <c r="G84" s="37" t="s">
        <v>3893</v>
      </c>
      <c r="H84" s="37" t="s">
        <v>3459</v>
      </c>
      <c r="I84" s="37" t="s">
        <v>3894</v>
      </c>
      <c r="J84" s="37" t="s">
        <v>3895</v>
      </c>
    </row>
    <row r="85" spans="1:10">
      <c r="A85" s="32"/>
      <c r="B85" s="29"/>
      <c r="C85" s="37" t="s">
        <v>3908</v>
      </c>
      <c r="D85" s="37" t="s">
        <v>3896</v>
      </c>
      <c r="E85" s="56" t="s">
        <v>2639</v>
      </c>
      <c r="F85" s="37" t="s">
        <v>3897</v>
      </c>
      <c r="G85" s="37" t="s">
        <v>3898</v>
      </c>
      <c r="H85" s="37" t="s">
        <v>3453</v>
      </c>
      <c r="I85" s="37" t="s">
        <v>3899</v>
      </c>
      <c r="J85" s="37" t="s">
        <v>3900</v>
      </c>
    </row>
    <row r="86" spans="1:10">
      <c r="A86" s="32"/>
      <c r="B86" s="30"/>
      <c r="C86" s="37" t="s">
        <v>3909</v>
      </c>
      <c r="D86" s="37" t="s">
        <v>3901</v>
      </c>
      <c r="E86" s="56" t="s">
        <v>2639</v>
      </c>
      <c r="F86" s="37" t="s">
        <v>3902</v>
      </c>
      <c r="G86" s="37" t="s">
        <v>3673</v>
      </c>
      <c r="H86" s="37" t="s">
        <v>3459</v>
      </c>
      <c r="I86" s="37" t="s">
        <v>3903</v>
      </c>
      <c r="J86" s="37" t="s">
        <v>3904</v>
      </c>
    </row>
    <row r="87" spans="1:10" ht="15" customHeight="1">
      <c r="A87" s="32"/>
      <c r="B87" s="28" t="s">
        <v>2785</v>
      </c>
      <c r="C87" s="37" t="s">
        <v>3933</v>
      </c>
      <c r="D87" s="37" t="s">
        <v>3910</v>
      </c>
      <c r="E87" s="56" t="s">
        <v>2639</v>
      </c>
      <c r="F87" s="37" t="s">
        <v>3911</v>
      </c>
      <c r="G87" s="37" t="s">
        <v>3912</v>
      </c>
      <c r="H87" s="37" t="s">
        <v>3453</v>
      </c>
      <c r="I87" s="37" t="s">
        <v>3913</v>
      </c>
      <c r="J87" s="37" t="s">
        <v>3914</v>
      </c>
    </row>
    <row r="88" spans="1:10">
      <c r="A88" s="32"/>
      <c r="B88" s="29"/>
      <c r="C88" s="37" t="s">
        <v>3934</v>
      </c>
      <c r="D88" s="37" t="s">
        <v>3915</v>
      </c>
      <c r="E88" s="56" t="s">
        <v>2639</v>
      </c>
      <c r="F88" s="37" t="s">
        <v>3887</v>
      </c>
      <c r="G88" s="37" t="s">
        <v>3916</v>
      </c>
      <c r="H88" s="37" t="s">
        <v>3453</v>
      </c>
      <c r="I88" s="37" t="s">
        <v>3917</v>
      </c>
      <c r="J88" s="37" t="s">
        <v>3918</v>
      </c>
    </row>
    <row r="89" spans="1:10">
      <c r="A89" s="32"/>
      <c r="B89" s="29"/>
      <c r="C89" s="37" t="s">
        <v>3935</v>
      </c>
      <c r="D89" s="37" t="s">
        <v>3919</v>
      </c>
      <c r="E89" s="56" t="s">
        <v>2639</v>
      </c>
      <c r="F89" s="37" t="s">
        <v>3920</v>
      </c>
      <c r="G89" s="37" t="s">
        <v>3921</v>
      </c>
      <c r="H89" s="37" t="s">
        <v>3459</v>
      </c>
      <c r="I89" s="37" t="s">
        <v>3922</v>
      </c>
      <c r="J89" s="37" t="s">
        <v>3923</v>
      </c>
    </row>
    <row r="90" spans="1:10">
      <c r="A90" s="32"/>
      <c r="B90" s="29"/>
      <c r="C90" s="37" t="s">
        <v>3936</v>
      </c>
      <c r="D90" s="37" t="s">
        <v>3924</v>
      </c>
      <c r="E90" s="56" t="s">
        <v>2639</v>
      </c>
      <c r="F90" s="37" t="s">
        <v>3925</v>
      </c>
      <c r="G90" s="37" t="s">
        <v>3926</v>
      </c>
      <c r="H90" s="37" t="s">
        <v>3453</v>
      </c>
      <c r="I90" s="37" t="s">
        <v>3927</v>
      </c>
      <c r="J90" s="37" t="s">
        <v>3928</v>
      </c>
    </row>
    <row r="91" spans="1:10">
      <c r="A91" s="32"/>
      <c r="B91" s="30"/>
      <c r="C91" s="37" t="s">
        <v>3937</v>
      </c>
      <c r="D91" s="37" t="s">
        <v>3929</v>
      </c>
      <c r="E91" s="56" t="s">
        <v>2640</v>
      </c>
      <c r="F91" s="37" t="s">
        <v>3930</v>
      </c>
      <c r="G91" s="37" t="s">
        <v>3673</v>
      </c>
      <c r="H91" s="37" t="s">
        <v>3459</v>
      </c>
      <c r="I91" s="37" t="s">
        <v>3931</v>
      </c>
      <c r="J91" s="37" t="s">
        <v>3932</v>
      </c>
    </row>
    <row r="92" spans="1:10" ht="15" customHeight="1">
      <c r="A92" s="32"/>
      <c r="B92" s="28" t="s">
        <v>2786</v>
      </c>
      <c r="C92" s="37" t="s">
        <v>3963</v>
      </c>
      <c r="D92" s="37" t="s">
        <v>3938</v>
      </c>
      <c r="E92" s="56" t="s">
        <v>2639</v>
      </c>
      <c r="F92" s="37" t="s">
        <v>3939</v>
      </c>
      <c r="G92" s="37" t="s">
        <v>3940</v>
      </c>
      <c r="H92" s="37" t="s">
        <v>3453</v>
      </c>
      <c r="I92" s="37" t="s">
        <v>3941</v>
      </c>
      <c r="J92" s="37" t="s">
        <v>3942</v>
      </c>
    </row>
    <row r="93" spans="1:10">
      <c r="A93" s="32"/>
      <c r="B93" s="29"/>
      <c r="C93" s="37" t="s">
        <v>3964</v>
      </c>
      <c r="D93" s="37" t="s">
        <v>3943</v>
      </c>
      <c r="E93" s="56" t="s">
        <v>2639</v>
      </c>
      <c r="F93" s="37" t="s">
        <v>3944</v>
      </c>
      <c r="G93" s="37" t="s">
        <v>3945</v>
      </c>
      <c r="H93" s="37" t="s">
        <v>3453</v>
      </c>
      <c r="I93" s="37" t="s">
        <v>3946</v>
      </c>
      <c r="J93" s="37" t="s">
        <v>3947</v>
      </c>
    </row>
    <row r="94" spans="1:10">
      <c r="A94" s="32"/>
      <c r="B94" s="29"/>
      <c r="C94" s="37" t="s">
        <v>3965</v>
      </c>
      <c r="D94" s="37" t="s">
        <v>3948</v>
      </c>
      <c r="E94" s="56" t="s">
        <v>2639</v>
      </c>
      <c r="F94" s="37" t="s">
        <v>3949</v>
      </c>
      <c r="G94" s="37" t="s">
        <v>3950</v>
      </c>
      <c r="H94" s="37" t="s">
        <v>3459</v>
      </c>
      <c r="I94" s="37" t="s">
        <v>3951</v>
      </c>
      <c r="J94" s="37" t="s">
        <v>3952</v>
      </c>
    </row>
    <row r="95" spans="1:10">
      <c r="A95" s="32"/>
      <c r="B95" s="29"/>
      <c r="C95" s="37" t="s">
        <v>3966</v>
      </c>
      <c r="D95" s="37" t="s">
        <v>3953</v>
      </c>
      <c r="E95" s="56" t="s">
        <v>2639</v>
      </c>
      <c r="F95" s="37" t="s">
        <v>3954</v>
      </c>
      <c r="G95" s="37" t="s">
        <v>3955</v>
      </c>
      <c r="H95" s="37" t="s">
        <v>3453</v>
      </c>
      <c r="I95" s="37" t="s">
        <v>3956</v>
      </c>
      <c r="J95" s="37" t="s">
        <v>3957</v>
      </c>
    </row>
    <row r="96" spans="1:10">
      <c r="A96" s="32"/>
      <c r="B96" s="30"/>
      <c r="C96" s="37" t="s">
        <v>3967</v>
      </c>
      <c r="D96" s="37" t="s">
        <v>3958</v>
      </c>
      <c r="E96" s="56" t="s">
        <v>2639</v>
      </c>
      <c r="F96" s="37" t="s">
        <v>3959</v>
      </c>
      <c r="G96" s="37" t="s">
        <v>3960</v>
      </c>
      <c r="H96" s="37" t="s">
        <v>3459</v>
      </c>
      <c r="I96" s="37" t="s">
        <v>3961</v>
      </c>
      <c r="J96" s="37" t="s">
        <v>3962</v>
      </c>
    </row>
    <row r="97" spans="1:10" ht="15" customHeight="1">
      <c r="A97" s="32"/>
      <c r="B97" s="28" t="s">
        <v>2787</v>
      </c>
      <c r="C97" s="37" t="s">
        <v>3993</v>
      </c>
      <c r="D97" s="37" t="s">
        <v>3968</v>
      </c>
      <c r="E97" s="56" t="s">
        <v>2639</v>
      </c>
      <c r="F97" s="37" t="s">
        <v>3969</v>
      </c>
      <c r="G97" s="37" t="s">
        <v>3970</v>
      </c>
      <c r="H97" s="37" t="s">
        <v>3453</v>
      </c>
      <c r="I97" s="37" t="s">
        <v>3971</v>
      </c>
      <c r="J97" s="37" t="s">
        <v>3972</v>
      </c>
    </row>
    <row r="98" spans="1:10">
      <c r="A98" s="32"/>
      <c r="B98" s="29"/>
      <c r="C98" s="37" t="s">
        <v>3994</v>
      </c>
      <c r="D98" s="37" t="s">
        <v>3973</v>
      </c>
      <c r="E98" s="56" t="s">
        <v>2639</v>
      </c>
      <c r="F98" s="37" t="s">
        <v>3974</v>
      </c>
      <c r="G98" s="37" t="s">
        <v>3975</v>
      </c>
      <c r="H98" s="37" t="s">
        <v>3453</v>
      </c>
      <c r="I98" s="37" t="s">
        <v>3976</v>
      </c>
      <c r="J98" s="37" t="s">
        <v>3977</v>
      </c>
    </row>
    <row r="99" spans="1:10">
      <c r="A99" s="32"/>
      <c r="B99" s="29"/>
      <c r="C99" s="37" t="s">
        <v>3995</v>
      </c>
      <c r="D99" s="37" t="s">
        <v>3978</v>
      </c>
      <c r="E99" s="56" t="s">
        <v>2639</v>
      </c>
      <c r="F99" s="37" t="s">
        <v>3979</v>
      </c>
      <c r="G99" s="37" t="s">
        <v>3980</v>
      </c>
      <c r="H99" s="37" t="s">
        <v>3459</v>
      </c>
      <c r="I99" s="37" t="s">
        <v>3981</v>
      </c>
      <c r="J99" s="37" t="s">
        <v>3982</v>
      </c>
    </row>
    <row r="100" spans="1:10">
      <c r="A100" s="32"/>
      <c r="B100" s="29"/>
      <c r="C100" s="37" t="s">
        <v>3996</v>
      </c>
      <c r="D100" s="37" t="s">
        <v>3983</v>
      </c>
      <c r="E100" s="56" t="s">
        <v>2639</v>
      </c>
      <c r="F100" s="37" t="s">
        <v>3984</v>
      </c>
      <c r="G100" s="37" t="s">
        <v>3985</v>
      </c>
      <c r="H100" s="37" t="s">
        <v>3453</v>
      </c>
      <c r="I100" s="37" t="s">
        <v>3986</v>
      </c>
      <c r="J100" s="37" t="s">
        <v>3987</v>
      </c>
    </row>
    <row r="101" spans="1:10">
      <c r="A101" s="33"/>
      <c r="B101" s="30"/>
      <c r="C101" s="37" t="s">
        <v>3997</v>
      </c>
      <c r="D101" s="37" t="s">
        <v>3988</v>
      </c>
      <c r="E101" s="56" t="s">
        <v>2639</v>
      </c>
      <c r="F101" s="37" t="s">
        <v>3989</v>
      </c>
      <c r="G101" s="37" t="s">
        <v>3990</v>
      </c>
      <c r="H101" s="37" t="s">
        <v>3459</v>
      </c>
      <c r="I101" s="37" t="s">
        <v>3991</v>
      </c>
      <c r="J101" s="37" t="s">
        <v>3992</v>
      </c>
    </row>
    <row r="102" spans="1:10">
      <c r="A102" s="31" t="s">
        <v>2788</v>
      </c>
      <c r="B102" s="28" t="s">
        <v>2789</v>
      </c>
      <c r="C102" s="37" t="s">
        <v>4242</v>
      </c>
      <c r="D102" s="37" t="s">
        <v>3998</v>
      </c>
      <c r="E102" s="56" t="s">
        <v>2640</v>
      </c>
      <c r="F102" s="37" t="s">
        <v>3999</v>
      </c>
      <c r="G102" s="37" t="s">
        <v>4000</v>
      </c>
      <c r="H102" s="37" t="s">
        <v>3453</v>
      </c>
      <c r="I102" s="37" t="s">
        <v>4001</v>
      </c>
      <c r="J102" s="37" t="s">
        <v>4002</v>
      </c>
    </row>
    <row r="103" spans="1:10">
      <c r="A103" s="32"/>
      <c r="B103" s="29"/>
      <c r="C103" s="37" t="s">
        <v>4243</v>
      </c>
      <c r="D103" s="37" t="s">
        <v>4003</v>
      </c>
      <c r="E103" s="56" t="s">
        <v>2640</v>
      </c>
      <c r="F103" s="37" t="s">
        <v>4004</v>
      </c>
      <c r="G103" s="37" t="s">
        <v>4005</v>
      </c>
      <c r="H103" s="37" t="s">
        <v>3459</v>
      </c>
      <c r="I103" s="37" t="s">
        <v>4006</v>
      </c>
      <c r="J103" s="37" t="s">
        <v>4007</v>
      </c>
    </row>
    <row r="104" spans="1:10">
      <c r="A104" s="32"/>
      <c r="B104" s="29"/>
      <c r="C104" s="37" t="s">
        <v>4244</v>
      </c>
      <c r="D104" s="37" t="s">
        <v>4008</v>
      </c>
      <c r="E104" s="56" t="s">
        <v>2640</v>
      </c>
      <c r="F104" s="37" t="s">
        <v>4009</v>
      </c>
      <c r="G104" s="37" t="s">
        <v>4010</v>
      </c>
      <c r="H104" s="37" t="s">
        <v>3459</v>
      </c>
      <c r="I104" s="37" t="s">
        <v>4011</v>
      </c>
      <c r="J104" s="37" t="s">
        <v>4012</v>
      </c>
    </row>
    <row r="105" spans="1:10">
      <c r="A105" s="32"/>
      <c r="B105" s="29"/>
      <c r="C105" s="37" t="s">
        <v>4245</v>
      </c>
      <c r="D105" s="37" t="s">
        <v>4013</v>
      </c>
      <c r="E105" s="56" t="s">
        <v>2640</v>
      </c>
      <c r="F105" s="37" t="s">
        <v>4014</v>
      </c>
      <c r="G105" s="37" t="s">
        <v>4015</v>
      </c>
      <c r="H105" s="37" t="s">
        <v>3459</v>
      </c>
      <c r="I105" s="37" t="s">
        <v>4016</v>
      </c>
      <c r="J105" s="37" t="s">
        <v>4017</v>
      </c>
    </row>
    <row r="106" spans="1:10">
      <c r="A106" s="32"/>
      <c r="B106" s="30"/>
      <c r="C106" s="37" t="s">
        <v>4246</v>
      </c>
      <c r="D106" s="37" t="s">
        <v>4018</v>
      </c>
      <c r="E106" s="56" t="s">
        <v>2639</v>
      </c>
      <c r="F106" s="37" t="s">
        <v>4019</v>
      </c>
      <c r="G106" s="37" t="s">
        <v>4020</v>
      </c>
      <c r="H106" s="37" t="s">
        <v>3453</v>
      </c>
      <c r="I106" s="37" t="s">
        <v>4021</v>
      </c>
      <c r="J106" s="37" t="s">
        <v>4022</v>
      </c>
    </row>
    <row r="107" spans="1:10" ht="15" customHeight="1">
      <c r="A107" s="32"/>
      <c r="B107" s="28" t="s">
        <v>2790</v>
      </c>
      <c r="C107" s="37" t="s">
        <v>4247</v>
      </c>
      <c r="D107" s="37" t="s">
        <v>4023</v>
      </c>
      <c r="E107" s="56" t="s">
        <v>2639</v>
      </c>
      <c r="F107" s="37" t="s">
        <v>4024</v>
      </c>
      <c r="G107" s="37" t="s">
        <v>4025</v>
      </c>
      <c r="H107" s="37" t="s">
        <v>3453</v>
      </c>
      <c r="I107" s="37" t="s">
        <v>4005</v>
      </c>
      <c r="J107" s="37" t="s">
        <v>4026</v>
      </c>
    </row>
    <row r="108" spans="1:10">
      <c r="A108" s="32"/>
      <c r="B108" s="29"/>
      <c r="C108" s="37" t="s">
        <v>4248</v>
      </c>
      <c r="D108" s="37" t="s">
        <v>4027</v>
      </c>
      <c r="E108" s="56" t="s">
        <v>2639</v>
      </c>
      <c r="F108" s="37" t="s">
        <v>4028</v>
      </c>
      <c r="G108" s="37" t="s">
        <v>4029</v>
      </c>
      <c r="H108" s="37" t="s">
        <v>3453</v>
      </c>
      <c r="I108" s="37" t="s">
        <v>4030</v>
      </c>
      <c r="J108" s="37" t="s">
        <v>4031</v>
      </c>
    </row>
    <row r="109" spans="1:10">
      <c r="A109" s="32"/>
      <c r="B109" s="29"/>
      <c r="C109" s="37" t="s">
        <v>4249</v>
      </c>
      <c r="D109" s="37" t="s">
        <v>4032</v>
      </c>
      <c r="E109" s="56" t="s">
        <v>2639</v>
      </c>
      <c r="F109" s="37" t="s">
        <v>4033</v>
      </c>
      <c r="G109" s="37" t="s">
        <v>4034</v>
      </c>
      <c r="H109" s="37" t="s">
        <v>3459</v>
      </c>
      <c r="I109" s="37" t="s">
        <v>4035</v>
      </c>
      <c r="J109" s="37" t="s">
        <v>4036</v>
      </c>
    </row>
    <row r="110" spans="1:10">
      <c r="A110" s="32"/>
      <c r="B110" s="29"/>
      <c r="C110" s="37" t="s">
        <v>3821</v>
      </c>
      <c r="D110" s="37" t="s">
        <v>4037</v>
      </c>
      <c r="E110" s="56" t="s">
        <v>2639</v>
      </c>
      <c r="F110" s="37" t="s">
        <v>4038</v>
      </c>
      <c r="G110" s="37" t="s">
        <v>3798</v>
      </c>
      <c r="H110" s="37" t="s">
        <v>3459</v>
      </c>
      <c r="I110" s="37" t="s">
        <v>4039</v>
      </c>
      <c r="J110" s="37" t="s">
        <v>4040</v>
      </c>
    </row>
    <row r="111" spans="1:10">
      <c r="A111" s="32"/>
      <c r="B111" s="30"/>
      <c r="C111" s="37" t="s">
        <v>4250</v>
      </c>
      <c r="D111" s="37" t="s">
        <v>4041</v>
      </c>
      <c r="E111" s="56" t="str">
        <f>E110</f>
        <v>OUI</v>
      </c>
      <c r="F111" s="37" t="s">
        <v>4042</v>
      </c>
      <c r="G111" s="37" t="s">
        <v>4043</v>
      </c>
      <c r="H111" s="37" t="s">
        <v>3453</v>
      </c>
      <c r="I111" s="37" t="s">
        <v>4044</v>
      </c>
      <c r="J111" s="37" t="s">
        <v>4045</v>
      </c>
    </row>
    <row r="112" spans="1:10" ht="15" customHeight="1">
      <c r="A112" s="32"/>
      <c r="B112" s="28" t="s">
        <v>2791</v>
      </c>
      <c r="C112" s="37" t="s">
        <v>4251</v>
      </c>
      <c r="D112" s="37" t="s">
        <v>4046</v>
      </c>
      <c r="E112" s="56" t="s">
        <v>2639</v>
      </c>
      <c r="F112" s="37" t="s">
        <v>4047</v>
      </c>
      <c r="G112" s="37" t="s">
        <v>4048</v>
      </c>
      <c r="H112" s="37" t="s">
        <v>3453</v>
      </c>
      <c r="I112" s="37" t="s">
        <v>3884</v>
      </c>
      <c r="J112" s="37" t="s">
        <v>4049</v>
      </c>
    </row>
    <row r="113" spans="1:10">
      <c r="A113" s="32"/>
      <c r="B113" s="29"/>
      <c r="C113" s="37" t="s">
        <v>4252</v>
      </c>
      <c r="D113" s="37" t="s">
        <v>4050</v>
      </c>
      <c r="E113" s="56" t="s">
        <v>2639</v>
      </c>
      <c r="F113" s="37" t="s">
        <v>4051</v>
      </c>
      <c r="G113" s="37" t="s">
        <v>4052</v>
      </c>
      <c r="H113" s="37" t="s">
        <v>3453</v>
      </c>
      <c r="I113" s="37" t="s">
        <v>4053</v>
      </c>
      <c r="J113" s="37" t="s">
        <v>4054</v>
      </c>
    </row>
    <row r="114" spans="1:10">
      <c r="A114" s="32"/>
      <c r="B114" s="29"/>
      <c r="C114" s="37" t="s">
        <v>4253</v>
      </c>
      <c r="D114" s="37" t="s">
        <v>4055</v>
      </c>
      <c r="E114" s="56" t="s">
        <v>2639</v>
      </c>
      <c r="F114" s="37" t="s">
        <v>4056</v>
      </c>
      <c r="G114" s="37" t="s">
        <v>2089</v>
      </c>
      <c r="H114" s="37" t="s">
        <v>3459</v>
      </c>
      <c r="I114" s="37" t="s">
        <v>4057</v>
      </c>
      <c r="J114" s="37" t="s">
        <v>4058</v>
      </c>
    </row>
    <row r="115" spans="1:10">
      <c r="A115" s="32"/>
      <c r="B115" s="29"/>
      <c r="C115" s="37" t="s">
        <v>4254</v>
      </c>
      <c r="D115" s="37" t="s">
        <v>4059</v>
      </c>
      <c r="E115" s="56" t="s">
        <v>2639</v>
      </c>
      <c r="F115" s="37" t="s">
        <v>4060</v>
      </c>
      <c r="G115" s="37" t="s">
        <v>4061</v>
      </c>
      <c r="H115" s="37" t="s">
        <v>3459</v>
      </c>
      <c r="I115" s="37" t="s">
        <v>4062</v>
      </c>
      <c r="J115" s="37" t="s">
        <v>4063</v>
      </c>
    </row>
    <row r="116" spans="1:10">
      <c r="A116" s="32"/>
      <c r="B116" s="30"/>
      <c r="C116" s="37" t="s">
        <v>4255</v>
      </c>
      <c r="D116" s="37" t="s">
        <v>4064</v>
      </c>
      <c r="E116" s="56" t="s">
        <v>2640</v>
      </c>
      <c r="F116" s="37" t="s">
        <v>4065</v>
      </c>
      <c r="G116" s="37" t="s">
        <v>4066</v>
      </c>
      <c r="H116" s="37" t="s">
        <v>3453</v>
      </c>
      <c r="I116" s="37" t="s">
        <v>4067</v>
      </c>
      <c r="J116" s="37" t="s">
        <v>4068</v>
      </c>
    </row>
    <row r="117" spans="1:10" ht="15" customHeight="1">
      <c r="A117" s="32"/>
      <c r="B117" s="28" t="s">
        <v>2792</v>
      </c>
      <c r="C117" s="37" t="s">
        <v>4256</v>
      </c>
      <c r="D117" s="37" t="s">
        <v>4069</v>
      </c>
      <c r="E117" s="56" t="s">
        <v>2639</v>
      </c>
      <c r="F117" s="37" t="s">
        <v>4070</v>
      </c>
      <c r="G117" s="37" t="s">
        <v>4071</v>
      </c>
      <c r="H117" s="37" t="s">
        <v>3453</v>
      </c>
      <c r="I117" s="37" t="s">
        <v>4072</v>
      </c>
      <c r="J117" s="37" t="s">
        <v>4073</v>
      </c>
    </row>
    <row r="118" spans="1:10">
      <c r="A118" s="32"/>
      <c r="B118" s="29"/>
      <c r="C118" s="37" t="s">
        <v>4257</v>
      </c>
      <c r="D118" s="37" t="s">
        <v>4074</v>
      </c>
      <c r="E118" s="56" t="s">
        <v>2639</v>
      </c>
      <c r="F118" s="37" t="s">
        <v>4075</v>
      </c>
      <c r="G118" s="37" t="s">
        <v>4076</v>
      </c>
      <c r="H118" s="37" t="s">
        <v>3453</v>
      </c>
      <c r="I118" s="37" t="s">
        <v>4077</v>
      </c>
      <c r="J118" s="37" t="s">
        <v>4078</v>
      </c>
    </row>
    <row r="119" spans="1:10">
      <c r="A119" s="32"/>
      <c r="B119" s="29"/>
      <c r="C119" s="37" t="s">
        <v>1912</v>
      </c>
      <c r="D119" s="37" t="s">
        <v>4079</v>
      </c>
      <c r="E119" s="56" t="s">
        <v>2639</v>
      </c>
      <c r="F119" s="37" t="s">
        <v>4080</v>
      </c>
      <c r="G119" s="37" t="s">
        <v>4081</v>
      </c>
      <c r="H119" s="37" t="s">
        <v>3459</v>
      </c>
      <c r="I119" s="37" t="s">
        <v>4082</v>
      </c>
      <c r="J119" s="37" t="s">
        <v>4083</v>
      </c>
    </row>
    <row r="120" spans="1:10">
      <c r="A120" s="32"/>
      <c r="B120" s="29"/>
      <c r="C120" s="37" t="s">
        <v>4258</v>
      </c>
      <c r="D120" s="37" t="s">
        <v>4084</v>
      </c>
      <c r="E120" s="56" t="s">
        <v>2640</v>
      </c>
      <c r="F120" s="37" t="s">
        <v>4085</v>
      </c>
      <c r="G120" s="37" t="s">
        <v>2089</v>
      </c>
      <c r="H120" s="37" t="s">
        <v>3459</v>
      </c>
      <c r="I120" s="37" t="s">
        <v>4086</v>
      </c>
      <c r="J120" s="37" t="s">
        <v>4087</v>
      </c>
    </row>
    <row r="121" spans="1:10">
      <c r="A121" s="32"/>
      <c r="B121" s="30"/>
      <c r="C121" s="37" t="s">
        <v>4259</v>
      </c>
      <c r="D121" s="37" t="s">
        <v>4088</v>
      </c>
      <c r="E121" s="56" t="s">
        <v>2639</v>
      </c>
      <c r="F121" s="37" t="s">
        <v>4089</v>
      </c>
      <c r="G121" s="37" t="s">
        <v>4090</v>
      </c>
      <c r="H121" s="37" t="s">
        <v>3459</v>
      </c>
      <c r="I121" s="37" t="s">
        <v>4091</v>
      </c>
      <c r="J121" s="37" t="s">
        <v>4092</v>
      </c>
    </row>
    <row r="122" spans="1:10">
      <c r="A122" s="31" t="s">
        <v>2793</v>
      </c>
      <c r="B122" s="28" t="s">
        <v>2794</v>
      </c>
      <c r="C122" s="37" t="s">
        <v>4260</v>
      </c>
      <c r="D122" s="37" t="s">
        <v>4093</v>
      </c>
      <c r="E122" s="56" t="s">
        <v>2639</v>
      </c>
      <c r="F122" s="37" t="s">
        <v>4094</v>
      </c>
      <c r="G122" s="37" t="s">
        <v>4095</v>
      </c>
      <c r="H122" s="37" t="s">
        <v>3459</v>
      </c>
      <c r="I122" s="37" t="s">
        <v>4096</v>
      </c>
      <c r="J122" s="37" t="s">
        <v>4097</v>
      </c>
    </row>
    <row r="123" spans="1:10">
      <c r="A123" s="32"/>
      <c r="B123" s="29"/>
      <c r="C123" s="37" t="s">
        <v>4261</v>
      </c>
      <c r="D123" s="37" t="s">
        <v>4098</v>
      </c>
      <c r="E123" s="56" t="s">
        <v>2640</v>
      </c>
      <c r="F123" s="37" t="s">
        <v>4099</v>
      </c>
      <c r="G123" s="37" t="s">
        <v>4100</v>
      </c>
      <c r="H123" s="37" t="s">
        <v>3459</v>
      </c>
      <c r="I123" s="37" t="s">
        <v>4101</v>
      </c>
      <c r="J123" s="37" t="s">
        <v>4102</v>
      </c>
    </row>
    <row r="124" spans="1:10">
      <c r="A124" s="32"/>
      <c r="B124" s="29"/>
      <c r="C124" s="37" t="s">
        <v>3881</v>
      </c>
      <c r="D124" s="37" t="s">
        <v>4103</v>
      </c>
      <c r="E124" s="56" t="s">
        <v>2639</v>
      </c>
      <c r="F124" s="37" t="s">
        <v>4104</v>
      </c>
      <c r="G124" s="37" t="s">
        <v>4105</v>
      </c>
      <c r="H124" s="37" t="s">
        <v>3459</v>
      </c>
      <c r="I124" s="37" t="s">
        <v>4106</v>
      </c>
      <c r="J124" s="37" t="s">
        <v>4107</v>
      </c>
    </row>
    <row r="125" spans="1:10">
      <c r="A125" s="32"/>
      <c r="B125" s="29"/>
      <c r="C125" s="37" t="s">
        <v>4262</v>
      </c>
      <c r="D125" s="37" t="s">
        <v>4108</v>
      </c>
      <c r="E125" s="56" t="s">
        <v>2639</v>
      </c>
      <c r="F125" s="37" t="s">
        <v>4109</v>
      </c>
      <c r="G125" s="37" t="s">
        <v>4110</v>
      </c>
      <c r="H125" s="37" t="s">
        <v>3459</v>
      </c>
      <c r="I125" s="37" t="s">
        <v>4111</v>
      </c>
      <c r="J125" s="37" t="s">
        <v>4112</v>
      </c>
    </row>
    <row r="126" spans="1:10">
      <c r="A126" s="32"/>
      <c r="B126" s="30"/>
      <c r="C126" s="37" t="s">
        <v>2951</v>
      </c>
      <c r="D126" s="37" t="s">
        <v>4113</v>
      </c>
      <c r="E126" s="56" t="s">
        <v>2639</v>
      </c>
      <c r="F126" s="37" t="s">
        <v>4114</v>
      </c>
      <c r="G126" s="37" t="s">
        <v>4115</v>
      </c>
      <c r="H126" s="37" t="s">
        <v>3581</v>
      </c>
      <c r="I126" s="37" t="s">
        <v>2873</v>
      </c>
      <c r="J126" s="37" t="s">
        <v>4116</v>
      </c>
    </row>
    <row r="127" spans="1:10">
      <c r="A127" s="32"/>
      <c r="B127" s="28" t="s">
        <v>2795</v>
      </c>
      <c r="C127" s="37" t="s">
        <v>4263</v>
      </c>
      <c r="D127" s="37" t="s">
        <v>4117</v>
      </c>
      <c r="E127" s="56" t="s">
        <v>2640</v>
      </c>
      <c r="F127" s="37" t="s">
        <v>4118</v>
      </c>
      <c r="G127" s="37" t="s">
        <v>4119</v>
      </c>
      <c r="H127" s="37" t="s">
        <v>3453</v>
      </c>
      <c r="I127" s="37" t="s">
        <v>4120</v>
      </c>
      <c r="J127" s="37" t="s">
        <v>4121</v>
      </c>
    </row>
    <row r="128" spans="1:10">
      <c r="A128" s="32"/>
      <c r="B128" s="29"/>
      <c r="C128" s="37" t="s">
        <v>4264</v>
      </c>
      <c r="D128" s="37" t="s">
        <v>4122</v>
      </c>
      <c r="E128" s="56" t="s">
        <v>2639</v>
      </c>
      <c r="F128" s="37" t="s">
        <v>4123</v>
      </c>
      <c r="G128" s="37" t="s">
        <v>4124</v>
      </c>
      <c r="H128" s="37" t="s">
        <v>3459</v>
      </c>
      <c r="I128" s="37" t="s">
        <v>4125</v>
      </c>
      <c r="J128" s="37" t="s">
        <v>4126</v>
      </c>
    </row>
    <row r="129" spans="1:10">
      <c r="A129" s="32"/>
      <c r="B129" s="29"/>
      <c r="C129" s="37" t="s">
        <v>4265</v>
      </c>
      <c r="D129" s="37" t="s">
        <v>4127</v>
      </c>
      <c r="E129" s="56" t="s">
        <v>2639</v>
      </c>
      <c r="F129" s="37" t="s">
        <v>4128</v>
      </c>
      <c r="G129" s="37" t="s">
        <v>4129</v>
      </c>
      <c r="H129" s="37" t="s">
        <v>3459</v>
      </c>
      <c r="I129" s="37" t="s">
        <v>4130</v>
      </c>
      <c r="J129" s="37" t="s">
        <v>4131</v>
      </c>
    </row>
    <row r="130" spans="1:10">
      <c r="A130" s="32"/>
      <c r="B130" s="29"/>
      <c r="C130" s="37" t="s">
        <v>4266</v>
      </c>
      <c r="D130" s="37" t="s">
        <v>4132</v>
      </c>
      <c r="E130" s="56" t="s">
        <v>2639</v>
      </c>
      <c r="F130" s="37" t="s">
        <v>4133</v>
      </c>
      <c r="G130" s="37" t="s">
        <v>4134</v>
      </c>
      <c r="H130" s="37" t="s">
        <v>3459</v>
      </c>
      <c r="I130" s="37" t="s">
        <v>4135</v>
      </c>
      <c r="J130" s="37" t="s">
        <v>4136</v>
      </c>
    </row>
    <row r="131" spans="1:10">
      <c r="A131" s="32"/>
      <c r="B131" s="30"/>
      <c r="C131" s="37" t="s">
        <v>4267</v>
      </c>
      <c r="D131" s="37" t="s">
        <v>4137</v>
      </c>
      <c r="E131" s="56" t="s">
        <v>2639</v>
      </c>
      <c r="F131" s="37" t="s">
        <v>4138</v>
      </c>
      <c r="G131" s="37" t="s">
        <v>4139</v>
      </c>
      <c r="H131" s="37" t="s">
        <v>3459</v>
      </c>
      <c r="I131" s="37" t="s">
        <v>4140</v>
      </c>
      <c r="J131" s="37" t="s">
        <v>4141</v>
      </c>
    </row>
    <row r="132" spans="1:10" ht="15" customHeight="1">
      <c r="A132" s="32"/>
      <c r="B132" s="28" t="s">
        <v>2796</v>
      </c>
      <c r="C132" s="37" t="s">
        <v>4268</v>
      </c>
      <c r="D132" s="37" t="s">
        <v>4142</v>
      </c>
      <c r="E132" s="56" t="s">
        <v>2639</v>
      </c>
      <c r="F132" s="37" t="s">
        <v>4143</v>
      </c>
      <c r="G132" s="37" t="s">
        <v>4144</v>
      </c>
      <c r="H132" s="37" t="s">
        <v>3459</v>
      </c>
      <c r="I132" s="37" t="s">
        <v>4145</v>
      </c>
      <c r="J132" s="37" t="s">
        <v>4146</v>
      </c>
    </row>
    <row r="133" spans="1:10">
      <c r="A133" s="32"/>
      <c r="B133" s="29"/>
      <c r="C133" s="37" t="s">
        <v>4269</v>
      </c>
      <c r="D133" s="37" t="s">
        <v>4147</v>
      </c>
      <c r="E133" s="56" t="s">
        <v>2639</v>
      </c>
      <c r="F133" s="37" t="s">
        <v>4148</v>
      </c>
      <c r="G133" s="37" t="s">
        <v>4149</v>
      </c>
      <c r="H133" s="37" t="s">
        <v>3459</v>
      </c>
      <c r="I133" s="37" t="s">
        <v>4150</v>
      </c>
      <c r="J133" s="37" t="s">
        <v>4151</v>
      </c>
    </row>
    <row r="134" spans="1:10">
      <c r="A134" s="32"/>
      <c r="B134" s="29"/>
      <c r="C134" s="37" t="s">
        <v>4270</v>
      </c>
      <c r="D134" s="37" t="s">
        <v>4152</v>
      </c>
      <c r="E134" s="56" t="s">
        <v>2639</v>
      </c>
      <c r="F134" s="37" t="s">
        <v>4153</v>
      </c>
      <c r="G134" s="37" t="s">
        <v>4154</v>
      </c>
      <c r="H134" s="37" t="s">
        <v>3459</v>
      </c>
      <c r="I134" s="37" t="s">
        <v>4155</v>
      </c>
      <c r="J134" s="37" t="s">
        <v>4156</v>
      </c>
    </row>
    <row r="135" spans="1:10">
      <c r="A135" s="32"/>
      <c r="B135" s="29"/>
      <c r="C135" s="37" t="s">
        <v>4271</v>
      </c>
      <c r="D135" s="37" t="s">
        <v>4157</v>
      </c>
      <c r="E135" s="56" t="s">
        <v>2639</v>
      </c>
      <c r="F135" s="37" t="s">
        <v>4158</v>
      </c>
      <c r="G135" s="37" t="s">
        <v>4159</v>
      </c>
      <c r="H135" s="37" t="s">
        <v>3459</v>
      </c>
      <c r="I135" s="37" t="s">
        <v>4160</v>
      </c>
      <c r="J135" s="37" t="s">
        <v>4161</v>
      </c>
    </row>
    <row r="136" spans="1:10">
      <c r="A136" s="32"/>
      <c r="B136" s="30"/>
      <c r="C136" s="37" t="s">
        <v>4272</v>
      </c>
      <c r="D136" s="37" t="s">
        <v>4162</v>
      </c>
      <c r="E136" s="56" t="s">
        <v>2639</v>
      </c>
      <c r="F136" s="37" t="s">
        <v>4163</v>
      </c>
      <c r="G136" s="37" t="s">
        <v>4164</v>
      </c>
      <c r="H136" s="37" t="s">
        <v>3459</v>
      </c>
      <c r="I136" s="37" t="s">
        <v>4165</v>
      </c>
      <c r="J136" s="37" t="s">
        <v>4166</v>
      </c>
    </row>
    <row r="137" spans="1:10">
      <c r="A137" s="32"/>
      <c r="B137" s="28" t="s">
        <v>2797</v>
      </c>
      <c r="C137" s="37" t="s">
        <v>4273</v>
      </c>
      <c r="D137" s="37" t="s">
        <v>4167</v>
      </c>
      <c r="E137" s="56" t="s">
        <v>2639</v>
      </c>
      <c r="F137" s="37" t="s">
        <v>4168</v>
      </c>
      <c r="G137" s="37" t="s">
        <v>4169</v>
      </c>
      <c r="H137" s="37" t="s">
        <v>3459</v>
      </c>
      <c r="I137" s="37" t="s">
        <v>4170</v>
      </c>
      <c r="J137" s="37" t="s">
        <v>4171</v>
      </c>
    </row>
    <row r="138" spans="1:10">
      <c r="A138" s="32"/>
      <c r="B138" s="29"/>
      <c r="C138" s="37" t="s">
        <v>4274</v>
      </c>
      <c r="D138" s="37" t="s">
        <v>4172</v>
      </c>
      <c r="E138" s="56" t="s">
        <v>2639</v>
      </c>
      <c r="F138" s="37" t="s">
        <v>4173</v>
      </c>
      <c r="G138" s="37" t="s">
        <v>4174</v>
      </c>
      <c r="H138" s="37" t="s">
        <v>3459</v>
      </c>
      <c r="I138" s="37" t="s">
        <v>4175</v>
      </c>
      <c r="J138" s="37" t="s">
        <v>4176</v>
      </c>
    </row>
    <row r="139" spans="1:10">
      <c r="A139" s="32"/>
      <c r="B139" s="29"/>
      <c r="C139" s="37" t="s">
        <v>4275</v>
      </c>
      <c r="D139" s="37" t="s">
        <v>4177</v>
      </c>
      <c r="E139" s="56" t="s">
        <v>2639</v>
      </c>
      <c r="F139" s="37" t="s">
        <v>4178</v>
      </c>
      <c r="G139" s="37" t="s">
        <v>4179</v>
      </c>
      <c r="H139" s="37" t="s">
        <v>3459</v>
      </c>
      <c r="I139" s="37" t="s">
        <v>4180</v>
      </c>
      <c r="J139" s="37" t="s">
        <v>4181</v>
      </c>
    </row>
    <row r="140" spans="1:10">
      <c r="A140" s="32"/>
      <c r="B140" s="29"/>
      <c r="C140" s="37" t="s">
        <v>4276</v>
      </c>
      <c r="D140" s="37" t="s">
        <v>4182</v>
      </c>
      <c r="E140" s="56" t="s">
        <v>2639</v>
      </c>
      <c r="F140" s="37" t="s">
        <v>4183</v>
      </c>
      <c r="G140" s="37" t="s">
        <v>4184</v>
      </c>
      <c r="H140" s="37" t="s">
        <v>3459</v>
      </c>
      <c r="I140" s="37" t="s">
        <v>4185</v>
      </c>
      <c r="J140" s="37" t="s">
        <v>4186</v>
      </c>
    </row>
    <row r="141" spans="1:10">
      <c r="A141" s="32"/>
      <c r="B141" s="30"/>
      <c r="C141" s="37" t="s">
        <v>4277</v>
      </c>
      <c r="D141" s="37" t="s">
        <v>4187</v>
      </c>
      <c r="E141" s="56" t="s">
        <v>2639</v>
      </c>
      <c r="F141" s="37" t="s">
        <v>4188</v>
      </c>
      <c r="G141" s="37" t="s">
        <v>4189</v>
      </c>
      <c r="H141" s="37" t="s">
        <v>3453</v>
      </c>
      <c r="I141" s="37" t="s">
        <v>4190</v>
      </c>
      <c r="J141" s="37" t="s">
        <v>4191</v>
      </c>
    </row>
    <row r="142" spans="1:10" ht="15" customHeight="1">
      <c r="A142" s="32"/>
      <c r="B142" s="28" t="s">
        <v>2798</v>
      </c>
      <c r="C142" s="37" t="s">
        <v>4278</v>
      </c>
      <c r="D142" s="37" t="s">
        <v>4192</v>
      </c>
      <c r="E142" s="56" t="s">
        <v>2639</v>
      </c>
      <c r="F142" s="37" t="s">
        <v>4193</v>
      </c>
      <c r="G142" s="37" t="s">
        <v>4194</v>
      </c>
      <c r="H142" s="37" t="s">
        <v>3459</v>
      </c>
      <c r="I142" s="37" t="s">
        <v>4195</v>
      </c>
      <c r="J142" s="37" t="s">
        <v>4196</v>
      </c>
    </row>
    <row r="143" spans="1:10">
      <c r="A143" s="32"/>
      <c r="B143" s="29"/>
      <c r="C143" s="37" t="s">
        <v>4279</v>
      </c>
      <c r="D143" s="37" t="s">
        <v>4197</v>
      </c>
      <c r="E143" s="56" t="s">
        <v>2639</v>
      </c>
      <c r="F143" s="37" t="s">
        <v>4198</v>
      </c>
      <c r="G143" s="37" t="s">
        <v>4199</v>
      </c>
      <c r="H143" s="37" t="s">
        <v>3459</v>
      </c>
      <c r="I143" s="37" t="s">
        <v>4200</v>
      </c>
      <c r="J143" s="37" t="s">
        <v>4201</v>
      </c>
    </row>
    <row r="144" spans="1:10">
      <c r="A144" s="32"/>
      <c r="B144" s="29"/>
      <c r="C144" s="37" t="s">
        <v>4280</v>
      </c>
      <c r="D144" s="37" t="s">
        <v>4202</v>
      </c>
      <c r="E144" s="56" t="s">
        <v>2639</v>
      </c>
      <c r="F144" s="37" t="s">
        <v>4203</v>
      </c>
      <c r="G144" s="37" t="s">
        <v>4204</v>
      </c>
      <c r="H144" s="37" t="s">
        <v>3459</v>
      </c>
      <c r="I144" s="37" t="s">
        <v>4205</v>
      </c>
      <c r="J144" s="37" t="s">
        <v>4206</v>
      </c>
    </row>
    <row r="145" spans="1:10">
      <c r="A145" s="32"/>
      <c r="B145" s="29"/>
      <c r="C145" s="37" t="s">
        <v>4281</v>
      </c>
      <c r="D145" s="37" t="s">
        <v>4207</v>
      </c>
      <c r="E145" s="56" t="s">
        <v>2639</v>
      </c>
      <c r="F145" s="37" t="s">
        <v>4208</v>
      </c>
      <c r="G145" s="37" t="s">
        <v>4209</v>
      </c>
      <c r="H145" s="37" t="s">
        <v>3459</v>
      </c>
      <c r="I145" s="37" t="s">
        <v>4210</v>
      </c>
      <c r="J145" s="37" t="s">
        <v>4211</v>
      </c>
    </row>
    <row r="146" spans="1:10">
      <c r="A146" s="32"/>
      <c r="B146" s="30"/>
      <c r="C146" s="37" t="s">
        <v>4282</v>
      </c>
      <c r="D146" s="37" t="s">
        <v>4212</v>
      </c>
      <c r="E146" s="56" t="s">
        <v>2639</v>
      </c>
      <c r="F146" s="37" t="s">
        <v>4213</v>
      </c>
      <c r="G146" s="37" t="s">
        <v>4214</v>
      </c>
      <c r="H146" s="37" t="s">
        <v>3459</v>
      </c>
      <c r="I146" s="37" t="s">
        <v>4215</v>
      </c>
      <c r="J146" s="37" t="s">
        <v>4216</v>
      </c>
    </row>
    <row r="147" spans="1:10" ht="15" customHeight="1">
      <c r="A147" s="32"/>
      <c r="B147" s="28" t="s">
        <v>2799</v>
      </c>
      <c r="C147" s="37" t="s">
        <v>4283</v>
      </c>
      <c r="D147" s="37" t="s">
        <v>4217</v>
      </c>
      <c r="E147" s="56" t="s">
        <v>2639</v>
      </c>
      <c r="F147" s="37" t="s">
        <v>4218</v>
      </c>
      <c r="G147" s="37" t="s">
        <v>4219</v>
      </c>
      <c r="H147" s="37" t="s">
        <v>3459</v>
      </c>
      <c r="I147" s="37" t="s">
        <v>4220</v>
      </c>
      <c r="J147" s="37" t="s">
        <v>4221</v>
      </c>
    </row>
    <row r="148" spans="1:10">
      <c r="A148" s="32"/>
      <c r="B148" s="29"/>
      <c r="C148" s="37" t="s">
        <v>4284</v>
      </c>
      <c r="D148" s="37" t="s">
        <v>4222</v>
      </c>
      <c r="E148" s="56" t="s">
        <v>2639</v>
      </c>
      <c r="F148" s="37" t="s">
        <v>4223</v>
      </c>
      <c r="G148" s="37" t="s">
        <v>4224</v>
      </c>
      <c r="H148" s="37" t="s">
        <v>3459</v>
      </c>
      <c r="I148" s="37" t="s">
        <v>4225</v>
      </c>
      <c r="J148" s="37" t="s">
        <v>4226</v>
      </c>
    </row>
    <row r="149" spans="1:10">
      <c r="A149" s="32"/>
      <c r="B149" s="29"/>
      <c r="C149" s="37" t="s">
        <v>4285</v>
      </c>
      <c r="D149" s="37" t="s">
        <v>4227</v>
      </c>
      <c r="E149" s="56" t="s">
        <v>2639</v>
      </c>
      <c r="F149" s="37" t="s">
        <v>4228</v>
      </c>
      <c r="G149" s="37" t="s">
        <v>4229</v>
      </c>
      <c r="H149" s="37" t="s">
        <v>3459</v>
      </c>
      <c r="I149" s="37" t="s">
        <v>4230</v>
      </c>
      <c r="J149" s="37" t="s">
        <v>4231</v>
      </c>
    </row>
    <row r="150" spans="1:10">
      <c r="A150" s="32"/>
      <c r="B150" s="29"/>
      <c r="C150" s="37" t="s">
        <v>4286</v>
      </c>
      <c r="D150" s="37" t="s">
        <v>4232</v>
      </c>
      <c r="E150" s="56" t="s">
        <v>2639</v>
      </c>
      <c r="F150" s="37" t="s">
        <v>4233</v>
      </c>
      <c r="G150" s="37" t="s">
        <v>4234</v>
      </c>
      <c r="H150" s="37" t="s">
        <v>3459</v>
      </c>
      <c r="I150" s="37" t="s">
        <v>4235</v>
      </c>
      <c r="J150" s="37" t="s">
        <v>4236</v>
      </c>
    </row>
    <row r="151" spans="1:10">
      <c r="A151" s="33"/>
      <c r="B151" s="30"/>
      <c r="C151" s="37" t="s">
        <v>4287</v>
      </c>
      <c r="D151" s="37" t="s">
        <v>4237</v>
      </c>
      <c r="E151" s="56" t="s">
        <v>2639</v>
      </c>
      <c r="F151" s="37" t="s">
        <v>4238</v>
      </c>
      <c r="G151" s="37" t="s">
        <v>4239</v>
      </c>
      <c r="H151" s="37" t="s">
        <v>3459</v>
      </c>
      <c r="I151" s="37" t="s">
        <v>4240</v>
      </c>
      <c r="J151" s="37" t="s">
        <v>4241</v>
      </c>
    </row>
    <row r="152" spans="1:10" ht="15" customHeight="1">
      <c r="A152" s="31" t="s">
        <v>2800</v>
      </c>
      <c r="B152" s="28" t="s">
        <v>2801</v>
      </c>
      <c r="C152" s="37" t="s">
        <v>4489</v>
      </c>
      <c r="D152" s="37" t="s">
        <v>4288</v>
      </c>
      <c r="E152" s="56" t="s">
        <v>2681</v>
      </c>
      <c r="F152" s="37" t="s">
        <v>4289</v>
      </c>
      <c r="G152" s="37" t="s">
        <v>4290</v>
      </c>
      <c r="H152" s="37" t="s">
        <v>3453</v>
      </c>
      <c r="I152" s="37" t="s">
        <v>4291</v>
      </c>
      <c r="J152" s="37" t="s">
        <v>4292</v>
      </c>
    </row>
    <row r="153" spans="1:10">
      <c r="A153" s="32"/>
      <c r="B153" s="29"/>
      <c r="C153" s="37" t="s">
        <v>4490</v>
      </c>
      <c r="D153" s="37" t="s">
        <v>4293</v>
      </c>
      <c r="E153" s="56" t="s">
        <v>2681</v>
      </c>
      <c r="F153" s="37" t="s">
        <v>3661</v>
      </c>
      <c r="G153" s="37" t="s">
        <v>4294</v>
      </c>
      <c r="H153" s="37" t="s">
        <v>3459</v>
      </c>
      <c r="I153" s="37" t="s">
        <v>4295</v>
      </c>
      <c r="J153" s="37" t="s">
        <v>4296</v>
      </c>
    </row>
    <row r="154" spans="1:10">
      <c r="A154" s="32"/>
      <c r="B154" s="29"/>
      <c r="C154" s="37" t="s">
        <v>4491</v>
      </c>
      <c r="D154" s="37" t="s">
        <v>4297</v>
      </c>
      <c r="E154" s="56" t="s">
        <v>2639</v>
      </c>
      <c r="F154" s="37" t="s">
        <v>2244</v>
      </c>
      <c r="G154" s="37" t="s">
        <v>2996</v>
      </c>
      <c r="H154" s="37" t="s">
        <v>3459</v>
      </c>
      <c r="I154" s="37" t="s">
        <v>4298</v>
      </c>
      <c r="J154" s="37" t="s">
        <v>4299</v>
      </c>
    </row>
    <row r="155" spans="1:10">
      <c r="A155" s="32"/>
      <c r="B155" s="29"/>
      <c r="C155" s="37" t="s">
        <v>3577</v>
      </c>
      <c r="D155" s="37" t="s">
        <v>4300</v>
      </c>
      <c r="E155" s="56" t="s">
        <v>2639</v>
      </c>
      <c r="F155" s="37" t="s">
        <v>4301</v>
      </c>
      <c r="G155" s="37" t="s">
        <v>4302</v>
      </c>
      <c r="H155" s="37" t="s">
        <v>3581</v>
      </c>
      <c r="I155" s="37" t="s">
        <v>4303</v>
      </c>
      <c r="J155" s="37" t="s">
        <v>4304</v>
      </c>
    </row>
    <row r="156" spans="1:10">
      <c r="A156" s="32"/>
      <c r="B156" s="30"/>
      <c r="C156" s="37" t="s">
        <v>4492</v>
      </c>
      <c r="D156" s="37" t="s">
        <v>4305</v>
      </c>
      <c r="E156" s="56" t="s">
        <v>2681</v>
      </c>
      <c r="F156" s="37" t="s">
        <v>3410</v>
      </c>
      <c r="G156" s="37" t="s">
        <v>4306</v>
      </c>
      <c r="H156" s="37" t="s">
        <v>3459</v>
      </c>
      <c r="I156" s="37" t="s">
        <v>4307</v>
      </c>
      <c r="J156" s="37" t="s">
        <v>4308</v>
      </c>
    </row>
    <row r="157" spans="1:10">
      <c r="A157" s="32"/>
      <c r="B157" s="28" t="s">
        <v>2802</v>
      </c>
      <c r="C157" s="37" t="s">
        <v>4493</v>
      </c>
      <c r="D157" s="37" t="s">
        <v>4309</v>
      </c>
      <c r="E157" s="56" t="s">
        <v>2681</v>
      </c>
      <c r="F157" s="37" t="s">
        <v>4310</v>
      </c>
      <c r="G157" s="37" t="s">
        <v>4311</v>
      </c>
      <c r="H157" s="37" t="s">
        <v>3453</v>
      </c>
      <c r="I157" s="37" t="s">
        <v>2226</v>
      </c>
      <c r="J157" s="37" t="s">
        <v>4312</v>
      </c>
    </row>
    <row r="158" spans="1:10">
      <c r="A158" s="32"/>
      <c r="B158" s="29"/>
      <c r="C158" s="37" t="s">
        <v>4494</v>
      </c>
      <c r="D158" s="37" t="s">
        <v>4313</v>
      </c>
      <c r="E158" s="56" t="s">
        <v>2681</v>
      </c>
      <c r="F158" s="37" t="s">
        <v>2906</v>
      </c>
      <c r="G158" s="37" t="s">
        <v>4314</v>
      </c>
      <c r="H158" s="37" t="s">
        <v>3453</v>
      </c>
      <c r="I158" s="37" t="s">
        <v>4315</v>
      </c>
      <c r="J158" s="37" t="s">
        <v>4316</v>
      </c>
    </row>
    <row r="159" spans="1:10">
      <c r="A159" s="32"/>
      <c r="B159" s="29"/>
      <c r="C159" s="37" t="s">
        <v>4495</v>
      </c>
      <c r="D159" s="37" t="s">
        <v>4317</v>
      </c>
      <c r="E159" s="56" t="s">
        <v>2681</v>
      </c>
      <c r="F159" s="37" t="s">
        <v>4318</v>
      </c>
      <c r="G159" s="37" t="s">
        <v>4319</v>
      </c>
      <c r="H159" s="37" t="s">
        <v>3459</v>
      </c>
      <c r="I159" s="37" t="s">
        <v>4320</v>
      </c>
      <c r="J159" s="37" t="s">
        <v>4321</v>
      </c>
    </row>
    <row r="160" spans="1:10">
      <c r="A160" s="32"/>
      <c r="B160" s="29"/>
      <c r="C160" s="37" t="s">
        <v>4496</v>
      </c>
      <c r="D160" s="37" t="s">
        <v>4322</v>
      </c>
      <c r="E160" s="56" t="s">
        <v>2681</v>
      </c>
      <c r="F160" s="37" t="s">
        <v>3130</v>
      </c>
      <c r="G160" s="37" t="s">
        <v>4323</v>
      </c>
      <c r="H160" s="37" t="s">
        <v>3453</v>
      </c>
      <c r="I160" s="37" t="s">
        <v>4324</v>
      </c>
      <c r="J160" s="37" t="s">
        <v>4325</v>
      </c>
    </row>
    <row r="161" spans="1:10">
      <c r="A161" s="32"/>
      <c r="B161" s="30"/>
      <c r="C161" s="37" t="s">
        <v>4497</v>
      </c>
      <c r="D161" s="37" t="s">
        <v>4326</v>
      </c>
      <c r="E161" s="56" t="s">
        <v>2681</v>
      </c>
      <c r="F161" s="37" t="s">
        <v>4327</v>
      </c>
      <c r="G161" s="37" t="s">
        <v>4328</v>
      </c>
      <c r="H161" s="37" t="s">
        <v>3459</v>
      </c>
      <c r="I161" s="37" t="s">
        <v>4329</v>
      </c>
      <c r="J161" s="37" t="s">
        <v>4330</v>
      </c>
    </row>
    <row r="162" spans="1:10">
      <c r="A162" s="32"/>
      <c r="B162" s="28" t="s">
        <v>2803</v>
      </c>
      <c r="C162" s="37" t="s">
        <v>1381</v>
      </c>
      <c r="D162" s="37" t="s">
        <v>4331</v>
      </c>
      <c r="E162" s="56" t="s">
        <v>2681</v>
      </c>
      <c r="F162" s="37" t="s">
        <v>4332</v>
      </c>
      <c r="G162" s="37" t="s">
        <v>4333</v>
      </c>
      <c r="H162" s="37" t="s">
        <v>3453</v>
      </c>
      <c r="I162" s="37" t="s">
        <v>4334</v>
      </c>
      <c r="J162" s="37" t="s">
        <v>4335</v>
      </c>
    </row>
    <row r="163" spans="1:10">
      <c r="A163" s="32"/>
      <c r="B163" s="29"/>
      <c r="C163" s="37" t="s">
        <v>4498</v>
      </c>
      <c r="D163" s="37" t="s">
        <v>4336</v>
      </c>
      <c r="E163" s="56" t="s">
        <v>2681</v>
      </c>
      <c r="F163" s="37" t="s">
        <v>3564</v>
      </c>
      <c r="G163" s="37" t="s">
        <v>4337</v>
      </c>
      <c r="H163" s="37" t="s">
        <v>3459</v>
      </c>
      <c r="I163" s="37" t="s">
        <v>4338</v>
      </c>
      <c r="J163" s="37" t="s">
        <v>4339</v>
      </c>
    </row>
    <row r="164" spans="1:10">
      <c r="A164" s="32"/>
      <c r="B164" s="29"/>
      <c r="C164" s="37" t="s">
        <v>4499</v>
      </c>
      <c r="D164" s="37" t="s">
        <v>4340</v>
      </c>
      <c r="E164" s="56" t="s">
        <v>2681</v>
      </c>
      <c r="F164" s="37" t="s">
        <v>4341</v>
      </c>
      <c r="G164" s="37" t="s">
        <v>2642</v>
      </c>
      <c r="H164" s="37" t="s">
        <v>3459</v>
      </c>
      <c r="I164" s="37" t="s">
        <v>4342</v>
      </c>
      <c r="J164" s="37" t="s">
        <v>4343</v>
      </c>
    </row>
    <row r="165" spans="1:10">
      <c r="A165" s="32"/>
      <c r="B165" s="29"/>
      <c r="C165" s="37" t="s">
        <v>4500</v>
      </c>
      <c r="D165" s="37" t="s">
        <v>4344</v>
      </c>
      <c r="E165" s="56" t="s">
        <v>2681</v>
      </c>
      <c r="F165" s="37" t="s">
        <v>4345</v>
      </c>
      <c r="G165" s="37" t="s">
        <v>2563</v>
      </c>
      <c r="H165" s="37" t="s">
        <v>3459</v>
      </c>
      <c r="I165" s="37" t="s">
        <v>4346</v>
      </c>
      <c r="J165" s="37" t="s">
        <v>4347</v>
      </c>
    </row>
    <row r="166" spans="1:10">
      <c r="A166" s="32"/>
      <c r="B166" s="30"/>
      <c r="C166" s="37" t="s">
        <v>4501</v>
      </c>
      <c r="D166" s="37" t="s">
        <v>4348</v>
      </c>
      <c r="E166" s="56" t="s">
        <v>2681</v>
      </c>
      <c r="F166" s="37" t="s">
        <v>4349</v>
      </c>
      <c r="G166" s="37" t="s">
        <v>4350</v>
      </c>
      <c r="H166" s="37" t="s">
        <v>3453</v>
      </c>
      <c r="I166" s="37" t="s">
        <v>4351</v>
      </c>
      <c r="J166" s="37" t="s">
        <v>4352</v>
      </c>
    </row>
    <row r="167" spans="1:10">
      <c r="A167" s="32"/>
      <c r="B167" s="28" t="s">
        <v>2804</v>
      </c>
      <c r="C167" s="37" t="s">
        <v>4502</v>
      </c>
      <c r="D167" s="37" t="s">
        <v>4353</v>
      </c>
      <c r="E167" s="56" t="s">
        <v>2681</v>
      </c>
      <c r="F167" s="37" t="s">
        <v>4354</v>
      </c>
      <c r="G167" s="37" t="s">
        <v>4355</v>
      </c>
      <c r="H167" s="37" t="s">
        <v>3453</v>
      </c>
      <c r="I167" s="37" t="s">
        <v>3269</v>
      </c>
      <c r="J167" s="37" t="s">
        <v>4356</v>
      </c>
    </row>
    <row r="168" spans="1:10">
      <c r="A168" s="32"/>
      <c r="B168" s="29"/>
      <c r="C168" s="37" t="s">
        <v>4503</v>
      </c>
      <c r="D168" s="37" t="s">
        <v>4357</v>
      </c>
      <c r="E168" s="56" t="s">
        <v>2681</v>
      </c>
      <c r="F168" s="37" t="s">
        <v>4358</v>
      </c>
      <c r="G168" s="37" t="s">
        <v>3598</v>
      </c>
      <c r="H168" s="37" t="s">
        <v>3453</v>
      </c>
      <c r="I168" s="37" t="s">
        <v>4359</v>
      </c>
      <c r="J168" s="37" t="s">
        <v>4360</v>
      </c>
    </row>
    <row r="169" spans="1:10">
      <c r="A169" s="32"/>
      <c r="B169" s="29"/>
      <c r="C169" s="37" t="s">
        <v>2826</v>
      </c>
      <c r="D169" s="37" t="s">
        <v>4361</v>
      </c>
      <c r="E169" s="56" t="s">
        <v>2681</v>
      </c>
      <c r="F169" s="37" t="s">
        <v>4362</v>
      </c>
      <c r="G169" s="37" t="s">
        <v>4363</v>
      </c>
      <c r="H169" s="37" t="s">
        <v>3459</v>
      </c>
      <c r="I169" s="37" t="s">
        <v>4364</v>
      </c>
      <c r="J169" s="37" t="s">
        <v>4365</v>
      </c>
    </row>
    <row r="170" spans="1:10">
      <c r="A170" s="32"/>
      <c r="B170" s="29"/>
      <c r="C170" s="37" t="s">
        <v>4504</v>
      </c>
      <c r="D170" s="37" t="s">
        <v>4366</v>
      </c>
      <c r="E170" s="56" t="s">
        <v>2681</v>
      </c>
      <c r="F170" s="37" t="s">
        <v>4367</v>
      </c>
      <c r="G170" s="37" t="s">
        <v>4368</v>
      </c>
      <c r="H170" s="37" t="s">
        <v>3459</v>
      </c>
      <c r="I170" s="37" t="s">
        <v>4369</v>
      </c>
      <c r="J170" s="37" t="s">
        <v>4370</v>
      </c>
    </row>
    <row r="171" spans="1:10">
      <c r="A171" s="32"/>
      <c r="B171" s="30"/>
      <c r="C171" s="37" t="s">
        <v>4505</v>
      </c>
      <c r="D171" s="37" t="s">
        <v>4371</v>
      </c>
      <c r="E171" s="56" t="s">
        <v>2681</v>
      </c>
      <c r="F171" s="37" t="s">
        <v>4372</v>
      </c>
      <c r="G171" s="37" t="s">
        <v>4066</v>
      </c>
      <c r="H171" s="37" t="s">
        <v>3459</v>
      </c>
      <c r="I171" s="37" t="s">
        <v>4373</v>
      </c>
      <c r="J171" s="37" t="s">
        <v>4374</v>
      </c>
    </row>
    <row r="172" spans="1:10" ht="15" customHeight="1">
      <c r="A172" s="32"/>
      <c r="B172" s="28" t="s">
        <v>2805</v>
      </c>
      <c r="C172" s="37" t="s">
        <v>4506</v>
      </c>
      <c r="D172" s="37" t="s">
        <v>4375</v>
      </c>
      <c r="E172" s="56" t="s">
        <v>2681</v>
      </c>
      <c r="F172" s="37" t="s">
        <v>4376</v>
      </c>
      <c r="G172" s="37" t="s">
        <v>4377</v>
      </c>
      <c r="H172" s="37" t="s">
        <v>3453</v>
      </c>
      <c r="I172" s="37" t="s">
        <v>4378</v>
      </c>
      <c r="J172" s="37" t="s">
        <v>4379</v>
      </c>
    </row>
    <row r="173" spans="1:10">
      <c r="A173" s="32"/>
      <c r="B173" s="29"/>
      <c r="C173" s="37" t="s">
        <v>4507</v>
      </c>
      <c r="D173" s="37" t="s">
        <v>4380</v>
      </c>
      <c r="E173" s="56" t="s">
        <v>2681</v>
      </c>
      <c r="F173" s="37" t="s">
        <v>4381</v>
      </c>
      <c r="G173" s="37" t="s">
        <v>4382</v>
      </c>
      <c r="H173" s="37" t="s">
        <v>3453</v>
      </c>
      <c r="I173" s="37" t="s">
        <v>4383</v>
      </c>
      <c r="J173" s="37" t="s">
        <v>4384</v>
      </c>
    </row>
    <row r="174" spans="1:10">
      <c r="A174" s="32"/>
      <c r="B174" s="29"/>
      <c r="C174" s="37" t="s">
        <v>4508</v>
      </c>
      <c r="D174" s="37" t="s">
        <v>4385</v>
      </c>
      <c r="E174" s="56" t="s">
        <v>2681</v>
      </c>
      <c r="F174" s="37" t="s">
        <v>4386</v>
      </c>
      <c r="G174" s="37" t="s">
        <v>4387</v>
      </c>
      <c r="H174" s="37" t="s">
        <v>3459</v>
      </c>
      <c r="I174" s="37" t="s">
        <v>4388</v>
      </c>
      <c r="J174" s="37" t="s">
        <v>4389</v>
      </c>
    </row>
    <row r="175" spans="1:10">
      <c r="A175" s="32"/>
      <c r="B175" s="29"/>
      <c r="C175" s="37" t="s">
        <v>4509</v>
      </c>
      <c r="D175" s="37" t="s">
        <v>4390</v>
      </c>
      <c r="E175" s="56" t="s">
        <v>2681</v>
      </c>
      <c r="F175" s="37" t="s">
        <v>4208</v>
      </c>
      <c r="G175" s="37" t="s">
        <v>4391</v>
      </c>
      <c r="H175" s="37" t="s">
        <v>3459</v>
      </c>
      <c r="I175" s="37" t="s">
        <v>4392</v>
      </c>
      <c r="J175" s="37" t="s">
        <v>4393</v>
      </c>
    </row>
    <row r="176" spans="1:10">
      <c r="A176" s="32"/>
      <c r="B176" s="30"/>
      <c r="C176" s="37" t="s">
        <v>4510</v>
      </c>
      <c r="D176" s="37" t="s">
        <v>4394</v>
      </c>
      <c r="E176" s="56" t="s">
        <v>2681</v>
      </c>
      <c r="F176" s="37" t="s">
        <v>4395</v>
      </c>
      <c r="G176" s="37" t="s">
        <v>4396</v>
      </c>
      <c r="H176" s="37" t="s">
        <v>3581</v>
      </c>
      <c r="I176" s="37" t="s">
        <v>4397</v>
      </c>
      <c r="J176" s="37" t="s">
        <v>4398</v>
      </c>
    </row>
    <row r="177" spans="1:10">
      <c r="A177" s="32"/>
      <c r="B177" s="28" t="s">
        <v>2806</v>
      </c>
      <c r="C177" s="37" t="s">
        <v>4511</v>
      </c>
      <c r="D177" s="37" t="s">
        <v>4399</v>
      </c>
      <c r="E177" s="56" t="s">
        <v>2681</v>
      </c>
      <c r="F177" s="37" t="s">
        <v>3182</v>
      </c>
      <c r="G177" s="37" t="s">
        <v>4400</v>
      </c>
      <c r="H177" s="37" t="s">
        <v>3453</v>
      </c>
      <c r="I177" s="37" t="s">
        <v>4401</v>
      </c>
      <c r="J177" s="37" t="s">
        <v>4402</v>
      </c>
    </row>
    <row r="178" spans="1:10">
      <c r="A178" s="32"/>
      <c r="B178" s="29"/>
      <c r="C178" s="37" t="s">
        <v>4512</v>
      </c>
      <c r="D178" s="37" t="s">
        <v>4403</v>
      </c>
      <c r="E178" s="56" t="s">
        <v>2681</v>
      </c>
      <c r="F178" s="37" t="s">
        <v>4404</v>
      </c>
      <c r="G178" s="37" t="s">
        <v>4405</v>
      </c>
      <c r="H178" s="37" t="s">
        <v>3453</v>
      </c>
      <c r="I178" s="37" t="s">
        <v>4406</v>
      </c>
      <c r="J178" s="37" t="s">
        <v>4407</v>
      </c>
    </row>
    <row r="179" spans="1:10">
      <c r="A179" s="32"/>
      <c r="B179" s="29"/>
      <c r="C179" s="37" t="s">
        <v>4513</v>
      </c>
      <c r="D179" s="37" t="s">
        <v>4408</v>
      </c>
      <c r="E179" s="56" t="s">
        <v>2681</v>
      </c>
      <c r="F179" s="37" t="s">
        <v>4409</v>
      </c>
      <c r="G179" s="37" t="s">
        <v>4410</v>
      </c>
      <c r="H179" s="37" t="s">
        <v>3459</v>
      </c>
      <c r="I179" s="37" t="s">
        <v>4411</v>
      </c>
      <c r="J179" s="37" t="s">
        <v>4412</v>
      </c>
    </row>
    <row r="180" spans="1:10">
      <c r="A180" s="32"/>
      <c r="B180" s="29"/>
      <c r="C180" s="37" t="s">
        <v>4514</v>
      </c>
      <c r="D180" s="37" t="s">
        <v>4413</v>
      </c>
      <c r="E180" s="56" t="s">
        <v>2681</v>
      </c>
      <c r="F180" s="37" t="s">
        <v>4414</v>
      </c>
      <c r="G180" s="37" t="s">
        <v>4415</v>
      </c>
      <c r="H180" s="37" t="s">
        <v>3453</v>
      </c>
      <c r="I180" s="37" t="s">
        <v>4416</v>
      </c>
      <c r="J180" s="37" t="s">
        <v>4417</v>
      </c>
    </row>
    <row r="181" spans="1:10">
      <c r="A181" s="32"/>
      <c r="B181" s="30"/>
      <c r="C181" s="37" t="s">
        <v>4515</v>
      </c>
      <c r="D181" s="37" t="s">
        <v>4418</v>
      </c>
      <c r="E181" s="56" t="s">
        <v>2681</v>
      </c>
      <c r="F181" s="37" t="s">
        <v>4419</v>
      </c>
      <c r="G181" s="37" t="s">
        <v>4420</v>
      </c>
      <c r="H181" s="37" t="s">
        <v>3459</v>
      </c>
      <c r="I181" s="37" t="s">
        <v>4421</v>
      </c>
      <c r="J181" s="37" t="s">
        <v>4422</v>
      </c>
    </row>
    <row r="182" spans="1:10">
      <c r="A182" s="32"/>
      <c r="B182" s="28" t="s">
        <v>2807</v>
      </c>
      <c r="C182" s="37" t="s">
        <v>2653</v>
      </c>
      <c r="D182" s="37" t="s">
        <v>4423</v>
      </c>
      <c r="E182" s="56" t="s">
        <v>2681</v>
      </c>
      <c r="F182" s="37" t="s">
        <v>4424</v>
      </c>
      <c r="G182" s="37" t="s">
        <v>2487</v>
      </c>
      <c r="H182" s="37" t="s">
        <v>3453</v>
      </c>
      <c r="I182" s="37" t="s">
        <v>2496</v>
      </c>
      <c r="J182" s="37" t="s">
        <v>4425</v>
      </c>
    </row>
    <row r="183" spans="1:10">
      <c r="A183" s="32"/>
      <c r="B183" s="29"/>
      <c r="C183" s="37" t="s">
        <v>4516</v>
      </c>
      <c r="D183" s="37" t="s">
        <v>4426</v>
      </c>
      <c r="E183" s="56" t="s">
        <v>2690</v>
      </c>
      <c r="F183" s="37" t="s">
        <v>4427</v>
      </c>
      <c r="G183" s="37" t="s">
        <v>4428</v>
      </c>
      <c r="H183" s="37" t="s">
        <v>3459</v>
      </c>
      <c r="I183" s="37" t="s">
        <v>4429</v>
      </c>
      <c r="J183" s="37" t="s">
        <v>4430</v>
      </c>
    </row>
    <row r="184" spans="1:10">
      <c r="A184" s="32"/>
      <c r="B184" s="29"/>
      <c r="C184" s="37" t="s">
        <v>4517</v>
      </c>
      <c r="D184" s="37" t="s">
        <v>4431</v>
      </c>
      <c r="E184" s="56" t="s">
        <v>2681</v>
      </c>
      <c r="F184" s="37" t="s">
        <v>2742</v>
      </c>
      <c r="G184" s="37" t="s">
        <v>4432</v>
      </c>
      <c r="H184" s="37" t="s">
        <v>3453</v>
      </c>
      <c r="I184" s="37" t="s">
        <v>2508</v>
      </c>
      <c r="J184" s="37" t="s">
        <v>4433</v>
      </c>
    </row>
    <row r="185" spans="1:10">
      <c r="A185" s="32"/>
      <c r="B185" s="29"/>
      <c r="C185" s="37" t="s">
        <v>4518</v>
      </c>
      <c r="D185" s="37" t="s">
        <v>4434</v>
      </c>
      <c r="E185" s="56" t="s">
        <v>2681</v>
      </c>
      <c r="F185" s="37" t="s">
        <v>4435</v>
      </c>
      <c r="G185" s="37" t="s">
        <v>4436</v>
      </c>
      <c r="H185" s="37" t="s">
        <v>3453</v>
      </c>
      <c r="I185" s="37" t="s">
        <v>4437</v>
      </c>
      <c r="J185" s="37" t="s">
        <v>4438</v>
      </c>
    </row>
    <row r="186" spans="1:10">
      <c r="A186" s="32"/>
      <c r="B186" s="30"/>
      <c r="C186" s="37" t="s">
        <v>4519</v>
      </c>
      <c r="D186" s="37" t="s">
        <v>4439</v>
      </c>
      <c r="E186" s="56" t="s">
        <v>2681</v>
      </c>
      <c r="F186" s="37" t="s">
        <v>2959</v>
      </c>
      <c r="G186" s="37" t="s">
        <v>4440</v>
      </c>
      <c r="H186" s="37" t="s">
        <v>3459</v>
      </c>
      <c r="I186" s="37" t="s">
        <v>4441</v>
      </c>
      <c r="J186" s="37" t="s">
        <v>4442</v>
      </c>
    </row>
    <row r="187" spans="1:10">
      <c r="A187" s="32"/>
      <c r="B187" s="28" t="s">
        <v>2808</v>
      </c>
      <c r="C187" s="37" t="s">
        <v>4520</v>
      </c>
      <c r="D187" s="37" t="s">
        <v>4443</v>
      </c>
      <c r="E187" s="56" t="s">
        <v>2681</v>
      </c>
      <c r="F187" s="37" t="s">
        <v>4444</v>
      </c>
      <c r="G187" s="37" t="s">
        <v>4445</v>
      </c>
      <c r="H187" s="37" t="s">
        <v>3459</v>
      </c>
      <c r="I187" s="37" t="s">
        <v>4446</v>
      </c>
      <c r="J187" s="37" t="s">
        <v>4447</v>
      </c>
    </row>
    <row r="188" spans="1:10">
      <c r="A188" s="32"/>
      <c r="B188" s="29"/>
      <c r="C188" s="37" t="s">
        <v>4521</v>
      </c>
      <c r="D188" s="37" t="s">
        <v>4448</v>
      </c>
      <c r="E188" s="56" t="s">
        <v>2681</v>
      </c>
      <c r="F188" s="37" t="s">
        <v>4449</v>
      </c>
      <c r="G188" s="37" t="s">
        <v>4450</v>
      </c>
      <c r="H188" s="37" t="s">
        <v>3581</v>
      </c>
      <c r="I188" s="37" t="s">
        <v>4451</v>
      </c>
      <c r="J188" s="37" t="s">
        <v>4452</v>
      </c>
    </row>
    <row r="189" spans="1:10">
      <c r="A189" s="32"/>
      <c r="B189" s="29"/>
      <c r="C189" s="37" t="s">
        <v>4522</v>
      </c>
      <c r="D189" s="37" t="s">
        <v>4453</v>
      </c>
      <c r="E189" s="56" t="s">
        <v>2681</v>
      </c>
      <c r="F189" s="37" t="s">
        <v>4454</v>
      </c>
      <c r="G189" s="37" t="s">
        <v>4455</v>
      </c>
      <c r="H189" s="37" t="s">
        <v>3459</v>
      </c>
      <c r="I189" s="37" t="s">
        <v>4456</v>
      </c>
      <c r="J189" s="37" t="s">
        <v>4457</v>
      </c>
    </row>
    <row r="190" spans="1:10">
      <c r="A190" s="32"/>
      <c r="B190" s="29"/>
      <c r="C190" s="37" t="s">
        <v>4523</v>
      </c>
      <c r="D190" s="37" t="s">
        <v>4458</v>
      </c>
      <c r="E190" s="56" t="s">
        <v>2681</v>
      </c>
      <c r="F190" s="37" t="s">
        <v>4459</v>
      </c>
      <c r="G190" s="37" t="s">
        <v>4460</v>
      </c>
      <c r="H190" s="37" t="s">
        <v>3459</v>
      </c>
      <c r="I190" s="37" t="s">
        <v>4461</v>
      </c>
      <c r="J190" s="37" t="s">
        <v>4462</v>
      </c>
    </row>
    <row r="191" spans="1:10">
      <c r="A191" s="32"/>
      <c r="B191" s="30"/>
      <c r="C191" s="37" t="s">
        <v>4524</v>
      </c>
      <c r="D191" s="37" t="s">
        <v>4463</v>
      </c>
      <c r="E191" s="56" t="s">
        <v>2681</v>
      </c>
      <c r="F191" s="37" t="s">
        <v>4464</v>
      </c>
      <c r="G191" s="37" t="s">
        <v>4465</v>
      </c>
      <c r="H191" s="37" t="s">
        <v>3453</v>
      </c>
      <c r="I191" s="37" t="s">
        <v>4466</v>
      </c>
      <c r="J191" s="37" t="s">
        <v>4467</v>
      </c>
    </row>
    <row r="192" spans="1:10">
      <c r="A192" s="32"/>
      <c r="B192" s="28" t="s">
        <v>2809</v>
      </c>
      <c r="C192" s="37" t="s">
        <v>4525</v>
      </c>
      <c r="D192" s="37" t="s">
        <v>4468</v>
      </c>
      <c r="E192" s="56" t="s">
        <v>2681</v>
      </c>
      <c r="F192" s="37" t="s">
        <v>3160</v>
      </c>
      <c r="G192" s="37" t="s">
        <v>2229</v>
      </c>
      <c r="H192" s="37" t="s">
        <v>3459</v>
      </c>
      <c r="I192" s="37" t="s">
        <v>4469</v>
      </c>
      <c r="J192" s="37" t="s">
        <v>4470</v>
      </c>
    </row>
    <row r="193" spans="1:10">
      <c r="A193" s="32"/>
      <c r="B193" s="29"/>
      <c r="C193" s="37" t="s">
        <v>4526</v>
      </c>
      <c r="D193" s="37" t="s">
        <v>4471</v>
      </c>
      <c r="E193" s="56" t="s">
        <v>2681</v>
      </c>
      <c r="F193" s="37" t="s">
        <v>4472</v>
      </c>
      <c r="G193" s="37" t="s">
        <v>4473</v>
      </c>
      <c r="H193" s="37" t="s">
        <v>3459</v>
      </c>
      <c r="I193" s="37" t="s">
        <v>4474</v>
      </c>
      <c r="J193" s="37" t="s">
        <v>4475</v>
      </c>
    </row>
    <row r="194" spans="1:10">
      <c r="A194" s="32"/>
      <c r="B194" s="29"/>
      <c r="C194" s="37" t="s">
        <v>4527</v>
      </c>
      <c r="D194" s="37" t="s">
        <v>4476</v>
      </c>
      <c r="E194" s="56" t="s">
        <v>2681</v>
      </c>
      <c r="F194" s="37" t="s">
        <v>4419</v>
      </c>
      <c r="G194" s="37" t="s">
        <v>4477</v>
      </c>
      <c r="H194" s="37" t="s">
        <v>3581</v>
      </c>
      <c r="I194" s="37" t="s">
        <v>4478</v>
      </c>
      <c r="J194" s="37" t="s">
        <v>4479</v>
      </c>
    </row>
    <row r="195" spans="1:10">
      <c r="A195" s="32"/>
      <c r="B195" s="29"/>
      <c r="C195" s="37" t="s">
        <v>3629</v>
      </c>
      <c r="D195" s="37" t="s">
        <v>4480</v>
      </c>
      <c r="E195" s="56" t="s">
        <v>2681</v>
      </c>
      <c r="F195" s="37" t="s">
        <v>4341</v>
      </c>
      <c r="G195" s="37" t="s">
        <v>4481</v>
      </c>
      <c r="H195" s="37" t="s">
        <v>3459</v>
      </c>
      <c r="I195" s="37" t="s">
        <v>4482</v>
      </c>
      <c r="J195" s="37" t="s">
        <v>4483</v>
      </c>
    </row>
    <row r="196" spans="1:10">
      <c r="A196" s="33"/>
      <c r="B196" s="30"/>
      <c r="C196" s="37" t="s">
        <v>4528</v>
      </c>
      <c r="D196" s="37" t="s">
        <v>4484</v>
      </c>
      <c r="E196" s="56" t="s">
        <v>2681</v>
      </c>
      <c r="F196" s="37" t="s">
        <v>4485</v>
      </c>
      <c r="G196" s="37" t="s">
        <v>4486</v>
      </c>
      <c r="H196" s="37" t="s">
        <v>3453</v>
      </c>
      <c r="I196" s="37" t="s">
        <v>4487</v>
      </c>
      <c r="J196" s="37" t="s">
        <v>4488</v>
      </c>
    </row>
    <row r="197" spans="1:10" ht="15" customHeight="1">
      <c r="A197" s="31" t="s">
        <v>2810</v>
      </c>
      <c r="B197" s="28" t="s">
        <v>2811</v>
      </c>
      <c r="C197" s="37" t="s">
        <v>4529</v>
      </c>
      <c r="D197" s="37" t="s">
        <v>4530</v>
      </c>
      <c r="E197" s="56" t="s">
        <v>2639</v>
      </c>
      <c r="F197" s="37" t="s">
        <v>2774</v>
      </c>
      <c r="G197" s="37" t="s">
        <v>4066</v>
      </c>
      <c r="H197" s="37" t="s">
        <v>3453</v>
      </c>
      <c r="I197" s="37" t="s">
        <v>4531</v>
      </c>
      <c r="J197" s="37" t="s">
        <v>4532</v>
      </c>
    </row>
    <row r="198" spans="1:10">
      <c r="A198" s="32"/>
      <c r="B198" s="29"/>
      <c r="C198" s="37" t="s">
        <v>4533</v>
      </c>
      <c r="D198" s="37" t="s">
        <v>4534</v>
      </c>
      <c r="E198" s="56" t="s">
        <v>2639</v>
      </c>
      <c r="F198" s="37" t="s">
        <v>4535</v>
      </c>
      <c r="G198" s="37" t="s">
        <v>4536</v>
      </c>
      <c r="H198" s="37" t="s">
        <v>3459</v>
      </c>
      <c r="I198" s="37" t="s">
        <v>4537</v>
      </c>
      <c r="J198" s="37" t="s">
        <v>4538</v>
      </c>
    </row>
    <row r="199" spans="1:10">
      <c r="A199" s="32"/>
      <c r="B199" s="29"/>
      <c r="C199" s="37" t="s">
        <v>4539</v>
      </c>
      <c r="D199" s="37" t="s">
        <v>4540</v>
      </c>
      <c r="E199" s="56" t="s">
        <v>2640</v>
      </c>
      <c r="F199" s="37" t="s">
        <v>4541</v>
      </c>
      <c r="G199" s="37" t="s">
        <v>4542</v>
      </c>
      <c r="H199" s="37" t="s">
        <v>3459</v>
      </c>
      <c r="I199" s="37" t="s">
        <v>4543</v>
      </c>
      <c r="J199" s="37" t="s">
        <v>4544</v>
      </c>
    </row>
    <row r="200" spans="1:10">
      <c r="A200" s="32"/>
      <c r="B200" s="29"/>
      <c r="C200" s="37" t="s">
        <v>4545</v>
      </c>
      <c r="D200" s="37" t="s">
        <v>4546</v>
      </c>
      <c r="E200" s="56" t="s">
        <v>2640</v>
      </c>
      <c r="F200" s="37" t="s">
        <v>4547</v>
      </c>
      <c r="G200" s="37" t="s">
        <v>4548</v>
      </c>
      <c r="H200" s="37" t="s">
        <v>3459</v>
      </c>
      <c r="I200" s="37" t="s">
        <v>4549</v>
      </c>
      <c r="J200" s="37" t="s">
        <v>4550</v>
      </c>
    </row>
    <row r="201" spans="1:10">
      <c r="A201" s="32"/>
      <c r="B201" s="30"/>
      <c r="C201" s="37" t="s">
        <v>4551</v>
      </c>
      <c r="D201" s="37" t="s">
        <v>4552</v>
      </c>
      <c r="E201" s="56" t="s">
        <v>2639</v>
      </c>
      <c r="F201" s="37" t="s">
        <v>4553</v>
      </c>
      <c r="G201" s="37" t="s">
        <v>4554</v>
      </c>
      <c r="H201" s="37" t="s">
        <v>3581</v>
      </c>
      <c r="I201" s="37" t="s">
        <v>4555</v>
      </c>
      <c r="J201" s="37" t="s">
        <v>4556</v>
      </c>
    </row>
    <row r="202" spans="1:10">
      <c r="A202" s="32"/>
      <c r="B202" s="28" t="s">
        <v>2812</v>
      </c>
      <c r="C202" s="37" t="s">
        <v>3489</v>
      </c>
      <c r="D202" s="37" t="s">
        <v>4557</v>
      </c>
      <c r="E202" s="56" t="s">
        <v>2639</v>
      </c>
      <c r="F202" s="37" t="s">
        <v>4558</v>
      </c>
      <c r="G202" s="37" t="s">
        <v>4559</v>
      </c>
      <c r="H202" s="37" t="s">
        <v>3459</v>
      </c>
      <c r="I202" s="37" t="s">
        <v>4560</v>
      </c>
      <c r="J202" s="37" t="s">
        <v>4561</v>
      </c>
    </row>
    <row r="203" spans="1:10">
      <c r="A203" s="32"/>
      <c r="B203" s="29"/>
      <c r="C203" s="37" t="s">
        <v>4562</v>
      </c>
      <c r="D203" s="37" t="s">
        <v>4563</v>
      </c>
      <c r="E203" s="56" t="s">
        <v>2640</v>
      </c>
      <c r="F203" s="37" t="s">
        <v>2207</v>
      </c>
      <c r="G203" s="37" t="s">
        <v>4564</v>
      </c>
      <c r="H203" s="37" t="s">
        <v>3459</v>
      </c>
      <c r="I203" s="37" t="s">
        <v>4565</v>
      </c>
      <c r="J203" s="37" t="s">
        <v>4566</v>
      </c>
    </row>
    <row r="204" spans="1:10">
      <c r="A204" s="32"/>
      <c r="B204" s="29"/>
      <c r="C204" s="37" t="s">
        <v>4567</v>
      </c>
      <c r="D204" s="37" t="s">
        <v>4568</v>
      </c>
      <c r="E204" s="56" t="s">
        <v>2640</v>
      </c>
      <c r="F204" s="37" t="s">
        <v>4569</v>
      </c>
      <c r="G204" s="37" t="s">
        <v>4570</v>
      </c>
      <c r="H204" s="37" t="s">
        <v>3581</v>
      </c>
      <c r="I204" s="37" t="s">
        <v>4571</v>
      </c>
      <c r="J204" s="37" t="s">
        <v>4572</v>
      </c>
    </row>
    <row r="205" spans="1:10">
      <c r="A205" s="32"/>
      <c r="B205" s="29"/>
      <c r="C205" s="37" t="s">
        <v>4573</v>
      </c>
      <c r="D205" s="37" t="s">
        <v>4574</v>
      </c>
      <c r="E205" s="56" t="s">
        <v>2640</v>
      </c>
      <c r="F205" s="37" t="s">
        <v>4575</v>
      </c>
      <c r="G205" s="37" t="s">
        <v>4576</v>
      </c>
      <c r="H205" s="37" t="s">
        <v>3453</v>
      </c>
      <c r="I205" s="37" t="s">
        <v>4577</v>
      </c>
      <c r="J205" s="37" t="s">
        <v>4578</v>
      </c>
    </row>
    <row r="206" spans="1:10">
      <c r="A206" s="32"/>
      <c r="B206" s="30"/>
      <c r="C206" s="37" t="s">
        <v>4579</v>
      </c>
      <c r="D206" s="37" t="s">
        <v>4580</v>
      </c>
      <c r="E206" s="56" t="s">
        <v>2640</v>
      </c>
      <c r="F206" s="37" t="s">
        <v>4372</v>
      </c>
      <c r="G206" s="37" t="s">
        <v>4581</v>
      </c>
      <c r="H206" s="37" t="s">
        <v>3459</v>
      </c>
      <c r="I206" s="37" t="s">
        <v>4582</v>
      </c>
      <c r="J206" s="37" t="s">
        <v>4583</v>
      </c>
    </row>
    <row r="207" spans="1:10" ht="15" customHeight="1">
      <c r="A207" s="32"/>
      <c r="B207" s="28" t="s">
        <v>2813</v>
      </c>
      <c r="C207" s="37" t="s">
        <v>4584</v>
      </c>
      <c r="D207" s="37" t="s">
        <v>4585</v>
      </c>
      <c r="E207" s="56" t="s">
        <v>2640</v>
      </c>
      <c r="F207" s="37" t="s">
        <v>4586</v>
      </c>
      <c r="G207" s="37" t="s">
        <v>4587</v>
      </c>
      <c r="H207" s="37" t="s">
        <v>3453</v>
      </c>
      <c r="I207" s="37" t="s">
        <v>4588</v>
      </c>
      <c r="J207" s="37" t="s">
        <v>4589</v>
      </c>
    </row>
    <row r="208" spans="1:10">
      <c r="A208" s="32"/>
      <c r="B208" s="29"/>
      <c r="C208" s="37" t="s">
        <v>4491</v>
      </c>
      <c r="D208" s="37" t="s">
        <v>4590</v>
      </c>
      <c r="E208" s="56" t="s">
        <v>2640</v>
      </c>
      <c r="F208" s="37" t="s">
        <v>4591</v>
      </c>
      <c r="G208" s="37" t="s">
        <v>4592</v>
      </c>
      <c r="H208" s="37" t="s">
        <v>3459</v>
      </c>
      <c r="I208" s="37" t="s">
        <v>4593</v>
      </c>
      <c r="J208" s="37" t="s">
        <v>4594</v>
      </c>
    </row>
    <row r="209" spans="1:10">
      <c r="A209" s="32"/>
      <c r="B209" s="29"/>
      <c r="C209" s="37" t="s">
        <v>4595</v>
      </c>
      <c r="D209" s="37" t="s">
        <v>4596</v>
      </c>
      <c r="E209" s="56" t="s">
        <v>2641</v>
      </c>
      <c r="F209" s="37" t="s">
        <v>3410</v>
      </c>
      <c r="G209" s="37" t="s">
        <v>4597</v>
      </c>
      <c r="H209" s="37" t="s">
        <v>3459</v>
      </c>
      <c r="I209" s="37" t="s">
        <v>4598</v>
      </c>
      <c r="J209" s="37" t="s">
        <v>4599</v>
      </c>
    </row>
    <row r="210" spans="1:10">
      <c r="A210" s="32"/>
      <c r="B210" s="29"/>
      <c r="C210" s="37" t="s">
        <v>4501</v>
      </c>
      <c r="D210" s="37" t="s">
        <v>4600</v>
      </c>
      <c r="E210" s="56" t="s">
        <v>2640</v>
      </c>
      <c r="F210" s="37" t="s">
        <v>4601</v>
      </c>
      <c r="G210" s="37" t="s">
        <v>4602</v>
      </c>
      <c r="H210" s="37" t="s">
        <v>3459</v>
      </c>
      <c r="I210" s="37" t="s">
        <v>4603</v>
      </c>
      <c r="J210" s="37" t="s">
        <v>4604</v>
      </c>
    </row>
    <row r="211" spans="1:10">
      <c r="A211" s="32"/>
      <c r="B211" s="30"/>
      <c r="C211" s="37" t="s">
        <v>4605</v>
      </c>
      <c r="D211" s="37" t="s">
        <v>4606</v>
      </c>
      <c r="E211" s="56" t="s">
        <v>2640</v>
      </c>
      <c r="F211" s="37" t="s">
        <v>4607</v>
      </c>
      <c r="G211" s="37" t="s">
        <v>4608</v>
      </c>
      <c r="H211" s="37" t="s">
        <v>3453</v>
      </c>
      <c r="I211" s="37" t="s">
        <v>4609</v>
      </c>
      <c r="J211" s="37" t="s">
        <v>4610</v>
      </c>
    </row>
    <row r="212" spans="1:10">
      <c r="A212" s="32"/>
      <c r="B212" s="28" t="s">
        <v>2814</v>
      </c>
      <c r="C212" s="37" t="s">
        <v>4611</v>
      </c>
      <c r="D212" s="37" t="s">
        <v>4612</v>
      </c>
      <c r="E212" s="56" t="s">
        <v>2639</v>
      </c>
      <c r="F212" s="37" t="s">
        <v>4613</v>
      </c>
      <c r="G212" s="37" t="s">
        <v>4614</v>
      </c>
      <c r="H212" s="37" t="s">
        <v>3459</v>
      </c>
      <c r="I212" s="37" t="s">
        <v>4615</v>
      </c>
      <c r="J212" s="37" t="s">
        <v>4616</v>
      </c>
    </row>
    <row r="213" spans="1:10">
      <c r="A213" s="32"/>
      <c r="B213" s="29"/>
      <c r="C213" s="37" t="s">
        <v>4617</v>
      </c>
      <c r="D213" s="37" t="s">
        <v>4618</v>
      </c>
      <c r="E213" s="56" t="s">
        <v>2639</v>
      </c>
      <c r="F213" s="37" t="s">
        <v>3160</v>
      </c>
      <c r="G213" s="37" t="s">
        <v>4619</v>
      </c>
      <c r="H213" s="37" t="s">
        <v>3459</v>
      </c>
      <c r="I213" s="37" t="s">
        <v>4620</v>
      </c>
      <c r="J213" s="37" t="s">
        <v>4621</v>
      </c>
    </row>
    <row r="214" spans="1:10">
      <c r="A214" s="32"/>
      <c r="B214" s="29"/>
      <c r="C214" s="37" t="s">
        <v>4622</v>
      </c>
      <c r="D214" s="37" t="s">
        <v>4623</v>
      </c>
      <c r="E214" s="56" t="s">
        <v>2639</v>
      </c>
      <c r="F214" s="37" t="s">
        <v>4624</v>
      </c>
      <c r="G214" s="37" t="s">
        <v>4625</v>
      </c>
      <c r="H214" s="37" t="s">
        <v>3581</v>
      </c>
      <c r="I214" s="37" t="s">
        <v>4626</v>
      </c>
      <c r="J214" s="37" t="s">
        <v>4627</v>
      </c>
    </row>
    <row r="215" spans="1:10">
      <c r="A215" s="32"/>
      <c r="B215" s="29"/>
      <c r="C215" s="37" t="s">
        <v>4628</v>
      </c>
      <c r="D215" s="37" t="s">
        <v>4629</v>
      </c>
      <c r="E215" s="56" t="s">
        <v>2640</v>
      </c>
      <c r="F215" s="37" t="s">
        <v>4630</v>
      </c>
      <c r="G215" s="37" t="s">
        <v>4631</v>
      </c>
      <c r="H215" s="37" t="s">
        <v>3453</v>
      </c>
      <c r="I215" s="37" t="s">
        <v>3650</v>
      </c>
      <c r="J215" s="37" t="s">
        <v>4632</v>
      </c>
    </row>
    <row r="216" spans="1:10">
      <c r="A216" s="32"/>
      <c r="B216" s="30"/>
      <c r="C216" s="37" t="s">
        <v>3995</v>
      </c>
      <c r="D216" s="37" t="s">
        <v>4633</v>
      </c>
      <c r="E216" s="56" t="s">
        <v>2639</v>
      </c>
      <c r="F216" s="37" t="s">
        <v>4634</v>
      </c>
      <c r="G216" s="37" t="s">
        <v>4635</v>
      </c>
      <c r="H216" s="37" t="s">
        <v>3459</v>
      </c>
      <c r="I216" s="37" t="s">
        <v>2635</v>
      </c>
      <c r="J216" s="37" t="s">
        <v>4636</v>
      </c>
    </row>
    <row r="217" spans="1:10">
      <c r="A217" s="32"/>
      <c r="B217" s="28" t="s">
        <v>2815</v>
      </c>
      <c r="C217" s="37" t="s">
        <v>4637</v>
      </c>
      <c r="D217" s="37" t="s">
        <v>4638</v>
      </c>
      <c r="E217" s="56" t="s">
        <v>2639</v>
      </c>
      <c r="F217" s="37" t="s">
        <v>4639</v>
      </c>
      <c r="G217" s="37" t="s">
        <v>4640</v>
      </c>
      <c r="H217" s="37" t="s">
        <v>3453</v>
      </c>
      <c r="I217" s="37" t="s">
        <v>4559</v>
      </c>
      <c r="J217" s="37" t="s">
        <v>4641</v>
      </c>
    </row>
    <row r="218" spans="1:10">
      <c r="A218" s="32"/>
      <c r="B218" s="29"/>
      <c r="C218" s="37" t="s">
        <v>4642</v>
      </c>
      <c r="D218" s="37" t="s">
        <v>4643</v>
      </c>
      <c r="E218" s="56" t="s">
        <v>2640</v>
      </c>
      <c r="F218" s="37" t="s">
        <v>4642</v>
      </c>
      <c r="G218" s="37" t="s">
        <v>4644</v>
      </c>
      <c r="H218" s="37" t="s">
        <v>3459</v>
      </c>
      <c r="I218" s="37" t="s">
        <v>4645</v>
      </c>
      <c r="J218" s="37" t="s">
        <v>4646</v>
      </c>
    </row>
    <row r="219" spans="1:10">
      <c r="A219" s="32"/>
      <c r="B219" s="29"/>
      <c r="C219" s="37" t="s">
        <v>4647</v>
      </c>
      <c r="D219" s="37" t="s">
        <v>4648</v>
      </c>
      <c r="E219" s="56" t="s">
        <v>2640</v>
      </c>
      <c r="F219" s="37" t="s">
        <v>4649</v>
      </c>
      <c r="G219" s="37" t="s">
        <v>4650</v>
      </c>
      <c r="H219" s="37" t="s">
        <v>3453</v>
      </c>
      <c r="I219" s="37" t="s">
        <v>2219</v>
      </c>
      <c r="J219" s="37" t="s">
        <v>4651</v>
      </c>
    </row>
    <row r="220" spans="1:10">
      <c r="A220" s="32"/>
      <c r="B220" s="29"/>
      <c r="C220" s="37" t="s">
        <v>4652</v>
      </c>
      <c r="D220" s="37" t="s">
        <v>4653</v>
      </c>
      <c r="E220" s="56" t="s">
        <v>2639</v>
      </c>
      <c r="F220" s="37" t="s">
        <v>1962</v>
      </c>
      <c r="G220" s="37" t="s">
        <v>3516</v>
      </c>
      <c r="H220" s="37" t="s">
        <v>3581</v>
      </c>
      <c r="I220" s="37" t="s">
        <v>4654</v>
      </c>
      <c r="J220" s="37" t="s">
        <v>4655</v>
      </c>
    </row>
    <row r="221" spans="1:10">
      <c r="A221" s="33"/>
      <c r="B221" s="30"/>
      <c r="C221" s="37" t="s">
        <v>4656</v>
      </c>
      <c r="D221" s="37" t="s">
        <v>4657</v>
      </c>
      <c r="E221" s="56" t="s">
        <v>2639</v>
      </c>
      <c r="F221" s="37" t="s">
        <v>4658</v>
      </c>
      <c r="G221" s="37" t="s">
        <v>4659</v>
      </c>
      <c r="H221" s="37" t="s">
        <v>3459</v>
      </c>
      <c r="I221" s="37" t="s">
        <v>1992</v>
      </c>
      <c r="J221" s="37" t="s">
        <v>4660</v>
      </c>
    </row>
    <row r="222" spans="1:10">
      <c r="A222" s="31" t="s">
        <v>2816</v>
      </c>
      <c r="B222" s="28" t="s">
        <v>2817</v>
      </c>
      <c r="C222" s="37" t="s">
        <v>4661</v>
      </c>
      <c r="D222" s="37" t="s">
        <v>4662</v>
      </c>
      <c r="E222" s="56" t="s">
        <v>2639</v>
      </c>
      <c r="F222" s="37" t="s">
        <v>4663</v>
      </c>
      <c r="G222" s="37" t="s">
        <v>4664</v>
      </c>
      <c r="H222" s="37" t="s">
        <v>3453</v>
      </c>
      <c r="I222" s="37" t="s">
        <v>4665</v>
      </c>
      <c r="J222" s="37" t="s">
        <v>4666</v>
      </c>
    </row>
    <row r="223" spans="1:10">
      <c r="A223" s="32"/>
      <c r="B223" s="29"/>
      <c r="C223" s="37" t="s">
        <v>4667</v>
      </c>
      <c r="D223" s="37" t="s">
        <v>4668</v>
      </c>
      <c r="E223" s="56" t="s">
        <v>2640</v>
      </c>
      <c r="F223" s="37" t="s">
        <v>4669</v>
      </c>
      <c r="G223" s="37" t="s">
        <v>4670</v>
      </c>
      <c r="H223" s="37" t="s">
        <v>3453</v>
      </c>
      <c r="I223" s="37" t="s">
        <v>4671</v>
      </c>
      <c r="J223" s="37" t="s">
        <v>4672</v>
      </c>
    </row>
    <row r="224" spans="1:10">
      <c r="A224" s="32"/>
      <c r="B224" s="29"/>
      <c r="C224" s="37" t="s">
        <v>4673</v>
      </c>
      <c r="D224" s="37" t="s">
        <v>4674</v>
      </c>
      <c r="E224" s="56" t="s">
        <v>2639</v>
      </c>
      <c r="F224" s="37" t="s">
        <v>2937</v>
      </c>
      <c r="G224" s="37" t="s">
        <v>4675</v>
      </c>
      <c r="H224" s="37" t="s">
        <v>3459</v>
      </c>
      <c r="I224" s="37" t="s">
        <v>4676</v>
      </c>
      <c r="J224" s="37" t="s">
        <v>4677</v>
      </c>
    </row>
    <row r="225" spans="1:10">
      <c r="A225" s="32"/>
      <c r="B225" s="29"/>
      <c r="C225" s="37" t="s">
        <v>4678</v>
      </c>
      <c r="D225" s="37" t="s">
        <v>4679</v>
      </c>
      <c r="E225" s="56" t="s">
        <v>2639</v>
      </c>
      <c r="F225" s="37" t="s">
        <v>4680</v>
      </c>
      <c r="G225" s="37" t="s">
        <v>4681</v>
      </c>
      <c r="H225" s="37" t="s">
        <v>3459</v>
      </c>
      <c r="I225" s="37" t="s">
        <v>3269</v>
      </c>
      <c r="J225" s="37" t="s">
        <v>4682</v>
      </c>
    </row>
    <row r="226" spans="1:10">
      <c r="A226" s="32"/>
      <c r="B226" s="30"/>
      <c r="C226" s="37" t="s">
        <v>4683</v>
      </c>
      <c r="D226" s="37" t="s">
        <v>4684</v>
      </c>
      <c r="E226" s="56" t="s">
        <v>2639</v>
      </c>
      <c r="F226" s="37" t="s">
        <v>4685</v>
      </c>
      <c r="G226" s="37" t="s">
        <v>4686</v>
      </c>
      <c r="H226" s="37" t="s">
        <v>3459</v>
      </c>
      <c r="I226" s="37" t="s">
        <v>4455</v>
      </c>
      <c r="J226" s="37" t="s">
        <v>4687</v>
      </c>
    </row>
    <row r="227" spans="1:10">
      <c r="A227" s="32"/>
      <c r="B227" s="28" t="s">
        <v>2818</v>
      </c>
      <c r="C227" s="37" t="s">
        <v>4688</v>
      </c>
      <c r="D227" s="37" t="s">
        <v>4689</v>
      </c>
      <c r="E227" s="56" t="s">
        <v>2639</v>
      </c>
      <c r="F227" s="37" t="s">
        <v>2774</v>
      </c>
      <c r="G227" s="37" t="s">
        <v>4690</v>
      </c>
      <c r="H227" s="37" t="s">
        <v>3459</v>
      </c>
      <c r="I227" s="37" t="s">
        <v>4691</v>
      </c>
      <c r="J227" s="37" t="s">
        <v>4692</v>
      </c>
    </row>
    <row r="228" spans="1:10">
      <c r="A228" s="32"/>
      <c r="B228" s="29"/>
      <c r="C228" s="37" t="s">
        <v>4693</v>
      </c>
      <c r="D228" s="37" t="s">
        <v>4694</v>
      </c>
      <c r="E228" s="56" t="s">
        <v>2639</v>
      </c>
      <c r="F228" s="37" t="s">
        <v>4695</v>
      </c>
      <c r="G228" s="37" t="s">
        <v>4696</v>
      </c>
      <c r="H228" s="37" t="s">
        <v>3459</v>
      </c>
      <c r="I228" s="37" t="s">
        <v>4697</v>
      </c>
      <c r="J228" s="37" t="s">
        <v>4698</v>
      </c>
    </row>
    <row r="229" spans="1:10">
      <c r="A229" s="32"/>
      <c r="B229" s="29"/>
      <c r="C229" s="37" t="s">
        <v>4699</v>
      </c>
      <c r="D229" s="37" t="s">
        <v>4700</v>
      </c>
      <c r="E229" s="56" t="s">
        <v>2640</v>
      </c>
      <c r="F229" s="37" t="s">
        <v>4701</v>
      </c>
      <c r="G229" s="37" t="s">
        <v>4702</v>
      </c>
      <c r="H229" s="37" t="s">
        <v>3453</v>
      </c>
      <c r="I229" s="37" t="s">
        <v>4703</v>
      </c>
      <c r="J229" s="37" t="s">
        <v>2378</v>
      </c>
    </row>
    <row r="230" spans="1:10">
      <c r="A230" s="32"/>
      <c r="B230" s="29"/>
      <c r="C230" s="37" t="s">
        <v>4505</v>
      </c>
      <c r="D230" s="37" t="s">
        <v>4704</v>
      </c>
      <c r="E230" s="56" t="s">
        <v>2640</v>
      </c>
      <c r="F230" s="37" t="s">
        <v>4705</v>
      </c>
      <c r="G230" s="37" t="s">
        <v>4706</v>
      </c>
      <c r="H230" s="37" t="s">
        <v>3459</v>
      </c>
      <c r="I230" s="37" t="s">
        <v>4707</v>
      </c>
      <c r="J230" s="37" t="s">
        <v>4708</v>
      </c>
    </row>
    <row r="231" spans="1:10">
      <c r="A231" s="32"/>
      <c r="B231" s="30"/>
      <c r="C231" s="37" t="s">
        <v>4709</v>
      </c>
      <c r="D231" s="37" t="s">
        <v>4710</v>
      </c>
      <c r="E231" s="56" t="s">
        <v>2639</v>
      </c>
      <c r="F231" s="37" t="s">
        <v>4711</v>
      </c>
      <c r="G231" s="37" t="s">
        <v>4712</v>
      </c>
      <c r="H231" s="37" t="s">
        <v>3581</v>
      </c>
      <c r="I231" s="37" t="s">
        <v>4713</v>
      </c>
      <c r="J231" s="37" t="s">
        <v>4714</v>
      </c>
    </row>
    <row r="232" spans="1:10">
      <c r="A232" s="32"/>
      <c r="B232" s="28" t="s">
        <v>2819</v>
      </c>
      <c r="C232" s="37" t="s">
        <v>4715</v>
      </c>
      <c r="D232" s="37" t="s">
        <v>4716</v>
      </c>
      <c r="E232" s="56" t="s">
        <v>2639</v>
      </c>
      <c r="F232" s="37" t="s">
        <v>4717</v>
      </c>
      <c r="G232" s="37" t="s">
        <v>4718</v>
      </c>
      <c r="H232" s="37" t="s">
        <v>3453</v>
      </c>
      <c r="I232" s="37" t="s">
        <v>4719</v>
      </c>
      <c r="J232" s="37" t="s">
        <v>4720</v>
      </c>
    </row>
    <row r="233" spans="1:10">
      <c r="A233" s="32"/>
      <c r="B233" s="29"/>
      <c r="C233" s="37" t="s">
        <v>4721</v>
      </c>
      <c r="D233" s="37" t="s">
        <v>4722</v>
      </c>
      <c r="E233" s="56" t="s">
        <v>2639</v>
      </c>
      <c r="F233" s="37" t="s">
        <v>4723</v>
      </c>
      <c r="G233" s="37" t="s">
        <v>4724</v>
      </c>
      <c r="H233" s="37" t="s">
        <v>3459</v>
      </c>
      <c r="I233" s="37" t="s">
        <v>3269</v>
      </c>
      <c r="J233" s="37" t="s">
        <v>4725</v>
      </c>
    </row>
    <row r="234" spans="1:10">
      <c r="A234" s="32"/>
      <c r="B234" s="29"/>
      <c r="C234" s="37" t="s">
        <v>4726</v>
      </c>
      <c r="D234" s="37" t="s">
        <v>4727</v>
      </c>
      <c r="E234" s="56" t="s">
        <v>2639</v>
      </c>
      <c r="F234" s="37" t="s">
        <v>4728</v>
      </c>
      <c r="G234" s="37" t="s">
        <v>4729</v>
      </c>
      <c r="H234" s="37" t="s">
        <v>3459</v>
      </c>
      <c r="I234" s="37" t="s">
        <v>4730</v>
      </c>
      <c r="J234" s="37" t="s">
        <v>4731</v>
      </c>
    </row>
    <row r="235" spans="1:10">
      <c r="A235" s="32"/>
      <c r="B235" s="29"/>
      <c r="C235" s="37" t="s">
        <v>4732</v>
      </c>
      <c r="D235" s="37" t="s">
        <v>4733</v>
      </c>
      <c r="E235" s="56" t="s">
        <v>2639</v>
      </c>
      <c r="F235" s="37" t="s">
        <v>4734</v>
      </c>
      <c r="G235" s="37" t="s">
        <v>4735</v>
      </c>
      <c r="H235" s="37" t="s">
        <v>3459</v>
      </c>
      <c r="I235" s="37" t="s">
        <v>4736</v>
      </c>
      <c r="J235" s="37" t="s">
        <v>4737</v>
      </c>
    </row>
    <row r="236" spans="1:10">
      <c r="A236" s="32"/>
      <c r="B236" s="30"/>
      <c r="C236" s="37" t="s">
        <v>4738</v>
      </c>
      <c r="D236" s="37" t="s">
        <v>4739</v>
      </c>
      <c r="E236" s="56" t="s">
        <v>2640</v>
      </c>
      <c r="F236" s="37" t="s">
        <v>4740</v>
      </c>
      <c r="G236" s="37" t="s">
        <v>3206</v>
      </c>
      <c r="H236" s="37" t="s">
        <v>3459</v>
      </c>
      <c r="I236" s="37" t="s">
        <v>4741</v>
      </c>
      <c r="J236" s="37" t="s">
        <v>4742</v>
      </c>
    </row>
    <row r="237" spans="1:10">
      <c r="A237" s="32"/>
      <c r="B237" s="28" t="s">
        <v>2820</v>
      </c>
      <c r="C237" s="37" t="s">
        <v>4743</v>
      </c>
      <c r="D237" s="37" t="s">
        <v>4744</v>
      </c>
      <c r="E237" s="56" t="s">
        <v>2639</v>
      </c>
      <c r="F237" s="37" t="s">
        <v>4745</v>
      </c>
      <c r="G237" s="37" t="s">
        <v>4746</v>
      </c>
      <c r="H237" s="37" t="s">
        <v>3453</v>
      </c>
      <c r="I237" s="37" t="s">
        <v>2696</v>
      </c>
      <c r="J237" s="37" t="s">
        <v>4747</v>
      </c>
    </row>
    <row r="238" spans="1:10">
      <c r="A238" s="32"/>
      <c r="B238" s="29"/>
      <c r="C238" s="37" t="s">
        <v>4748</v>
      </c>
      <c r="D238" s="37" t="s">
        <v>4749</v>
      </c>
      <c r="E238" s="56" t="s">
        <v>2640</v>
      </c>
      <c r="F238" s="37" t="s">
        <v>3182</v>
      </c>
      <c r="G238" s="37" t="s">
        <v>4750</v>
      </c>
      <c r="H238" s="37" t="s">
        <v>3459</v>
      </c>
      <c r="I238" s="37" t="s">
        <v>4751</v>
      </c>
      <c r="J238" s="37" t="s">
        <v>4752</v>
      </c>
    </row>
    <row r="239" spans="1:10">
      <c r="A239" s="32"/>
      <c r="B239" s="29"/>
      <c r="C239" s="37" t="s">
        <v>4753</v>
      </c>
      <c r="D239" s="37" t="s">
        <v>4754</v>
      </c>
      <c r="E239" s="56" t="s">
        <v>2640</v>
      </c>
      <c r="F239" s="37" t="s">
        <v>4755</v>
      </c>
      <c r="G239" s="37" t="s">
        <v>4756</v>
      </c>
      <c r="H239" s="37" t="s">
        <v>3459</v>
      </c>
      <c r="I239" s="37" t="s">
        <v>4757</v>
      </c>
      <c r="J239" s="37" t="s">
        <v>4758</v>
      </c>
    </row>
    <row r="240" spans="1:10">
      <c r="A240" s="32"/>
      <c r="B240" s="29"/>
      <c r="C240" s="37" t="s">
        <v>4759</v>
      </c>
      <c r="D240" s="37" t="s">
        <v>4760</v>
      </c>
      <c r="E240" s="56" t="s">
        <v>2640</v>
      </c>
      <c r="F240" s="37" t="s">
        <v>4761</v>
      </c>
      <c r="G240" s="37" t="s">
        <v>4762</v>
      </c>
      <c r="H240" s="37" t="s">
        <v>3459</v>
      </c>
      <c r="I240" s="37" t="s">
        <v>4763</v>
      </c>
      <c r="J240" s="37" t="s">
        <v>4764</v>
      </c>
    </row>
    <row r="241" spans="1:10">
      <c r="A241" s="32"/>
      <c r="B241" s="30"/>
      <c r="C241" s="37" t="s">
        <v>4765</v>
      </c>
      <c r="D241" s="37" t="s">
        <v>4766</v>
      </c>
      <c r="E241" s="56" t="s">
        <v>2640</v>
      </c>
      <c r="F241" s="37" t="s">
        <v>4767</v>
      </c>
      <c r="G241" s="37" t="s">
        <v>4768</v>
      </c>
      <c r="H241" s="37" t="s">
        <v>3459</v>
      </c>
      <c r="I241" s="37" t="s">
        <v>4769</v>
      </c>
      <c r="J241" s="37" t="s">
        <v>4770</v>
      </c>
    </row>
    <row r="242" spans="1:10">
      <c r="A242" s="32"/>
      <c r="B242" s="28" t="s">
        <v>2821</v>
      </c>
      <c r="C242" s="37" t="s">
        <v>4715</v>
      </c>
      <c r="D242" s="37" t="s">
        <v>4716</v>
      </c>
      <c r="E242" s="56" t="s">
        <v>2639</v>
      </c>
      <c r="F242" s="37" t="s">
        <v>4717</v>
      </c>
      <c r="G242" s="37" t="s">
        <v>4718</v>
      </c>
      <c r="H242" s="37" t="s">
        <v>3453</v>
      </c>
      <c r="I242" s="37" t="s">
        <v>4719</v>
      </c>
      <c r="J242" s="37" t="s">
        <v>4720</v>
      </c>
    </row>
    <row r="243" spans="1:10">
      <c r="A243" s="32"/>
      <c r="B243" s="29"/>
      <c r="C243" s="37" t="s">
        <v>4721</v>
      </c>
      <c r="D243" s="37" t="s">
        <v>4722</v>
      </c>
      <c r="E243" s="56" t="s">
        <v>2639</v>
      </c>
      <c r="F243" s="37" t="s">
        <v>4723</v>
      </c>
      <c r="G243" s="37" t="s">
        <v>4724</v>
      </c>
      <c r="H243" s="37" t="s">
        <v>3459</v>
      </c>
      <c r="I243" s="37" t="s">
        <v>3269</v>
      </c>
      <c r="J243" s="37" t="s">
        <v>4725</v>
      </c>
    </row>
    <row r="244" spans="1:10">
      <c r="A244" s="32"/>
      <c r="B244" s="29"/>
      <c r="C244" s="37" t="s">
        <v>4726</v>
      </c>
      <c r="D244" s="37" t="s">
        <v>4727</v>
      </c>
      <c r="E244" s="56" t="s">
        <v>2639</v>
      </c>
      <c r="F244" s="37" t="s">
        <v>4728</v>
      </c>
      <c r="G244" s="37" t="s">
        <v>4729</v>
      </c>
      <c r="H244" s="37" t="s">
        <v>3459</v>
      </c>
      <c r="I244" s="37" t="s">
        <v>4730</v>
      </c>
      <c r="J244" s="37" t="s">
        <v>4731</v>
      </c>
    </row>
    <row r="245" spans="1:10">
      <c r="A245" s="32"/>
      <c r="B245" s="29"/>
      <c r="C245" s="37" t="s">
        <v>4732</v>
      </c>
      <c r="D245" s="37" t="s">
        <v>4733</v>
      </c>
      <c r="E245" s="56" t="s">
        <v>2639</v>
      </c>
      <c r="F245" s="37" t="s">
        <v>4734</v>
      </c>
      <c r="G245" s="37" t="s">
        <v>4735</v>
      </c>
      <c r="H245" s="37" t="s">
        <v>3459</v>
      </c>
      <c r="I245" s="37" t="s">
        <v>4736</v>
      </c>
      <c r="J245" s="37" t="s">
        <v>4737</v>
      </c>
    </row>
    <row r="246" spans="1:10">
      <c r="A246" s="32"/>
      <c r="B246" s="30"/>
      <c r="C246" s="37" t="s">
        <v>4738</v>
      </c>
      <c r="D246" s="37" t="s">
        <v>4739</v>
      </c>
      <c r="E246" s="56" t="s">
        <v>2640</v>
      </c>
      <c r="F246" s="37" t="s">
        <v>4740</v>
      </c>
      <c r="G246" s="37" t="s">
        <v>3206</v>
      </c>
      <c r="H246" s="37" t="s">
        <v>3459</v>
      </c>
      <c r="I246" s="37" t="s">
        <v>4741</v>
      </c>
      <c r="J246" s="37" t="s">
        <v>4742</v>
      </c>
    </row>
    <row r="247" spans="1:10">
      <c r="A247" s="32"/>
      <c r="B247" s="28" t="s">
        <v>2822</v>
      </c>
      <c r="C247" s="37" t="s">
        <v>4771</v>
      </c>
      <c r="D247" s="37" t="s">
        <v>4772</v>
      </c>
      <c r="E247" s="56" t="s">
        <v>2639</v>
      </c>
      <c r="F247" s="37" t="s">
        <v>4717</v>
      </c>
      <c r="G247" s="37" t="s">
        <v>4773</v>
      </c>
      <c r="H247" s="37" t="s">
        <v>3459</v>
      </c>
      <c r="I247" s="37" t="s">
        <v>4774</v>
      </c>
      <c r="J247" s="37" t="s">
        <v>4775</v>
      </c>
    </row>
    <row r="248" spans="1:10">
      <c r="A248" s="32"/>
      <c r="B248" s="29"/>
      <c r="C248" s="37" t="s">
        <v>4776</v>
      </c>
      <c r="D248" s="37" t="s">
        <v>4777</v>
      </c>
      <c r="E248" s="56" t="s">
        <v>2639</v>
      </c>
      <c r="F248" s="37" t="s">
        <v>4778</v>
      </c>
      <c r="G248" s="37" t="s">
        <v>4779</v>
      </c>
      <c r="H248" s="37" t="s">
        <v>3459</v>
      </c>
      <c r="I248" s="37" t="s">
        <v>4780</v>
      </c>
      <c r="J248" s="37" t="s">
        <v>4781</v>
      </c>
    </row>
    <row r="249" spans="1:10">
      <c r="A249" s="32"/>
      <c r="B249" s="29"/>
      <c r="C249" s="37" t="s">
        <v>4759</v>
      </c>
      <c r="D249" s="37" t="s">
        <v>4782</v>
      </c>
      <c r="E249" s="56" t="s">
        <v>2640</v>
      </c>
      <c r="F249" s="37" t="s">
        <v>4783</v>
      </c>
      <c r="G249" s="37" t="s">
        <v>4784</v>
      </c>
      <c r="H249" s="37" t="s">
        <v>3581</v>
      </c>
      <c r="I249" s="37" t="s">
        <v>4785</v>
      </c>
      <c r="J249" s="37" t="s">
        <v>4786</v>
      </c>
    </row>
    <row r="250" spans="1:10">
      <c r="A250" s="32"/>
      <c r="B250" s="29"/>
      <c r="C250" s="37" t="s">
        <v>4787</v>
      </c>
      <c r="D250" s="37" t="s">
        <v>4788</v>
      </c>
      <c r="E250" s="56" t="s">
        <v>2639</v>
      </c>
      <c r="F250" s="37" t="s">
        <v>4789</v>
      </c>
      <c r="G250" s="37" t="s">
        <v>4790</v>
      </c>
      <c r="H250" s="37" t="s">
        <v>3459</v>
      </c>
      <c r="I250" s="37" t="s">
        <v>4791</v>
      </c>
      <c r="J250" s="37" t="s">
        <v>4792</v>
      </c>
    </row>
    <row r="251" spans="1:10">
      <c r="A251" s="32"/>
      <c r="B251" s="30"/>
      <c r="C251" s="37" t="s">
        <v>4793</v>
      </c>
      <c r="D251" s="37" t="s">
        <v>4794</v>
      </c>
      <c r="E251" s="56" t="s">
        <v>2640</v>
      </c>
      <c r="F251" s="37" t="s">
        <v>4795</v>
      </c>
      <c r="G251" s="37" t="s">
        <v>2007</v>
      </c>
      <c r="H251" s="37" t="s">
        <v>3581</v>
      </c>
      <c r="I251" s="37" t="s">
        <v>4796</v>
      </c>
      <c r="J251" s="37" t="s">
        <v>4797</v>
      </c>
    </row>
    <row r="252" spans="1:10">
      <c r="A252" s="32"/>
      <c r="B252" s="28" t="s">
        <v>2823</v>
      </c>
      <c r="C252" s="37" t="s">
        <v>4798</v>
      </c>
      <c r="D252" s="37" t="s">
        <v>4799</v>
      </c>
      <c r="E252" s="56" t="s">
        <v>2639</v>
      </c>
      <c r="F252" s="37" t="s">
        <v>2774</v>
      </c>
      <c r="G252" s="37" t="s">
        <v>4800</v>
      </c>
      <c r="H252" s="37" t="s">
        <v>3453</v>
      </c>
      <c r="I252" s="37" t="s">
        <v>4801</v>
      </c>
      <c r="J252" s="37" t="s">
        <v>4802</v>
      </c>
    </row>
    <row r="253" spans="1:10">
      <c r="A253" s="32"/>
      <c r="B253" s="29"/>
      <c r="C253" s="37" t="s">
        <v>4803</v>
      </c>
      <c r="D253" s="37" t="s">
        <v>4804</v>
      </c>
      <c r="E253" s="56" t="s">
        <v>2639</v>
      </c>
      <c r="F253" s="37" t="s">
        <v>4805</v>
      </c>
      <c r="G253" s="37" t="s">
        <v>4806</v>
      </c>
      <c r="H253" s="37" t="s">
        <v>3459</v>
      </c>
      <c r="I253" s="37" t="s">
        <v>4807</v>
      </c>
      <c r="J253" s="37" t="s">
        <v>4808</v>
      </c>
    </row>
    <row r="254" spans="1:10">
      <c r="A254" s="32"/>
      <c r="B254" s="29"/>
      <c r="C254" s="37" t="s">
        <v>4748</v>
      </c>
      <c r="D254" s="37" t="s">
        <v>4809</v>
      </c>
      <c r="E254" s="56" t="s">
        <v>2640</v>
      </c>
      <c r="F254" s="37" t="s">
        <v>4372</v>
      </c>
      <c r="G254" s="37" t="s">
        <v>4810</v>
      </c>
      <c r="H254" s="37" t="s">
        <v>3459</v>
      </c>
      <c r="I254" s="37" t="s">
        <v>4811</v>
      </c>
      <c r="J254" s="37" t="s">
        <v>4812</v>
      </c>
    </row>
    <row r="255" spans="1:10">
      <c r="A255" s="32"/>
      <c r="B255" s="29"/>
      <c r="C255" s="37" t="s">
        <v>4813</v>
      </c>
      <c r="D255" s="37" t="s">
        <v>4814</v>
      </c>
      <c r="E255" s="56" t="s">
        <v>2639</v>
      </c>
      <c r="F255" s="37" t="s">
        <v>4815</v>
      </c>
      <c r="G255" s="37" t="s">
        <v>4816</v>
      </c>
      <c r="H255" s="37" t="s">
        <v>3453</v>
      </c>
      <c r="I255" s="37" t="s">
        <v>4817</v>
      </c>
      <c r="J255" s="37" t="s">
        <v>4818</v>
      </c>
    </row>
    <row r="256" spans="1:10">
      <c r="A256" s="32"/>
      <c r="B256" s="30"/>
      <c r="C256" s="37" t="s">
        <v>4819</v>
      </c>
      <c r="D256" s="37" t="s">
        <v>4820</v>
      </c>
      <c r="E256" s="56" t="s">
        <v>2639</v>
      </c>
      <c r="F256" s="37" t="s">
        <v>4821</v>
      </c>
      <c r="G256" s="37" t="s">
        <v>3721</v>
      </c>
      <c r="H256" s="37" t="s">
        <v>3459</v>
      </c>
      <c r="I256" s="37" t="s">
        <v>4822</v>
      </c>
      <c r="J256" s="37" t="s">
        <v>4823</v>
      </c>
    </row>
    <row r="257" spans="1:10">
      <c r="A257" s="32"/>
      <c r="B257" s="28" t="s">
        <v>2824</v>
      </c>
      <c r="C257" s="37" t="s">
        <v>4824</v>
      </c>
      <c r="D257" s="37" t="s">
        <v>4825</v>
      </c>
      <c r="E257" s="56" t="s">
        <v>2640</v>
      </c>
      <c r="F257" s="37" t="s">
        <v>3326</v>
      </c>
      <c r="G257" s="37" t="s">
        <v>4826</v>
      </c>
      <c r="H257" s="37" t="s">
        <v>3453</v>
      </c>
      <c r="I257" s="37" t="s">
        <v>4827</v>
      </c>
      <c r="J257" s="37" t="s">
        <v>4828</v>
      </c>
    </row>
    <row r="258" spans="1:10">
      <c r="A258" s="32"/>
      <c r="B258" s="29"/>
      <c r="C258" s="37" t="s">
        <v>4829</v>
      </c>
      <c r="D258" s="37" t="s">
        <v>4830</v>
      </c>
      <c r="E258" s="56" t="s">
        <v>2640</v>
      </c>
      <c r="F258" s="37" t="s">
        <v>4831</v>
      </c>
      <c r="G258" s="37" t="s">
        <v>4832</v>
      </c>
      <c r="H258" s="37" t="s">
        <v>3453</v>
      </c>
      <c r="I258" s="37" t="s">
        <v>4811</v>
      </c>
      <c r="J258" s="37" t="s">
        <v>4833</v>
      </c>
    </row>
    <row r="259" spans="1:10">
      <c r="A259" s="32"/>
      <c r="B259" s="29"/>
      <c r="C259" s="37" t="s">
        <v>4834</v>
      </c>
      <c r="D259" s="37" t="s">
        <v>4835</v>
      </c>
      <c r="E259" s="56" t="s">
        <v>2640</v>
      </c>
      <c r="F259" s="37" t="s">
        <v>4836</v>
      </c>
      <c r="G259" s="37" t="s">
        <v>4837</v>
      </c>
      <c r="H259" s="37" t="s">
        <v>3459</v>
      </c>
      <c r="I259" s="37" t="s">
        <v>4838</v>
      </c>
      <c r="J259" s="37" t="s">
        <v>4839</v>
      </c>
    </row>
    <row r="260" spans="1:10">
      <c r="A260" s="32"/>
      <c r="B260" s="29"/>
      <c r="C260" s="37" t="s">
        <v>4840</v>
      </c>
      <c r="D260" s="37" t="s">
        <v>4841</v>
      </c>
      <c r="E260" s="56" t="s">
        <v>2639</v>
      </c>
      <c r="F260" s="37" t="s">
        <v>4842</v>
      </c>
      <c r="G260" s="37" t="s">
        <v>4843</v>
      </c>
      <c r="H260" s="37" t="s">
        <v>3459</v>
      </c>
      <c r="I260" s="37" t="s">
        <v>4844</v>
      </c>
      <c r="J260" s="37" t="s">
        <v>4845</v>
      </c>
    </row>
    <row r="261" spans="1:10">
      <c r="A261" s="32"/>
      <c r="B261" s="30"/>
      <c r="C261" s="37" t="s">
        <v>4846</v>
      </c>
      <c r="D261" s="37" t="s">
        <v>4847</v>
      </c>
      <c r="E261" s="56" t="s">
        <v>2640</v>
      </c>
      <c r="F261" s="37" t="s">
        <v>2849</v>
      </c>
      <c r="G261" s="37" t="s">
        <v>4848</v>
      </c>
      <c r="H261" s="37" t="s">
        <v>3459</v>
      </c>
      <c r="I261" s="37" t="s">
        <v>4849</v>
      </c>
      <c r="J261" s="37" t="s">
        <v>4850</v>
      </c>
    </row>
    <row r="262" spans="1:10">
      <c r="A262" s="32"/>
      <c r="B262" s="28" t="s">
        <v>2825</v>
      </c>
      <c r="C262" s="37" t="s">
        <v>4851</v>
      </c>
      <c r="D262" s="37" t="s">
        <v>4852</v>
      </c>
      <c r="E262" s="56" t="s">
        <v>2640</v>
      </c>
      <c r="F262" s="37" t="s">
        <v>4853</v>
      </c>
      <c r="G262" s="37" t="s">
        <v>4854</v>
      </c>
      <c r="H262" s="37" t="s">
        <v>3453</v>
      </c>
      <c r="I262" s="37" t="s">
        <v>4855</v>
      </c>
      <c r="J262" s="37" t="s">
        <v>4856</v>
      </c>
    </row>
    <row r="263" spans="1:10">
      <c r="A263" s="32"/>
      <c r="B263" s="29"/>
      <c r="C263" s="37" t="s">
        <v>4857</v>
      </c>
      <c r="D263" s="37" t="s">
        <v>4858</v>
      </c>
      <c r="E263" s="56" t="s">
        <v>2640</v>
      </c>
      <c r="F263" s="37" t="s">
        <v>4859</v>
      </c>
      <c r="G263" s="37" t="s">
        <v>4860</v>
      </c>
      <c r="H263" s="37" t="s">
        <v>3453</v>
      </c>
      <c r="I263" s="37" t="s">
        <v>4861</v>
      </c>
      <c r="J263" s="37" t="s">
        <v>4862</v>
      </c>
    </row>
    <row r="264" spans="1:10">
      <c r="A264" s="32"/>
      <c r="B264" s="29"/>
      <c r="C264" s="37" t="s">
        <v>4863</v>
      </c>
      <c r="D264" s="37" t="s">
        <v>4864</v>
      </c>
      <c r="E264" s="56" t="s">
        <v>2639</v>
      </c>
      <c r="F264" s="37" t="s">
        <v>2774</v>
      </c>
      <c r="G264" s="37" t="s">
        <v>4865</v>
      </c>
      <c r="H264" s="37" t="s">
        <v>3459</v>
      </c>
      <c r="I264" s="37" t="s">
        <v>4866</v>
      </c>
      <c r="J264" s="37" t="s">
        <v>4867</v>
      </c>
    </row>
    <row r="265" spans="1:10">
      <c r="A265" s="32"/>
      <c r="B265" s="29"/>
      <c r="C265" s="37" t="s">
        <v>4868</v>
      </c>
      <c r="D265" s="37" t="s">
        <v>4869</v>
      </c>
      <c r="E265" s="56" t="s">
        <v>2640</v>
      </c>
      <c r="F265" s="37" t="s">
        <v>4870</v>
      </c>
      <c r="G265" s="37" t="s">
        <v>4871</v>
      </c>
      <c r="H265" s="37" t="s">
        <v>3459</v>
      </c>
      <c r="I265" s="37" t="s">
        <v>4872</v>
      </c>
      <c r="J265" s="37" t="s">
        <v>4873</v>
      </c>
    </row>
    <row r="266" spans="1:10">
      <c r="A266" s="33"/>
      <c r="B266" s="30"/>
      <c r="C266" s="37" t="s">
        <v>4874</v>
      </c>
      <c r="D266" s="37" t="s">
        <v>4875</v>
      </c>
      <c r="E266" s="56" t="s">
        <v>2640</v>
      </c>
      <c r="F266" s="37" t="s">
        <v>4876</v>
      </c>
      <c r="G266" s="37" t="s">
        <v>4877</v>
      </c>
      <c r="H266" s="37" t="s">
        <v>3453</v>
      </c>
      <c r="I266" s="37" t="s">
        <v>4878</v>
      </c>
      <c r="J266" s="37" t="s">
        <v>4879</v>
      </c>
    </row>
    <row r="267" spans="1:10">
      <c r="A267" s="31" t="s">
        <v>2826</v>
      </c>
      <c r="B267" s="28" t="s">
        <v>2827</v>
      </c>
      <c r="C267" s="37" t="s">
        <v>4880</v>
      </c>
      <c r="D267" s="37" t="s">
        <v>4881</v>
      </c>
      <c r="E267" s="56" t="s">
        <v>2639</v>
      </c>
      <c r="F267" s="37" t="s">
        <v>4882</v>
      </c>
      <c r="G267" s="37" t="s">
        <v>4883</v>
      </c>
      <c r="H267" s="37" t="s">
        <v>3453</v>
      </c>
      <c r="I267" s="37" t="s">
        <v>4884</v>
      </c>
      <c r="J267" s="37" t="s">
        <v>4885</v>
      </c>
    </row>
    <row r="268" spans="1:10">
      <c r="A268" s="32"/>
      <c r="B268" s="29"/>
      <c r="C268" s="37" t="s">
        <v>4886</v>
      </c>
      <c r="D268" s="37" t="s">
        <v>4887</v>
      </c>
      <c r="E268" s="56" t="s">
        <v>2640</v>
      </c>
      <c r="F268" s="37" t="s">
        <v>4888</v>
      </c>
      <c r="G268" s="37" t="s">
        <v>3569</v>
      </c>
      <c r="H268" s="37" t="s">
        <v>3459</v>
      </c>
      <c r="I268" s="37" t="s">
        <v>4889</v>
      </c>
      <c r="J268" s="37" t="s">
        <v>4890</v>
      </c>
    </row>
    <row r="269" spans="1:10">
      <c r="A269" s="32"/>
      <c r="B269" s="29"/>
      <c r="C269" s="37" t="s">
        <v>4891</v>
      </c>
      <c r="D269" s="37" t="s">
        <v>4892</v>
      </c>
      <c r="E269" s="56" t="s">
        <v>2640</v>
      </c>
      <c r="F269" s="37" t="s">
        <v>4795</v>
      </c>
      <c r="G269" s="37" t="s">
        <v>2007</v>
      </c>
      <c r="H269" s="37" t="s">
        <v>3459</v>
      </c>
      <c r="I269" s="37" t="s">
        <v>4893</v>
      </c>
      <c r="J269" s="37" t="s">
        <v>4894</v>
      </c>
    </row>
    <row r="270" spans="1:10">
      <c r="A270" s="32"/>
      <c r="B270" s="29"/>
      <c r="C270" s="37" t="s">
        <v>4895</v>
      </c>
      <c r="D270" s="37" t="s">
        <v>4896</v>
      </c>
      <c r="E270" s="56" t="s">
        <v>2639</v>
      </c>
      <c r="F270" s="37" t="s">
        <v>2215</v>
      </c>
      <c r="G270" s="37" t="s">
        <v>4306</v>
      </c>
      <c r="H270" s="37" t="s">
        <v>3581</v>
      </c>
      <c r="I270" s="37" t="s">
        <v>4897</v>
      </c>
      <c r="J270" s="37" t="s">
        <v>4898</v>
      </c>
    </row>
    <row r="271" spans="1:10">
      <c r="A271" s="32"/>
      <c r="B271" s="30"/>
      <c r="C271" s="37" t="s">
        <v>4899</v>
      </c>
      <c r="D271" s="37" t="s">
        <v>4900</v>
      </c>
      <c r="E271" s="56" t="s">
        <v>2641</v>
      </c>
      <c r="F271" s="37" t="s">
        <v>2220</v>
      </c>
      <c r="G271" s="37" t="s">
        <v>4901</v>
      </c>
      <c r="H271" s="37" t="s">
        <v>3459</v>
      </c>
      <c r="I271" s="37" t="s">
        <v>4902</v>
      </c>
      <c r="J271" s="37" t="s">
        <v>4903</v>
      </c>
    </row>
    <row r="272" spans="1:10">
      <c r="A272" s="32"/>
      <c r="B272" s="28" t="s">
        <v>2828</v>
      </c>
      <c r="C272" s="37" t="s">
        <v>4904</v>
      </c>
      <c r="D272" s="37" t="s">
        <v>4905</v>
      </c>
      <c r="E272" s="56" t="s">
        <v>2639</v>
      </c>
      <c r="F272" s="37" t="s">
        <v>4906</v>
      </c>
      <c r="G272" s="37" t="s">
        <v>3269</v>
      </c>
      <c r="H272" s="37" t="s">
        <v>3453</v>
      </c>
      <c r="I272" s="37" t="s">
        <v>4907</v>
      </c>
      <c r="J272" s="37" t="s">
        <v>4908</v>
      </c>
    </row>
    <row r="273" spans="1:10">
      <c r="A273" s="32"/>
      <c r="B273" s="29"/>
      <c r="C273" s="37" t="s">
        <v>4909</v>
      </c>
      <c r="D273" s="37" t="s">
        <v>4910</v>
      </c>
      <c r="E273" s="56" t="s">
        <v>2640</v>
      </c>
      <c r="F273" s="37" t="s">
        <v>4911</v>
      </c>
      <c r="G273" s="37" t="s">
        <v>2031</v>
      </c>
      <c r="H273" s="37" t="s">
        <v>3453</v>
      </c>
      <c r="I273" s="37" t="s">
        <v>4912</v>
      </c>
      <c r="J273" s="37" t="s">
        <v>4913</v>
      </c>
    </row>
    <row r="274" spans="1:10">
      <c r="A274" s="32"/>
      <c r="B274" s="29"/>
      <c r="C274" s="37" t="s">
        <v>4914</v>
      </c>
      <c r="D274" s="37" t="s">
        <v>4915</v>
      </c>
      <c r="E274" s="56" t="s">
        <v>2640</v>
      </c>
      <c r="F274" s="37" t="s">
        <v>4916</v>
      </c>
      <c r="G274" s="37" t="s">
        <v>4917</v>
      </c>
      <c r="H274" s="37" t="s">
        <v>3453</v>
      </c>
      <c r="I274" s="37" t="s">
        <v>4918</v>
      </c>
      <c r="J274" s="37" t="s">
        <v>4919</v>
      </c>
    </row>
    <row r="275" spans="1:10">
      <c r="A275" s="32"/>
      <c r="B275" s="29"/>
      <c r="C275" s="37" t="s">
        <v>4920</v>
      </c>
      <c r="D275" s="37" t="s">
        <v>4921</v>
      </c>
      <c r="E275" s="56" t="s">
        <v>2639</v>
      </c>
      <c r="F275" s="37" t="s">
        <v>4922</v>
      </c>
      <c r="G275" s="37" t="s">
        <v>4923</v>
      </c>
      <c r="H275" s="37" t="s">
        <v>3459</v>
      </c>
      <c r="I275" s="37" t="s">
        <v>4924</v>
      </c>
      <c r="J275" s="37" t="s">
        <v>4925</v>
      </c>
    </row>
    <row r="276" spans="1:10">
      <c r="A276" s="32"/>
      <c r="B276" s="30"/>
      <c r="C276" s="37" t="s">
        <v>4926</v>
      </c>
      <c r="D276" s="37" t="s">
        <v>4927</v>
      </c>
      <c r="E276" s="56" t="s">
        <v>2640</v>
      </c>
      <c r="F276" s="37" t="s">
        <v>4341</v>
      </c>
      <c r="G276" s="37" t="s">
        <v>4928</v>
      </c>
      <c r="H276" s="37" t="s">
        <v>3459</v>
      </c>
      <c r="I276" s="37" t="s">
        <v>4929</v>
      </c>
      <c r="J276" s="37" t="s">
        <v>4930</v>
      </c>
    </row>
    <row r="277" spans="1:10" ht="15" customHeight="1">
      <c r="A277" s="32"/>
      <c r="B277" s="28" t="s">
        <v>2829</v>
      </c>
      <c r="C277" s="37" t="s">
        <v>4931</v>
      </c>
      <c r="D277" s="37" t="s">
        <v>4932</v>
      </c>
      <c r="E277" s="56" t="s">
        <v>2639</v>
      </c>
      <c r="F277" s="37" t="s">
        <v>4933</v>
      </c>
      <c r="G277" s="37" t="s">
        <v>4718</v>
      </c>
      <c r="H277" s="37" t="s">
        <v>3453</v>
      </c>
      <c r="I277" s="37" t="s">
        <v>4934</v>
      </c>
      <c r="J277" s="37" t="s">
        <v>4935</v>
      </c>
    </row>
    <row r="278" spans="1:10">
      <c r="A278" s="32"/>
      <c r="B278" s="29"/>
      <c r="C278" s="37" t="s">
        <v>4936</v>
      </c>
      <c r="D278" s="37" t="s">
        <v>4937</v>
      </c>
      <c r="E278" s="56" t="s">
        <v>2640</v>
      </c>
      <c r="F278" s="37" t="s">
        <v>4938</v>
      </c>
      <c r="G278" s="37" t="s">
        <v>4939</v>
      </c>
      <c r="H278" s="37" t="s">
        <v>3459</v>
      </c>
      <c r="I278" s="37" t="s">
        <v>4940</v>
      </c>
      <c r="J278" s="37" t="s">
        <v>4941</v>
      </c>
    </row>
    <row r="279" spans="1:10">
      <c r="A279" s="32"/>
      <c r="B279" s="29"/>
      <c r="C279" s="37" t="s">
        <v>4942</v>
      </c>
      <c r="D279" s="37" t="s">
        <v>4943</v>
      </c>
      <c r="E279" s="56" t="s">
        <v>2640</v>
      </c>
      <c r="F279" s="37" t="s">
        <v>4944</v>
      </c>
      <c r="G279" s="37" t="s">
        <v>4945</v>
      </c>
      <c r="H279" s="37" t="s">
        <v>3453</v>
      </c>
      <c r="I279" s="37" t="s">
        <v>3269</v>
      </c>
      <c r="J279" s="37" t="s">
        <v>4946</v>
      </c>
    </row>
    <row r="280" spans="1:10">
      <c r="A280" s="32"/>
      <c r="B280" s="29"/>
      <c r="C280" s="37" t="s">
        <v>4947</v>
      </c>
      <c r="D280" s="37" t="s">
        <v>4948</v>
      </c>
      <c r="E280" s="56" t="s">
        <v>2641</v>
      </c>
      <c r="F280" s="37" t="s">
        <v>4949</v>
      </c>
      <c r="G280" s="37" t="s">
        <v>4950</v>
      </c>
      <c r="H280" s="37" t="s">
        <v>3459</v>
      </c>
      <c r="I280" s="37" t="s">
        <v>4951</v>
      </c>
      <c r="J280" s="37" t="s">
        <v>4952</v>
      </c>
    </row>
    <row r="281" spans="1:10">
      <c r="A281" s="32"/>
      <c r="B281" s="30"/>
      <c r="C281" s="37" t="s">
        <v>4759</v>
      </c>
      <c r="D281" s="37" t="s">
        <v>4953</v>
      </c>
      <c r="E281" s="56" t="s">
        <v>2640</v>
      </c>
      <c r="F281" s="37" t="s">
        <v>3282</v>
      </c>
      <c r="G281" s="37" t="s">
        <v>4954</v>
      </c>
      <c r="H281" s="37" t="s">
        <v>3459</v>
      </c>
      <c r="I281" s="37" t="s">
        <v>4924</v>
      </c>
      <c r="J281" s="37" t="s">
        <v>4955</v>
      </c>
    </row>
    <row r="282" spans="1:10">
      <c r="A282" s="32"/>
      <c r="B282" s="28" t="s">
        <v>2830</v>
      </c>
      <c r="C282" s="37" t="s">
        <v>4956</v>
      </c>
      <c r="D282" s="37" t="s">
        <v>4957</v>
      </c>
      <c r="E282" s="56" t="s">
        <v>2639</v>
      </c>
      <c r="F282" s="37" t="s">
        <v>4958</v>
      </c>
      <c r="G282" s="37" t="s">
        <v>4959</v>
      </c>
      <c r="H282" s="37" t="s">
        <v>3453</v>
      </c>
      <c r="I282" s="37" t="s">
        <v>4960</v>
      </c>
      <c r="J282" s="37" t="s">
        <v>4961</v>
      </c>
    </row>
    <row r="283" spans="1:10">
      <c r="A283" s="32"/>
      <c r="B283" s="29"/>
      <c r="C283" s="37" t="s">
        <v>4962</v>
      </c>
      <c r="D283" s="37" t="s">
        <v>4963</v>
      </c>
      <c r="E283" s="56" t="s">
        <v>2640</v>
      </c>
      <c r="F283" s="37" t="s">
        <v>4964</v>
      </c>
      <c r="G283" s="37" t="s">
        <v>4965</v>
      </c>
      <c r="H283" s="37" t="s">
        <v>3453</v>
      </c>
      <c r="I283" s="37" t="s">
        <v>4966</v>
      </c>
      <c r="J283" s="37" t="s">
        <v>4967</v>
      </c>
    </row>
    <row r="284" spans="1:10">
      <c r="A284" s="32"/>
      <c r="B284" s="29"/>
      <c r="C284" s="37" t="s">
        <v>4968</v>
      </c>
      <c r="D284" s="37" t="s">
        <v>4969</v>
      </c>
      <c r="E284" s="56" t="s">
        <v>2640</v>
      </c>
      <c r="F284" s="37" t="s">
        <v>4695</v>
      </c>
      <c r="G284" s="37" t="s">
        <v>2381</v>
      </c>
      <c r="H284" s="37" t="s">
        <v>3453</v>
      </c>
      <c r="I284" s="37" t="s">
        <v>4970</v>
      </c>
      <c r="J284" s="37" t="s">
        <v>4971</v>
      </c>
    </row>
    <row r="285" spans="1:10">
      <c r="A285" s="32"/>
      <c r="B285" s="29"/>
      <c r="C285" s="37" t="s">
        <v>4972</v>
      </c>
      <c r="D285" s="37" t="s">
        <v>4973</v>
      </c>
      <c r="E285" s="56" t="s">
        <v>2641</v>
      </c>
      <c r="F285" s="37" t="s">
        <v>4974</v>
      </c>
      <c r="G285" s="37" t="s">
        <v>2934</v>
      </c>
      <c r="H285" s="37" t="s">
        <v>3453</v>
      </c>
      <c r="I285" s="37" t="s">
        <v>2487</v>
      </c>
      <c r="J285" s="37" t="s">
        <v>4975</v>
      </c>
    </row>
    <row r="286" spans="1:10">
      <c r="A286" s="32"/>
      <c r="B286" s="30"/>
      <c r="C286" s="37" t="s">
        <v>4976</v>
      </c>
      <c r="D286" s="37" t="s">
        <v>4977</v>
      </c>
      <c r="E286" s="56" t="s">
        <v>2640</v>
      </c>
      <c r="F286" s="37" t="s">
        <v>4978</v>
      </c>
      <c r="G286" s="37" t="s">
        <v>4979</v>
      </c>
      <c r="H286" s="37" t="s">
        <v>3459</v>
      </c>
      <c r="I286" s="37" t="s">
        <v>4980</v>
      </c>
      <c r="J286" s="37" t="s">
        <v>4981</v>
      </c>
    </row>
    <row r="287" spans="1:10">
      <c r="A287" s="32"/>
      <c r="B287" s="28" t="s">
        <v>2831</v>
      </c>
      <c r="C287" s="37" t="s">
        <v>4982</v>
      </c>
      <c r="D287" s="37" t="s">
        <v>4983</v>
      </c>
      <c r="E287" s="56" t="s">
        <v>2639</v>
      </c>
      <c r="F287" s="37" t="s">
        <v>4984</v>
      </c>
      <c r="G287" s="37" t="s">
        <v>4985</v>
      </c>
      <c r="H287" s="37" t="s">
        <v>3459</v>
      </c>
      <c r="I287" s="37" t="s">
        <v>4986</v>
      </c>
      <c r="J287" s="37" t="s">
        <v>4987</v>
      </c>
    </row>
    <row r="288" spans="1:10">
      <c r="A288" s="32"/>
      <c r="B288" s="29"/>
      <c r="C288" s="37" t="s">
        <v>4673</v>
      </c>
      <c r="D288" s="37" t="s">
        <v>4988</v>
      </c>
      <c r="E288" s="56" t="s">
        <v>2640</v>
      </c>
      <c r="F288" s="37" t="s">
        <v>4745</v>
      </c>
      <c r="G288" s="37" t="s">
        <v>2060</v>
      </c>
      <c r="H288" s="37" t="s">
        <v>3453</v>
      </c>
      <c r="I288" s="37" t="s">
        <v>4989</v>
      </c>
      <c r="J288" s="37" t="s">
        <v>4990</v>
      </c>
    </row>
    <row r="289" spans="1:10">
      <c r="A289" s="32"/>
      <c r="B289" s="29"/>
      <c r="C289" s="37" t="s">
        <v>4991</v>
      </c>
      <c r="D289" s="37" t="s">
        <v>4992</v>
      </c>
      <c r="E289" s="56" t="s">
        <v>2641</v>
      </c>
      <c r="F289" s="37" t="s">
        <v>4454</v>
      </c>
      <c r="G289" s="37" t="s">
        <v>4993</v>
      </c>
      <c r="H289" s="37" t="s">
        <v>3453</v>
      </c>
      <c r="I289" s="37" t="s">
        <v>4994</v>
      </c>
      <c r="J289" s="37" t="s">
        <v>4995</v>
      </c>
    </row>
    <row r="290" spans="1:10">
      <c r="A290" s="32"/>
      <c r="B290" s="29"/>
      <c r="C290" s="37" t="s">
        <v>4491</v>
      </c>
      <c r="D290" s="37" t="s">
        <v>4996</v>
      </c>
      <c r="E290" s="56" t="s">
        <v>2640</v>
      </c>
      <c r="F290" s="37" t="s">
        <v>4997</v>
      </c>
      <c r="G290" s="37" t="s">
        <v>4998</v>
      </c>
      <c r="H290" s="37" t="s">
        <v>3453</v>
      </c>
      <c r="I290" s="37" t="s">
        <v>4999</v>
      </c>
      <c r="J290" s="37" t="s">
        <v>5000</v>
      </c>
    </row>
    <row r="291" spans="1:10">
      <c r="A291" s="32"/>
      <c r="B291" s="30"/>
      <c r="C291" s="37" t="s">
        <v>5001</v>
      </c>
      <c r="D291" s="37" t="s">
        <v>5002</v>
      </c>
      <c r="E291" s="56" t="s">
        <v>2639</v>
      </c>
      <c r="F291" s="37" t="s">
        <v>5003</v>
      </c>
      <c r="G291" s="37" t="s">
        <v>5004</v>
      </c>
      <c r="H291" s="37" t="s">
        <v>3459</v>
      </c>
      <c r="I291" s="37" t="s">
        <v>4811</v>
      </c>
      <c r="J291" s="37" t="s">
        <v>5005</v>
      </c>
    </row>
    <row r="292" spans="1:10">
      <c r="A292" s="32"/>
      <c r="B292" s="28" t="s">
        <v>2832</v>
      </c>
      <c r="C292" s="37" t="s">
        <v>5006</v>
      </c>
      <c r="D292" s="37" t="s">
        <v>5007</v>
      </c>
      <c r="E292" s="56" t="s">
        <v>2639</v>
      </c>
      <c r="F292" s="37" t="s">
        <v>5008</v>
      </c>
      <c r="G292" s="37" t="s">
        <v>5009</v>
      </c>
      <c r="H292" s="37" t="s">
        <v>3459</v>
      </c>
      <c r="I292" s="37" t="s">
        <v>2391</v>
      </c>
      <c r="J292" s="37" t="s">
        <v>5010</v>
      </c>
    </row>
    <row r="293" spans="1:10">
      <c r="A293" s="32"/>
      <c r="B293" s="29"/>
      <c r="C293" s="37" t="s">
        <v>5011</v>
      </c>
      <c r="D293" s="37" t="s">
        <v>5012</v>
      </c>
      <c r="E293" s="56" t="s">
        <v>2640</v>
      </c>
      <c r="F293" s="37" t="s">
        <v>5013</v>
      </c>
      <c r="G293" s="37" t="s">
        <v>5014</v>
      </c>
      <c r="H293" s="37" t="s">
        <v>3453</v>
      </c>
      <c r="I293" s="37" t="s">
        <v>5015</v>
      </c>
      <c r="J293" s="37" t="s">
        <v>5016</v>
      </c>
    </row>
    <row r="294" spans="1:10">
      <c r="A294" s="32"/>
      <c r="B294" s="29"/>
      <c r="C294" s="37" t="s">
        <v>5017</v>
      </c>
      <c r="D294" s="37" t="s">
        <v>5018</v>
      </c>
      <c r="E294" s="56" t="s">
        <v>2640</v>
      </c>
      <c r="F294" s="37" t="s">
        <v>4358</v>
      </c>
      <c r="G294" s="37" t="s">
        <v>5019</v>
      </c>
      <c r="H294" s="37" t="s">
        <v>3453</v>
      </c>
      <c r="I294" s="37" t="s">
        <v>5020</v>
      </c>
      <c r="J294" s="37" t="s">
        <v>5021</v>
      </c>
    </row>
    <row r="295" spans="1:10">
      <c r="A295" s="32"/>
      <c r="B295" s="29"/>
      <c r="C295" s="37" t="s">
        <v>5022</v>
      </c>
      <c r="D295" s="37" t="s">
        <v>5023</v>
      </c>
      <c r="E295" s="56" t="s">
        <v>2641</v>
      </c>
      <c r="F295" s="37" t="s">
        <v>4949</v>
      </c>
      <c r="G295" s="37" t="s">
        <v>2291</v>
      </c>
      <c r="H295" s="37" t="s">
        <v>3453</v>
      </c>
      <c r="I295" s="37" t="s">
        <v>5024</v>
      </c>
      <c r="J295" s="37" t="s">
        <v>5025</v>
      </c>
    </row>
    <row r="296" spans="1:10">
      <c r="A296" s="32"/>
      <c r="B296" s="30"/>
      <c r="C296" s="37" t="s">
        <v>5026</v>
      </c>
      <c r="D296" s="37" t="s">
        <v>5027</v>
      </c>
      <c r="E296" s="56" t="s">
        <v>2640</v>
      </c>
      <c r="F296" s="37" t="s">
        <v>5028</v>
      </c>
      <c r="G296" s="37" t="s">
        <v>5029</v>
      </c>
      <c r="H296" s="37" t="s">
        <v>3459</v>
      </c>
      <c r="I296" s="37" t="s">
        <v>2229</v>
      </c>
      <c r="J296" s="37" t="s">
        <v>5030</v>
      </c>
    </row>
    <row r="297" spans="1:10">
      <c r="A297" s="32"/>
      <c r="B297" s="28" t="s">
        <v>2833</v>
      </c>
      <c r="C297" s="37" t="s">
        <v>5031</v>
      </c>
      <c r="D297" s="37" t="s">
        <v>5032</v>
      </c>
      <c r="E297" s="56" t="s">
        <v>2640</v>
      </c>
      <c r="F297" s="37" t="s">
        <v>5033</v>
      </c>
      <c r="G297" s="37" t="s">
        <v>5034</v>
      </c>
      <c r="H297" s="37" t="s">
        <v>3453</v>
      </c>
      <c r="I297" s="37" t="s">
        <v>5035</v>
      </c>
      <c r="J297" s="37" t="s">
        <v>5036</v>
      </c>
    </row>
    <row r="298" spans="1:10">
      <c r="A298" s="32"/>
      <c r="B298" s="29"/>
      <c r="C298" s="37" t="s">
        <v>5037</v>
      </c>
      <c r="D298" s="37" t="s">
        <v>5038</v>
      </c>
      <c r="E298" s="56" t="s">
        <v>2641</v>
      </c>
      <c r="F298" s="37" t="s">
        <v>5039</v>
      </c>
      <c r="G298" s="37" t="s">
        <v>5040</v>
      </c>
      <c r="H298" s="37" t="s">
        <v>3453</v>
      </c>
      <c r="I298" s="37" t="s">
        <v>5041</v>
      </c>
      <c r="J298" s="37" t="s">
        <v>5042</v>
      </c>
    </row>
    <row r="299" spans="1:10">
      <c r="A299" s="32"/>
      <c r="B299" s="29"/>
      <c r="C299" s="37" t="s">
        <v>4803</v>
      </c>
      <c r="D299" s="37" t="s">
        <v>5043</v>
      </c>
      <c r="E299" s="56" t="s">
        <v>2640</v>
      </c>
      <c r="F299" s="37" t="s">
        <v>5044</v>
      </c>
      <c r="G299" s="37" t="s">
        <v>3460</v>
      </c>
      <c r="H299" s="37" t="s">
        <v>3459</v>
      </c>
      <c r="I299" s="37" t="s">
        <v>5045</v>
      </c>
      <c r="J299" s="37" t="s">
        <v>5046</v>
      </c>
    </row>
    <row r="300" spans="1:10">
      <c r="A300" s="32"/>
      <c r="B300" s="29"/>
      <c r="C300" s="37" t="s">
        <v>5047</v>
      </c>
      <c r="D300" s="37" t="s">
        <v>5048</v>
      </c>
      <c r="E300" s="56" t="s">
        <v>2640</v>
      </c>
      <c r="F300" s="37" t="s">
        <v>5049</v>
      </c>
      <c r="G300" s="37" t="s">
        <v>5050</v>
      </c>
      <c r="H300" s="37" t="s">
        <v>3453</v>
      </c>
      <c r="I300" s="37" t="s">
        <v>5051</v>
      </c>
      <c r="J300" s="37" t="s">
        <v>5052</v>
      </c>
    </row>
    <row r="301" spans="1:10">
      <c r="A301" s="32"/>
      <c r="B301" s="30"/>
      <c r="C301" s="37" t="s">
        <v>5053</v>
      </c>
      <c r="D301" s="37" t="s">
        <v>5054</v>
      </c>
      <c r="E301" s="56" t="s">
        <v>2641</v>
      </c>
      <c r="F301" s="37" t="s">
        <v>5055</v>
      </c>
      <c r="G301" s="37" t="s">
        <v>5056</v>
      </c>
      <c r="H301" s="37" t="s">
        <v>3459</v>
      </c>
      <c r="I301" s="37" t="s">
        <v>5057</v>
      </c>
      <c r="J301" s="37" t="s">
        <v>5058</v>
      </c>
    </row>
    <row r="302" spans="1:10">
      <c r="A302" s="32"/>
      <c r="B302" s="28" t="s">
        <v>2834</v>
      </c>
      <c r="C302" s="37" t="s">
        <v>5059</v>
      </c>
      <c r="D302" s="37" t="s">
        <v>4331</v>
      </c>
      <c r="E302" s="56" t="s">
        <v>2639</v>
      </c>
      <c r="F302" s="37" t="s">
        <v>5060</v>
      </c>
      <c r="G302" s="37" t="s">
        <v>3299</v>
      </c>
      <c r="H302" s="37" t="s">
        <v>3459</v>
      </c>
      <c r="I302" s="37" t="s">
        <v>5061</v>
      </c>
      <c r="J302" s="37" t="s">
        <v>5062</v>
      </c>
    </row>
    <row r="303" spans="1:10">
      <c r="A303" s="32"/>
      <c r="B303" s="29"/>
      <c r="C303" s="37" t="s">
        <v>4709</v>
      </c>
      <c r="D303" s="37" t="s">
        <v>5063</v>
      </c>
      <c r="E303" s="56" t="s">
        <v>2640</v>
      </c>
      <c r="F303" s="37" t="s">
        <v>5064</v>
      </c>
      <c r="G303" s="37" t="s">
        <v>5065</v>
      </c>
      <c r="H303" s="37" t="s">
        <v>3459</v>
      </c>
      <c r="I303" s="37" t="s">
        <v>4928</v>
      </c>
      <c r="J303" s="37" t="s">
        <v>5066</v>
      </c>
    </row>
    <row r="304" spans="1:10">
      <c r="A304" s="32"/>
      <c r="B304" s="29"/>
      <c r="C304" s="37" t="s">
        <v>1962</v>
      </c>
      <c r="D304" s="37" t="s">
        <v>5067</v>
      </c>
      <c r="E304" s="56" t="s">
        <v>2641</v>
      </c>
      <c r="F304" s="37" t="s">
        <v>5068</v>
      </c>
      <c r="G304" s="37" t="s">
        <v>1915</v>
      </c>
      <c r="H304" s="37" t="s">
        <v>3459</v>
      </c>
      <c r="I304" s="37" t="s">
        <v>5069</v>
      </c>
      <c r="J304" s="37" t="s">
        <v>5070</v>
      </c>
    </row>
    <row r="305" spans="1:10">
      <c r="A305" s="32"/>
      <c r="B305" s="29"/>
      <c r="C305" s="37" t="s">
        <v>4500</v>
      </c>
      <c r="D305" s="37" t="s">
        <v>5071</v>
      </c>
      <c r="E305" s="56" t="s">
        <v>2640</v>
      </c>
      <c r="F305" s="37" t="s">
        <v>2205</v>
      </c>
      <c r="G305" s="37" t="s">
        <v>5072</v>
      </c>
      <c r="H305" s="37" t="s">
        <v>3453</v>
      </c>
      <c r="I305" s="37" t="s">
        <v>5073</v>
      </c>
      <c r="J305" s="37" t="s">
        <v>5074</v>
      </c>
    </row>
    <row r="306" spans="1:10">
      <c r="A306" s="33"/>
      <c r="B306" s="30"/>
      <c r="C306" s="37" t="s">
        <v>5075</v>
      </c>
      <c r="D306" s="37" t="s">
        <v>5076</v>
      </c>
      <c r="E306" s="56" t="s">
        <v>2641</v>
      </c>
      <c r="F306" s="37" t="s">
        <v>5077</v>
      </c>
      <c r="G306" s="37" t="s">
        <v>5078</v>
      </c>
      <c r="H306" s="37" t="s">
        <v>3453</v>
      </c>
      <c r="I306" s="37" t="s">
        <v>5079</v>
      </c>
      <c r="J306" s="37" t="s">
        <v>5080</v>
      </c>
    </row>
    <row r="307" spans="1:10">
      <c r="A307" s="31" t="s">
        <v>2835</v>
      </c>
      <c r="B307" s="28" t="s">
        <v>2836</v>
      </c>
      <c r="C307" s="37" t="s">
        <v>5081</v>
      </c>
      <c r="D307" s="37" t="s">
        <v>5082</v>
      </c>
      <c r="E307" s="56" t="s">
        <v>2640</v>
      </c>
      <c r="F307" s="37" t="s">
        <v>5083</v>
      </c>
      <c r="G307" s="37" t="s">
        <v>5084</v>
      </c>
      <c r="H307" s="37" t="s">
        <v>3453</v>
      </c>
      <c r="I307" s="37" t="s">
        <v>5085</v>
      </c>
      <c r="J307" s="37" t="s">
        <v>5086</v>
      </c>
    </row>
    <row r="308" spans="1:10">
      <c r="A308" s="32"/>
      <c r="B308" s="29"/>
      <c r="C308" s="37" t="s">
        <v>5087</v>
      </c>
      <c r="D308" s="37" t="s">
        <v>5088</v>
      </c>
      <c r="E308" s="56" t="s">
        <v>2641</v>
      </c>
      <c r="F308" s="37" t="s">
        <v>5089</v>
      </c>
      <c r="G308" s="37" t="s">
        <v>5090</v>
      </c>
      <c r="H308" s="37" t="s">
        <v>3459</v>
      </c>
      <c r="I308" s="37" t="s">
        <v>5091</v>
      </c>
      <c r="J308" s="37" t="s">
        <v>5092</v>
      </c>
    </row>
    <row r="309" spans="1:10">
      <c r="A309" s="32"/>
      <c r="B309" s="29"/>
      <c r="C309" s="37" t="s">
        <v>5093</v>
      </c>
      <c r="D309" s="37" t="s">
        <v>4322</v>
      </c>
      <c r="E309" s="56" t="s">
        <v>2640</v>
      </c>
      <c r="F309" s="37" t="s">
        <v>5094</v>
      </c>
      <c r="G309" s="37" t="s">
        <v>5095</v>
      </c>
      <c r="H309" s="37" t="s">
        <v>3453</v>
      </c>
      <c r="I309" s="37" t="s">
        <v>5096</v>
      </c>
      <c r="J309" s="37" t="s">
        <v>5097</v>
      </c>
    </row>
    <row r="310" spans="1:10">
      <c r="A310" s="32"/>
      <c r="B310" s="29"/>
      <c r="C310" s="37" t="s">
        <v>5098</v>
      </c>
      <c r="D310" s="37" t="s">
        <v>5099</v>
      </c>
      <c r="E310" s="56" t="s">
        <v>2640</v>
      </c>
      <c r="F310" s="37" t="s">
        <v>5100</v>
      </c>
      <c r="G310" s="37" t="s">
        <v>5101</v>
      </c>
      <c r="H310" s="37" t="s">
        <v>3459</v>
      </c>
      <c r="I310" s="37" t="s">
        <v>4066</v>
      </c>
      <c r="J310" s="37" t="s">
        <v>5102</v>
      </c>
    </row>
    <row r="311" spans="1:10">
      <c r="A311" s="32"/>
      <c r="B311" s="30"/>
      <c r="C311" s="37" t="s">
        <v>5103</v>
      </c>
      <c r="D311" s="37" t="s">
        <v>5104</v>
      </c>
      <c r="E311" s="56" t="s">
        <v>2641</v>
      </c>
      <c r="F311" s="37" t="s">
        <v>3410</v>
      </c>
      <c r="G311" s="37" t="s">
        <v>5105</v>
      </c>
      <c r="H311" s="37" t="s">
        <v>3459</v>
      </c>
      <c r="I311" s="37" t="s">
        <v>5106</v>
      </c>
      <c r="J311" s="37" t="s">
        <v>5107</v>
      </c>
    </row>
    <row r="312" spans="1:10">
      <c r="A312" s="32"/>
      <c r="B312" s="28" t="s">
        <v>2837</v>
      </c>
      <c r="C312" s="37" t="s">
        <v>5108</v>
      </c>
      <c r="D312" s="37" t="s">
        <v>5109</v>
      </c>
      <c r="E312" s="56" t="s">
        <v>2640</v>
      </c>
      <c r="F312" s="37" t="s">
        <v>5110</v>
      </c>
      <c r="G312" s="37" t="s">
        <v>5045</v>
      </c>
      <c r="H312" s="37" t="s">
        <v>3453</v>
      </c>
      <c r="I312" s="37" t="s">
        <v>4811</v>
      </c>
      <c r="J312" s="37" t="s">
        <v>5111</v>
      </c>
    </row>
    <row r="313" spans="1:10">
      <c r="A313" s="32"/>
      <c r="B313" s="29"/>
      <c r="C313" s="37" t="s">
        <v>5112</v>
      </c>
      <c r="D313" s="37" t="s">
        <v>5113</v>
      </c>
      <c r="E313" s="56" t="s">
        <v>2640</v>
      </c>
      <c r="F313" s="37" t="s">
        <v>2937</v>
      </c>
      <c r="G313" s="37" t="s">
        <v>5114</v>
      </c>
      <c r="H313" s="37" t="s">
        <v>3453</v>
      </c>
      <c r="I313" s="37" t="s">
        <v>5115</v>
      </c>
      <c r="J313" s="37" t="s">
        <v>5116</v>
      </c>
    </row>
    <row r="314" spans="1:10">
      <c r="A314" s="32"/>
      <c r="B314" s="29"/>
      <c r="C314" s="37" t="s">
        <v>5117</v>
      </c>
      <c r="D314" s="37" t="s">
        <v>5118</v>
      </c>
      <c r="E314" s="56" t="s">
        <v>2641</v>
      </c>
      <c r="F314" s="37" t="s">
        <v>5119</v>
      </c>
      <c r="G314" s="37" t="s">
        <v>5120</v>
      </c>
      <c r="H314" s="37" t="s">
        <v>3459</v>
      </c>
      <c r="I314" s="37" t="s">
        <v>5121</v>
      </c>
      <c r="J314" s="37" t="s">
        <v>5122</v>
      </c>
    </row>
    <row r="315" spans="1:10">
      <c r="A315" s="32"/>
      <c r="B315" s="29"/>
      <c r="C315" s="37" t="s">
        <v>5123</v>
      </c>
      <c r="D315" s="37" t="s">
        <v>5124</v>
      </c>
      <c r="E315" s="56" t="s">
        <v>2640</v>
      </c>
      <c r="F315" s="37" t="s">
        <v>5125</v>
      </c>
      <c r="G315" s="37" t="s">
        <v>5126</v>
      </c>
      <c r="H315" s="37" t="s">
        <v>3459</v>
      </c>
      <c r="I315" s="37" t="s">
        <v>5127</v>
      </c>
      <c r="J315" s="37" t="s">
        <v>5128</v>
      </c>
    </row>
    <row r="316" spans="1:10">
      <c r="A316" s="32"/>
      <c r="B316" s="30"/>
      <c r="C316" s="37" t="s">
        <v>5129</v>
      </c>
      <c r="D316" s="37" t="s">
        <v>5130</v>
      </c>
      <c r="E316" s="56" t="s">
        <v>2640</v>
      </c>
      <c r="F316" s="37" t="s">
        <v>5131</v>
      </c>
      <c r="G316" s="37" t="s">
        <v>5132</v>
      </c>
      <c r="H316" s="37" t="s">
        <v>3453</v>
      </c>
      <c r="I316" s="37" t="s">
        <v>5133</v>
      </c>
      <c r="J316" s="37" t="s">
        <v>5134</v>
      </c>
    </row>
    <row r="317" spans="1:10">
      <c r="A317" s="32"/>
      <c r="B317" s="28" t="s">
        <v>2838</v>
      </c>
      <c r="C317" s="37" t="s">
        <v>5136</v>
      </c>
      <c r="D317" s="37" t="s">
        <v>5137</v>
      </c>
      <c r="E317" s="56" t="s">
        <v>2640</v>
      </c>
      <c r="F317" s="37" t="s">
        <v>5119</v>
      </c>
      <c r="G317" s="37" t="s">
        <v>3183</v>
      </c>
      <c r="H317" s="37" t="s">
        <v>3459</v>
      </c>
      <c r="I317" s="37" t="s">
        <v>5138</v>
      </c>
      <c r="J317" s="37" t="s">
        <v>5139</v>
      </c>
    </row>
    <row r="318" spans="1:10">
      <c r="A318" s="32"/>
      <c r="B318" s="29"/>
      <c r="C318" s="37" t="s">
        <v>5140</v>
      </c>
      <c r="D318" s="37" t="s">
        <v>5141</v>
      </c>
      <c r="E318" s="56" t="s">
        <v>2641</v>
      </c>
      <c r="F318" s="37" t="s">
        <v>5142</v>
      </c>
      <c r="G318" s="37" t="s">
        <v>5143</v>
      </c>
      <c r="H318" s="37" t="s">
        <v>3459</v>
      </c>
      <c r="I318" s="37" t="s">
        <v>5144</v>
      </c>
      <c r="J318" s="37" t="s">
        <v>5145</v>
      </c>
    </row>
    <row r="319" spans="1:10">
      <c r="A319" s="32"/>
      <c r="B319" s="29"/>
      <c r="C319" s="37" t="s">
        <v>5146</v>
      </c>
      <c r="D319" s="37" t="s">
        <v>5147</v>
      </c>
      <c r="E319" s="56" t="s">
        <v>2640</v>
      </c>
      <c r="F319" s="37" t="s">
        <v>5094</v>
      </c>
      <c r="G319" s="37" t="s">
        <v>3206</v>
      </c>
      <c r="H319" s="37" t="s">
        <v>3453</v>
      </c>
      <c r="I319" s="37" t="s">
        <v>5148</v>
      </c>
      <c r="J319" s="37" t="s">
        <v>5149</v>
      </c>
    </row>
    <row r="320" spans="1:10">
      <c r="A320" s="32"/>
      <c r="B320" s="29"/>
      <c r="C320" s="37" t="s">
        <v>5150</v>
      </c>
      <c r="D320" s="37" t="s">
        <v>5151</v>
      </c>
      <c r="E320" s="56" t="s">
        <v>2640</v>
      </c>
      <c r="F320" s="37" t="s">
        <v>5152</v>
      </c>
      <c r="G320" s="37" t="s">
        <v>5153</v>
      </c>
      <c r="H320" s="37" t="s">
        <v>3459</v>
      </c>
      <c r="I320" s="37" t="s">
        <v>5154</v>
      </c>
      <c r="J320" s="37" t="s">
        <v>5155</v>
      </c>
    </row>
    <row r="321" spans="1:10">
      <c r="A321" s="32"/>
      <c r="B321" s="30"/>
      <c r="C321" s="37" t="s">
        <v>5156</v>
      </c>
      <c r="D321" s="37" t="s">
        <v>5157</v>
      </c>
      <c r="E321" s="56" t="s">
        <v>2641</v>
      </c>
      <c r="F321" s="37" t="s">
        <v>5158</v>
      </c>
      <c r="G321" s="37" t="s">
        <v>5159</v>
      </c>
      <c r="H321" s="37" t="s">
        <v>3581</v>
      </c>
      <c r="I321" s="37" t="s">
        <v>5160</v>
      </c>
      <c r="J321" s="37" t="s">
        <v>5161</v>
      </c>
    </row>
    <row r="322" spans="1:10">
      <c r="A322" s="32"/>
      <c r="B322" s="28" t="s">
        <v>2839</v>
      </c>
      <c r="C322" s="37" t="s">
        <v>5187</v>
      </c>
      <c r="D322" s="37" t="s">
        <v>5188</v>
      </c>
      <c r="E322" s="56" t="s">
        <v>2640</v>
      </c>
      <c r="F322" s="37" t="s">
        <v>5189</v>
      </c>
      <c r="G322" s="37" t="s">
        <v>5190</v>
      </c>
      <c r="H322" s="37" t="s">
        <v>3453</v>
      </c>
      <c r="I322" s="37" t="s">
        <v>5191</v>
      </c>
      <c r="J322" s="37" t="s">
        <v>5192</v>
      </c>
    </row>
    <row r="323" spans="1:10">
      <c r="A323" s="32"/>
      <c r="B323" s="29"/>
      <c r="C323" s="37" t="s">
        <v>5193</v>
      </c>
      <c r="D323" s="37" t="s">
        <v>5194</v>
      </c>
      <c r="E323" s="56" t="s">
        <v>2640</v>
      </c>
      <c r="F323" s="37" t="s">
        <v>5195</v>
      </c>
      <c r="G323" s="37" t="s">
        <v>5196</v>
      </c>
      <c r="H323" s="37" t="s">
        <v>3453</v>
      </c>
      <c r="I323" s="37" t="s">
        <v>5197</v>
      </c>
      <c r="J323" s="37" t="s">
        <v>5198</v>
      </c>
    </row>
    <row r="324" spans="1:10">
      <c r="A324" s="32"/>
      <c r="B324" s="29"/>
      <c r="C324" s="37" t="s">
        <v>5199</v>
      </c>
      <c r="D324" s="37" t="s">
        <v>5200</v>
      </c>
      <c r="E324" s="56" t="s">
        <v>2641</v>
      </c>
      <c r="F324" s="37" t="s">
        <v>5201</v>
      </c>
      <c r="G324" s="37" t="s">
        <v>5202</v>
      </c>
      <c r="H324" s="37" t="s">
        <v>3459</v>
      </c>
      <c r="I324" s="37" t="s">
        <v>5203</v>
      </c>
      <c r="J324" s="37" t="s">
        <v>5204</v>
      </c>
    </row>
    <row r="325" spans="1:10">
      <c r="A325" s="32"/>
      <c r="B325" s="29"/>
      <c r="C325" s="37" t="s">
        <v>5205</v>
      </c>
      <c r="D325" s="37" t="s">
        <v>5206</v>
      </c>
      <c r="E325" s="56" t="s">
        <v>2640</v>
      </c>
      <c r="F325" s="37" t="s">
        <v>2995</v>
      </c>
      <c r="G325" s="37" t="s">
        <v>5207</v>
      </c>
      <c r="H325" s="37" t="s">
        <v>3459</v>
      </c>
      <c r="I325" s="37" t="s">
        <v>5208</v>
      </c>
      <c r="J325" s="37" t="s">
        <v>5209</v>
      </c>
    </row>
    <row r="326" spans="1:10">
      <c r="A326" s="32"/>
      <c r="B326" s="30"/>
      <c r="C326" s="37" t="s">
        <v>4759</v>
      </c>
      <c r="D326" s="37" t="s">
        <v>5210</v>
      </c>
      <c r="E326" s="56" t="s">
        <v>2640</v>
      </c>
      <c r="F326" s="37" t="s">
        <v>5211</v>
      </c>
      <c r="G326" s="37" t="s">
        <v>5212</v>
      </c>
      <c r="H326" s="37" t="s">
        <v>3459</v>
      </c>
      <c r="I326" s="37" t="s">
        <v>2552</v>
      </c>
      <c r="J326" s="37" t="s">
        <v>5213</v>
      </c>
    </row>
    <row r="327" spans="1:10">
      <c r="A327" s="32"/>
      <c r="B327" s="28" t="s">
        <v>2840</v>
      </c>
      <c r="C327" s="37" t="s">
        <v>5162</v>
      </c>
      <c r="D327" s="37" t="s">
        <v>5163</v>
      </c>
      <c r="E327" s="56" t="s">
        <v>2639</v>
      </c>
      <c r="F327" s="37" t="s">
        <v>5164</v>
      </c>
      <c r="G327" s="37" t="s">
        <v>2696</v>
      </c>
      <c r="H327" s="37" t="s">
        <v>3453</v>
      </c>
      <c r="I327" s="37" t="s">
        <v>5165</v>
      </c>
      <c r="J327" s="37" t="s">
        <v>5166</v>
      </c>
    </row>
    <row r="328" spans="1:10">
      <c r="A328" s="32"/>
      <c r="B328" s="29"/>
      <c r="C328" s="37" t="s">
        <v>5167</v>
      </c>
      <c r="D328" s="37" t="s">
        <v>5168</v>
      </c>
      <c r="E328" s="56" t="s">
        <v>2640</v>
      </c>
      <c r="F328" s="37" t="s">
        <v>4964</v>
      </c>
      <c r="G328" s="37" t="s">
        <v>5169</v>
      </c>
      <c r="H328" s="37" t="s">
        <v>3453</v>
      </c>
      <c r="I328" s="37" t="s">
        <v>5170</v>
      </c>
      <c r="J328" s="37" t="s">
        <v>5171</v>
      </c>
    </row>
    <row r="329" spans="1:10">
      <c r="A329" s="32"/>
      <c r="B329" s="29"/>
      <c r="C329" s="37" t="s">
        <v>5172</v>
      </c>
      <c r="D329" s="37" t="s">
        <v>5173</v>
      </c>
      <c r="E329" s="56" t="s">
        <v>2641</v>
      </c>
      <c r="F329" s="37" t="s">
        <v>5174</v>
      </c>
      <c r="G329" s="37" t="s">
        <v>5175</v>
      </c>
      <c r="H329" s="37" t="s">
        <v>3459</v>
      </c>
      <c r="I329" s="37" t="s">
        <v>5176</v>
      </c>
      <c r="J329" s="37" t="s">
        <v>5177</v>
      </c>
    </row>
    <row r="330" spans="1:10">
      <c r="A330" s="32"/>
      <c r="B330" s="29"/>
      <c r="C330" s="37" t="s">
        <v>5178</v>
      </c>
      <c r="D330" s="37" t="s">
        <v>5179</v>
      </c>
      <c r="E330" s="56" t="s">
        <v>2640</v>
      </c>
      <c r="F330" s="37" t="s">
        <v>5180</v>
      </c>
      <c r="G330" s="37" t="s">
        <v>2381</v>
      </c>
      <c r="H330" s="37" t="s">
        <v>3453</v>
      </c>
      <c r="I330" s="37" t="s">
        <v>5181</v>
      </c>
      <c r="J330" s="37" t="s">
        <v>5182</v>
      </c>
    </row>
    <row r="331" spans="1:10">
      <c r="A331" s="33"/>
      <c r="B331" s="30"/>
      <c r="C331" s="37" t="s">
        <v>5183</v>
      </c>
      <c r="D331" s="37" t="s">
        <v>5184</v>
      </c>
      <c r="E331" s="56" t="s">
        <v>2640</v>
      </c>
      <c r="F331" s="37" t="s">
        <v>5068</v>
      </c>
      <c r="G331" s="37" t="s">
        <v>5015</v>
      </c>
      <c r="H331" s="37" t="s">
        <v>3453</v>
      </c>
      <c r="I331" s="37" t="s">
        <v>5185</v>
      </c>
      <c r="J331" s="37" t="s">
        <v>5186</v>
      </c>
    </row>
  </sheetData>
  <mergeCells count="76">
    <mergeCell ref="B282:B286"/>
    <mergeCell ref="B287:B291"/>
    <mergeCell ref="B292:B296"/>
    <mergeCell ref="B252:B256"/>
    <mergeCell ref="B257:B261"/>
    <mergeCell ref="B262:B266"/>
    <mergeCell ref="B267:B271"/>
    <mergeCell ref="B272:B276"/>
    <mergeCell ref="B277:B281"/>
    <mergeCell ref="B222:B226"/>
    <mergeCell ref="B227:B231"/>
    <mergeCell ref="B232:B236"/>
    <mergeCell ref="B237:B241"/>
    <mergeCell ref="B242:B246"/>
    <mergeCell ref="B247:B251"/>
    <mergeCell ref="B192:B196"/>
    <mergeCell ref="B197:B201"/>
    <mergeCell ref="B202:B206"/>
    <mergeCell ref="B207:B211"/>
    <mergeCell ref="B212:B216"/>
    <mergeCell ref="B217:B221"/>
    <mergeCell ref="B162:B166"/>
    <mergeCell ref="B167:B171"/>
    <mergeCell ref="B172:B176"/>
    <mergeCell ref="B177:B181"/>
    <mergeCell ref="B182:B186"/>
    <mergeCell ref="B187:B191"/>
    <mergeCell ref="B132:B136"/>
    <mergeCell ref="B137:B141"/>
    <mergeCell ref="B142:B146"/>
    <mergeCell ref="B147:B151"/>
    <mergeCell ref="B152:B156"/>
    <mergeCell ref="B157:B161"/>
    <mergeCell ref="B102:B106"/>
    <mergeCell ref="B107:B111"/>
    <mergeCell ref="B112:B116"/>
    <mergeCell ref="B117:B121"/>
    <mergeCell ref="B122:B126"/>
    <mergeCell ref="B127:B131"/>
    <mergeCell ref="B72:B76"/>
    <mergeCell ref="B77:B81"/>
    <mergeCell ref="B82:B86"/>
    <mergeCell ref="B87:B91"/>
    <mergeCell ref="B92:B96"/>
    <mergeCell ref="B97:B101"/>
    <mergeCell ref="B42:B46"/>
    <mergeCell ref="B47:B51"/>
    <mergeCell ref="B52:B56"/>
    <mergeCell ref="B57:B61"/>
    <mergeCell ref="B62:B66"/>
    <mergeCell ref="B67:B71"/>
    <mergeCell ref="B297:B301"/>
    <mergeCell ref="B2:B6"/>
    <mergeCell ref="B7:B11"/>
    <mergeCell ref="B12:B16"/>
    <mergeCell ref="B17:B21"/>
    <mergeCell ref="B22:B26"/>
    <mergeCell ref="B27:B31"/>
    <mergeCell ref="B32:B36"/>
    <mergeCell ref="B37:B41"/>
    <mergeCell ref="A197:A221"/>
    <mergeCell ref="A222:A266"/>
    <mergeCell ref="A267:A306"/>
    <mergeCell ref="A307:A331"/>
    <mergeCell ref="B327:B331"/>
    <mergeCell ref="B322:B326"/>
    <mergeCell ref="B317:B321"/>
    <mergeCell ref="B312:B316"/>
    <mergeCell ref="B307:B311"/>
    <mergeCell ref="B302:B306"/>
    <mergeCell ref="A2:A41"/>
    <mergeCell ref="A42:A61"/>
    <mergeCell ref="A62:A101"/>
    <mergeCell ref="A102:A121"/>
    <mergeCell ref="A122:A151"/>
    <mergeCell ref="A152:A196"/>
  </mergeCells>
  <conditionalFormatting sqref="E2:E331">
    <cfRule type="cellIs" dxfId="11" priority="4" operator="equal">
      <formula>$E$6</formula>
    </cfRule>
    <cfRule type="cellIs" dxfId="10" priority="5" operator="equal">
      <formula>$E$8</formula>
    </cfRule>
    <cfRule type="cellIs" dxfId="9" priority="6" operator="equal">
      <formula>$E$7</formula>
    </cfRule>
  </conditionalFormatting>
  <conditionalFormatting sqref="H2:H331">
    <cfRule type="cellIs" dxfId="8" priority="1" operator="equal">
      <formula>$H$321</formula>
    </cfRule>
    <cfRule type="cellIs" dxfId="7" priority="2" operator="equal">
      <formula>$H$325</formula>
    </cfRule>
    <cfRule type="cellIs" dxfId="6" priority="3" operator="equal">
      <formula>$H$330</formula>
    </cfRule>
  </conditionalFormatting>
  <dataValidations count="1">
    <dataValidation type="list" allowBlank="1" showInputMessage="1" showErrorMessage="1" sqref="E1:E1048576">
      <formula1>"OUI,NON,PAS"</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402"/>
  <sheetViews>
    <sheetView topLeftCell="C357" zoomScale="78" workbookViewId="0">
      <selection activeCell="F3" sqref="F3"/>
    </sheetView>
  </sheetViews>
  <sheetFormatPr baseColWidth="10" defaultRowHeight="15"/>
  <cols>
    <col min="1" max="1" width="48.5703125" customWidth="1"/>
    <col min="2" max="2" width="62.85546875" customWidth="1"/>
    <col min="3" max="3" width="75.140625" customWidth="1"/>
    <col min="4" max="4" width="145.85546875" customWidth="1"/>
    <col min="5" max="5" width="35.140625" customWidth="1"/>
    <col min="6" max="6" width="15.5703125" customWidth="1"/>
    <col min="7" max="7" width="69.5703125" style="70" customWidth="1"/>
    <col min="8" max="8" width="23" customWidth="1"/>
    <col min="9" max="9" width="12.85546875" style="78" customWidth="1"/>
    <col min="10" max="10" width="26.7109375" customWidth="1"/>
    <col min="11" max="11" width="131.85546875" style="70" customWidth="1"/>
  </cols>
  <sheetData>
    <row r="2" spans="1:11" ht="20.25">
      <c r="A2" s="12" t="s">
        <v>0</v>
      </c>
      <c r="B2" s="59" t="s">
        <v>1</v>
      </c>
      <c r="C2" s="59" t="s">
        <v>2</v>
      </c>
      <c r="D2" s="59" t="s">
        <v>3</v>
      </c>
      <c r="E2" s="24" t="s">
        <v>350</v>
      </c>
      <c r="F2" s="24" t="s">
        <v>2638</v>
      </c>
      <c r="G2" s="79" t="s">
        <v>9655</v>
      </c>
      <c r="H2" s="24" t="s">
        <v>351</v>
      </c>
      <c r="I2" s="25" t="s">
        <v>9927</v>
      </c>
      <c r="J2" s="24" t="s">
        <v>352</v>
      </c>
      <c r="K2" s="75" t="s">
        <v>2764</v>
      </c>
    </row>
    <row r="3" spans="1:11">
      <c r="A3" s="14" t="s">
        <v>4</v>
      </c>
      <c r="B3" s="14" t="s">
        <v>5</v>
      </c>
      <c r="C3" s="19" t="s">
        <v>79</v>
      </c>
      <c r="D3" s="7" t="s">
        <v>85</v>
      </c>
      <c r="E3" s="23" t="s">
        <v>9656</v>
      </c>
      <c r="F3" s="23" t="s">
        <v>2639</v>
      </c>
      <c r="G3" s="76" t="s">
        <v>9657</v>
      </c>
      <c r="H3" s="23" t="s">
        <v>9658</v>
      </c>
      <c r="I3" s="77" t="s">
        <v>3459</v>
      </c>
      <c r="J3" s="23" t="s">
        <v>9659</v>
      </c>
      <c r="K3" s="76" t="s">
        <v>9660</v>
      </c>
    </row>
    <row r="4" spans="1:11">
      <c r="A4" s="14"/>
      <c r="B4" s="14"/>
      <c r="C4" s="19"/>
      <c r="D4" s="7" t="s">
        <v>86</v>
      </c>
      <c r="E4" s="23" t="s">
        <v>9661</v>
      </c>
      <c r="F4" s="23" t="s">
        <v>2639</v>
      </c>
      <c r="G4" s="76" t="s">
        <v>9662</v>
      </c>
      <c r="H4" s="23" t="s">
        <v>9663</v>
      </c>
      <c r="I4" s="77" t="s">
        <v>3453</v>
      </c>
      <c r="J4" s="23" t="s">
        <v>9664</v>
      </c>
      <c r="K4" s="76" t="s">
        <v>9665</v>
      </c>
    </row>
    <row r="5" spans="1:11">
      <c r="A5" s="14"/>
      <c r="B5" s="14"/>
      <c r="C5" s="19"/>
      <c r="D5" s="7" t="s">
        <v>87</v>
      </c>
      <c r="E5" s="23" t="s">
        <v>9666</v>
      </c>
      <c r="F5" s="23" t="s">
        <v>2639</v>
      </c>
      <c r="G5" s="76" t="s">
        <v>9667</v>
      </c>
      <c r="H5" s="23" t="s">
        <v>9668</v>
      </c>
      <c r="I5" s="77" t="s">
        <v>3453</v>
      </c>
      <c r="J5" s="23" t="s">
        <v>9669</v>
      </c>
      <c r="K5" s="76" t="s">
        <v>9670</v>
      </c>
    </row>
    <row r="6" spans="1:11">
      <c r="A6" s="14"/>
      <c r="B6" s="14"/>
      <c r="C6" s="19"/>
      <c r="D6" s="7" t="s">
        <v>9671</v>
      </c>
      <c r="E6" s="23" t="s">
        <v>9672</v>
      </c>
      <c r="F6" s="23" t="s">
        <v>2640</v>
      </c>
      <c r="G6" s="76" t="s">
        <v>9673</v>
      </c>
      <c r="H6" s="23" t="s">
        <v>9674</v>
      </c>
      <c r="I6" s="77" t="s">
        <v>3459</v>
      </c>
      <c r="J6" s="23" t="s">
        <v>9675</v>
      </c>
      <c r="K6" s="76" t="s">
        <v>9676</v>
      </c>
    </row>
    <row r="7" spans="1:11">
      <c r="A7" s="14"/>
      <c r="B7" s="14"/>
      <c r="C7" s="19"/>
      <c r="D7" s="7" t="s">
        <v>9677</v>
      </c>
      <c r="E7" s="23" t="s">
        <v>9678</v>
      </c>
      <c r="F7" s="23" t="s">
        <v>2641</v>
      </c>
      <c r="G7" s="76" t="s">
        <v>9679</v>
      </c>
      <c r="H7" s="23" t="s">
        <v>9680</v>
      </c>
      <c r="I7" s="77" t="s">
        <v>3581</v>
      </c>
      <c r="J7" s="23" t="s">
        <v>9681</v>
      </c>
      <c r="K7" s="76" t="s">
        <v>9682</v>
      </c>
    </row>
    <row r="8" spans="1:11">
      <c r="A8" s="14"/>
      <c r="B8" s="14"/>
      <c r="C8" s="19" t="s">
        <v>6</v>
      </c>
      <c r="D8" s="7" t="s">
        <v>9683</v>
      </c>
      <c r="E8" s="23" t="s">
        <v>9684</v>
      </c>
      <c r="F8" s="23" t="s">
        <v>2640</v>
      </c>
      <c r="G8" s="76" t="s">
        <v>9685</v>
      </c>
      <c r="H8" s="23" t="s">
        <v>9686</v>
      </c>
      <c r="I8" s="77" t="s">
        <v>3453</v>
      </c>
      <c r="J8" s="23" t="s">
        <v>9687</v>
      </c>
      <c r="K8" s="76" t="s">
        <v>9688</v>
      </c>
    </row>
    <row r="9" spans="1:11">
      <c r="A9" s="14"/>
      <c r="B9" s="14"/>
      <c r="C9" s="19"/>
      <c r="D9" s="7" t="s">
        <v>88</v>
      </c>
      <c r="E9" s="23" t="s">
        <v>9689</v>
      </c>
      <c r="F9" s="23" t="s">
        <v>2640</v>
      </c>
      <c r="G9" s="76" t="s">
        <v>3160</v>
      </c>
      <c r="H9" s="23" t="s">
        <v>9690</v>
      </c>
      <c r="I9" s="77" t="s">
        <v>3453</v>
      </c>
      <c r="J9" s="23" t="s">
        <v>9691</v>
      </c>
      <c r="K9" s="76" t="s">
        <v>9692</v>
      </c>
    </row>
    <row r="10" spans="1:11">
      <c r="A10" s="14"/>
      <c r="B10" s="14"/>
      <c r="C10" s="19"/>
      <c r="D10" s="7" t="s">
        <v>9693</v>
      </c>
      <c r="E10" s="23" t="s">
        <v>9694</v>
      </c>
      <c r="F10" s="23" t="s">
        <v>2639</v>
      </c>
      <c r="G10" s="76" t="s">
        <v>9695</v>
      </c>
      <c r="H10" s="23" t="s">
        <v>9696</v>
      </c>
      <c r="I10" s="77" t="s">
        <v>3459</v>
      </c>
      <c r="J10" s="23" t="s">
        <v>9697</v>
      </c>
      <c r="K10" s="76" t="s">
        <v>9698</v>
      </c>
    </row>
    <row r="11" spans="1:11">
      <c r="A11" s="14"/>
      <c r="B11" s="14"/>
      <c r="C11" s="19"/>
      <c r="D11" s="7" t="s">
        <v>9699</v>
      </c>
      <c r="E11" s="23" t="s">
        <v>9700</v>
      </c>
      <c r="F11" s="23" t="s">
        <v>2641</v>
      </c>
      <c r="G11" s="76" t="s">
        <v>9701</v>
      </c>
      <c r="H11" s="23" t="s">
        <v>9702</v>
      </c>
      <c r="I11" s="77" t="s">
        <v>3453</v>
      </c>
      <c r="J11" s="23" t="s">
        <v>9703</v>
      </c>
      <c r="K11" s="76" t="s">
        <v>9704</v>
      </c>
    </row>
    <row r="12" spans="1:11">
      <c r="A12" s="14"/>
      <c r="B12" s="14"/>
      <c r="C12" s="19"/>
      <c r="D12" s="7" t="s">
        <v>9705</v>
      </c>
      <c r="E12" s="23" t="s">
        <v>9706</v>
      </c>
      <c r="F12" s="23" t="s">
        <v>2640</v>
      </c>
      <c r="G12" s="76" t="s">
        <v>9707</v>
      </c>
      <c r="H12" s="23" t="s">
        <v>9708</v>
      </c>
      <c r="I12" s="77" t="s">
        <v>3459</v>
      </c>
      <c r="J12" s="23" t="s">
        <v>9709</v>
      </c>
      <c r="K12" s="76" t="s">
        <v>9710</v>
      </c>
    </row>
    <row r="13" spans="1:11">
      <c r="A13" s="14"/>
      <c r="B13" s="14"/>
      <c r="C13" s="19" t="s">
        <v>7</v>
      </c>
      <c r="D13" s="7" t="s">
        <v>9711</v>
      </c>
      <c r="E13" s="23" t="s">
        <v>9712</v>
      </c>
      <c r="F13" s="23" t="s">
        <v>2639</v>
      </c>
      <c r="G13" s="76" t="s">
        <v>9713</v>
      </c>
      <c r="H13" s="23" t="s">
        <v>9714</v>
      </c>
      <c r="I13" s="77" t="s">
        <v>3453</v>
      </c>
      <c r="J13" s="23" t="s">
        <v>9715</v>
      </c>
      <c r="K13" s="76" t="s">
        <v>9716</v>
      </c>
    </row>
    <row r="14" spans="1:11">
      <c r="A14" s="14"/>
      <c r="B14" s="14"/>
      <c r="C14" s="19"/>
      <c r="D14" s="7" t="s">
        <v>89</v>
      </c>
      <c r="E14" s="23" t="s">
        <v>9717</v>
      </c>
      <c r="F14" s="23" t="s">
        <v>2640</v>
      </c>
      <c r="G14" s="76" t="s">
        <v>9718</v>
      </c>
      <c r="H14" s="23" t="s">
        <v>9719</v>
      </c>
      <c r="I14" s="77" t="s">
        <v>3459</v>
      </c>
      <c r="J14" s="23" t="s">
        <v>9720</v>
      </c>
      <c r="K14" s="76" t="s">
        <v>9721</v>
      </c>
    </row>
    <row r="15" spans="1:11">
      <c r="A15" s="14"/>
      <c r="B15" s="14"/>
      <c r="C15" s="19"/>
      <c r="D15" s="7" t="s">
        <v>9722</v>
      </c>
      <c r="E15" s="23" t="s">
        <v>9723</v>
      </c>
      <c r="F15" s="23" t="s">
        <v>2639</v>
      </c>
      <c r="G15" s="76" t="s">
        <v>9724</v>
      </c>
      <c r="H15" s="23" t="s">
        <v>9725</v>
      </c>
      <c r="I15" s="77" t="s">
        <v>3581</v>
      </c>
      <c r="J15" s="23" t="s">
        <v>9726</v>
      </c>
      <c r="K15" s="76" t="s">
        <v>9727</v>
      </c>
    </row>
    <row r="16" spans="1:11">
      <c r="A16" s="14"/>
      <c r="B16" s="14"/>
      <c r="C16" s="19"/>
      <c r="D16" s="7" t="s">
        <v>9728</v>
      </c>
      <c r="E16" s="23" t="s">
        <v>9729</v>
      </c>
      <c r="F16" s="23" t="s">
        <v>2640</v>
      </c>
      <c r="G16" s="76" t="s">
        <v>9730</v>
      </c>
      <c r="H16" s="23" t="s">
        <v>9731</v>
      </c>
      <c r="I16" s="77" t="s">
        <v>3459</v>
      </c>
      <c r="J16" s="23" t="s">
        <v>9732</v>
      </c>
      <c r="K16" s="76" t="s">
        <v>9733</v>
      </c>
    </row>
    <row r="17" spans="1:11">
      <c r="A17" s="14"/>
      <c r="B17" s="14"/>
      <c r="C17" s="19"/>
      <c r="D17" s="7" t="s">
        <v>9734</v>
      </c>
      <c r="E17" s="23" t="s">
        <v>9735</v>
      </c>
      <c r="F17" s="23" t="s">
        <v>2639</v>
      </c>
      <c r="G17" s="76" t="s">
        <v>9736</v>
      </c>
      <c r="H17" s="23" t="s">
        <v>9737</v>
      </c>
      <c r="I17" s="77" t="s">
        <v>3581</v>
      </c>
      <c r="J17" s="23" t="s">
        <v>9738</v>
      </c>
      <c r="K17" s="76" t="s">
        <v>9739</v>
      </c>
    </row>
    <row r="18" spans="1:11">
      <c r="A18" s="14"/>
      <c r="B18" s="14"/>
      <c r="C18" s="19" t="s">
        <v>8</v>
      </c>
      <c r="D18" s="7" t="s">
        <v>90</v>
      </c>
      <c r="E18" s="23" t="s">
        <v>9740</v>
      </c>
      <c r="F18" s="23" t="s">
        <v>2639</v>
      </c>
      <c r="G18" s="76" t="s">
        <v>9741</v>
      </c>
      <c r="H18" s="23" t="s">
        <v>9742</v>
      </c>
      <c r="I18" s="77" t="s">
        <v>3453</v>
      </c>
      <c r="J18" s="23" t="s">
        <v>9743</v>
      </c>
      <c r="K18" s="76" t="s">
        <v>9744</v>
      </c>
    </row>
    <row r="19" spans="1:11">
      <c r="A19" s="14"/>
      <c r="B19" s="14"/>
      <c r="C19" s="19"/>
      <c r="D19" s="7" t="s">
        <v>9745</v>
      </c>
      <c r="E19" s="23" t="s">
        <v>9746</v>
      </c>
      <c r="F19" s="23" t="s">
        <v>2639</v>
      </c>
      <c r="G19" s="76" t="s">
        <v>9747</v>
      </c>
      <c r="H19" s="23" t="s">
        <v>9748</v>
      </c>
      <c r="I19" s="77" t="s">
        <v>3453</v>
      </c>
      <c r="J19" s="23" t="s">
        <v>9749</v>
      </c>
      <c r="K19" s="76" t="s">
        <v>9750</v>
      </c>
    </row>
    <row r="20" spans="1:11">
      <c r="A20" s="14"/>
      <c r="B20" s="14"/>
      <c r="C20" s="19"/>
      <c r="D20" s="7" t="s">
        <v>9751</v>
      </c>
      <c r="E20" s="23" t="s">
        <v>9752</v>
      </c>
      <c r="F20" s="23" t="s">
        <v>2641</v>
      </c>
      <c r="G20" s="76" t="s">
        <v>9753</v>
      </c>
      <c r="H20" s="23" t="s">
        <v>9754</v>
      </c>
      <c r="I20" s="77" t="s">
        <v>3459</v>
      </c>
      <c r="J20" s="23" t="s">
        <v>9755</v>
      </c>
      <c r="K20" s="76" t="s">
        <v>9756</v>
      </c>
    </row>
    <row r="21" spans="1:11">
      <c r="A21" s="14"/>
      <c r="B21" s="14"/>
      <c r="C21" s="19"/>
      <c r="D21" s="7" t="s">
        <v>9757</v>
      </c>
      <c r="E21" s="23" t="s">
        <v>9758</v>
      </c>
      <c r="F21" s="23" t="s">
        <v>2640</v>
      </c>
      <c r="G21" s="76" t="s">
        <v>9759</v>
      </c>
      <c r="H21" s="23" t="s">
        <v>9760</v>
      </c>
      <c r="I21" s="77" t="s">
        <v>3459</v>
      </c>
      <c r="J21" s="23" t="s">
        <v>9761</v>
      </c>
      <c r="K21" s="76" t="s">
        <v>9762</v>
      </c>
    </row>
    <row r="22" spans="1:11">
      <c r="A22" s="14"/>
      <c r="B22" s="14"/>
      <c r="C22" s="19"/>
      <c r="D22" s="7" t="s">
        <v>9763</v>
      </c>
      <c r="E22" s="23" t="s">
        <v>9764</v>
      </c>
      <c r="F22" s="23" t="s">
        <v>2639</v>
      </c>
      <c r="G22" s="76" t="s">
        <v>9765</v>
      </c>
      <c r="H22" s="23" t="s">
        <v>9766</v>
      </c>
      <c r="I22" s="77" t="s">
        <v>3453</v>
      </c>
      <c r="J22" s="23" t="s">
        <v>9767</v>
      </c>
      <c r="K22" s="76" t="s">
        <v>9768</v>
      </c>
    </row>
    <row r="23" spans="1:11">
      <c r="A23" s="14"/>
      <c r="B23" s="14"/>
      <c r="C23" s="19" t="s">
        <v>84</v>
      </c>
      <c r="D23" s="7" t="s">
        <v>91</v>
      </c>
      <c r="E23" s="23" t="s">
        <v>9769</v>
      </c>
      <c r="F23" s="23" t="s">
        <v>2639</v>
      </c>
      <c r="G23" s="76" t="s">
        <v>9770</v>
      </c>
      <c r="H23" s="23" t="s">
        <v>9771</v>
      </c>
      <c r="I23" s="77" t="s">
        <v>3453</v>
      </c>
      <c r="J23" s="23" t="s">
        <v>9772</v>
      </c>
      <c r="K23" s="76" t="s">
        <v>9773</v>
      </c>
    </row>
    <row r="24" spans="1:11">
      <c r="A24" s="14"/>
      <c r="B24" s="14"/>
      <c r="C24" s="19"/>
      <c r="D24" s="7" t="s">
        <v>92</v>
      </c>
      <c r="E24" s="23" t="s">
        <v>9774</v>
      </c>
      <c r="F24" s="23" t="s">
        <v>2639</v>
      </c>
      <c r="G24" s="76" t="s">
        <v>9775</v>
      </c>
      <c r="H24" s="23" t="s">
        <v>9776</v>
      </c>
      <c r="I24" s="77" t="s">
        <v>3459</v>
      </c>
      <c r="J24" s="23" t="s">
        <v>9777</v>
      </c>
      <c r="K24" s="76" t="s">
        <v>9778</v>
      </c>
    </row>
    <row r="25" spans="1:11">
      <c r="A25" s="14"/>
      <c r="B25" s="14"/>
      <c r="C25" s="19"/>
      <c r="D25" s="7" t="s">
        <v>9779</v>
      </c>
      <c r="E25" s="23" t="s">
        <v>9780</v>
      </c>
      <c r="F25" s="23" t="s">
        <v>2640</v>
      </c>
      <c r="G25" s="76" t="s">
        <v>9781</v>
      </c>
      <c r="H25" s="23" t="s">
        <v>9782</v>
      </c>
      <c r="I25" s="77" t="s">
        <v>3459</v>
      </c>
      <c r="J25" s="23" t="s">
        <v>9783</v>
      </c>
      <c r="K25" s="76" t="s">
        <v>9784</v>
      </c>
    </row>
    <row r="26" spans="1:11">
      <c r="A26" s="14"/>
      <c r="B26" s="14"/>
      <c r="C26" s="19"/>
      <c r="D26" s="7" t="s">
        <v>9785</v>
      </c>
      <c r="E26" s="23" t="s">
        <v>9786</v>
      </c>
      <c r="F26" s="23" t="s">
        <v>2639</v>
      </c>
      <c r="G26" s="76" t="s">
        <v>9787</v>
      </c>
      <c r="H26" s="23" t="s">
        <v>9788</v>
      </c>
      <c r="I26" s="77" t="s">
        <v>3453</v>
      </c>
      <c r="J26" s="23" t="s">
        <v>9789</v>
      </c>
      <c r="K26" s="76" t="s">
        <v>9790</v>
      </c>
    </row>
    <row r="27" spans="1:11">
      <c r="A27" s="14"/>
      <c r="B27" s="14"/>
      <c r="C27" s="19"/>
      <c r="D27" s="7" t="s">
        <v>9791</v>
      </c>
      <c r="E27" s="23" t="s">
        <v>9792</v>
      </c>
      <c r="F27" s="23" t="s">
        <v>2640</v>
      </c>
      <c r="G27" s="76" t="s">
        <v>9793</v>
      </c>
      <c r="H27" s="23" t="s">
        <v>5527</v>
      </c>
      <c r="I27" s="77" t="s">
        <v>3459</v>
      </c>
      <c r="J27" s="23" t="s">
        <v>2221</v>
      </c>
      <c r="K27" s="76" t="s">
        <v>9794</v>
      </c>
    </row>
    <row r="28" spans="1:11">
      <c r="A28" s="14"/>
      <c r="B28" s="14" t="s">
        <v>9</v>
      </c>
      <c r="C28" s="19" t="s">
        <v>10</v>
      </c>
      <c r="D28" s="7" t="s">
        <v>9795</v>
      </c>
      <c r="E28" s="23" t="s">
        <v>9796</v>
      </c>
      <c r="F28" s="23" t="s">
        <v>2639</v>
      </c>
      <c r="G28" s="76" t="s">
        <v>9797</v>
      </c>
      <c r="H28" s="23" t="s">
        <v>9798</v>
      </c>
      <c r="I28" s="77" t="s">
        <v>3453</v>
      </c>
      <c r="J28" s="23" t="s">
        <v>9799</v>
      </c>
      <c r="K28" s="76" t="s">
        <v>9800</v>
      </c>
    </row>
    <row r="29" spans="1:11">
      <c r="A29" s="14"/>
      <c r="B29" s="14"/>
      <c r="C29" s="19"/>
      <c r="D29" s="7" t="s">
        <v>9801</v>
      </c>
      <c r="E29" s="23" t="s">
        <v>9802</v>
      </c>
      <c r="F29" s="23" t="s">
        <v>2639</v>
      </c>
      <c r="G29" s="76" t="s">
        <v>9803</v>
      </c>
      <c r="H29" s="23" t="s">
        <v>9804</v>
      </c>
      <c r="I29" s="77" t="s">
        <v>3453</v>
      </c>
      <c r="J29" s="23" t="s">
        <v>9805</v>
      </c>
      <c r="K29" s="76" t="s">
        <v>9806</v>
      </c>
    </row>
    <row r="30" spans="1:11">
      <c r="A30" s="14"/>
      <c r="B30" s="14"/>
      <c r="C30" s="19"/>
      <c r="D30" s="7" t="s">
        <v>9807</v>
      </c>
      <c r="E30" s="23" t="s">
        <v>9808</v>
      </c>
      <c r="F30" s="23" t="s">
        <v>2639</v>
      </c>
      <c r="G30" s="76" t="s">
        <v>9809</v>
      </c>
      <c r="H30" s="23" t="s">
        <v>3486</v>
      </c>
      <c r="I30" s="77" t="s">
        <v>3459</v>
      </c>
      <c r="J30" s="23" t="s">
        <v>9810</v>
      </c>
      <c r="K30" s="76" t="s">
        <v>9811</v>
      </c>
    </row>
    <row r="31" spans="1:11">
      <c r="A31" s="14"/>
      <c r="B31" s="14"/>
      <c r="C31" s="19"/>
      <c r="D31" s="7" t="s">
        <v>9812</v>
      </c>
      <c r="E31" s="23" t="s">
        <v>9813</v>
      </c>
      <c r="F31" s="23" t="s">
        <v>2639</v>
      </c>
      <c r="G31" s="76" t="s">
        <v>9814</v>
      </c>
      <c r="H31" s="23" t="s">
        <v>9815</v>
      </c>
      <c r="I31" s="77" t="s">
        <v>3459</v>
      </c>
      <c r="J31" s="23" t="s">
        <v>9816</v>
      </c>
      <c r="K31" s="76" t="s">
        <v>9817</v>
      </c>
    </row>
    <row r="32" spans="1:11">
      <c r="A32" s="14"/>
      <c r="B32" s="14"/>
      <c r="C32" s="19"/>
      <c r="D32" s="7" t="s">
        <v>9818</v>
      </c>
      <c r="E32" s="23" t="s">
        <v>9819</v>
      </c>
      <c r="F32" s="23" t="s">
        <v>2640</v>
      </c>
      <c r="G32" s="76" t="s">
        <v>9820</v>
      </c>
      <c r="H32" s="23" t="s">
        <v>9821</v>
      </c>
      <c r="I32" s="77" t="s">
        <v>3459</v>
      </c>
      <c r="J32" s="23" t="s">
        <v>9822</v>
      </c>
      <c r="K32" s="76" t="s">
        <v>9823</v>
      </c>
    </row>
    <row r="33" spans="1:11">
      <c r="A33" s="14"/>
      <c r="B33" s="14"/>
      <c r="C33" s="19" t="s">
        <v>11</v>
      </c>
      <c r="D33" s="7" t="s">
        <v>9824</v>
      </c>
      <c r="E33" s="23" t="s">
        <v>9825</v>
      </c>
      <c r="F33" s="23" t="s">
        <v>2639</v>
      </c>
      <c r="G33" s="76" t="s">
        <v>9826</v>
      </c>
      <c r="H33" s="23" t="s">
        <v>9827</v>
      </c>
      <c r="I33" s="77" t="s">
        <v>3459</v>
      </c>
      <c r="J33" s="23" t="s">
        <v>9828</v>
      </c>
      <c r="K33" s="76" t="s">
        <v>9829</v>
      </c>
    </row>
    <row r="34" spans="1:11">
      <c r="A34" s="14"/>
      <c r="B34" s="14"/>
      <c r="C34" s="19"/>
      <c r="D34" s="7" t="s">
        <v>9830</v>
      </c>
      <c r="E34" s="23" t="s">
        <v>9831</v>
      </c>
      <c r="F34" s="23" t="s">
        <v>2640</v>
      </c>
      <c r="G34" s="76" t="s">
        <v>9832</v>
      </c>
      <c r="H34" s="23" t="s">
        <v>9833</v>
      </c>
      <c r="I34" s="77" t="s">
        <v>3453</v>
      </c>
      <c r="J34" s="23" t="s">
        <v>1984</v>
      </c>
      <c r="K34" s="76" t="s">
        <v>9834</v>
      </c>
    </row>
    <row r="35" spans="1:11">
      <c r="A35" s="14"/>
      <c r="B35" s="14"/>
      <c r="C35" s="19"/>
      <c r="D35" s="7" t="s">
        <v>9835</v>
      </c>
      <c r="E35" s="23" t="s">
        <v>9836</v>
      </c>
      <c r="F35" s="23" t="s">
        <v>2640</v>
      </c>
      <c r="G35" s="76" t="s">
        <v>9837</v>
      </c>
      <c r="H35" s="23" t="s">
        <v>9838</v>
      </c>
      <c r="I35" s="77" t="s">
        <v>3459</v>
      </c>
      <c r="J35" s="23" t="s">
        <v>9839</v>
      </c>
      <c r="K35" s="76" t="s">
        <v>9840</v>
      </c>
    </row>
    <row r="36" spans="1:11">
      <c r="A36" s="14"/>
      <c r="B36" s="14"/>
      <c r="C36" s="19"/>
      <c r="D36" s="7" t="s">
        <v>9841</v>
      </c>
      <c r="E36" s="23" t="s">
        <v>9842</v>
      </c>
      <c r="F36" s="23" t="s">
        <v>2640</v>
      </c>
      <c r="G36" s="76" t="s">
        <v>9843</v>
      </c>
      <c r="H36" s="23" t="s">
        <v>9844</v>
      </c>
      <c r="I36" s="77" t="s">
        <v>3459</v>
      </c>
      <c r="J36" s="23" t="s">
        <v>9845</v>
      </c>
      <c r="K36" s="76" t="s">
        <v>9846</v>
      </c>
    </row>
    <row r="37" spans="1:11">
      <c r="A37" s="14"/>
      <c r="B37" s="14"/>
      <c r="C37" s="19"/>
      <c r="D37" s="7" t="s">
        <v>9847</v>
      </c>
      <c r="E37" s="23" t="s">
        <v>9848</v>
      </c>
      <c r="F37" s="23" t="s">
        <v>2639</v>
      </c>
      <c r="G37" s="76" t="s">
        <v>9849</v>
      </c>
      <c r="H37" s="23" t="s">
        <v>9850</v>
      </c>
      <c r="I37" s="77" t="s">
        <v>3581</v>
      </c>
      <c r="J37" s="23" t="s">
        <v>9851</v>
      </c>
      <c r="K37" s="76" t="s">
        <v>9852</v>
      </c>
    </row>
    <row r="38" spans="1:11">
      <c r="A38" s="14"/>
      <c r="B38" s="14"/>
      <c r="C38" s="19" t="s">
        <v>12</v>
      </c>
      <c r="D38" s="7" t="s">
        <v>9853</v>
      </c>
      <c r="E38" s="23" t="s">
        <v>9854</v>
      </c>
      <c r="F38" s="23" t="s">
        <v>2639</v>
      </c>
      <c r="G38" s="76" t="s">
        <v>9855</v>
      </c>
      <c r="H38" s="23" t="s">
        <v>1987</v>
      </c>
      <c r="I38" s="77" t="s">
        <v>3459</v>
      </c>
      <c r="J38" s="23" t="s">
        <v>9856</v>
      </c>
      <c r="K38" s="76" t="s">
        <v>9857</v>
      </c>
    </row>
    <row r="39" spans="1:11">
      <c r="A39" s="14"/>
      <c r="B39" s="14"/>
      <c r="C39" s="19"/>
      <c r="D39" s="7" t="s">
        <v>9858</v>
      </c>
      <c r="E39" s="23" t="s">
        <v>9859</v>
      </c>
      <c r="F39" s="23" t="s">
        <v>2639</v>
      </c>
      <c r="G39" s="76" t="s">
        <v>9860</v>
      </c>
      <c r="H39" s="23" t="s">
        <v>9861</v>
      </c>
      <c r="I39" s="77" t="s">
        <v>3581</v>
      </c>
      <c r="J39" s="23" t="s">
        <v>9862</v>
      </c>
      <c r="K39" s="76" t="s">
        <v>9863</v>
      </c>
    </row>
    <row r="40" spans="1:11">
      <c r="A40" s="14"/>
      <c r="B40" s="14"/>
      <c r="C40" s="19"/>
      <c r="D40" s="7" t="s">
        <v>9864</v>
      </c>
      <c r="E40" s="23" t="s">
        <v>9865</v>
      </c>
      <c r="F40" s="23" t="s">
        <v>2640</v>
      </c>
      <c r="G40" s="76" t="s">
        <v>9866</v>
      </c>
      <c r="H40" s="23" t="s">
        <v>9867</v>
      </c>
      <c r="I40" s="77" t="s">
        <v>3459</v>
      </c>
      <c r="J40" s="23" t="s">
        <v>9868</v>
      </c>
      <c r="K40" s="76" t="s">
        <v>9869</v>
      </c>
    </row>
    <row r="41" spans="1:11">
      <c r="A41" s="14"/>
      <c r="B41" s="14"/>
      <c r="C41" s="19"/>
      <c r="D41" s="7" t="s">
        <v>9870</v>
      </c>
      <c r="E41" s="23" t="s">
        <v>9871</v>
      </c>
      <c r="F41" s="23" t="s">
        <v>2639</v>
      </c>
      <c r="G41" s="76" t="s">
        <v>9872</v>
      </c>
      <c r="H41" s="23" t="s">
        <v>9873</v>
      </c>
      <c r="I41" s="77" t="s">
        <v>3459</v>
      </c>
      <c r="J41" s="23" t="s">
        <v>9874</v>
      </c>
      <c r="K41" s="76" t="s">
        <v>9875</v>
      </c>
    </row>
    <row r="42" spans="1:11">
      <c r="A42" s="14"/>
      <c r="B42" s="14"/>
      <c r="C42" s="19"/>
      <c r="D42" s="7" t="s">
        <v>9876</v>
      </c>
      <c r="E42" s="23" t="s">
        <v>9877</v>
      </c>
      <c r="F42" s="23" t="s">
        <v>2640</v>
      </c>
      <c r="G42" s="76" t="s">
        <v>7069</v>
      </c>
      <c r="H42" s="23" t="s">
        <v>9878</v>
      </c>
      <c r="I42" s="77" t="s">
        <v>3453</v>
      </c>
      <c r="J42" s="23" t="s">
        <v>2076</v>
      </c>
      <c r="K42" s="76" t="s">
        <v>9879</v>
      </c>
    </row>
    <row r="43" spans="1:11">
      <c r="A43" s="14"/>
      <c r="B43" s="14"/>
      <c r="C43" s="19" t="s">
        <v>13</v>
      </c>
      <c r="D43" s="7" t="s">
        <v>9880</v>
      </c>
      <c r="E43" s="23" t="s">
        <v>9881</v>
      </c>
      <c r="F43" s="23" t="s">
        <v>2639</v>
      </c>
      <c r="G43" s="76" t="s">
        <v>9882</v>
      </c>
      <c r="H43" s="23" t="s">
        <v>9883</v>
      </c>
      <c r="I43" s="77" t="s">
        <v>3459</v>
      </c>
      <c r="J43" s="23" t="s">
        <v>9884</v>
      </c>
      <c r="K43" s="76" t="s">
        <v>9885</v>
      </c>
    </row>
    <row r="44" spans="1:11">
      <c r="A44" s="14"/>
      <c r="B44" s="14"/>
      <c r="C44" s="19"/>
      <c r="D44" s="7" t="s">
        <v>9886</v>
      </c>
      <c r="E44" s="23" t="s">
        <v>9887</v>
      </c>
      <c r="F44" s="23" t="s">
        <v>2640</v>
      </c>
      <c r="G44" s="76" t="s">
        <v>9888</v>
      </c>
      <c r="H44" s="23" t="s">
        <v>9889</v>
      </c>
      <c r="I44" s="77" t="s">
        <v>3453</v>
      </c>
      <c r="J44" s="23" t="s">
        <v>9890</v>
      </c>
      <c r="K44" s="76" t="s">
        <v>9891</v>
      </c>
    </row>
    <row r="45" spans="1:11">
      <c r="A45" s="14"/>
      <c r="B45" s="14"/>
      <c r="C45" s="19"/>
      <c r="D45" s="7" t="s">
        <v>9892</v>
      </c>
      <c r="E45" s="23" t="s">
        <v>9893</v>
      </c>
      <c r="F45" s="23" t="s">
        <v>2640</v>
      </c>
      <c r="G45" s="76" t="s">
        <v>9894</v>
      </c>
      <c r="H45" s="23" t="s">
        <v>6442</v>
      </c>
      <c r="I45" s="77" t="s">
        <v>3459</v>
      </c>
      <c r="J45" s="23" t="s">
        <v>9895</v>
      </c>
      <c r="K45" s="76" t="s">
        <v>9896</v>
      </c>
    </row>
    <row r="46" spans="1:11">
      <c r="A46" s="14"/>
      <c r="B46" s="14"/>
      <c r="C46" s="19"/>
      <c r="D46" s="7" t="s">
        <v>9897</v>
      </c>
      <c r="E46" s="23" t="s">
        <v>9898</v>
      </c>
      <c r="F46" s="23" t="s">
        <v>2639</v>
      </c>
      <c r="G46" s="76" t="s">
        <v>9899</v>
      </c>
      <c r="H46" s="23" t="s">
        <v>9900</v>
      </c>
      <c r="I46" s="77" t="s">
        <v>3581</v>
      </c>
      <c r="J46" s="23" t="s">
        <v>9901</v>
      </c>
      <c r="K46" s="76" t="s">
        <v>9902</v>
      </c>
    </row>
    <row r="47" spans="1:11">
      <c r="A47" s="14"/>
      <c r="B47" s="14"/>
      <c r="C47" s="19"/>
      <c r="D47" s="7" t="s">
        <v>9903</v>
      </c>
      <c r="E47" s="23" t="s">
        <v>9904</v>
      </c>
      <c r="F47" s="23" t="s">
        <v>2640</v>
      </c>
      <c r="G47" s="76" t="s">
        <v>9905</v>
      </c>
      <c r="H47" s="23" t="s">
        <v>9906</v>
      </c>
      <c r="I47" s="77" t="s">
        <v>3459</v>
      </c>
      <c r="J47" s="23" t="s">
        <v>9907</v>
      </c>
      <c r="K47" s="76" t="s">
        <v>9908</v>
      </c>
    </row>
    <row r="48" spans="1:11">
      <c r="A48" s="14"/>
      <c r="B48" s="14"/>
      <c r="C48" s="19" t="s">
        <v>14</v>
      </c>
      <c r="D48" s="7" t="s">
        <v>9909</v>
      </c>
      <c r="E48" s="23" t="s">
        <v>9910</v>
      </c>
      <c r="F48" s="23" t="s">
        <v>2639</v>
      </c>
      <c r="G48" s="76" t="s">
        <v>9911</v>
      </c>
      <c r="H48" s="23" t="s">
        <v>9912</v>
      </c>
      <c r="I48" s="77" t="s">
        <v>3459</v>
      </c>
      <c r="J48" s="23" t="s">
        <v>9913</v>
      </c>
      <c r="K48" s="76" t="s">
        <v>9914</v>
      </c>
    </row>
    <row r="49" spans="1:11">
      <c r="A49" s="14"/>
      <c r="B49" s="14"/>
      <c r="C49" s="19"/>
      <c r="D49" s="7" t="s">
        <v>9915</v>
      </c>
      <c r="E49" s="23" t="s">
        <v>9916</v>
      </c>
      <c r="F49" s="23" t="s">
        <v>2640</v>
      </c>
      <c r="G49" s="76" t="s">
        <v>9917</v>
      </c>
      <c r="H49" s="23" t="s">
        <v>9918</v>
      </c>
      <c r="I49" s="77" t="s">
        <v>3453</v>
      </c>
      <c r="J49" s="23" t="s">
        <v>9919</v>
      </c>
      <c r="K49" s="76" t="s">
        <v>9920</v>
      </c>
    </row>
    <row r="50" spans="1:11">
      <c r="A50" s="14"/>
      <c r="B50" s="14"/>
      <c r="C50" s="19"/>
      <c r="D50" s="7" t="s">
        <v>9921</v>
      </c>
      <c r="E50" s="23" t="s">
        <v>9922</v>
      </c>
      <c r="F50" s="23" t="s">
        <v>2640</v>
      </c>
      <c r="G50" s="76" t="s">
        <v>9923</v>
      </c>
      <c r="H50" s="23" t="s">
        <v>9924</v>
      </c>
      <c r="I50" s="77" t="s">
        <v>3453</v>
      </c>
      <c r="J50" s="23" t="s">
        <v>9925</v>
      </c>
      <c r="K50" s="76" t="s">
        <v>9926</v>
      </c>
    </row>
    <row r="51" spans="1:11">
      <c r="A51" s="14"/>
      <c r="B51" s="14"/>
      <c r="C51" s="19"/>
      <c r="D51" s="7" t="s">
        <v>93</v>
      </c>
      <c r="E51" s="23" t="s">
        <v>9931</v>
      </c>
      <c r="F51" s="23" t="s">
        <v>2639</v>
      </c>
      <c r="G51" s="76" t="s">
        <v>9932</v>
      </c>
      <c r="H51" s="23" t="s">
        <v>9933</v>
      </c>
      <c r="I51" s="77" t="s">
        <v>9934</v>
      </c>
      <c r="J51" s="23" t="s">
        <v>9935</v>
      </c>
      <c r="K51" s="76" t="s">
        <v>9936</v>
      </c>
    </row>
    <row r="52" spans="1:11">
      <c r="A52" s="14"/>
      <c r="B52" s="14"/>
      <c r="C52" s="19"/>
      <c r="D52" s="7" t="s">
        <v>94</v>
      </c>
      <c r="E52" s="23" t="s">
        <v>9937</v>
      </c>
      <c r="F52" s="23" t="s">
        <v>2640</v>
      </c>
      <c r="G52" s="76" t="s">
        <v>9938</v>
      </c>
      <c r="H52" s="23" t="s">
        <v>9939</v>
      </c>
      <c r="I52" s="77" t="s">
        <v>9940</v>
      </c>
      <c r="J52" s="23" t="s">
        <v>9941</v>
      </c>
      <c r="K52" s="76" t="s">
        <v>9942</v>
      </c>
    </row>
    <row r="53" spans="1:11">
      <c r="A53" s="14"/>
      <c r="B53" s="14" t="s">
        <v>15</v>
      </c>
      <c r="C53" s="19" t="s">
        <v>16</v>
      </c>
      <c r="D53" s="7" t="s">
        <v>95</v>
      </c>
      <c r="E53" s="23" t="s">
        <v>9943</v>
      </c>
      <c r="F53" s="23" t="s">
        <v>2639</v>
      </c>
      <c r="G53" s="76" t="s">
        <v>9929</v>
      </c>
      <c r="H53" s="23" t="s">
        <v>9944</v>
      </c>
      <c r="I53" s="77" t="s">
        <v>9940</v>
      </c>
      <c r="J53" s="23" t="s">
        <v>9945</v>
      </c>
      <c r="K53" s="76" t="s">
        <v>9946</v>
      </c>
    </row>
    <row r="54" spans="1:11">
      <c r="A54" s="14"/>
      <c r="B54" s="14"/>
      <c r="C54" s="19"/>
      <c r="D54" s="7" t="s">
        <v>96</v>
      </c>
      <c r="E54" s="23" t="s">
        <v>9947</v>
      </c>
      <c r="F54" s="23" t="s">
        <v>2639</v>
      </c>
      <c r="G54" s="76" t="s">
        <v>9930</v>
      </c>
      <c r="H54" s="23" t="s">
        <v>9948</v>
      </c>
      <c r="I54" s="77" t="s">
        <v>9940</v>
      </c>
      <c r="J54" s="23" t="s">
        <v>5307</v>
      </c>
      <c r="K54" s="76" t="s">
        <v>9949</v>
      </c>
    </row>
    <row r="55" spans="1:11">
      <c r="A55" s="14"/>
      <c r="B55" s="14"/>
      <c r="C55" s="19"/>
      <c r="D55" s="7" t="s">
        <v>97</v>
      </c>
      <c r="E55" s="23" t="s">
        <v>9950</v>
      </c>
      <c r="F55" s="23" t="s">
        <v>2639</v>
      </c>
      <c r="G55" s="76" t="s">
        <v>9951</v>
      </c>
      <c r="H55" s="23" t="s">
        <v>9952</v>
      </c>
      <c r="I55" s="77" t="s">
        <v>3581</v>
      </c>
      <c r="J55" s="23" t="s">
        <v>9953</v>
      </c>
      <c r="K55" s="76" t="s">
        <v>9954</v>
      </c>
    </row>
    <row r="56" spans="1:11">
      <c r="A56" s="14"/>
      <c r="B56" s="14"/>
      <c r="C56" s="19"/>
      <c r="D56" s="7" t="s">
        <v>98</v>
      </c>
      <c r="E56" s="23" t="s">
        <v>9955</v>
      </c>
      <c r="F56" s="23" t="s">
        <v>2641</v>
      </c>
      <c r="G56" s="76" t="s">
        <v>9956</v>
      </c>
      <c r="H56" s="23" t="s">
        <v>9957</v>
      </c>
      <c r="I56" s="77" t="s">
        <v>9934</v>
      </c>
      <c r="J56" s="23" t="s">
        <v>9958</v>
      </c>
      <c r="K56" s="76" t="s">
        <v>9959</v>
      </c>
    </row>
    <row r="57" spans="1:11">
      <c r="A57" s="14"/>
      <c r="B57" s="14"/>
      <c r="C57" s="19"/>
      <c r="D57" s="7" t="s">
        <v>99</v>
      </c>
      <c r="E57" s="23" t="s">
        <v>9960</v>
      </c>
      <c r="F57" s="23" t="s">
        <v>2639</v>
      </c>
      <c r="G57" s="76" t="s">
        <v>9961</v>
      </c>
      <c r="H57" s="23" t="s">
        <v>9962</v>
      </c>
      <c r="I57" s="77" t="s">
        <v>9940</v>
      </c>
      <c r="J57" s="23" t="s">
        <v>9963</v>
      </c>
      <c r="K57" s="76" t="s">
        <v>9964</v>
      </c>
    </row>
    <row r="58" spans="1:11">
      <c r="A58" s="14"/>
      <c r="B58" s="14"/>
      <c r="C58" s="19" t="s">
        <v>17</v>
      </c>
      <c r="D58" s="7" t="s">
        <v>100</v>
      </c>
      <c r="E58" s="23" t="s">
        <v>9965</v>
      </c>
      <c r="F58" s="23" t="s">
        <v>2640</v>
      </c>
      <c r="G58" s="76" t="s">
        <v>9966</v>
      </c>
      <c r="H58" s="23" t="s">
        <v>9967</v>
      </c>
      <c r="I58" s="77" t="s">
        <v>9934</v>
      </c>
      <c r="J58" s="23" t="s">
        <v>9968</v>
      </c>
      <c r="K58" s="76" t="s">
        <v>9969</v>
      </c>
    </row>
    <row r="59" spans="1:11">
      <c r="A59" s="14"/>
      <c r="B59" s="14"/>
      <c r="C59" s="19"/>
      <c r="D59" s="7" t="s">
        <v>101</v>
      </c>
      <c r="E59" s="23" t="s">
        <v>9970</v>
      </c>
      <c r="F59" s="23" t="s">
        <v>2639</v>
      </c>
      <c r="G59" s="76" t="s">
        <v>9971</v>
      </c>
      <c r="H59" s="23" t="s">
        <v>9972</v>
      </c>
      <c r="I59" s="77" t="s">
        <v>9940</v>
      </c>
      <c r="J59" s="23" t="s">
        <v>9973</v>
      </c>
      <c r="K59" s="76" t="s">
        <v>9974</v>
      </c>
    </row>
    <row r="60" spans="1:11">
      <c r="A60" s="14"/>
      <c r="B60" s="14"/>
      <c r="C60" s="19"/>
      <c r="D60" s="7" t="s">
        <v>102</v>
      </c>
      <c r="E60" s="23" t="s">
        <v>9975</v>
      </c>
      <c r="F60" s="23" t="s">
        <v>2641</v>
      </c>
      <c r="G60" s="76" t="s">
        <v>9976</v>
      </c>
      <c r="H60" s="23" t="s">
        <v>9977</v>
      </c>
      <c r="I60" s="77" t="s">
        <v>9940</v>
      </c>
      <c r="J60" s="23" t="s">
        <v>9978</v>
      </c>
      <c r="K60" s="76" t="s">
        <v>9979</v>
      </c>
    </row>
    <row r="61" spans="1:11">
      <c r="A61" s="14"/>
      <c r="B61" s="14"/>
      <c r="C61" s="19"/>
      <c r="D61" s="7" t="s">
        <v>103</v>
      </c>
      <c r="E61" s="23" t="s">
        <v>9981</v>
      </c>
      <c r="F61" s="23" t="s">
        <v>2639</v>
      </c>
      <c r="G61" s="76" t="s">
        <v>9982</v>
      </c>
      <c r="H61" s="23" t="s">
        <v>9983</v>
      </c>
      <c r="I61" s="77" t="s">
        <v>3453</v>
      </c>
      <c r="J61" s="23" t="s">
        <v>9984</v>
      </c>
      <c r="K61" s="76" t="s">
        <v>9985</v>
      </c>
    </row>
    <row r="62" spans="1:11">
      <c r="A62" s="14"/>
      <c r="B62" s="14"/>
      <c r="C62" s="19"/>
      <c r="D62" s="7" t="s">
        <v>104</v>
      </c>
      <c r="E62" s="23" t="s">
        <v>9986</v>
      </c>
      <c r="F62" s="23" t="s">
        <v>2639</v>
      </c>
      <c r="G62" s="76" t="s">
        <v>9987</v>
      </c>
      <c r="H62" s="23" t="s">
        <v>9988</v>
      </c>
      <c r="I62" s="77" t="s">
        <v>3459</v>
      </c>
      <c r="J62" s="23" t="s">
        <v>9989</v>
      </c>
      <c r="K62" s="76" t="s">
        <v>9990</v>
      </c>
    </row>
    <row r="63" spans="1:11">
      <c r="A63" s="14"/>
      <c r="B63" s="14"/>
      <c r="C63" s="19" t="s">
        <v>18</v>
      </c>
      <c r="D63" s="7" t="s">
        <v>105</v>
      </c>
      <c r="E63" s="23" t="s">
        <v>9991</v>
      </c>
      <c r="F63" s="23" t="s">
        <v>2639</v>
      </c>
      <c r="G63" s="76" t="s">
        <v>9992</v>
      </c>
      <c r="H63" s="23" t="s">
        <v>9993</v>
      </c>
      <c r="I63" s="77" t="s">
        <v>3459</v>
      </c>
      <c r="J63" s="23" t="s">
        <v>9994</v>
      </c>
      <c r="K63" s="76" t="s">
        <v>9995</v>
      </c>
    </row>
    <row r="64" spans="1:11">
      <c r="A64" s="14"/>
      <c r="B64" s="14"/>
      <c r="C64" s="19"/>
      <c r="D64" s="7" t="s">
        <v>106</v>
      </c>
      <c r="E64" s="23" t="s">
        <v>9996</v>
      </c>
      <c r="F64" s="23" t="s">
        <v>2639</v>
      </c>
      <c r="G64" s="76" t="s">
        <v>9997</v>
      </c>
      <c r="H64" s="23" t="s">
        <v>9998</v>
      </c>
      <c r="I64" s="77" t="s">
        <v>3453</v>
      </c>
      <c r="J64" s="23" t="s">
        <v>9999</v>
      </c>
      <c r="K64" s="76" t="s">
        <v>10000</v>
      </c>
    </row>
    <row r="65" spans="1:11">
      <c r="A65" s="14"/>
      <c r="B65" s="14"/>
      <c r="C65" s="19"/>
      <c r="D65" s="7" t="s">
        <v>107</v>
      </c>
      <c r="E65" s="23" t="s">
        <v>10001</v>
      </c>
      <c r="F65" s="23" t="s">
        <v>2640</v>
      </c>
      <c r="G65" s="76" t="s">
        <v>10002</v>
      </c>
      <c r="H65" s="23" t="s">
        <v>10003</v>
      </c>
      <c r="I65" s="77" t="s">
        <v>3453</v>
      </c>
      <c r="J65" s="23" t="s">
        <v>10004</v>
      </c>
      <c r="K65" s="76" t="s">
        <v>10005</v>
      </c>
    </row>
    <row r="66" spans="1:11">
      <c r="A66" s="14"/>
      <c r="B66" s="14"/>
      <c r="C66" s="19"/>
      <c r="D66" s="7" t="s">
        <v>108</v>
      </c>
      <c r="E66" s="23" t="s">
        <v>10006</v>
      </c>
      <c r="F66" s="23" t="s">
        <v>2639</v>
      </c>
      <c r="G66" s="76" t="s">
        <v>10007</v>
      </c>
      <c r="H66" s="23" t="s">
        <v>10008</v>
      </c>
      <c r="I66" s="77" t="s">
        <v>3459</v>
      </c>
      <c r="J66" s="23" t="s">
        <v>10009</v>
      </c>
      <c r="K66" s="76" t="s">
        <v>10010</v>
      </c>
    </row>
    <row r="67" spans="1:11">
      <c r="A67" s="14"/>
      <c r="B67" s="14"/>
      <c r="C67" s="19"/>
      <c r="D67" s="7" t="s">
        <v>109</v>
      </c>
      <c r="E67" s="23" t="s">
        <v>10011</v>
      </c>
      <c r="F67" s="23" t="s">
        <v>2639</v>
      </c>
      <c r="G67" s="76" t="s">
        <v>10012</v>
      </c>
      <c r="H67" s="23" t="s">
        <v>10013</v>
      </c>
      <c r="I67" s="77" t="s">
        <v>3453</v>
      </c>
      <c r="J67" s="23" t="s">
        <v>10014</v>
      </c>
      <c r="K67" s="76" t="s">
        <v>10015</v>
      </c>
    </row>
    <row r="68" spans="1:11">
      <c r="A68" s="14"/>
      <c r="B68" s="14"/>
      <c r="C68" s="19" t="s">
        <v>19</v>
      </c>
      <c r="D68" s="7" t="s">
        <v>110</v>
      </c>
      <c r="E68" s="23" t="s">
        <v>10016</v>
      </c>
      <c r="F68" s="23" t="s">
        <v>2639</v>
      </c>
      <c r="G68" s="76" t="s">
        <v>10017</v>
      </c>
      <c r="H68" s="23" t="s">
        <v>10018</v>
      </c>
      <c r="I68" s="77" t="s">
        <v>3453</v>
      </c>
      <c r="J68" s="23" t="s">
        <v>10019</v>
      </c>
      <c r="K68" s="76" t="s">
        <v>10020</v>
      </c>
    </row>
    <row r="69" spans="1:11">
      <c r="A69" s="14"/>
      <c r="B69" s="14"/>
      <c r="C69" s="19"/>
      <c r="D69" s="7" t="s">
        <v>111</v>
      </c>
      <c r="E69" s="23" t="s">
        <v>10021</v>
      </c>
      <c r="F69" s="23" t="s">
        <v>2639</v>
      </c>
      <c r="G69" s="76" t="s">
        <v>10022</v>
      </c>
      <c r="H69" s="23" t="s">
        <v>10023</v>
      </c>
      <c r="I69" s="77" t="s">
        <v>3453</v>
      </c>
      <c r="J69" s="23" t="s">
        <v>10024</v>
      </c>
      <c r="K69" s="76" t="s">
        <v>10025</v>
      </c>
    </row>
    <row r="70" spans="1:11">
      <c r="A70" s="14"/>
      <c r="B70" s="14"/>
      <c r="C70" s="19"/>
      <c r="D70" s="7" t="s">
        <v>112</v>
      </c>
      <c r="E70" s="23" t="s">
        <v>10026</v>
      </c>
      <c r="F70" s="23" t="s">
        <v>2639</v>
      </c>
      <c r="G70" s="76" t="s">
        <v>10017</v>
      </c>
      <c r="H70" s="23" t="s">
        <v>10027</v>
      </c>
      <c r="I70" s="77" t="s">
        <v>3453</v>
      </c>
      <c r="J70" s="23" t="s">
        <v>10028</v>
      </c>
      <c r="K70" s="76" t="s">
        <v>10029</v>
      </c>
    </row>
    <row r="71" spans="1:11">
      <c r="A71" s="14"/>
      <c r="B71" s="14"/>
      <c r="C71" s="19"/>
      <c r="D71" s="7" t="s">
        <v>113</v>
      </c>
      <c r="E71" s="23" t="s">
        <v>10030</v>
      </c>
      <c r="F71" s="23" t="s">
        <v>2639</v>
      </c>
      <c r="G71" s="76" t="s">
        <v>10031</v>
      </c>
      <c r="H71" s="23" t="s">
        <v>10032</v>
      </c>
      <c r="I71" s="77" t="s">
        <v>3459</v>
      </c>
      <c r="J71" s="23" t="s">
        <v>10033</v>
      </c>
      <c r="K71" s="76" t="s">
        <v>10034</v>
      </c>
    </row>
    <row r="72" spans="1:11">
      <c r="A72" s="14"/>
      <c r="B72" s="14"/>
      <c r="C72" s="19"/>
      <c r="D72" s="7" t="s">
        <v>114</v>
      </c>
      <c r="E72" s="23" t="s">
        <v>10035</v>
      </c>
      <c r="F72" s="23" t="s">
        <v>2639</v>
      </c>
      <c r="G72" s="76" t="s">
        <v>10036</v>
      </c>
      <c r="H72" s="23" t="s">
        <v>10037</v>
      </c>
      <c r="I72" s="77" t="s">
        <v>3459</v>
      </c>
      <c r="J72" s="23" t="s">
        <v>10038</v>
      </c>
      <c r="K72" s="76" t="s">
        <v>10039</v>
      </c>
    </row>
    <row r="73" spans="1:11">
      <c r="A73" s="14"/>
      <c r="B73" s="14"/>
      <c r="C73" s="19" t="s">
        <v>20</v>
      </c>
      <c r="D73" s="7" t="s">
        <v>115</v>
      </c>
      <c r="E73" s="23" t="s">
        <v>10040</v>
      </c>
      <c r="F73" s="23" t="s">
        <v>2639</v>
      </c>
      <c r="G73" s="76" t="s">
        <v>10041</v>
      </c>
      <c r="H73" s="23" t="s">
        <v>10042</v>
      </c>
      <c r="I73" s="77" t="s">
        <v>3459</v>
      </c>
      <c r="J73" s="23" t="s">
        <v>10043</v>
      </c>
      <c r="K73" s="76" t="s">
        <v>10044</v>
      </c>
    </row>
    <row r="74" spans="1:11">
      <c r="A74" s="14"/>
      <c r="B74" s="14"/>
      <c r="C74" s="19"/>
      <c r="D74" s="7" t="s">
        <v>116</v>
      </c>
      <c r="E74" s="23" t="s">
        <v>10045</v>
      </c>
      <c r="F74" s="23" t="s">
        <v>2639</v>
      </c>
      <c r="G74" s="76" t="s">
        <v>10046</v>
      </c>
      <c r="H74" s="23" t="s">
        <v>10047</v>
      </c>
      <c r="I74" s="77" t="s">
        <v>3459</v>
      </c>
      <c r="J74" s="23" t="s">
        <v>10048</v>
      </c>
      <c r="K74" s="76" t="s">
        <v>10049</v>
      </c>
    </row>
    <row r="75" spans="1:11">
      <c r="A75" s="14"/>
      <c r="B75" s="14"/>
      <c r="C75" s="19"/>
      <c r="D75" s="7" t="s">
        <v>117</v>
      </c>
      <c r="E75" s="23" t="s">
        <v>10050</v>
      </c>
      <c r="F75" s="23" t="s">
        <v>2639</v>
      </c>
      <c r="G75" s="76" t="s">
        <v>9987</v>
      </c>
      <c r="H75" s="23" t="s">
        <v>10051</v>
      </c>
      <c r="I75" s="77" t="s">
        <v>3459</v>
      </c>
      <c r="J75" s="23" t="s">
        <v>10052</v>
      </c>
      <c r="K75" s="76" t="s">
        <v>10053</v>
      </c>
    </row>
    <row r="76" spans="1:11">
      <c r="A76" s="14"/>
      <c r="B76" s="14"/>
      <c r="C76" s="19"/>
      <c r="D76" s="57" t="s">
        <v>119</v>
      </c>
      <c r="E76" s="23" t="s">
        <v>10054</v>
      </c>
      <c r="F76" s="23" t="s">
        <v>2639</v>
      </c>
      <c r="G76" s="76" t="s">
        <v>10055</v>
      </c>
      <c r="H76" s="23" t="s">
        <v>10056</v>
      </c>
      <c r="I76" s="77" t="s">
        <v>3581</v>
      </c>
      <c r="J76" s="23" t="s">
        <v>10057</v>
      </c>
      <c r="K76" s="76" t="s">
        <v>10058</v>
      </c>
    </row>
    <row r="77" spans="1:11">
      <c r="A77" s="14"/>
      <c r="B77" s="14"/>
      <c r="C77" s="19"/>
      <c r="D77" s="7" t="s">
        <v>118</v>
      </c>
      <c r="E77" s="23" t="s">
        <v>10059</v>
      </c>
      <c r="F77" s="23" t="s">
        <v>2639</v>
      </c>
      <c r="G77" s="76" t="s">
        <v>10060</v>
      </c>
      <c r="H77" s="23" t="s">
        <v>10061</v>
      </c>
      <c r="I77" s="77" t="s">
        <v>3459</v>
      </c>
      <c r="J77" s="23" t="s">
        <v>10062</v>
      </c>
      <c r="K77" s="76" t="s">
        <v>10063</v>
      </c>
    </row>
    <row r="78" spans="1:11">
      <c r="A78" s="14"/>
      <c r="B78" s="14" t="s">
        <v>21</v>
      </c>
      <c r="C78" s="19" t="s">
        <v>22</v>
      </c>
      <c r="D78" s="7" t="s">
        <v>120</v>
      </c>
      <c r="E78" s="23" t="s">
        <v>10064</v>
      </c>
      <c r="F78" s="23" t="s">
        <v>2639</v>
      </c>
      <c r="G78" s="76" t="s">
        <v>10065</v>
      </c>
      <c r="H78" s="23" t="s">
        <v>10066</v>
      </c>
      <c r="I78" s="77" t="s">
        <v>3459</v>
      </c>
      <c r="J78" s="23" t="s">
        <v>10067</v>
      </c>
      <c r="K78" s="76" t="s">
        <v>10068</v>
      </c>
    </row>
    <row r="79" spans="1:11">
      <c r="A79" s="14"/>
      <c r="B79" s="14"/>
      <c r="C79" s="19"/>
      <c r="D79" s="7" t="s">
        <v>10069</v>
      </c>
      <c r="E79" s="23" t="s">
        <v>10070</v>
      </c>
      <c r="F79" s="23" t="s">
        <v>2639</v>
      </c>
      <c r="G79" s="76" t="s">
        <v>10071</v>
      </c>
      <c r="H79" s="23" t="s">
        <v>10072</v>
      </c>
      <c r="I79" s="77" t="s">
        <v>3453</v>
      </c>
      <c r="J79" s="23" t="s">
        <v>10073</v>
      </c>
      <c r="K79" s="76" t="s">
        <v>10074</v>
      </c>
    </row>
    <row r="80" spans="1:11">
      <c r="A80" s="14"/>
      <c r="B80" s="14"/>
      <c r="C80" s="19"/>
      <c r="D80" s="7" t="s">
        <v>121</v>
      </c>
      <c r="E80" s="23" t="s">
        <v>10075</v>
      </c>
      <c r="F80" s="23" t="s">
        <v>2639</v>
      </c>
      <c r="G80" s="76" t="s">
        <v>10076</v>
      </c>
      <c r="H80" s="23" t="s">
        <v>10077</v>
      </c>
      <c r="I80" s="77" t="s">
        <v>3459</v>
      </c>
      <c r="J80" s="23" t="s">
        <v>10078</v>
      </c>
      <c r="K80" s="76" t="s">
        <v>10079</v>
      </c>
    </row>
    <row r="81" spans="1:11">
      <c r="A81" s="14"/>
      <c r="B81" s="14"/>
      <c r="C81" s="19"/>
      <c r="D81" s="7" t="s">
        <v>122</v>
      </c>
      <c r="E81" s="23" t="s">
        <v>10080</v>
      </c>
      <c r="F81" s="23" t="s">
        <v>2639</v>
      </c>
      <c r="G81" s="76" t="s">
        <v>10081</v>
      </c>
      <c r="H81" s="23" t="s">
        <v>10082</v>
      </c>
      <c r="I81" s="77" t="s">
        <v>3581</v>
      </c>
      <c r="J81" s="23" t="s">
        <v>10083</v>
      </c>
      <c r="K81" s="76" t="s">
        <v>10084</v>
      </c>
    </row>
    <row r="82" spans="1:11">
      <c r="A82" s="14"/>
      <c r="B82" s="14"/>
      <c r="C82" s="19"/>
      <c r="D82" s="7" t="s">
        <v>123</v>
      </c>
      <c r="E82" s="23" t="s">
        <v>10085</v>
      </c>
      <c r="F82" s="23" t="s">
        <v>2639</v>
      </c>
      <c r="G82" s="76" t="s">
        <v>10086</v>
      </c>
      <c r="H82" s="23" t="s">
        <v>10087</v>
      </c>
      <c r="I82" s="77" t="s">
        <v>3459</v>
      </c>
      <c r="J82" s="23" t="s">
        <v>10088</v>
      </c>
      <c r="K82" s="76" t="s">
        <v>10089</v>
      </c>
    </row>
    <row r="83" spans="1:11">
      <c r="A83" s="14"/>
      <c r="B83" s="14"/>
      <c r="C83" s="19" t="s">
        <v>23</v>
      </c>
      <c r="D83" s="7" t="s">
        <v>124</v>
      </c>
      <c r="E83" s="23" t="s">
        <v>10090</v>
      </c>
      <c r="F83" s="23" t="s">
        <v>2639</v>
      </c>
      <c r="G83" s="76" t="s">
        <v>9987</v>
      </c>
      <c r="H83" s="23" t="s">
        <v>10091</v>
      </c>
      <c r="I83" s="77" t="s">
        <v>3459</v>
      </c>
      <c r="J83" s="23" t="s">
        <v>10092</v>
      </c>
      <c r="K83" s="76" t="s">
        <v>10093</v>
      </c>
    </row>
    <row r="84" spans="1:11">
      <c r="A84" s="14"/>
      <c r="B84" s="14"/>
      <c r="C84" s="19"/>
      <c r="D84" s="7" t="s">
        <v>125</v>
      </c>
      <c r="E84" s="23" t="s">
        <v>10094</v>
      </c>
      <c r="F84" s="23" t="s">
        <v>2639</v>
      </c>
      <c r="G84" s="76" t="s">
        <v>10095</v>
      </c>
      <c r="H84" s="23" t="s">
        <v>10096</v>
      </c>
      <c r="I84" s="77" t="s">
        <v>3453</v>
      </c>
      <c r="J84" s="23" t="s">
        <v>10097</v>
      </c>
      <c r="K84" s="76" t="s">
        <v>10098</v>
      </c>
    </row>
    <row r="85" spans="1:11">
      <c r="A85" s="14"/>
      <c r="B85" s="14"/>
      <c r="C85" s="19"/>
      <c r="D85" s="7" t="s">
        <v>126</v>
      </c>
      <c r="E85" s="23" t="s">
        <v>10099</v>
      </c>
      <c r="F85" s="23" t="s">
        <v>2639</v>
      </c>
      <c r="G85" s="76" t="s">
        <v>10100</v>
      </c>
      <c r="H85" s="23" t="s">
        <v>10101</v>
      </c>
      <c r="I85" s="77" t="s">
        <v>3459</v>
      </c>
      <c r="J85" s="23" t="s">
        <v>10102</v>
      </c>
      <c r="K85" s="76" t="s">
        <v>10103</v>
      </c>
    </row>
    <row r="86" spans="1:11">
      <c r="A86" s="14"/>
      <c r="B86" s="14"/>
      <c r="C86" s="19"/>
      <c r="D86" s="7" t="s">
        <v>127</v>
      </c>
      <c r="E86" s="23" t="s">
        <v>10104</v>
      </c>
      <c r="F86" s="23" t="s">
        <v>2639</v>
      </c>
      <c r="G86" s="76" t="s">
        <v>10105</v>
      </c>
      <c r="H86" s="23" t="s">
        <v>10106</v>
      </c>
      <c r="I86" s="77" t="s">
        <v>3459</v>
      </c>
      <c r="J86" s="23" t="s">
        <v>10107</v>
      </c>
      <c r="K86" s="76" t="s">
        <v>10108</v>
      </c>
    </row>
    <row r="87" spans="1:11">
      <c r="A87" s="14"/>
      <c r="B87" s="14"/>
      <c r="C87" s="19"/>
      <c r="D87" s="7" t="s">
        <v>128</v>
      </c>
      <c r="E87" s="23" t="s">
        <v>10109</v>
      </c>
      <c r="F87" s="23" t="s">
        <v>2639</v>
      </c>
      <c r="G87" s="76" t="s">
        <v>10110</v>
      </c>
      <c r="H87" s="23" t="s">
        <v>10111</v>
      </c>
      <c r="I87" s="77" t="s">
        <v>3581</v>
      </c>
      <c r="J87" s="23" t="s">
        <v>10112</v>
      </c>
      <c r="K87" s="76" t="s">
        <v>10113</v>
      </c>
    </row>
    <row r="88" spans="1:11">
      <c r="A88" s="14"/>
      <c r="B88" s="14"/>
      <c r="C88" s="19" t="s">
        <v>24</v>
      </c>
      <c r="D88" s="7" t="s">
        <v>129</v>
      </c>
      <c r="E88" s="23" t="s">
        <v>10114</v>
      </c>
      <c r="F88" s="23" t="s">
        <v>2639</v>
      </c>
      <c r="G88" s="76" t="s">
        <v>10115</v>
      </c>
      <c r="H88" s="23" t="s">
        <v>10116</v>
      </c>
      <c r="I88" s="77" t="s">
        <v>3459</v>
      </c>
      <c r="J88" s="23" t="s">
        <v>10117</v>
      </c>
      <c r="K88" s="76" t="s">
        <v>10118</v>
      </c>
    </row>
    <row r="89" spans="1:11">
      <c r="A89" s="14"/>
      <c r="B89" s="14"/>
      <c r="C89" s="19"/>
      <c r="D89" s="7" t="s">
        <v>130</v>
      </c>
      <c r="E89" s="23" t="s">
        <v>10119</v>
      </c>
      <c r="F89" s="23" t="s">
        <v>2639</v>
      </c>
      <c r="G89" s="76" t="s">
        <v>10120</v>
      </c>
      <c r="H89" s="23" t="s">
        <v>10121</v>
      </c>
      <c r="I89" s="77" t="s">
        <v>3581</v>
      </c>
      <c r="J89" s="23" t="s">
        <v>10122</v>
      </c>
      <c r="K89" s="76" t="s">
        <v>10123</v>
      </c>
    </row>
    <row r="90" spans="1:11">
      <c r="A90" s="14"/>
      <c r="B90" s="14"/>
      <c r="C90" s="19"/>
      <c r="D90" s="7" t="s">
        <v>131</v>
      </c>
      <c r="E90" s="23" t="s">
        <v>10124</v>
      </c>
      <c r="F90" s="23" t="s">
        <v>2639</v>
      </c>
      <c r="G90" s="76" t="s">
        <v>10125</v>
      </c>
      <c r="H90" s="23" t="s">
        <v>10126</v>
      </c>
      <c r="I90" s="77" t="s">
        <v>3581</v>
      </c>
      <c r="J90" s="23" t="s">
        <v>10127</v>
      </c>
      <c r="K90" s="76" t="s">
        <v>10128</v>
      </c>
    </row>
    <row r="91" spans="1:11">
      <c r="A91" s="14"/>
      <c r="B91" s="14"/>
      <c r="C91" s="19"/>
      <c r="D91" s="7" t="s">
        <v>132</v>
      </c>
      <c r="E91" s="23" t="s">
        <v>10129</v>
      </c>
      <c r="F91" s="23" t="s">
        <v>2639</v>
      </c>
      <c r="G91" s="76" t="s">
        <v>10130</v>
      </c>
      <c r="H91" s="23" t="s">
        <v>10131</v>
      </c>
      <c r="I91" s="77" t="s">
        <v>3459</v>
      </c>
      <c r="J91" s="23" t="s">
        <v>10132</v>
      </c>
      <c r="K91" s="76" t="s">
        <v>10133</v>
      </c>
    </row>
    <row r="92" spans="1:11">
      <c r="A92" s="14"/>
      <c r="B92" s="14"/>
      <c r="C92" s="19"/>
      <c r="D92" s="7" t="s">
        <v>133</v>
      </c>
      <c r="E92" s="23" t="s">
        <v>10134</v>
      </c>
      <c r="F92" s="23" t="s">
        <v>2639</v>
      </c>
      <c r="G92" s="76" t="s">
        <v>10135</v>
      </c>
      <c r="H92" s="23" t="s">
        <v>10136</v>
      </c>
      <c r="I92" s="77" t="s">
        <v>3581</v>
      </c>
      <c r="J92" s="23" t="s">
        <v>10137</v>
      </c>
      <c r="K92" s="76" t="s">
        <v>10138</v>
      </c>
    </row>
    <row r="93" spans="1:11">
      <c r="A93" s="14"/>
      <c r="B93" s="14"/>
      <c r="C93" s="19" t="s">
        <v>25</v>
      </c>
      <c r="D93" s="7" t="s">
        <v>134</v>
      </c>
      <c r="E93" s="23" t="s">
        <v>10139</v>
      </c>
      <c r="F93" s="23" t="s">
        <v>2639</v>
      </c>
      <c r="G93" s="76" t="s">
        <v>3816</v>
      </c>
      <c r="H93" s="23" t="s">
        <v>10140</v>
      </c>
      <c r="I93" s="77" t="s">
        <v>3459</v>
      </c>
      <c r="J93" s="23" t="s">
        <v>10141</v>
      </c>
      <c r="K93" s="76" t="s">
        <v>10142</v>
      </c>
    </row>
    <row r="94" spans="1:11">
      <c r="A94" s="14"/>
      <c r="B94" s="14"/>
      <c r="C94" s="19"/>
      <c r="D94" s="7" t="s">
        <v>102</v>
      </c>
      <c r="E94" s="23" t="s">
        <v>10143</v>
      </c>
      <c r="F94" s="23" t="s">
        <v>2639</v>
      </c>
      <c r="G94" s="76" t="s">
        <v>10144</v>
      </c>
      <c r="H94" s="23" t="s">
        <v>10145</v>
      </c>
      <c r="I94" s="77" t="s">
        <v>3453</v>
      </c>
      <c r="J94" s="23" t="s">
        <v>10146</v>
      </c>
      <c r="K94" s="76" t="s">
        <v>10147</v>
      </c>
    </row>
    <row r="95" spans="1:11">
      <c r="A95" s="14"/>
      <c r="B95" s="14"/>
      <c r="C95" s="19"/>
      <c r="D95" s="7" t="s">
        <v>135</v>
      </c>
      <c r="E95" s="23" t="s">
        <v>10148</v>
      </c>
      <c r="F95" s="23" t="s">
        <v>2639</v>
      </c>
      <c r="G95" s="76" t="s">
        <v>10149</v>
      </c>
      <c r="H95" s="23" t="s">
        <v>10150</v>
      </c>
      <c r="I95" s="77" t="s">
        <v>3459</v>
      </c>
      <c r="J95" s="23" t="s">
        <v>10151</v>
      </c>
      <c r="K95" s="76" t="s">
        <v>10152</v>
      </c>
    </row>
    <row r="96" spans="1:11">
      <c r="A96" s="14"/>
      <c r="B96" s="14"/>
      <c r="C96" s="19"/>
      <c r="D96" s="7" t="s">
        <v>136</v>
      </c>
      <c r="E96" s="23" t="s">
        <v>10153</v>
      </c>
      <c r="F96" s="23" t="s">
        <v>2639</v>
      </c>
      <c r="G96" s="76" t="s">
        <v>10154</v>
      </c>
      <c r="H96" s="23" t="s">
        <v>10155</v>
      </c>
      <c r="I96" s="77" t="s">
        <v>3581</v>
      </c>
      <c r="J96" s="23" t="s">
        <v>10156</v>
      </c>
      <c r="K96" s="76" t="s">
        <v>10157</v>
      </c>
    </row>
    <row r="97" spans="1:11">
      <c r="A97" s="14"/>
      <c r="B97" s="14"/>
      <c r="C97" s="19"/>
      <c r="D97" s="7" t="s">
        <v>137</v>
      </c>
      <c r="E97" s="23" t="s">
        <v>10158</v>
      </c>
      <c r="F97" s="23" t="s">
        <v>2639</v>
      </c>
      <c r="G97" s="76" t="s">
        <v>10159</v>
      </c>
      <c r="H97" s="23" t="s">
        <v>10160</v>
      </c>
      <c r="I97" s="77" t="s">
        <v>3459</v>
      </c>
      <c r="J97" s="23" t="s">
        <v>10161</v>
      </c>
      <c r="K97" s="76" t="s">
        <v>10162</v>
      </c>
    </row>
    <row r="98" spans="1:11">
      <c r="A98" s="14"/>
      <c r="B98" s="14"/>
      <c r="C98" s="19" t="s">
        <v>26</v>
      </c>
      <c r="D98" s="7" t="s">
        <v>138</v>
      </c>
      <c r="E98" s="23" t="s">
        <v>10163</v>
      </c>
      <c r="F98" s="23" t="s">
        <v>2639</v>
      </c>
      <c r="G98" s="76" t="s">
        <v>10164</v>
      </c>
      <c r="H98" s="23" t="s">
        <v>10165</v>
      </c>
      <c r="I98" s="77" t="s">
        <v>3453</v>
      </c>
      <c r="J98" s="23" t="s">
        <v>10166</v>
      </c>
      <c r="K98" s="76" t="s">
        <v>10167</v>
      </c>
    </row>
    <row r="99" spans="1:11">
      <c r="A99" s="14"/>
      <c r="B99" s="14"/>
      <c r="C99" s="19"/>
      <c r="D99" s="7" t="s">
        <v>139</v>
      </c>
      <c r="E99" s="23" t="s">
        <v>10168</v>
      </c>
      <c r="F99" s="23" t="s">
        <v>2639</v>
      </c>
      <c r="G99" s="76" t="s">
        <v>10169</v>
      </c>
      <c r="H99" s="23" t="s">
        <v>10170</v>
      </c>
      <c r="I99" s="77" t="s">
        <v>3459</v>
      </c>
      <c r="J99" s="23" t="s">
        <v>10171</v>
      </c>
      <c r="K99" s="76" t="s">
        <v>10172</v>
      </c>
    </row>
    <row r="100" spans="1:11">
      <c r="A100" s="14"/>
      <c r="B100" s="14"/>
      <c r="C100" s="19"/>
      <c r="D100" s="7" t="s">
        <v>140</v>
      </c>
      <c r="E100" s="23" t="s">
        <v>10173</v>
      </c>
      <c r="F100" s="23" t="s">
        <v>2639</v>
      </c>
      <c r="G100" s="76" t="s">
        <v>10174</v>
      </c>
      <c r="H100" s="23" t="s">
        <v>10175</v>
      </c>
      <c r="I100" s="77" t="s">
        <v>3459</v>
      </c>
      <c r="J100" s="23" t="s">
        <v>10176</v>
      </c>
      <c r="K100" s="76" t="s">
        <v>10177</v>
      </c>
    </row>
    <row r="101" spans="1:11">
      <c r="A101" s="14"/>
      <c r="B101" s="14"/>
      <c r="C101" s="19"/>
      <c r="D101" s="7" t="s">
        <v>141</v>
      </c>
      <c r="E101" s="23" t="s">
        <v>10178</v>
      </c>
      <c r="F101" s="23" t="s">
        <v>2639</v>
      </c>
      <c r="G101" s="76" t="s">
        <v>10179</v>
      </c>
      <c r="H101" s="23" t="s">
        <v>10180</v>
      </c>
      <c r="I101" s="77" t="s">
        <v>3453</v>
      </c>
      <c r="J101" s="23" t="s">
        <v>10181</v>
      </c>
      <c r="K101" s="76" t="s">
        <v>10182</v>
      </c>
    </row>
    <row r="102" spans="1:11">
      <c r="A102" s="14"/>
      <c r="B102" s="14"/>
      <c r="C102" s="19"/>
      <c r="D102" s="7" t="s">
        <v>142</v>
      </c>
      <c r="E102" s="23" t="s">
        <v>10183</v>
      </c>
      <c r="F102" s="23" t="s">
        <v>2639</v>
      </c>
      <c r="G102" s="76" t="s">
        <v>10184</v>
      </c>
      <c r="H102" s="23" t="s">
        <v>10185</v>
      </c>
      <c r="I102" s="77" t="s">
        <v>3453</v>
      </c>
      <c r="J102" s="23" t="s">
        <v>10186</v>
      </c>
      <c r="K102" s="76" t="s">
        <v>10187</v>
      </c>
    </row>
    <row r="103" spans="1:11">
      <c r="A103" s="14" t="s">
        <v>27</v>
      </c>
      <c r="B103" s="14" t="s">
        <v>28</v>
      </c>
      <c r="C103" s="19" t="s">
        <v>29</v>
      </c>
      <c r="D103" s="7" t="s">
        <v>143</v>
      </c>
      <c r="E103" s="23" t="s">
        <v>10188</v>
      </c>
      <c r="F103" s="23" t="s">
        <v>2639</v>
      </c>
      <c r="G103" s="76" t="s">
        <v>10189</v>
      </c>
      <c r="H103" s="23" t="s">
        <v>10190</v>
      </c>
      <c r="I103" s="77" t="s">
        <v>3459</v>
      </c>
      <c r="J103" s="23" t="s">
        <v>10191</v>
      </c>
      <c r="K103" s="76" t="s">
        <v>10192</v>
      </c>
    </row>
    <row r="104" spans="1:11">
      <c r="A104" s="14"/>
      <c r="B104" s="14"/>
      <c r="C104" s="19"/>
      <c r="D104" s="7" t="s">
        <v>144</v>
      </c>
      <c r="E104" s="23" t="s">
        <v>10193</v>
      </c>
      <c r="F104" s="23" t="s">
        <v>2639</v>
      </c>
      <c r="G104" s="76" t="s">
        <v>10194</v>
      </c>
      <c r="H104" s="23" t="s">
        <v>10195</v>
      </c>
      <c r="I104" s="77" t="s">
        <v>3453</v>
      </c>
      <c r="J104" s="23" t="s">
        <v>10196</v>
      </c>
      <c r="K104" s="76" t="s">
        <v>10197</v>
      </c>
    </row>
    <row r="105" spans="1:11">
      <c r="A105" s="14"/>
      <c r="B105" s="14"/>
      <c r="C105" s="19"/>
      <c r="D105" s="7" t="s">
        <v>145</v>
      </c>
      <c r="E105" s="23" t="s">
        <v>10198</v>
      </c>
      <c r="F105" s="23" t="s">
        <v>2639</v>
      </c>
      <c r="G105" s="76" t="s">
        <v>10199</v>
      </c>
      <c r="H105" s="23" t="s">
        <v>10200</v>
      </c>
      <c r="I105" s="77" t="s">
        <v>3453</v>
      </c>
      <c r="J105" s="23" t="s">
        <v>10201</v>
      </c>
      <c r="K105" s="76" t="s">
        <v>10202</v>
      </c>
    </row>
    <row r="106" spans="1:11">
      <c r="A106" s="14"/>
      <c r="B106" s="14"/>
      <c r="C106" s="19"/>
      <c r="D106" s="7" t="s">
        <v>146</v>
      </c>
      <c r="E106" s="23" t="s">
        <v>10203</v>
      </c>
      <c r="F106" s="23" t="s">
        <v>2639</v>
      </c>
      <c r="G106" s="76" t="s">
        <v>10204</v>
      </c>
      <c r="H106" s="23" t="s">
        <v>10205</v>
      </c>
      <c r="I106" s="77" t="s">
        <v>3459</v>
      </c>
      <c r="J106" s="23" t="s">
        <v>10206</v>
      </c>
      <c r="K106" s="76" t="s">
        <v>10207</v>
      </c>
    </row>
    <row r="107" spans="1:11">
      <c r="A107" s="14"/>
      <c r="B107" s="14"/>
      <c r="C107" s="19"/>
      <c r="D107" s="7" t="s">
        <v>147</v>
      </c>
      <c r="E107" s="23" t="s">
        <v>10208</v>
      </c>
      <c r="F107" s="23" t="s">
        <v>2639</v>
      </c>
      <c r="G107" s="76" t="s">
        <v>10209</v>
      </c>
      <c r="H107" s="23" t="s">
        <v>10210</v>
      </c>
      <c r="I107" s="77" t="s">
        <v>3581</v>
      </c>
      <c r="J107" s="23" t="s">
        <v>10211</v>
      </c>
      <c r="K107" s="76" t="s">
        <v>10212</v>
      </c>
    </row>
    <row r="108" spans="1:11">
      <c r="A108" s="14"/>
      <c r="B108" s="14"/>
      <c r="C108" s="19" t="s">
        <v>30</v>
      </c>
      <c r="D108" s="7" t="s">
        <v>148</v>
      </c>
      <c r="E108" s="23" t="s">
        <v>10213</v>
      </c>
      <c r="F108" s="23" t="s">
        <v>2639</v>
      </c>
      <c r="G108" s="76" t="s">
        <v>10214</v>
      </c>
      <c r="H108" s="23" t="s">
        <v>10215</v>
      </c>
      <c r="I108" s="77" t="s">
        <v>3459</v>
      </c>
      <c r="J108" s="23" t="s">
        <v>10216</v>
      </c>
      <c r="K108" s="76" t="s">
        <v>10217</v>
      </c>
    </row>
    <row r="109" spans="1:11">
      <c r="A109" s="14"/>
      <c r="B109" s="14"/>
      <c r="C109" s="19"/>
      <c r="D109" s="7" t="s">
        <v>149</v>
      </c>
      <c r="E109" s="23" t="s">
        <v>10218</v>
      </c>
      <c r="F109" s="23" t="s">
        <v>2639</v>
      </c>
      <c r="G109" s="76" t="s">
        <v>10219</v>
      </c>
      <c r="H109" s="23" t="s">
        <v>10220</v>
      </c>
      <c r="I109" s="77" t="s">
        <v>3453</v>
      </c>
      <c r="J109" s="23" t="s">
        <v>10221</v>
      </c>
      <c r="K109" s="76" t="s">
        <v>10222</v>
      </c>
    </row>
    <row r="110" spans="1:11">
      <c r="A110" s="14"/>
      <c r="B110" s="14"/>
      <c r="C110" s="19"/>
      <c r="D110" s="7" t="s">
        <v>150</v>
      </c>
      <c r="E110" s="23" t="s">
        <v>10223</v>
      </c>
      <c r="F110" s="23" t="s">
        <v>2639</v>
      </c>
      <c r="G110" s="76" t="s">
        <v>10224</v>
      </c>
      <c r="H110" s="23" t="s">
        <v>10225</v>
      </c>
      <c r="I110" s="77" t="s">
        <v>3459</v>
      </c>
      <c r="J110" s="23" t="s">
        <v>10226</v>
      </c>
      <c r="K110" s="76" t="s">
        <v>10227</v>
      </c>
    </row>
    <row r="111" spans="1:11">
      <c r="A111" s="14"/>
      <c r="B111" s="14"/>
      <c r="C111" s="19"/>
      <c r="D111" s="7" t="s">
        <v>151</v>
      </c>
      <c r="E111" s="23" t="s">
        <v>10228</v>
      </c>
      <c r="F111" s="23" t="s">
        <v>2639</v>
      </c>
      <c r="G111" s="76" t="s">
        <v>10229</v>
      </c>
      <c r="H111" s="23" t="s">
        <v>10230</v>
      </c>
      <c r="I111" s="77" t="s">
        <v>3459</v>
      </c>
      <c r="J111" s="23" t="s">
        <v>10231</v>
      </c>
      <c r="K111" s="76" t="s">
        <v>10232</v>
      </c>
    </row>
    <row r="112" spans="1:11">
      <c r="A112" s="14"/>
      <c r="B112" s="14"/>
      <c r="C112" s="19"/>
      <c r="D112" s="7" t="s">
        <v>152</v>
      </c>
      <c r="E112" s="23" t="s">
        <v>10233</v>
      </c>
      <c r="F112" s="23" t="s">
        <v>2639</v>
      </c>
      <c r="G112" s="76" t="s">
        <v>10234</v>
      </c>
      <c r="H112" s="23" t="s">
        <v>10235</v>
      </c>
      <c r="I112" s="77" t="s">
        <v>3459</v>
      </c>
      <c r="J112" s="23" t="s">
        <v>10236</v>
      </c>
      <c r="K112" s="76" t="s">
        <v>10237</v>
      </c>
    </row>
    <row r="113" spans="1:11">
      <c r="A113" s="14"/>
      <c r="B113" s="14"/>
      <c r="C113" s="19" t="s">
        <v>31</v>
      </c>
      <c r="D113" s="7" t="s">
        <v>153</v>
      </c>
      <c r="E113" s="23" t="s">
        <v>10238</v>
      </c>
      <c r="F113" s="23" t="s">
        <v>2639</v>
      </c>
      <c r="G113" s="76" t="s">
        <v>10239</v>
      </c>
      <c r="H113" s="23" t="s">
        <v>10240</v>
      </c>
      <c r="I113" s="77" t="s">
        <v>3459</v>
      </c>
      <c r="J113" s="23" t="s">
        <v>10241</v>
      </c>
      <c r="K113" s="76" t="s">
        <v>10242</v>
      </c>
    </row>
    <row r="114" spans="1:11">
      <c r="A114" s="14"/>
      <c r="B114" s="14"/>
      <c r="C114" s="19"/>
      <c r="D114" s="7" t="s">
        <v>154</v>
      </c>
      <c r="E114" s="23" t="s">
        <v>10243</v>
      </c>
      <c r="F114" s="23" t="s">
        <v>2639</v>
      </c>
      <c r="G114" s="76" t="s">
        <v>10244</v>
      </c>
      <c r="H114" s="23" t="s">
        <v>10245</v>
      </c>
      <c r="I114" s="77" t="s">
        <v>3453</v>
      </c>
      <c r="J114" s="23" t="s">
        <v>10246</v>
      </c>
      <c r="K114" s="76" t="s">
        <v>10247</v>
      </c>
    </row>
    <row r="115" spans="1:11">
      <c r="A115" s="14"/>
      <c r="B115" s="14"/>
      <c r="C115" s="19"/>
      <c r="D115" s="7" t="s">
        <v>155</v>
      </c>
      <c r="E115" s="23" t="s">
        <v>10248</v>
      </c>
      <c r="F115" s="23" t="s">
        <v>2639</v>
      </c>
      <c r="G115" s="76" t="s">
        <v>10249</v>
      </c>
      <c r="H115" s="23" t="s">
        <v>10250</v>
      </c>
      <c r="I115" s="77" t="s">
        <v>3459</v>
      </c>
      <c r="J115" s="23" t="s">
        <v>10251</v>
      </c>
      <c r="K115" s="76" t="s">
        <v>10252</v>
      </c>
    </row>
    <row r="116" spans="1:11">
      <c r="A116" s="14"/>
      <c r="B116" s="14"/>
      <c r="C116" s="19"/>
      <c r="D116" s="7" t="s">
        <v>156</v>
      </c>
      <c r="E116" s="23" t="s">
        <v>10253</v>
      </c>
      <c r="F116" s="23" t="s">
        <v>2639</v>
      </c>
      <c r="G116" s="76" t="s">
        <v>10254</v>
      </c>
      <c r="H116" s="23" t="s">
        <v>10255</v>
      </c>
      <c r="I116" s="77" t="s">
        <v>3459</v>
      </c>
      <c r="J116" s="23" t="s">
        <v>10256</v>
      </c>
      <c r="K116" s="76" t="s">
        <v>10257</v>
      </c>
    </row>
    <row r="117" spans="1:11">
      <c r="A117" s="14"/>
      <c r="B117" s="14"/>
      <c r="C117" s="19"/>
      <c r="D117" s="7" t="s">
        <v>157</v>
      </c>
      <c r="E117" s="23" t="s">
        <v>10258</v>
      </c>
      <c r="F117" s="23" t="s">
        <v>2639</v>
      </c>
      <c r="G117" s="76" t="s">
        <v>10259</v>
      </c>
      <c r="H117" s="23" t="s">
        <v>10260</v>
      </c>
      <c r="I117" s="77" t="s">
        <v>3581</v>
      </c>
      <c r="J117" s="23" t="s">
        <v>10261</v>
      </c>
      <c r="K117" s="76" t="s">
        <v>10262</v>
      </c>
    </row>
    <row r="118" spans="1:11">
      <c r="A118" s="14"/>
      <c r="B118" s="14"/>
      <c r="C118" s="19" t="s">
        <v>32</v>
      </c>
      <c r="D118" s="7" t="s">
        <v>158</v>
      </c>
      <c r="E118" s="23" t="s">
        <v>10263</v>
      </c>
      <c r="F118" s="23" t="s">
        <v>2639</v>
      </c>
      <c r="G118" s="76" t="s">
        <v>10264</v>
      </c>
      <c r="H118" s="23" t="s">
        <v>10265</v>
      </c>
      <c r="I118" s="77" t="s">
        <v>3459</v>
      </c>
      <c r="J118" s="23" t="s">
        <v>10266</v>
      </c>
      <c r="K118" s="76" t="s">
        <v>10267</v>
      </c>
    </row>
    <row r="119" spans="1:11">
      <c r="A119" s="14"/>
      <c r="B119" s="14"/>
      <c r="C119" s="19"/>
      <c r="D119" s="7" t="s">
        <v>159</v>
      </c>
      <c r="E119" s="23" t="s">
        <v>10268</v>
      </c>
      <c r="F119" s="23" t="s">
        <v>2639</v>
      </c>
      <c r="G119" s="76" t="s">
        <v>4019</v>
      </c>
      <c r="H119" s="23" t="s">
        <v>10269</v>
      </c>
      <c r="I119" s="77" t="s">
        <v>3453</v>
      </c>
      <c r="J119" s="23" t="s">
        <v>10270</v>
      </c>
      <c r="K119" s="76" t="s">
        <v>10271</v>
      </c>
    </row>
    <row r="120" spans="1:11">
      <c r="A120" s="14"/>
      <c r="B120" s="14"/>
      <c r="C120" s="19"/>
      <c r="D120" s="7" t="s">
        <v>160</v>
      </c>
      <c r="E120" s="23" t="s">
        <v>10272</v>
      </c>
      <c r="F120" s="23" t="s">
        <v>2639</v>
      </c>
      <c r="G120" s="76" t="s">
        <v>10273</v>
      </c>
      <c r="H120" s="23" t="s">
        <v>10274</v>
      </c>
      <c r="I120" s="77" t="s">
        <v>3453</v>
      </c>
      <c r="J120" s="23" t="s">
        <v>10275</v>
      </c>
      <c r="K120" s="76" t="s">
        <v>10276</v>
      </c>
    </row>
    <row r="121" spans="1:11">
      <c r="A121" s="14"/>
      <c r="B121" s="14"/>
      <c r="C121" s="19"/>
      <c r="D121" s="7" t="s">
        <v>162</v>
      </c>
      <c r="E121" s="23" t="s">
        <v>10277</v>
      </c>
      <c r="F121" s="23" t="s">
        <v>2639</v>
      </c>
      <c r="G121" s="76" t="s">
        <v>10278</v>
      </c>
      <c r="H121" s="23" t="s">
        <v>10279</v>
      </c>
      <c r="I121" s="77" t="s">
        <v>3453</v>
      </c>
      <c r="J121" s="23" t="s">
        <v>10280</v>
      </c>
      <c r="K121" s="76" t="s">
        <v>10281</v>
      </c>
    </row>
    <row r="122" spans="1:11">
      <c r="A122" s="14"/>
      <c r="B122" s="14"/>
      <c r="C122" s="19"/>
      <c r="D122" s="7" t="s">
        <v>161</v>
      </c>
      <c r="E122" s="23" t="s">
        <v>10282</v>
      </c>
      <c r="F122" s="23" t="s">
        <v>2639</v>
      </c>
      <c r="G122" s="76" t="s">
        <v>10283</v>
      </c>
      <c r="H122" s="23" t="s">
        <v>10284</v>
      </c>
      <c r="I122" s="77" t="s">
        <v>3459</v>
      </c>
      <c r="J122" s="23" t="s">
        <v>10285</v>
      </c>
      <c r="K122" s="76" t="s">
        <v>10286</v>
      </c>
    </row>
    <row r="123" spans="1:11">
      <c r="A123" s="14"/>
      <c r="B123" s="14"/>
      <c r="C123" s="19" t="s">
        <v>33</v>
      </c>
      <c r="D123" s="7" t="s">
        <v>163</v>
      </c>
      <c r="E123" s="23" t="s">
        <v>10287</v>
      </c>
      <c r="F123" s="23" t="s">
        <v>2639</v>
      </c>
      <c r="G123" s="76" t="s">
        <v>10288</v>
      </c>
      <c r="H123" s="23" t="s">
        <v>10289</v>
      </c>
      <c r="I123" s="77" t="s">
        <v>3453</v>
      </c>
      <c r="J123" s="23" t="s">
        <v>10290</v>
      </c>
      <c r="K123" s="76" t="s">
        <v>10291</v>
      </c>
    </row>
    <row r="124" spans="1:11">
      <c r="A124" s="14"/>
      <c r="B124" s="14"/>
      <c r="C124" s="19"/>
      <c r="D124" s="7" t="s">
        <v>164</v>
      </c>
      <c r="E124" s="23" t="s">
        <v>10292</v>
      </c>
      <c r="F124" s="23" t="s">
        <v>2639</v>
      </c>
      <c r="G124" s="76" t="s">
        <v>10293</v>
      </c>
      <c r="H124" s="23" t="s">
        <v>10294</v>
      </c>
      <c r="I124" s="77" t="s">
        <v>3459</v>
      </c>
      <c r="J124" s="23" t="s">
        <v>10295</v>
      </c>
      <c r="K124" s="76" t="s">
        <v>10296</v>
      </c>
    </row>
    <row r="125" spans="1:11">
      <c r="A125" s="14"/>
      <c r="B125" s="14"/>
      <c r="C125" s="19"/>
      <c r="D125" s="7" t="s">
        <v>165</v>
      </c>
      <c r="E125" s="23" t="s">
        <v>10297</v>
      </c>
      <c r="F125" s="23" t="s">
        <v>2639</v>
      </c>
      <c r="G125" s="76" t="s">
        <v>10298</v>
      </c>
      <c r="H125" s="23" t="s">
        <v>10299</v>
      </c>
      <c r="I125" s="77" t="s">
        <v>3453</v>
      </c>
      <c r="J125" s="23" t="s">
        <v>10300</v>
      </c>
      <c r="K125" s="76" t="s">
        <v>10301</v>
      </c>
    </row>
    <row r="126" spans="1:11">
      <c r="A126" s="14"/>
      <c r="B126" s="14"/>
      <c r="C126" s="19"/>
      <c r="D126" s="7" t="s">
        <v>166</v>
      </c>
      <c r="E126" s="23" t="s">
        <v>10302</v>
      </c>
      <c r="F126" s="23" t="s">
        <v>2639</v>
      </c>
      <c r="G126" s="76" t="s">
        <v>10303</v>
      </c>
      <c r="H126" s="23" t="s">
        <v>10304</v>
      </c>
      <c r="I126" s="77" t="s">
        <v>3453</v>
      </c>
      <c r="J126" s="23" t="s">
        <v>10305</v>
      </c>
      <c r="K126" s="76" t="s">
        <v>10306</v>
      </c>
    </row>
    <row r="127" spans="1:11">
      <c r="A127" s="14"/>
      <c r="B127" s="14"/>
      <c r="C127" s="19"/>
      <c r="D127" s="7" t="s">
        <v>167</v>
      </c>
      <c r="E127" s="23" t="s">
        <v>10307</v>
      </c>
      <c r="F127" s="23" t="s">
        <v>2639</v>
      </c>
      <c r="G127" s="76" t="s">
        <v>10308</v>
      </c>
      <c r="H127" s="23" t="s">
        <v>10309</v>
      </c>
      <c r="I127" s="77" t="s">
        <v>3459</v>
      </c>
      <c r="J127" s="23" t="s">
        <v>10310</v>
      </c>
      <c r="K127" s="76" t="s">
        <v>10311</v>
      </c>
    </row>
    <row r="128" spans="1:11">
      <c r="A128" s="14"/>
      <c r="B128" s="14" t="s">
        <v>34</v>
      </c>
      <c r="C128" s="19" t="s">
        <v>35</v>
      </c>
      <c r="D128" s="7" t="s">
        <v>168</v>
      </c>
      <c r="E128" s="23" t="s">
        <v>10312</v>
      </c>
      <c r="F128" s="23" t="s">
        <v>2639</v>
      </c>
      <c r="G128" s="76" t="s">
        <v>9929</v>
      </c>
      <c r="H128" s="23" t="s">
        <v>10313</v>
      </c>
      <c r="I128" s="77" t="s">
        <v>3581</v>
      </c>
      <c r="J128" s="23" t="s">
        <v>10314</v>
      </c>
      <c r="K128" s="76" t="s">
        <v>10315</v>
      </c>
    </row>
    <row r="129" spans="1:11">
      <c r="A129" s="14"/>
      <c r="B129" s="14"/>
      <c r="C129" s="19"/>
      <c r="D129" s="7" t="s">
        <v>169</v>
      </c>
      <c r="E129" s="23" t="s">
        <v>10316</v>
      </c>
      <c r="F129" s="23" t="s">
        <v>2639</v>
      </c>
      <c r="G129" s="76" t="s">
        <v>10317</v>
      </c>
      <c r="H129" s="23" t="s">
        <v>10318</v>
      </c>
      <c r="I129" s="77" t="s">
        <v>3459</v>
      </c>
      <c r="J129" s="23" t="s">
        <v>10319</v>
      </c>
      <c r="K129" s="76" t="s">
        <v>10320</v>
      </c>
    </row>
    <row r="130" spans="1:11">
      <c r="A130" s="14"/>
      <c r="B130" s="14"/>
      <c r="C130" s="19"/>
      <c r="D130" s="7" t="s">
        <v>170</v>
      </c>
      <c r="E130" s="23" t="s">
        <v>10321</v>
      </c>
      <c r="F130" s="23" t="s">
        <v>2639</v>
      </c>
      <c r="G130" s="76" t="s">
        <v>10322</v>
      </c>
      <c r="H130" s="23" t="s">
        <v>10323</v>
      </c>
      <c r="I130" s="77" t="s">
        <v>3459</v>
      </c>
      <c r="J130" s="23" t="s">
        <v>10324</v>
      </c>
      <c r="K130" s="76" t="s">
        <v>10325</v>
      </c>
    </row>
    <row r="131" spans="1:11">
      <c r="A131" s="14"/>
      <c r="B131" s="14"/>
      <c r="C131" s="19"/>
      <c r="D131" s="7" t="s">
        <v>171</v>
      </c>
      <c r="E131" s="23" t="s">
        <v>10326</v>
      </c>
      <c r="F131" s="23" t="s">
        <v>2639</v>
      </c>
      <c r="G131" s="76" t="s">
        <v>10327</v>
      </c>
      <c r="H131" s="23" t="s">
        <v>10328</v>
      </c>
      <c r="I131" s="77" t="s">
        <v>3453</v>
      </c>
      <c r="J131" s="23" t="s">
        <v>10329</v>
      </c>
      <c r="K131" s="76" t="s">
        <v>10330</v>
      </c>
    </row>
    <row r="132" spans="1:11">
      <c r="A132" s="14"/>
      <c r="B132" s="14"/>
      <c r="C132" s="19"/>
      <c r="D132" s="7" t="s">
        <v>172</v>
      </c>
      <c r="E132" s="23" t="s">
        <v>10331</v>
      </c>
      <c r="F132" s="23" t="s">
        <v>2639</v>
      </c>
      <c r="G132" s="76" t="s">
        <v>10332</v>
      </c>
      <c r="H132" s="23" t="s">
        <v>10047</v>
      </c>
      <c r="I132" s="77" t="s">
        <v>3581</v>
      </c>
      <c r="J132" s="23" t="s">
        <v>10333</v>
      </c>
      <c r="K132" s="76" t="s">
        <v>10334</v>
      </c>
    </row>
    <row r="133" spans="1:11">
      <c r="A133" s="14"/>
      <c r="B133" s="14"/>
      <c r="C133" s="19" t="s">
        <v>36</v>
      </c>
      <c r="D133" s="7" t="s">
        <v>173</v>
      </c>
      <c r="E133" s="23" t="s">
        <v>10335</v>
      </c>
      <c r="F133" s="23" t="s">
        <v>2639</v>
      </c>
      <c r="G133" s="76" t="s">
        <v>10336</v>
      </c>
      <c r="H133" s="23" t="s">
        <v>10337</v>
      </c>
      <c r="I133" s="77" t="s">
        <v>3453</v>
      </c>
      <c r="J133" s="23" t="s">
        <v>10338</v>
      </c>
      <c r="K133" s="76" t="s">
        <v>10339</v>
      </c>
    </row>
    <row r="134" spans="1:11">
      <c r="A134" s="14"/>
      <c r="B134" s="14"/>
      <c r="C134" s="19"/>
      <c r="D134" s="7" t="s">
        <v>174</v>
      </c>
      <c r="E134" s="23" t="s">
        <v>10340</v>
      </c>
      <c r="F134" s="23" t="s">
        <v>2639</v>
      </c>
      <c r="G134" s="76" t="s">
        <v>10341</v>
      </c>
      <c r="H134" s="23" t="s">
        <v>10342</v>
      </c>
      <c r="I134" s="77" t="s">
        <v>3459</v>
      </c>
      <c r="J134" s="23" t="s">
        <v>10343</v>
      </c>
      <c r="K134" s="76" t="s">
        <v>10344</v>
      </c>
    </row>
    <row r="135" spans="1:11">
      <c r="A135" s="14"/>
      <c r="B135" s="14"/>
      <c r="C135" s="19"/>
      <c r="D135" s="7" t="s">
        <v>175</v>
      </c>
      <c r="E135" s="23" t="s">
        <v>10345</v>
      </c>
      <c r="F135" s="23" t="s">
        <v>2639</v>
      </c>
      <c r="G135" s="76" t="s">
        <v>10346</v>
      </c>
      <c r="H135" s="23" t="s">
        <v>10347</v>
      </c>
      <c r="I135" s="77" t="s">
        <v>3453</v>
      </c>
      <c r="J135" s="23" t="s">
        <v>10348</v>
      </c>
      <c r="K135" s="76" t="s">
        <v>10349</v>
      </c>
    </row>
    <row r="136" spans="1:11">
      <c r="A136" s="14"/>
      <c r="B136" s="14"/>
      <c r="C136" s="19"/>
      <c r="D136" s="7" t="s">
        <v>176</v>
      </c>
      <c r="E136" s="23" t="s">
        <v>10350</v>
      </c>
      <c r="F136" s="23" t="s">
        <v>2639</v>
      </c>
      <c r="G136" s="76" t="s">
        <v>4033</v>
      </c>
      <c r="H136" s="23" t="s">
        <v>10351</v>
      </c>
      <c r="I136" s="77" t="s">
        <v>3453</v>
      </c>
      <c r="J136" s="23" t="s">
        <v>10352</v>
      </c>
      <c r="K136" s="76" t="s">
        <v>10353</v>
      </c>
    </row>
    <row r="137" spans="1:11">
      <c r="A137" s="14"/>
      <c r="B137" s="14"/>
      <c r="C137" s="19"/>
      <c r="D137" s="7" t="s">
        <v>177</v>
      </c>
      <c r="E137" s="23" t="s">
        <v>10354</v>
      </c>
      <c r="F137" s="23" t="s">
        <v>2639</v>
      </c>
      <c r="G137" s="76" t="s">
        <v>9849</v>
      </c>
      <c r="H137" s="23" t="s">
        <v>10355</v>
      </c>
      <c r="I137" s="77" t="s">
        <v>3459</v>
      </c>
      <c r="J137" s="23" t="s">
        <v>10356</v>
      </c>
      <c r="K137" s="76" t="s">
        <v>10357</v>
      </c>
    </row>
    <row r="138" spans="1:11">
      <c r="A138" s="14"/>
      <c r="B138" s="14"/>
      <c r="C138" s="19" t="s">
        <v>37</v>
      </c>
      <c r="D138" s="7" t="s">
        <v>178</v>
      </c>
      <c r="E138" s="23" t="s">
        <v>10358</v>
      </c>
      <c r="F138" s="23" t="s">
        <v>2639</v>
      </c>
      <c r="G138" s="76" t="s">
        <v>3497</v>
      </c>
      <c r="H138" s="23" t="s">
        <v>10359</v>
      </c>
      <c r="I138" s="77" t="s">
        <v>3459</v>
      </c>
      <c r="J138" s="23" t="s">
        <v>10360</v>
      </c>
      <c r="K138" s="76" t="s">
        <v>10361</v>
      </c>
    </row>
    <row r="139" spans="1:11">
      <c r="A139" s="14"/>
      <c r="B139" s="14"/>
      <c r="C139" s="19"/>
      <c r="D139" s="7" t="s">
        <v>179</v>
      </c>
      <c r="E139" s="23" t="s">
        <v>10362</v>
      </c>
      <c r="F139" s="23" t="s">
        <v>2639</v>
      </c>
      <c r="G139" s="76" t="s">
        <v>6250</v>
      </c>
      <c r="H139" s="23" t="s">
        <v>10363</v>
      </c>
      <c r="I139" s="77" t="s">
        <v>3453</v>
      </c>
      <c r="J139" s="23" t="s">
        <v>10364</v>
      </c>
      <c r="K139" s="76" t="s">
        <v>10365</v>
      </c>
    </row>
    <row r="140" spans="1:11">
      <c r="A140" s="14"/>
      <c r="B140" s="14"/>
      <c r="C140" s="19"/>
      <c r="D140" s="7" t="s">
        <v>180</v>
      </c>
      <c r="E140" s="23" t="s">
        <v>10366</v>
      </c>
      <c r="F140" s="23" t="s">
        <v>2639</v>
      </c>
      <c r="G140" s="76" t="s">
        <v>5044</v>
      </c>
      <c r="H140" s="23" t="s">
        <v>10367</v>
      </c>
      <c r="I140" s="77" t="s">
        <v>3453</v>
      </c>
      <c r="J140" s="23" t="s">
        <v>10368</v>
      </c>
      <c r="K140" s="76" t="s">
        <v>10369</v>
      </c>
    </row>
    <row r="141" spans="1:11">
      <c r="A141" s="14"/>
      <c r="B141" s="14"/>
      <c r="C141" s="19"/>
      <c r="D141" s="7" t="s">
        <v>181</v>
      </c>
      <c r="E141" s="23" t="s">
        <v>10370</v>
      </c>
      <c r="F141" s="23" t="s">
        <v>2639</v>
      </c>
      <c r="G141" s="76" t="s">
        <v>3282</v>
      </c>
      <c r="H141" s="23" t="s">
        <v>9988</v>
      </c>
      <c r="I141" s="77" t="s">
        <v>3459</v>
      </c>
      <c r="J141" s="23" t="s">
        <v>10371</v>
      </c>
      <c r="K141" s="76" t="s">
        <v>10372</v>
      </c>
    </row>
    <row r="142" spans="1:11">
      <c r="A142" s="14"/>
      <c r="B142" s="14"/>
      <c r="C142" s="19"/>
      <c r="D142" s="7" t="s">
        <v>182</v>
      </c>
      <c r="E142" s="23" t="s">
        <v>10373</v>
      </c>
      <c r="F142" s="23" t="s">
        <v>2639</v>
      </c>
      <c r="G142" s="76" t="s">
        <v>10374</v>
      </c>
      <c r="H142" s="23" t="s">
        <v>10375</v>
      </c>
      <c r="I142" s="77" t="s">
        <v>3459</v>
      </c>
      <c r="J142" s="23" t="s">
        <v>10376</v>
      </c>
      <c r="K142" s="76" t="s">
        <v>10377</v>
      </c>
    </row>
    <row r="143" spans="1:11">
      <c r="A143" s="14"/>
      <c r="B143" s="14"/>
      <c r="C143" s="19" t="s">
        <v>38</v>
      </c>
      <c r="D143" s="7" t="s">
        <v>183</v>
      </c>
      <c r="E143" s="23" t="s">
        <v>10378</v>
      </c>
      <c r="F143" s="23" t="s">
        <v>2639</v>
      </c>
      <c r="G143" s="76" t="s">
        <v>10379</v>
      </c>
      <c r="H143" s="23" t="s">
        <v>10380</v>
      </c>
      <c r="I143" s="77" t="s">
        <v>3459</v>
      </c>
      <c r="J143" s="23" t="s">
        <v>10381</v>
      </c>
      <c r="K143" s="76" t="s">
        <v>10382</v>
      </c>
    </row>
    <row r="144" spans="1:11">
      <c r="A144" s="14"/>
      <c r="B144" s="14"/>
      <c r="C144" s="19"/>
      <c r="D144" s="7" t="s">
        <v>184</v>
      </c>
      <c r="E144" s="23" t="s">
        <v>10383</v>
      </c>
      <c r="F144" s="23" t="s">
        <v>2639</v>
      </c>
      <c r="G144" s="76" t="s">
        <v>10384</v>
      </c>
      <c r="H144" s="23" t="s">
        <v>10385</v>
      </c>
      <c r="I144" s="77" t="s">
        <v>3453</v>
      </c>
      <c r="J144" s="23" t="s">
        <v>10386</v>
      </c>
      <c r="K144" s="76" t="s">
        <v>10387</v>
      </c>
    </row>
    <row r="145" spans="1:11">
      <c r="A145" s="14"/>
      <c r="B145" s="14"/>
      <c r="C145" s="19"/>
      <c r="D145" s="7" t="s">
        <v>185</v>
      </c>
      <c r="E145" s="23" t="s">
        <v>10388</v>
      </c>
      <c r="F145" s="23" t="s">
        <v>2639</v>
      </c>
      <c r="G145" s="76" t="s">
        <v>10389</v>
      </c>
      <c r="H145" s="23" t="s">
        <v>10390</v>
      </c>
      <c r="I145" s="77" t="s">
        <v>3459</v>
      </c>
      <c r="J145" s="23" t="s">
        <v>10391</v>
      </c>
      <c r="K145" s="76" t="s">
        <v>10392</v>
      </c>
    </row>
    <row r="146" spans="1:11">
      <c r="A146" s="14"/>
      <c r="B146" s="14"/>
      <c r="C146" s="19"/>
      <c r="D146" s="7" t="s">
        <v>186</v>
      </c>
      <c r="E146" s="23" t="s">
        <v>10393</v>
      </c>
      <c r="F146" s="23" t="s">
        <v>2639</v>
      </c>
      <c r="G146" s="76" t="s">
        <v>10394</v>
      </c>
      <c r="H146" s="23" t="s">
        <v>10395</v>
      </c>
      <c r="I146" s="77" t="s">
        <v>3459</v>
      </c>
      <c r="J146" s="23" t="s">
        <v>10396</v>
      </c>
      <c r="K146" s="76" t="s">
        <v>10397</v>
      </c>
    </row>
    <row r="147" spans="1:11">
      <c r="A147" s="14"/>
      <c r="B147" s="14"/>
      <c r="C147" s="19"/>
      <c r="D147" s="7" t="s">
        <v>187</v>
      </c>
      <c r="E147" s="23" t="s">
        <v>10398</v>
      </c>
      <c r="F147" s="23" t="s">
        <v>2639</v>
      </c>
      <c r="G147" s="76" t="s">
        <v>10399</v>
      </c>
      <c r="H147" s="23" t="s">
        <v>10400</v>
      </c>
      <c r="I147" s="77" t="s">
        <v>3459</v>
      </c>
      <c r="J147" s="23" t="s">
        <v>10401</v>
      </c>
      <c r="K147" s="76" t="s">
        <v>10402</v>
      </c>
    </row>
    <row r="148" spans="1:11">
      <c r="A148" s="14"/>
      <c r="B148" s="14"/>
      <c r="C148" s="19" t="s">
        <v>39</v>
      </c>
      <c r="D148" s="7" t="s">
        <v>188</v>
      </c>
      <c r="E148" s="23" t="s">
        <v>10403</v>
      </c>
      <c r="F148" s="23" t="s">
        <v>2639</v>
      </c>
      <c r="G148" s="76" t="s">
        <v>10404</v>
      </c>
      <c r="H148" s="23" t="s">
        <v>10405</v>
      </c>
      <c r="I148" s="77" t="s">
        <v>3453</v>
      </c>
      <c r="J148" s="23" t="s">
        <v>10406</v>
      </c>
      <c r="K148" s="76" t="s">
        <v>10407</v>
      </c>
    </row>
    <row r="149" spans="1:11">
      <c r="A149" s="14"/>
      <c r="B149" s="14"/>
      <c r="C149" s="19"/>
      <c r="D149" s="7" t="s">
        <v>189</v>
      </c>
      <c r="E149" s="23" t="s">
        <v>10408</v>
      </c>
      <c r="F149" s="23" t="s">
        <v>2639</v>
      </c>
      <c r="G149" s="76" t="s">
        <v>10409</v>
      </c>
      <c r="H149" s="23" t="s">
        <v>10410</v>
      </c>
      <c r="I149" s="77" t="s">
        <v>3459</v>
      </c>
      <c r="J149" s="23" t="s">
        <v>10411</v>
      </c>
      <c r="K149" s="76" t="s">
        <v>10412</v>
      </c>
    </row>
    <row r="150" spans="1:11">
      <c r="A150" s="14"/>
      <c r="B150" s="14"/>
      <c r="C150" s="19"/>
      <c r="D150" s="7" t="s">
        <v>190</v>
      </c>
      <c r="E150" s="23" t="s">
        <v>10413</v>
      </c>
      <c r="F150" s="23" t="s">
        <v>2639</v>
      </c>
      <c r="G150" s="76" t="s">
        <v>10414</v>
      </c>
      <c r="H150" s="23" t="s">
        <v>10415</v>
      </c>
      <c r="I150" s="77" t="s">
        <v>3453</v>
      </c>
      <c r="J150" s="23" t="s">
        <v>10416</v>
      </c>
      <c r="K150" s="76" t="s">
        <v>10417</v>
      </c>
    </row>
    <row r="151" spans="1:11">
      <c r="A151" s="14"/>
      <c r="B151" s="14"/>
      <c r="C151" s="19"/>
      <c r="D151" s="7" t="s">
        <v>191</v>
      </c>
      <c r="E151" s="23" t="s">
        <v>10418</v>
      </c>
      <c r="F151" s="23" t="s">
        <v>2639</v>
      </c>
      <c r="G151" s="76" t="s">
        <v>10419</v>
      </c>
      <c r="H151" s="23" t="s">
        <v>10420</v>
      </c>
      <c r="I151" s="77" t="s">
        <v>3459</v>
      </c>
      <c r="J151" s="23" t="s">
        <v>10421</v>
      </c>
      <c r="K151" s="76" t="s">
        <v>10422</v>
      </c>
    </row>
    <row r="152" spans="1:11">
      <c r="A152" s="14"/>
      <c r="B152" s="14"/>
      <c r="C152" s="19"/>
      <c r="D152" s="7" t="s">
        <v>192</v>
      </c>
      <c r="E152" s="23" t="s">
        <v>10423</v>
      </c>
      <c r="F152" s="23" t="s">
        <v>2639</v>
      </c>
      <c r="G152" s="76" t="s">
        <v>9928</v>
      </c>
      <c r="H152" s="23" t="s">
        <v>10424</v>
      </c>
      <c r="I152" s="77" t="s">
        <v>3459</v>
      </c>
      <c r="J152" s="23" t="s">
        <v>10425</v>
      </c>
      <c r="K152" s="76" t="s">
        <v>10426</v>
      </c>
    </row>
    <row r="153" spans="1:11">
      <c r="A153" s="14"/>
      <c r="B153" s="14" t="s">
        <v>40</v>
      </c>
      <c r="C153" s="19" t="s">
        <v>41</v>
      </c>
      <c r="D153" s="7" t="s">
        <v>193</v>
      </c>
      <c r="E153" s="23" t="s">
        <v>10427</v>
      </c>
      <c r="F153" s="23" t="s">
        <v>2639</v>
      </c>
      <c r="G153" s="76" t="s">
        <v>10428</v>
      </c>
      <c r="H153" s="23" t="s">
        <v>10429</v>
      </c>
      <c r="I153" s="77" t="s">
        <v>3453</v>
      </c>
      <c r="J153" s="23" t="s">
        <v>10430</v>
      </c>
      <c r="K153" s="76" t="s">
        <v>10431</v>
      </c>
    </row>
    <row r="154" spans="1:11">
      <c r="A154" s="14"/>
      <c r="B154" s="14"/>
      <c r="C154" s="19"/>
      <c r="D154" s="7" t="s">
        <v>194</v>
      </c>
      <c r="E154" s="23" t="s">
        <v>10432</v>
      </c>
      <c r="F154" s="23" t="s">
        <v>2639</v>
      </c>
      <c r="G154" s="76" t="s">
        <v>10433</v>
      </c>
      <c r="H154" s="23" t="s">
        <v>10434</v>
      </c>
      <c r="I154" s="77" t="s">
        <v>3453</v>
      </c>
      <c r="J154" s="23" t="s">
        <v>10435</v>
      </c>
      <c r="K154" s="76" t="s">
        <v>10436</v>
      </c>
    </row>
    <row r="155" spans="1:11">
      <c r="A155" s="14"/>
      <c r="B155" s="14"/>
      <c r="C155" s="19"/>
      <c r="D155" s="7" t="s">
        <v>195</v>
      </c>
      <c r="E155" s="23" t="s">
        <v>10437</v>
      </c>
      <c r="F155" s="23" t="s">
        <v>2639</v>
      </c>
      <c r="G155" s="76" t="s">
        <v>10438</v>
      </c>
      <c r="H155" s="23" t="s">
        <v>10439</v>
      </c>
      <c r="I155" s="77" t="s">
        <v>3459</v>
      </c>
      <c r="J155" s="23" t="s">
        <v>10440</v>
      </c>
      <c r="K155" s="76" t="s">
        <v>10441</v>
      </c>
    </row>
    <row r="156" spans="1:11">
      <c r="A156" s="14"/>
      <c r="B156" s="14"/>
      <c r="C156" s="19"/>
      <c r="D156" s="7" t="s">
        <v>196</v>
      </c>
      <c r="E156" s="23" t="s">
        <v>10442</v>
      </c>
      <c r="F156" s="23" t="s">
        <v>2639</v>
      </c>
      <c r="G156" s="76" t="s">
        <v>10443</v>
      </c>
      <c r="H156" s="23" t="s">
        <v>10444</v>
      </c>
      <c r="I156" s="77" t="s">
        <v>3459</v>
      </c>
      <c r="J156" s="23" t="s">
        <v>10445</v>
      </c>
      <c r="K156" s="76" t="s">
        <v>10446</v>
      </c>
    </row>
    <row r="157" spans="1:11">
      <c r="A157" s="14"/>
      <c r="B157" s="14"/>
      <c r="C157" s="19"/>
      <c r="D157" s="7" t="s">
        <v>197</v>
      </c>
      <c r="E157" s="23" t="s">
        <v>10447</v>
      </c>
      <c r="F157" s="23" t="s">
        <v>2639</v>
      </c>
      <c r="G157" s="76" t="s">
        <v>10448</v>
      </c>
      <c r="H157" s="23" t="s">
        <v>10449</v>
      </c>
      <c r="I157" s="77" t="s">
        <v>3459</v>
      </c>
      <c r="J157" s="23" t="s">
        <v>10450</v>
      </c>
      <c r="K157" s="76" t="s">
        <v>10451</v>
      </c>
    </row>
    <row r="158" spans="1:11">
      <c r="A158" s="14"/>
      <c r="B158" s="14"/>
      <c r="C158" s="19" t="s">
        <v>42</v>
      </c>
      <c r="D158" s="7" t="s">
        <v>198</v>
      </c>
      <c r="E158" s="23" t="s">
        <v>10452</v>
      </c>
      <c r="F158" s="23" t="s">
        <v>2639</v>
      </c>
      <c r="G158" s="76" t="s">
        <v>10453</v>
      </c>
      <c r="H158" s="23" t="s">
        <v>10454</v>
      </c>
      <c r="I158" s="77" t="s">
        <v>3459</v>
      </c>
      <c r="J158" s="23" t="s">
        <v>10455</v>
      </c>
      <c r="K158" s="76" t="s">
        <v>10456</v>
      </c>
    </row>
    <row r="159" spans="1:11">
      <c r="A159" s="14"/>
      <c r="B159" s="14"/>
      <c r="C159" s="19"/>
      <c r="D159" s="7" t="s">
        <v>199</v>
      </c>
      <c r="E159" s="23" t="s">
        <v>10457</v>
      </c>
      <c r="F159" s="23" t="s">
        <v>2639</v>
      </c>
      <c r="G159" s="76" t="s">
        <v>10458</v>
      </c>
      <c r="H159" s="23" t="s">
        <v>10459</v>
      </c>
      <c r="I159" s="77" t="s">
        <v>3453</v>
      </c>
      <c r="J159" s="23" t="s">
        <v>10460</v>
      </c>
      <c r="K159" s="76" t="s">
        <v>10461</v>
      </c>
    </row>
    <row r="160" spans="1:11">
      <c r="A160" s="14"/>
      <c r="B160" s="14"/>
      <c r="C160" s="19"/>
      <c r="D160" s="7" t="s">
        <v>200</v>
      </c>
      <c r="E160" s="23" t="s">
        <v>10462</v>
      </c>
      <c r="F160" s="23" t="s">
        <v>2639</v>
      </c>
      <c r="G160" s="76" t="s">
        <v>10463</v>
      </c>
      <c r="H160" s="23" t="s">
        <v>10464</v>
      </c>
      <c r="I160" s="77" t="s">
        <v>3459</v>
      </c>
      <c r="J160" s="23" t="s">
        <v>10465</v>
      </c>
      <c r="K160" s="76" t="s">
        <v>10466</v>
      </c>
    </row>
    <row r="161" spans="1:11">
      <c r="A161" s="14"/>
      <c r="B161" s="14"/>
      <c r="C161" s="19"/>
      <c r="D161" s="7" t="s">
        <v>201</v>
      </c>
      <c r="E161" s="23" t="s">
        <v>10467</v>
      </c>
      <c r="F161" s="23" t="s">
        <v>2639</v>
      </c>
      <c r="G161" s="76" t="s">
        <v>10468</v>
      </c>
      <c r="H161" s="23" t="s">
        <v>10469</v>
      </c>
      <c r="I161" s="77" t="s">
        <v>3453</v>
      </c>
      <c r="J161" s="23" t="s">
        <v>10470</v>
      </c>
      <c r="K161" s="76" t="s">
        <v>10471</v>
      </c>
    </row>
    <row r="162" spans="1:11">
      <c r="A162" s="14"/>
      <c r="B162" s="14"/>
      <c r="C162" s="19"/>
      <c r="D162" s="7" t="s">
        <v>202</v>
      </c>
      <c r="E162" s="23" t="s">
        <v>10472</v>
      </c>
      <c r="F162" s="23" t="s">
        <v>2639</v>
      </c>
      <c r="G162" s="76" t="s">
        <v>10473</v>
      </c>
      <c r="H162" s="23" t="s">
        <v>10474</v>
      </c>
      <c r="I162" s="77" t="s">
        <v>3459</v>
      </c>
      <c r="J162" s="23" t="s">
        <v>10475</v>
      </c>
      <c r="K162" s="76" t="s">
        <v>10476</v>
      </c>
    </row>
    <row r="163" spans="1:11">
      <c r="A163" s="14"/>
      <c r="B163" s="14"/>
      <c r="C163" s="19" t="s">
        <v>43</v>
      </c>
      <c r="D163" s="7" t="s">
        <v>203</v>
      </c>
      <c r="E163" s="23" t="s">
        <v>10477</v>
      </c>
      <c r="F163" s="23" t="s">
        <v>2639</v>
      </c>
      <c r="G163" s="76" t="s">
        <v>10478</v>
      </c>
      <c r="H163" s="23" t="s">
        <v>10479</v>
      </c>
      <c r="I163" s="77" t="s">
        <v>3459</v>
      </c>
      <c r="J163" s="23" t="s">
        <v>10480</v>
      </c>
      <c r="K163" s="76" t="s">
        <v>10481</v>
      </c>
    </row>
    <row r="164" spans="1:11">
      <c r="A164" s="14"/>
      <c r="B164" s="14"/>
      <c r="C164" s="19"/>
      <c r="D164" s="7" t="s">
        <v>204</v>
      </c>
      <c r="E164" s="23" t="s">
        <v>10482</v>
      </c>
      <c r="F164" s="23" t="s">
        <v>2639</v>
      </c>
      <c r="G164" s="76" t="s">
        <v>10483</v>
      </c>
      <c r="H164" s="23" t="s">
        <v>10484</v>
      </c>
      <c r="I164" s="77" t="s">
        <v>3459</v>
      </c>
      <c r="J164" s="23" t="s">
        <v>10485</v>
      </c>
      <c r="K164" s="76" t="s">
        <v>10486</v>
      </c>
    </row>
    <row r="165" spans="1:11">
      <c r="A165" s="14"/>
      <c r="B165" s="14"/>
      <c r="C165" s="19"/>
      <c r="D165" s="7" t="s">
        <v>205</v>
      </c>
      <c r="E165" s="23" t="s">
        <v>10487</v>
      </c>
      <c r="F165" s="23" t="s">
        <v>2639</v>
      </c>
      <c r="G165" s="76" t="s">
        <v>10488</v>
      </c>
      <c r="H165" s="23" t="s">
        <v>10489</v>
      </c>
      <c r="I165" s="77" t="s">
        <v>3459</v>
      </c>
      <c r="J165" s="23" t="s">
        <v>10490</v>
      </c>
      <c r="K165" s="76" t="s">
        <v>10491</v>
      </c>
    </row>
    <row r="166" spans="1:11">
      <c r="A166" s="14"/>
      <c r="B166" s="14"/>
      <c r="C166" s="19"/>
      <c r="D166" s="7" t="s">
        <v>206</v>
      </c>
      <c r="E166" s="23" t="s">
        <v>10492</v>
      </c>
      <c r="F166" s="23" t="s">
        <v>2639</v>
      </c>
      <c r="G166" s="76" t="s">
        <v>10493</v>
      </c>
      <c r="H166" s="23" t="s">
        <v>10494</v>
      </c>
      <c r="I166" s="77" t="s">
        <v>3459</v>
      </c>
      <c r="J166" s="23" t="s">
        <v>10495</v>
      </c>
      <c r="K166" s="76" t="s">
        <v>10496</v>
      </c>
    </row>
    <row r="167" spans="1:11">
      <c r="A167" s="14"/>
      <c r="B167" s="14"/>
      <c r="C167" s="19"/>
      <c r="D167" s="7" t="s">
        <v>207</v>
      </c>
      <c r="E167" s="23" t="s">
        <v>10497</v>
      </c>
      <c r="F167" s="23" t="s">
        <v>2639</v>
      </c>
      <c r="G167" s="76" t="s">
        <v>3821</v>
      </c>
      <c r="H167" s="23" t="s">
        <v>10498</v>
      </c>
      <c r="I167" s="77" t="s">
        <v>3459</v>
      </c>
      <c r="J167" s="23" t="s">
        <v>10499</v>
      </c>
      <c r="K167" s="76" t="s">
        <v>10500</v>
      </c>
    </row>
    <row r="168" spans="1:11">
      <c r="A168" s="14"/>
      <c r="B168" s="14"/>
      <c r="C168" s="19" t="s">
        <v>44</v>
      </c>
      <c r="D168" s="7" t="s">
        <v>208</v>
      </c>
      <c r="E168" s="23" t="s">
        <v>10501</v>
      </c>
      <c r="F168" s="23" t="s">
        <v>2639</v>
      </c>
      <c r="G168" s="76" t="s">
        <v>10502</v>
      </c>
      <c r="H168" s="23" t="s">
        <v>10503</v>
      </c>
      <c r="I168" s="77" t="s">
        <v>3453</v>
      </c>
      <c r="J168" s="23" t="s">
        <v>10504</v>
      </c>
      <c r="K168" s="76" t="s">
        <v>10505</v>
      </c>
    </row>
    <row r="169" spans="1:11">
      <c r="A169" s="14"/>
      <c r="B169" s="14"/>
      <c r="C169" s="19"/>
      <c r="D169" s="7" t="s">
        <v>209</v>
      </c>
      <c r="E169" s="23" t="s">
        <v>10506</v>
      </c>
      <c r="F169" s="23" t="s">
        <v>2639</v>
      </c>
      <c r="G169" s="76" t="s">
        <v>10219</v>
      </c>
      <c r="H169" s="23" t="s">
        <v>10464</v>
      </c>
      <c r="I169" s="77" t="s">
        <v>3459</v>
      </c>
      <c r="J169" s="23" t="s">
        <v>10507</v>
      </c>
      <c r="K169" s="76" t="s">
        <v>10508</v>
      </c>
    </row>
    <row r="170" spans="1:11">
      <c r="A170" s="14"/>
      <c r="B170" s="14"/>
      <c r="C170" s="19"/>
      <c r="D170" s="7" t="s">
        <v>210</v>
      </c>
      <c r="E170" s="23" t="s">
        <v>10509</v>
      </c>
      <c r="F170" s="23" t="s">
        <v>2639</v>
      </c>
      <c r="G170" s="76" t="s">
        <v>10510</v>
      </c>
      <c r="H170" s="23" t="s">
        <v>10511</v>
      </c>
      <c r="I170" s="77" t="s">
        <v>3459</v>
      </c>
      <c r="J170" s="23" t="s">
        <v>10512</v>
      </c>
      <c r="K170" s="76" t="s">
        <v>10513</v>
      </c>
    </row>
    <row r="171" spans="1:11">
      <c r="A171" s="14"/>
      <c r="B171" s="14"/>
      <c r="C171" s="19"/>
      <c r="D171" s="7" t="s">
        <v>211</v>
      </c>
      <c r="E171" s="23" t="s">
        <v>10514</v>
      </c>
      <c r="F171" s="23" t="s">
        <v>2639</v>
      </c>
      <c r="G171" s="76" t="s">
        <v>10515</v>
      </c>
      <c r="H171" s="23" t="s">
        <v>10516</v>
      </c>
      <c r="I171" s="77" t="s">
        <v>3459</v>
      </c>
      <c r="J171" s="23" t="s">
        <v>10517</v>
      </c>
      <c r="K171" s="76" t="s">
        <v>10518</v>
      </c>
    </row>
    <row r="172" spans="1:11">
      <c r="A172" s="14"/>
      <c r="B172" s="14"/>
      <c r="C172" s="19"/>
      <c r="D172" s="7" t="s">
        <v>212</v>
      </c>
      <c r="E172" s="23" t="s">
        <v>10519</v>
      </c>
      <c r="F172" s="23" t="s">
        <v>2639</v>
      </c>
      <c r="G172" s="76" t="s">
        <v>10520</v>
      </c>
      <c r="H172" s="23" t="s">
        <v>10521</v>
      </c>
      <c r="I172" s="77" t="s">
        <v>3459</v>
      </c>
      <c r="J172" s="23" t="s">
        <v>10522</v>
      </c>
      <c r="K172" s="76" t="s">
        <v>10523</v>
      </c>
    </row>
    <row r="173" spans="1:11">
      <c r="A173" s="14"/>
      <c r="B173" s="14"/>
      <c r="C173" s="19" t="s">
        <v>45</v>
      </c>
      <c r="D173" s="7" t="s">
        <v>213</v>
      </c>
      <c r="E173" s="23" t="s">
        <v>10524</v>
      </c>
      <c r="F173" s="23" t="s">
        <v>2639</v>
      </c>
      <c r="G173" s="76" t="s">
        <v>10525</v>
      </c>
      <c r="H173" s="23" t="s">
        <v>10526</v>
      </c>
      <c r="I173" s="77" t="s">
        <v>3459</v>
      </c>
      <c r="J173" s="23" t="s">
        <v>10527</v>
      </c>
      <c r="K173" s="76" t="s">
        <v>10528</v>
      </c>
    </row>
    <row r="174" spans="1:11">
      <c r="A174" s="14"/>
      <c r="B174" s="14"/>
      <c r="C174" s="19"/>
      <c r="D174" s="7" t="s">
        <v>214</v>
      </c>
      <c r="E174" s="23" t="s">
        <v>10529</v>
      </c>
      <c r="F174" s="23" t="s">
        <v>2639</v>
      </c>
      <c r="G174" s="76" t="s">
        <v>10288</v>
      </c>
      <c r="H174" s="23" t="s">
        <v>10530</v>
      </c>
      <c r="I174" s="77" t="s">
        <v>3459</v>
      </c>
      <c r="J174" s="23" t="s">
        <v>10531</v>
      </c>
      <c r="K174" s="76" t="s">
        <v>10532</v>
      </c>
    </row>
    <row r="175" spans="1:11">
      <c r="A175" s="14"/>
      <c r="B175" s="14"/>
      <c r="C175" s="19"/>
      <c r="D175" s="7" t="s">
        <v>215</v>
      </c>
      <c r="E175" s="23" t="s">
        <v>10533</v>
      </c>
      <c r="F175" s="23" t="s">
        <v>2639</v>
      </c>
      <c r="G175" s="76" t="s">
        <v>10534</v>
      </c>
      <c r="H175" s="23" t="s">
        <v>10535</v>
      </c>
      <c r="I175" s="77" t="s">
        <v>3459</v>
      </c>
      <c r="J175" s="23" t="s">
        <v>10536</v>
      </c>
      <c r="K175" s="76" t="s">
        <v>10537</v>
      </c>
    </row>
    <row r="176" spans="1:11">
      <c r="A176" s="14"/>
      <c r="B176" s="14"/>
      <c r="C176" s="19"/>
      <c r="D176" s="7" t="s">
        <v>216</v>
      </c>
      <c r="E176" s="23" t="s">
        <v>10538</v>
      </c>
      <c r="F176" s="23" t="s">
        <v>2639</v>
      </c>
      <c r="G176" s="76" t="s">
        <v>10539</v>
      </c>
      <c r="H176" s="23" t="s">
        <v>10540</v>
      </c>
      <c r="I176" s="77" t="s">
        <v>3459</v>
      </c>
      <c r="J176" s="23" t="s">
        <v>10541</v>
      </c>
      <c r="K176" s="76" t="s">
        <v>10542</v>
      </c>
    </row>
    <row r="177" spans="1:11">
      <c r="A177" s="14"/>
      <c r="B177" s="14"/>
      <c r="C177" s="19"/>
      <c r="D177" s="7" t="s">
        <v>217</v>
      </c>
      <c r="E177" s="23" t="s">
        <v>10543</v>
      </c>
      <c r="F177" s="23" t="s">
        <v>2639</v>
      </c>
      <c r="G177" s="76" t="s">
        <v>10544</v>
      </c>
      <c r="H177" s="23" t="s">
        <v>10545</v>
      </c>
      <c r="I177" s="77" t="s">
        <v>3459</v>
      </c>
      <c r="J177" s="23" t="s">
        <v>10546</v>
      </c>
      <c r="K177" s="76" t="s">
        <v>10547</v>
      </c>
    </row>
    <row r="178" spans="1:11">
      <c r="A178" s="14"/>
      <c r="B178" s="14" t="s">
        <v>46</v>
      </c>
      <c r="C178" s="19" t="s">
        <v>47</v>
      </c>
      <c r="D178" s="7" t="s">
        <v>218</v>
      </c>
      <c r="E178" s="23" t="s">
        <v>10548</v>
      </c>
      <c r="F178" s="23" t="s">
        <v>2639</v>
      </c>
      <c r="G178" s="76" t="s">
        <v>10549</v>
      </c>
      <c r="H178" s="23" t="s">
        <v>10550</v>
      </c>
      <c r="I178" s="77" t="s">
        <v>3459</v>
      </c>
      <c r="J178" s="23" t="s">
        <v>10551</v>
      </c>
      <c r="K178" s="76" t="s">
        <v>10552</v>
      </c>
    </row>
    <row r="179" spans="1:11">
      <c r="A179" s="14"/>
      <c r="B179" s="14"/>
      <c r="C179" s="19"/>
      <c r="D179" s="7" t="s">
        <v>219</v>
      </c>
      <c r="E179" s="23" t="s">
        <v>10553</v>
      </c>
      <c r="F179" s="23" t="s">
        <v>2639</v>
      </c>
      <c r="G179" s="76" t="s">
        <v>10554</v>
      </c>
      <c r="H179" s="23" t="s">
        <v>10555</v>
      </c>
      <c r="I179" s="77" t="s">
        <v>3459</v>
      </c>
      <c r="J179" s="23" t="s">
        <v>10556</v>
      </c>
      <c r="K179" s="76" t="s">
        <v>10557</v>
      </c>
    </row>
    <row r="180" spans="1:11">
      <c r="A180" s="14"/>
      <c r="B180" s="14"/>
      <c r="C180" s="19"/>
      <c r="D180" s="7" t="s">
        <v>220</v>
      </c>
      <c r="E180" s="23" t="s">
        <v>10558</v>
      </c>
      <c r="F180" s="23" t="s">
        <v>2639</v>
      </c>
      <c r="G180" s="76" t="s">
        <v>10559</v>
      </c>
      <c r="H180" s="23" t="s">
        <v>10560</v>
      </c>
      <c r="I180" s="77" t="s">
        <v>3459</v>
      </c>
      <c r="J180" s="23" t="s">
        <v>10561</v>
      </c>
      <c r="K180" s="76" t="s">
        <v>10562</v>
      </c>
    </row>
    <row r="181" spans="1:11">
      <c r="A181" s="14"/>
      <c r="B181" s="14"/>
      <c r="C181" s="19"/>
      <c r="D181" s="7" t="s">
        <v>221</v>
      </c>
      <c r="E181" s="23" t="s">
        <v>10563</v>
      </c>
      <c r="F181" s="23" t="s">
        <v>2639</v>
      </c>
      <c r="G181" s="76" t="s">
        <v>10564</v>
      </c>
      <c r="H181" s="23" t="s">
        <v>10565</v>
      </c>
      <c r="I181" s="77" t="s">
        <v>3459</v>
      </c>
      <c r="J181" s="23" t="s">
        <v>10566</v>
      </c>
      <c r="K181" s="76" t="s">
        <v>10567</v>
      </c>
    </row>
    <row r="182" spans="1:11">
      <c r="A182" s="14"/>
      <c r="B182" s="14"/>
      <c r="C182" s="19"/>
      <c r="D182" s="7" t="s">
        <v>222</v>
      </c>
      <c r="E182" s="23" t="s">
        <v>10568</v>
      </c>
      <c r="F182" s="23" t="s">
        <v>2639</v>
      </c>
      <c r="G182" s="76" t="s">
        <v>10569</v>
      </c>
      <c r="H182" s="23" t="s">
        <v>10570</v>
      </c>
      <c r="I182" s="77" t="s">
        <v>3459</v>
      </c>
      <c r="J182" s="23" t="s">
        <v>10571</v>
      </c>
      <c r="K182" s="76" t="s">
        <v>10572</v>
      </c>
    </row>
    <row r="183" spans="1:11">
      <c r="A183" s="14"/>
      <c r="B183" s="14"/>
      <c r="C183" s="19" t="s">
        <v>48</v>
      </c>
      <c r="D183" s="7" t="s">
        <v>223</v>
      </c>
      <c r="E183" s="23" t="s">
        <v>10573</v>
      </c>
      <c r="F183" s="23" t="s">
        <v>2639</v>
      </c>
      <c r="G183" s="76" t="s">
        <v>10574</v>
      </c>
      <c r="H183" s="23" t="s">
        <v>10575</v>
      </c>
      <c r="I183" s="77" t="s">
        <v>3459</v>
      </c>
      <c r="J183" s="23" t="s">
        <v>10576</v>
      </c>
      <c r="K183" s="76" t="s">
        <v>10577</v>
      </c>
    </row>
    <row r="184" spans="1:11">
      <c r="A184" s="14"/>
      <c r="B184" s="14"/>
      <c r="C184" s="19"/>
      <c r="D184" s="7" t="s">
        <v>224</v>
      </c>
      <c r="E184" s="23" t="s">
        <v>10578</v>
      </c>
      <c r="F184" s="23" t="s">
        <v>2639</v>
      </c>
      <c r="G184" s="76" t="s">
        <v>10579</v>
      </c>
      <c r="H184" s="23" t="s">
        <v>10580</v>
      </c>
      <c r="I184" s="77" t="s">
        <v>3459</v>
      </c>
      <c r="J184" s="23" t="s">
        <v>10581</v>
      </c>
      <c r="K184" s="76" t="s">
        <v>10582</v>
      </c>
    </row>
    <row r="185" spans="1:11">
      <c r="A185" s="14"/>
      <c r="B185" s="14"/>
      <c r="C185" s="19"/>
      <c r="D185" s="7" t="s">
        <v>225</v>
      </c>
      <c r="E185" s="23" t="s">
        <v>10583</v>
      </c>
      <c r="F185" s="23" t="s">
        <v>2639</v>
      </c>
      <c r="G185" s="76" t="s">
        <v>10584</v>
      </c>
      <c r="H185" s="23" t="s">
        <v>10585</v>
      </c>
      <c r="I185" s="77" t="s">
        <v>3459</v>
      </c>
      <c r="J185" s="23" t="s">
        <v>10586</v>
      </c>
      <c r="K185" s="76" t="s">
        <v>10587</v>
      </c>
    </row>
    <row r="186" spans="1:11">
      <c r="A186" s="14"/>
      <c r="B186" s="14"/>
      <c r="C186" s="19"/>
      <c r="D186" s="7" t="s">
        <v>226</v>
      </c>
      <c r="E186" s="23" t="s">
        <v>10588</v>
      </c>
      <c r="F186" s="23" t="s">
        <v>2639</v>
      </c>
      <c r="G186" s="76" t="s">
        <v>10589</v>
      </c>
      <c r="H186" s="23" t="s">
        <v>10590</v>
      </c>
      <c r="I186" s="77" t="s">
        <v>3459</v>
      </c>
      <c r="J186" s="23" t="s">
        <v>10591</v>
      </c>
      <c r="K186" s="76" t="s">
        <v>10592</v>
      </c>
    </row>
    <row r="187" spans="1:11">
      <c r="A187" s="14"/>
      <c r="B187" s="14"/>
      <c r="C187" s="19"/>
      <c r="D187" s="7" t="s">
        <v>227</v>
      </c>
      <c r="E187" s="23" t="s">
        <v>10593</v>
      </c>
      <c r="F187" s="23" t="s">
        <v>2639</v>
      </c>
      <c r="G187" s="76" t="s">
        <v>10594</v>
      </c>
      <c r="H187" s="23" t="s">
        <v>10595</v>
      </c>
      <c r="I187" s="77" t="s">
        <v>3453</v>
      </c>
      <c r="J187" s="23" t="s">
        <v>10596</v>
      </c>
      <c r="K187" s="76" t="s">
        <v>10597</v>
      </c>
    </row>
    <row r="188" spans="1:11">
      <c r="A188" s="14"/>
      <c r="B188" s="14"/>
      <c r="C188" s="19" t="s">
        <v>49</v>
      </c>
      <c r="D188" s="7" t="s">
        <v>228</v>
      </c>
      <c r="E188" s="23" t="s">
        <v>10598</v>
      </c>
      <c r="F188" s="23" t="s">
        <v>2639</v>
      </c>
      <c r="G188" s="76" t="s">
        <v>10599</v>
      </c>
      <c r="H188" s="23" t="s">
        <v>10600</v>
      </c>
      <c r="I188" s="77" t="s">
        <v>3459</v>
      </c>
      <c r="J188" s="23" t="s">
        <v>10601</v>
      </c>
      <c r="K188" s="76" t="s">
        <v>10602</v>
      </c>
    </row>
    <row r="189" spans="1:11">
      <c r="A189" s="14"/>
      <c r="B189" s="14"/>
      <c r="C189" s="19"/>
      <c r="D189" s="7" t="s">
        <v>229</v>
      </c>
      <c r="E189" s="23" t="s">
        <v>10603</v>
      </c>
      <c r="F189" s="23" t="s">
        <v>2639</v>
      </c>
      <c r="G189" s="76" t="s">
        <v>10604</v>
      </c>
      <c r="H189" s="23" t="s">
        <v>10605</v>
      </c>
      <c r="I189" s="77" t="s">
        <v>3459</v>
      </c>
      <c r="J189" s="23" t="s">
        <v>10606</v>
      </c>
      <c r="K189" s="76" t="s">
        <v>10607</v>
      </c>
    </row>
    <row r="190" spans="1:11">
      <c r="A190" s="14"/>
      <c r="B190" s="14"/>
      <c r="C190" s="19"/>
      <c r="D190" s="7" t="s">
        <v>230</v>
      </c>
      <c r="E190" s="23" t="s">
        <v>10608</v>
      </c>
      <c r="F190" s="23" t="s">
        <v>2639</v>
      </c>
      <c r="G190" s="76" t="s">
        <v>10609</v>
      </c>
      <c r="H190" s="23" t="s">
        <v>10610</v>
      </c>
      <c r="I190" s="77" t="s">
        <v>3453</v>
      </c>
      <c r="J190" s="23" t="s">
        <v>10611</v>
      </c>
      <c r="K190" s="76" t="s">
        <v>10612</v>
      </c>
    </row>
    <row r="191" spans="1:11">
      <c r="A191" s="14"/>
      <c r="B191" s="14"/>
      <c r="C191" s="19"/>
      <c r="D191" s="7" t="s">
        <v>231</v>
      </c>
      <c r="E191" s="23" t="s">
        <v>10613</v>
      </c>
      <c r="F191" s="23" t="s">
        <v>2639</v>
      </c>
      <c r="G191" s="76" t="s">
        <v>5917</v>
      </c>
      <c r="H191" s="23" t="s">
        <v>10614</v>
      </c>
      <c r="I191" s="77" t="s">
        <v>3459</v>
      </c>
      <c r="J191" s="23" t="s">
        <v>10615</v>
      </c>
      <c r="K191" s="76" t="s">
        <v>10616</v>
      </c>
    </row>
    <row r="192" spans="1:11">
      <c r="A192" s="14"/>
      <c r="B192" s="14"/>
      <c r="C192" s="19"/>
      <c r="D192" s="7" t="s">
        <v>232</v>
      </c>
      <c r="E192" s="23" t="s">
        <v>10617</v>
      </c>
      <c r="F192" s="23" t="s">
        <v>2639</v>
      </c>
      <c r="G192" s="76" t="s">
        <v>10609</v>
      </c>
      <c r="H192" s="23" t="s">
        <v>10618</v>
      </c>
      <c r="I192" s="77" t="s">
        <v>3459</v>
      </c>
      <c r="J192" s="23" t="s">
        <v>10619</v>
      </c>
      <c r="K192" s="76" t="s">
        <v>10620</v>
      </c>
    </row>
    <row r="193" spans="1:11">
      <c r="A193" s="14"/>
      <c r="B193" s="14"/>
      <c r="C193" s="19" t="s">
        <v>82</v>
      </c>
      <c r="D193" s="7" t="s">
        <v>233</v>
      </c>
      <c r="E193" s="23" t="s">
        <v>10621</v>
      </c>
      <c r="F193" s="23" t="s">
        <v>2639</v>
      </c>
      <c r="G193" s="76" t="s">
        <v>10510</v>
      </c>
      <c r="H193" s="23" t="s">
        <v>10622</v>
      </c>
      <c r="I193" s="77" t="s">
        <v>3459</v>
      </c>
      <c r="J193" s="23" t="s">
        <v>10623</v>
      </c>
      <c r="K193" s="76" t="s">
        <v>10624</v>
      </c>
    </row>
    <row r="194" spans="1:11">
      <c r="A194" s="14"/>
      <c r="B194" s="14"/>
      <c r="C194" s="20"/>
      <c r="D194" s="7" t="s">
        <v>234</v>
      </c>
      <c r="E194" s="23" t="s">
        <v>10625</v>
      </c>
      <c r="F194" s="23" t="s">
        <v>2639</v>
      </c>
      <c r="G194" s="76" t="s">
        <v>10626</v>
      </c>
      <c r="H194" s="23" t="s">
        <v>10627</v>
      </c>
      <c r="I194" s="77" t="s">
        <v>3459</v>
      </c>
      <c r="J194" s="23" t="s">
        <v>10628</v>
      </c>
      <c r="K194" s="76" t="s">
        <v>10629</v>
      </c>
    </row>
    <row r="195" spans="1:11">
      <c r="A195" s="14"/>
      <c r="B195" s="14"/>
      <c r="C195" s="20"/>
      <c r="D195" s="7" t="s">
        <v>191</v>
      </c>
      <c r="E195" s="23" t="s">
        <v>10418</v>
      </c>
      <c r="F195" s="23" t="s">
        <v>2639</v>
      </c>
      <c r="G195" s="76" t="s">
        <v>10630</v>
      </c>
      <c r="H195" s="23" t="s">
        <v>10631</v>
      </c>
      <c r="I195" s="77" t="s">
        <v>3459</v>
      </c>
      <c r="J195" s="23" t="s">
        <v>10632</v>
      </c>
      <c r="K195" s="76" t="s">
        <v>10633</v>
      </c>
    </row>
    <row r="196" spans="1:11">
      <c r="A196" s="14"/>
      <c r="B196" s="14"/>
      <c r="C196" s="20"/>
      <c r="D196" s="7" t="s">
        <v>235</v>
      </c>
      <c r="E196" s="23" t="s">
        <v>10634</v>
      </c>
      <c r="F196" s="23" t="s">
        <v>2639</v>
      </c>
      <c r="G196" s="76" t="s">
        <v>10599</v>
      </c>
      <c r="H196" s="23" t="s">
        <v>10635</v>
      </c>
      <c r="I196" s="77" t="s">
        <v>3459</v>
      </c>
      <c r="J196" s="23" t="s">
        <v>10636</v>
      </c>
      <c r="K196" s="76" t="s">
        <v>10637</v>
      </c>
    </row>
    <row r="197" spans="1:11">
      <c r="A197" s="14"/>
      <c r="B197" s="14"/>
      <c r="C197" s="20"/>
      <c r="D197" s="7" t="s">
        <v>236</v>
      </c>
      <c r="E197" s="23" t="s">
        <v>10638</v>
      </c>
      <c r="F197" s="23" t="s">
        <v>2639</v>
      </c>
      <c r="G197" s="76" t="s">
        <v>10639</v>
      </c>
      <c r="H197" s="23" t="s">
        <v>10640</v>
      </c>
      <c r="I197" s="77" t="s">
        <v>3459</v>
      </c>
      <c r="J197" s="23" t="s">
        <v>10641</v>
      </c>
      <c r="K197" s="76" t="s">
        <v>10642</v>
      </c>
    </row>
    <row r="198" spans="1:11">
      <c r="A198" s="14"/>
      <c r="B198" s="14"/>
      <c r="C198" s="19" t="s">
        <v>83</v>
      </c>
      <c r="D198" s="7" t="s">
        <v>237</v>
      </c>
      <c r="E198" s="23" t="s">
        <v>10643</v>
      </c>
      <c r="F198" s="23" t="s">
        <v>2639</v>
      </c>
      <c r="G198" s="76" t="s">
        <v>10644</v>
      </c>
      <c r="H198" s="23" t="s">
        <v>10645</v>
      </c>
      <c r="I198" s="77" t="s">
        <v>3459</v>
      </c>
      <c r="J198" s="23" t="s">
        <v>10646</v>
      </c>
      <c r="K198" s="76" t="s">
        <v>10647</v>
      </c>
    </row>
    <row r="199" spans="1:11">
      <c r="A199" s="14"/>
      <c r="B199" s="14"/>
      <c r="C199" s="20"/>
      <c r="D199" s="7" t="s">
        <v>238</v>
      </c>
      <c r="E199" s="23" t="s">
        <v>10648</v>
      </c>
      <c r="F199" s="23" t="s">
        <v>2639</v>
      </c>
      <c r="G199" s="76" t="s">
        <v>10649</v>
      </c>
      <c r="H199" s="23" t="s">
        <v>10650</v>
      </c>
      <c r="I199" s="77" t="s">
        <v>3459</v>
      </c>
      <c r="J199" s="23" t="s">
        <v>10651</v>
      </c>
      <c r="K199" s="76" t="s">
        <v>10652</v>
      </c>
    </row>
    <row r="200" spans="1:11">
      <c r="A200" s="14"/>
      <c r="B200" s="14"/>
      <c r="C200" s="20"/>
      <c r="D200" s="7" t="s">
        <v>239</v>
      </c>
      <c r="E200" s="23" t="s">
        <v>11648</v>
      </c>
      <c r="F200" s="23" t="s">
        <v>2639</v>
      </c>
      <c r="G200" s="76" t="s">
        <v>11649</v>
      </c>
      <c r="H200" s="23" t="s">
        <v>11650</v>
      </c>
      <c r="I200" s="77" t="s">
        <v>3459</v>
      </c>
      <c r="J200" s="23" t="s">
        <v>11651</v>
      </c>
      <c r="K200" s="76" t="s">
        <v>11652</v>
      </c>
    </row>
    <row r="201" spans="1:11">
      <c r="A201" s="14"/>
      <c r="B201" s="14"/>
      <c r="C201" s="20"/>
      <c r="D201" s="7" t="s">
        <v>240</v>
      </c>
      <c r="E201" s="23" t="s">
        <v>10653</v>
      </c>
      <c r="F201" s="23" t="s">
        <v>2639</v>
      </c>
      <c r="G201" s="76" t="s">
        <v>10639</v>
      </c>
      <c r="H201" s="23" t="s">
        <v>10654</v>
      </c>
      <c r="I201" s="77" t="s">
        <v>3459</v>
      </c>
      <c r="J201" s="23" t="s">
        <v>10655</v>
      </c>
      <c r="K201" s="76" t="s">
        <v>10656</v>
      </c>
    </row>
    <row r="202" spans="1:11">
      <c r="A202" s="14"/>
      <c r="B202" s="14"/>
      <c r="C202" s="20"/>
      <c r="D202" s="7" t="s">
        <v>241</v>
      </c>
      <c r="E202" s="23" t="s">
        <v>10657</v>
      </c>
      <c r="F202" s="23" t="s">
        <v>2639</v>
      </c>
      <c r="G202" s="76" t="s">
        <v>10658</v>
      </c>
      <c r="H202" s="23" t="s">
        <v>10659</v>
      </c>
      <c r="I202" s="77" t="s">
        <v>3459</v>
      </c>
      <c r="J202" s="23" t="s">
        <v>10660</v>
      </c>
      <c r="K202" s="76" t="s">
        <v>10661</v>
      </c>
    </row>
    <row r="203" spans="1:11">
      <c r="A203" s="14" t="s">
        <v>50</v>
      </c>
      <c r="B203" s="14" t="s">
        <v>51</v>
      </c>
      <c r="C203" s="19" t="s">
        <v>52</v>
      </c>
      <c r="D203" s="7" t="s">
        <v>268</v>
      </c>
      <c r="E203" s="23" t="s">
        <v>10662</v>
      </c>
      <c r="F203" s="23" t="s">
        <v>2639</v>
      </c>
      <c r="G203" s="76" t="s">
        <v>10428</v>
      </c>
      <c r="H203" s="23" t="s">
        <v>10663</v>
      </c>
      <c r="I203" s="77" t="s">
        <v>3453</v>
      </c>
      <c r="J203" s="23" t="s">
        <v>10664</v>
      </c>
      <c r="K203" s="76" t="s">
        <v>10665</v>
      </c>
    </row>
    <row r="204" spans="1:11">
      <c r="A204" s="14"/>
      <c r="B204" s="14"/>
      <c r="C204" s="19"/>
      <c r="D204" s="7" t="s">
        <v>269</v>
      </c>
      <c r="E204" s="23" t="s">
        <v>10666</v>
      </c>
      <c r="F204" s="23" t="s">
        <v>2639</v>
      </c>
      <c r="G204" s="76" t="s">
        <v>10667</v>
      </c>
      <c r="H204" s="23" t="s">
        <v>10668</v>
      </c>
      <c r="I204" s="77" t="s">
        <v>3459</v>
      </c>
      <c r="J204" s="23" t="s">
        <v>10669</v>
      </c>
      <c r="K204" s="76" t="s">
        <v>10670</v>
      </c>
    </row>
    <row r="205" spans="1:11">
      <c r="A205" s="14"/>
      <c r="B205" s="14"/>
      <c r="C205" s="19"/>
      <c r="D205" s="7" t="s">
        <v>270</v>
      </c>
      <c r="E205" s="23" t="s">
        <v>10671</v>
      </c>
      <c r="F205" s="23" t="s">
        <v>2639</v>
      </c>
      <c r="G205" s="76" t="s">
        <v>10672</v>
      </c>
      <c r="H205" s="23" t="s">
        <v>10673</v>
      </c>
      <c r="I205" s="77" t="s">
        <v>3459</v>
      </c>
      <c r="J205" s="23" t="s">
        <v>10674</v>
      </c>
      <c r="K205" s="76" t="s">
        <v>10675</v>
      </c>
    </row>
    <row r="206" spans="1:11">
      <c r="A206" s="14"/>
      <c r="B206" s="14"/>
      <c r="C206" s="19"/>
      <c r="D206" s="7" t="s">
        <v>271</v>
      </c>
      <c r="E206" s="23" t="s">
        <v>10676</v>
      </c>
      <c r="F206" s="23" t="s">
        <v>2639</v>
      </c>
      <c r="G206" s="76" t="s">
        <v>10677</v>
      </c>
      <c r="H206" s="23" t="s">
        <v>10678</v>
      </c>
      <c r="I206" s="77" t="s">
        <v>3453</v>
      </c>
      <c r="J206" s="23" t="s">
        <v>10679</v>
      </c>
      <c r="K206" s="76" t="s">
        <v>10680</v>
      </c>
    </row>
    <row r="207" spans="1:11">
      <c r="A207" s="14"/>
      <c r="B207" s="14"/>
      <c r="C207" s="19"/>
      <c r="D207" s="7" t="s">
        <v>272</v>
      </c>
      <c r="E207" s="23" t="s">
        <v>10681</v>
      </c>
      <c r="F207" s="23" t="s">
        <v>2639</v>
      </c>
      <c r="G207" s="76" t="s">
        <v>10682</v>
      </c>
      <c r="H207" s="23" t="s">
        <v>10683</v>
      </c>
      <c r="I207" s="77" t="s">
        <v>3459</v>
      </c>
      <c r="J207" s="23" t="s">
        <v>10684</v>
      </c>
      <c r="K207" s="76" t="s">
        <v>10685</v>
      </c>
    </row>
    <row r="208" spans="1:11">
      <c r="A208" s="14"/>
      <c r="B208" s="14"/>
      <c r="C208" s="19" t="s">
        <v>53</v>
      </c>
      <c r="D208" s="7" t="s">
        <v>273</v>
      </c>
      <c r="E208" s="23" t="s">
        <v>10686</v>
      </c>
      <c r="F208" s="23" t="s">
        <v>2639</v>
      </c>
      <c r="G208" s="76" t="s">
        <v>10687</v>
      </c>
      <c r="H208" s="23" t="s">
        <v>10688</v>
      </c>
      <c r="I208" s="77" t="s">
        <v>3459</v>
      </c>
      <c r="J208" s="23" t="s">
        <v>10689</v>
      </c>
      <c r="K208" s="76" t="s">
        <v>10690</v>
      </c>
    </row>
    <row r="209" spans="1:11">
      <c r="A209" s="14"/>
      <c r="B209" s="14"/>
      <c r="C209" s="19"/>
      <c r="D209" s="7" t="s">
        <v>274</v>
      </c>
      <c r="E209" s="23" t="s">
        <v>10691</v>
      </c>
      <c r="F209" s="23" t="s">
        <v>2639</v>
      </c>
      <c r="G209" s="76" t="s">
        <v>10692</v>
      </c>
      <c r="H209" s="23" t="s">
        <v>10693</v>
      </c>
      <c r="I209" s="77" t="s">
        <v>3459</v>
      </c>
      <c r="J209" s="23" t="s">
        <v>10694</v>
      </c>
      <c r="K209" s="76" t="s">
        <v>10695</v>
      </c>
    </row>
    <row r="210" spans="1:11">
      <c r="A210" s="14"/>
      <c r="B210" s="14"/>
      <c r="C210" s="19"/>
      <c r="D210" s="7" t="s">
        <v>275</v>
      </c>
      <c r="E210" s="23" t="s">
        <v>10696</v>
      </c>
      <c r="F210" s="23" t="s">
        <v>2639</v>
      </c>
      <c r="G210" s="76" t="s">
        <v>10697</v>
      </c>
      <c r="H210" s="23" t="s">
        <v>10698</v>
      </c>
      <c r="I210" s="77" t="s">
        <v>3459</v>
      </c>
      <c r="J210" s="23" t="s">
        <v>10699</v>
      </c>
      <c r="K210" s="76" t="s">
        <v>10700</v>
      </c>
    </row>
    <row r="211" spans="1:11">
      <c r="A211" s="14"/>
      <c r="B211" s="14"/>
      <c r="C211" s="19"/>
      <c r="D211" s="7" t="s">
        <v>276</v>
      </c>
      <c r="E211" s="23" t="s">
        <v>10701</v>
      </c>
      <c r="F211" s="23" t="s">
        <v>2639</v>
      </c>
      <c r="G211" s="76" t="s">
        <v>10702</v>
      </c>
      <c r="H211" s="23" t="s">
        <v>10590</v>
      </c>
      <c r="I211" s="77" t="s">
        <v>3459</v>
      </c>
      <c r="J211" s="23" t="s">
        <v>10703</v>
      </c>
      <c r="K211" s="76" t="s">
        <v>10704</v>
      </c>
    </row>
    <row r="212" spans="1:11">
      <c r="A212" s="14"/>
      <c r="B212" s="14"/>
      <c r="C212" s="19"/>
      <c r="D212" s="7" t="s">
        <v>277</v>
      </c>
      <c r="E212" s="23" t="s">
        <v>10705</v>
      </c>
      <c r="F212" s="23" t="s">
        <v>2639</v>
      </c>
      <c r="G212" s="76" t="s">
        <v>10706</v>
      </c>
      <c r="H212" s="23" t="s">
        <v>10707</v>
      </c>
      <c r="I212" s="77" t="s">
        <v>3459</v>
      </c>
      <c r="J212" s="23" t="s">
        <v>10708</v>
      </c>
      <c r="K212" s="76" t="s">
        <v>10709</v>
      </c>
    </row>
    <row r="213" spans="1:11">
      <c r="A213" s="14"/>
      <c r="B213" s="14"/>
      <c r="C213" s="19" t="s">
        <v>53</v>
      </c>
      <c r="D213" s="7" t="s">
        <v>10710</v>
      </c>
      <c r="E213" s="23" t="s">
        <v>10711</v>
      </c>
      <c r="F213" s="23" t="s">
        <v>2639</v>
      </c>
      <c r="G213" s="76" t="s">
        <v>10712</v>
      </c>
      <c r="H213" s="23" t="s">
        <v>10713</v>
      </c>
      <c r="I213" s="77" t="s">
        <v>3453</v>
      </c>
      <c r="J213" s="23" t="s">
        <v>10714</v>
      </c>
      <c r="K213" s="76" t="s">
        <v>10715</v>
      </c>
    </row>
    <row r="214" spans="1:11">
      <c r="A214" s="14"/>
      <c r="B214" s="14"/>
      <c r="C214" s="19"/>
      <c r="D214" s="7" t="s">
        <v>278</v>
      </c>
      <c r="E214" s="23" t="s">
        <v>10716</v>
      </c>
      <c r="F214" s="23" t="s">
        <v>2639</v>
      </c>
      <c r="G214" s="76" t="s">
        <v>10428</v>
      </c>
      <c r="H214" s="23" t="s">
        <v>10717</v>
      </c>
      <c r="I214" s="77" t="s">
        <v>3459</v>
      </c>
      <c r="J214" s="23" t="s">
        <v>10718</v>
      </c>
      <c r="K214" s="76" t="s">
        <v>10719</v>
      </c>
    </row>
    <row r="215" spans="1:11">
      <c r="A215" s="14"/>
      <c r="B215" s="14"/>
      <c r="C215" s="19"/>
      <c r="D215" s="7" t="s">
        <v>279</v>
      </c>
      <c r="E215" s="23" t="s">
        <v>10720</v>
      </c>
      <c r="F215" s="23" t="s">
        <v>2639</v>
      </c>
      <c r="G215" s="76" t="s">
        <v>10721</v>
      </c>
      <c r="H215" s="23" t="s">
        <v>10722</v>
      </c>
      <c r="I215" s="77" t="s">
        <v>3459</v>
      </c>
      <c r="J215" s="23" t="s">
        <v>10723</v>
      </c>
      <c r="K215" s="76" t="s">
        <v>10724</v>
      </c>
    </row>
    <row r="216" spans="1:11">
      <c r="A216" s="14"/>
      <c r="B216" s="14"/>
      <c r="C216" s="19"/>
      <c r="D216" s="7" t="s">
        <v>280</v>
      </c>
      <c r="E216" s="23" t="s">
        <v>10725</v>
      </c>
      <c r="F216" s="23" t="s">
        <v>2639</v>
      </c>
      <c r="G216" s="76" t="s">
        <v>10726</v>
      </c>
      <c r="H216" s="23" t="s">
        <v>10727</v>
      </c>
      <c r="I216" s="77" t="s">
        <v>3453</v>
      </c>
      <c r="J216" s="23" t="s">
        <v>10728</v>
      </c>
      <c r="K216" s="76" t="s">
        <v>10729</v>
      </c>
    </row>
    <row r="217" spans="1:11">
      <c r="A217" s="14"/>
      <c r="B217" s="14"/>
      <c r="C217" s="19"/>
      <c r="D217" s="7" t="s">
        <v>281</v>
      </c>
      <c r="E217" s="23" t="s">
        <v>10730</v>
      </c>
      <c r="F217" s="23" t="s">
        <v>2639</v>
      </c>
      <c r="G217" s="76" t="s">
        <v>10731</v>
      </c>
      <c r="H217" s="23" t="s">
        <v>10668</v>
      </c>
      <c r="I217" s="77" t="s">
        <v>3453</v>
      </c>
      <c r="J217" s="23" t="s">
        <v>10732</v>
      </c>
      <c r="K217" s="76" t="s">
        <v>10733</v>
      </c>
    </row>
    <row r="218" spans="1:11">
      <c r="A218" s="14"/>
      <c r="B218" s="14"/>
      <c r="C218" s="19" t="s">
        <v>54</v>
      </c>
      <c r="D218" s="7" t="s">
        <v>10734</v>
      </c>
      <c r="E218" s="23" t="s">
        <v>10735</v>
      </c>
      <c r="F218" s="23" t="s">
        <v>2639</v>
      </c>
      <c r="G218" s="76" t="s">
        <v>10736</v>
      </c>
      <c r="H218" s="23" t="s">
        <v>10737</v>
      </c>
      <c r="I218" s="77" t="s">
        <v>3459</v>
      </c>
      <c r="J218" s="23" t="s">
        <v>10738</v>
      </c>
      <c r="K218" s="76" t="s">
        <v>10739</v>
      </c>
    </row>
    <row r="219" spans="1:11">
      <c r="A219" s="14"/>
      <c r="B219" s="14"/>
      <c r="C219" s="19"/>
      <c r="D219" s="7" t="s">
        <v>10740</v>
      </c>
      <c r="E219" s="23" t="s">
        <v>10741</v>
      </c>
      <c r="F219" s="23" t="s">
        <v>2639</v>
      </c>
      <c r="G219" s="76" t="s">
        <v>10721</v>
      </c>
      <c r="H219" s="23" t="s">
        <v>10742</v>
      </c>
      <c r="I219" s="77" t="s">
        <v>3459</v>
      </c>
      <c r="J219" s="23" t="s">
        <v>10743</v>
      </c>
      <c r="K219" s="76" t="s">
        <v>10744</v>
      </c>
    </row>
    <row r="220" spans="1:11">
      <c r="A220" s="14"/>
      <c r="B220" s="14"/>
      <c r="C220" s="19"/>
      <c r="D220" s="7" t="s">
        <v>344</v>
      </c>
      <c r="E220" s="23" t="s">
        <v>10745</v>
      </c>
      <c r="F220" s="23" t="s">
        <v>2639</v>
      </c>
      <c r="G220" s="76" t="s">
        <v>10746</v>
      </c>
      <c r="H220" s="23" t="s">
        <v>10747</v>
      </c>
      <c r="I220" s="77" t="s">
        <v>3459</v>
      </c>
      <c r="J220" s="23" t="s">
        <v>10748</v>
      </c>
      <c r="K220" s="76" t="s">
        <v>10749</v>
      </c>
    </row>
    <row r="221" spans="1:11">
      <c r="A221" s="14"/>
      <c r="B221" s="14"/>
      <c r="C221" s="19"/>
      <c r="D221" s="7" t="s">
        <v>345</v>
      </c>
      <c r="E221" s="23" t="s">
        <v>10750</v>
      </c>
      <c r="F221" s="23" t="s">
        <v>2639</v>
      </c>
      <c r="G221" s="76" t="s">
        <v>10751</v>
      </c>
      <c r="H221" s="23" t="s">
        <v>10752</v>
      </c>
      <c r="I221" s="77" t="s">
        <v>3459</v>
      </c>
      <c r="J221" s="23" t="s">
        <v>10753</v>
      </c>
      <c r="K221" s="76" t="s">
        <v>10754</v>
      </c>
    </row>
    <row r="222" spans="1:11">
      <c r="A222" s="14"/>
      <c r="B222" s="14"/>
      <c r="C222" s="19"/>
      <c r="D222" s="7" t="s">
        <v>346</v>
      </c>
      <c r="E222" s="23" t="s">
        <v>10755</v>
      </c>
      <c r="F222" s="23" t="s">
        <v>2639</v>
      </c>
      <c r="G222" s="76" t="s">
        <v>10756</v>
      </c>
      <c r="H222" s="23" t="s">
        <v>10757</v>
      </c>
      <c r="I222" s="77" t="s">
        <v>3459</v>
      </c>
      <c r="J222" s="23" t="s">
        <v>10758</v>
      </c>
      <c r="K222" s="76" t="s">
        <v>10759</v>
      </c>
    </row>
    <row r="223" spans="1:11">
      <c r="A223" s="14"/>
      <c r="B223" s="14"/>
      <c r="C223" s="19" t="s">
        <v>55</v>
      </c>
      <c r="D223" s="7" t="s">
        <v>282</v>
      </c>
      <c r="E223" s="23" t="s">
        <v>10760</v>
      </c>
      <c r="F223" s="23" t="s">
        <v>2639</v>
      </c>
      <c r="G223" s="76" t="s">
        <v>10761</v>
      </c>
      <c r="H223" s="23" t="s">
        <v>10762</v>
      </c>
      <c r="I223" s="77" t="s">
        <v>3453</v>
      </c>
      <c r="J223" s="23" t="s">
        <v>10763</v>
      </c>
      <c r="K223" s="76" t="s">
        <v>10764</v>
      </c>
    </row>
    <row r="224" spans="1:11">
      <c r="A224" s="14"/>
      <c r="B224" s="14"/>
      <c r="C224" s="19"/>
      <c r="D224" s="7" t="s">
        <v>255</v>
      </c>
      <c r="E224" s="23" t="s">
        <v>10765</v>
      </c>
      <c r="F224" s="23" t="s">
        <v>2639</v>
      </c>
      <c r="G224" s="76" t="s">
        <v>10766</v>
      </c>
      <c r="H224" s="23" t="s">
        <v>10767</v>
      </c>
      <c r="I224" s="77" t="s">
        <v>3459</v>
      </c>
      <c r="J224" s="23" t="s">
        <v>10768</v>
      </c>
      <c r="K224" s="76" t="s">
        <v>10769</v>
      </c>
    </row>
    <row r="225" spans="1:11">
      <c r="A225" s="14"/>
      <c r="B225" s="14"/>
      <c r="C225" s="19"/>
      <c r="D225" s="7" t="s">
        <v>283</v>
      </c>
      <c r="E225" s="23" t="s">
        <v>10770</v>
      </c>
      <c r="F225" s="23" t="s">
        <v>2639</v>
      </c>
      <c r="G225" s="76" t="s">
        <v>10771</v>
      </c>
      <c r="H225" s="23" t="s">
        <v>10772</v>
      </c>
      <c r="I225" s="77" t="s">
        <v>3453</v>
      </c>
      <c r="J225" s="23" t="s">
        <v>10773</v>
      </c>
      <c r="K225" s="76" t="s">
        <v>10774</v>
      </c>
    </row>
    <row r="226" spans="1:11">
      <c r="A226" s="14"/>
      <c r="B226" s="14"/>
      <c r="C226" s="19"/>
      <c r="D226" s="7" t="s">
        <v>284</v>
      </c>
      <c r="E226" s="23" t="s">
        <v>10775</v>
      </c>
      <c r="F226" s="23" t="s">
        <v>2639</v>
      </c>
      <c r="G226" s="76" t="s">
        <v>10776</v>
      </c>
      <c r="H226" s="23" t="s">
        <v>10777</v>
      </c>
      <c r="I226" s="77" t="s">
        <v>3453</v>
      </c>
      <c r="J226" s="23" t="s">
        <v>10778</v>
      </c>
      <c r="K226" s="76" t="s">
        <v>10779</v>
      </c>
    </row>
    <row r="227" spans="1:11">
      <c r="A227" s="14"/>
      <c r="B227" s="14"/>
      <c r="C227" s="19"/>
      <c r="D227" s="7" t="s">
        <v>285</v>
      </c>
      <c r="E227" s="23" t="s">
        <v>10780</v>
      </c>
      <c r="F227" s="23" t="s">
        <v>2639</v>
      </c>
      <c r="G227" s="76" t="s">
        <v>10781</v>
      </c>
      <c r="H227" s="23" t="s">
        <v>10782</v>
      </c>
      <c r="I227" s="77" t="s">
        <v>3459</v>
      </c>
      <c r="J227" s="23" t="s">
        <v>10783</v>
      </c>
      <c r="K227" s="76" t="s">
        <v>10784</v>
      </c>
    </row>
    <row r="228" spans="1:11">
      <c r="A228" s="14"/>
      <c r="B228" s="15" t="s">
        <v>56</v>
      </c>
      <c r="C228" s="19" t="s">
        <v>57</v>
      </c>
      <c r="D228" s="7" t="s">
        <v>286</v>
      </c>
      <c r="E228" s="23" t="s">
        <v>10785</v>
      </c>
      <c r="F228" s="23" t="s">
        <v>2639</v>
      </c>
      <c r="G228" s="76" t="s">
        <v>10786</v>
      </c>
      <c r="H228" s="23" t="s">
        <v>10787</v>
      </c>
      <c r="I228" s="77" t="s">
        <v>3453</v>
      </c>
      <c r="J228" s="23" t="s">
        <v>10788</v>
      </c>
      <c r="K228" s="76" t="s">
        <v>10789</v>
      </c>
    </row>
    <row r="229" spans="1:11">
      <c r="A229" s="14"/>
      <c r="B229" s="15"/>
      <c r="C229" s="19"/>
      <c r="D229" s="7" t="s">
        <v>10790</v>
      </c>
      <c r="E229" s="23" t="s">
        <v>10791</v>
      </c>
      <c r="F229" s="23" t="s">
        <v>2639</v>
      </c>
      <c r="G229" s="76" t="s">
        <v>10792</v>
      </c>
      <c r="H229" s="23" t="s">
        <v>10793</v>
      </c>
      <c r="I229" s="77" t="s">
        <v>3459</v>
      </c>
      <c r="J229" s="23" t="s">
        <v>10794</v>
      </c>
      <c r="K229" s="76" t="s">
        <v>10795</v>
      </c>
    </row>
    <row r="230" spans="1:11">
      <c r="A230" s="14"/>
      <c r="B230" s="15"/>
      <c r="C230" s="19"/>
      <c r="D230" s="7" t="s">
        <v>287</v>
      </c>
      <c r="E230" s="23" t="s">
        <v>10796</v>
      </c>
      <c r="F230" s="23" t="s">
        <v>2639</v>
      </c>
      <c r="G230" s="76" t="s">
        <v>10797</v>
      </c>
      <c r="H230" s="23" t="s">
        <v>10798</v>
      </c>
      <c r="I230" s="77" t="s">
        <v>3459</v>
      </c>
      <c r="J230" s="23" t="s">
        <v>10799</v>
      </c>
      <c r="K230" s="76" t="s">
        <v>10800</v>
      </c>
    </row>
    <row r="231" spans="1:11">
      <c r="A231" s="14"/>
      <c r="B231" s="15"/>
      <c r="C231" s="19"/>
      <c r="D231" s="7" t="s">
        <v>288</v>
      </c>
      <c r="E231" s="23" t="s">
        <v>10801</v>
      </c>
      <c r="F231" s="23" t="s">
        <v>2639</v>
      </c>
      <c r="G231" s="76" t="s">
        <v>10802</v>
      </c>
      <c r="H231" s="23" t="s">
        <v>10803</v>
      </c>
      <c r="I231" s="77" t="s">
        <v>3459</v>
      </c>
      <c r="J231" s="23" t="s">
        <v>10804</v>
      </c>
      <c r="K231" s="76" t="s">
        <v>10805</v>
      </c>
    </row>
    <row r="232" spans="1:11">
      <c r="A232" s="14"/>
      <c r="B232" s="15"/>
      <c r="C232" s="19"/>
      <c r="D232" s="7" t="s">
        <v>289</v>
      </c>
      <c r="E232" s="23" t="s">
        <v>10806</v>
      </c>
      <c r="F232" s="23" t="s">
        <v>2639</v>
      </c>
      <c r="G232" s="76" t="s">
        <v>4033</v>
      </c>
      <c r="H232" s="23" t="s">
        <v>10807</v>
      </c>
      <c r="I232" s="77" t="s">
        <v>3459</v>
      </c>
      <c r="J232" s="23" t="s">
        <v>10808</v>
      </c>
      <c r="K232" s="76" t="s">
        <v>10809</v>
      </c>
    </row>
    <row r="233" spans="1:11">
      <c r="A233" s="14"/>
      <c r="B233" s="15"/>
      <c r="C233" s="19" t="s">
        <v>58</v>
      </c>
      <c r="D233" s="7" t="s">
        <v>290</v>
      </c>
      <c r="E233" s="23" t="s">
        <v>10810</v>
      </c>
      <c r="F233" s="23" t="s">
        <v>2639</v>
      </c>
      <c r="G233" s="76" t="s">
        <v>10811</v>
      </c>
      <c r="H233" s="23" t="s">
        <v>10812</v>
      </c>
      <c r="I233" s="77" t="s">
        <v>3459</v>
      </c>
      <c r="J233" s="23" t="s">
        <v>10813</v>
      </c>
      <c r="K233" s="76" t="s">
        <v>10814</v>
      </c>
    </row>
    <row r="234" spans="1:11">
      <c r="A234" s="14"/>
      <c r="B234" s="15"/>
      <c r="C234" s="19"/>
      <c r="D234" s="7" t="s">
        <v>291</v>
      </c>
      <c r="E234" s="23" t="s">
        <v>10815</v>
      </c>
      <c r="F234" s="23" t="s">
        <v>2639</v>
      </c>
      <c r="G234" s="76" t="s">
        <v>10219</v>
      </c>
      <c r="H234" s="23" t="s">
        <v>10816</v>
      </c>
      <c r="I234" s="77" t="s">
        <v>3453</v>
      </c>
      <c r="J234" s="23" t="s">
        <v>10817</v>
      </c>
      <c r="K234" s="76" t="s">
        <v>10818</v>
      </c>
    </row>
    <row r="235" spans="1:11">
      <c r="A235" s="14"/>
      <c r="B235" s="15"/>
      <c r="C235" s="19"/>
      <c r="D235" s="7" t="s">
        <v>292</v>
      </c>
      <c r="E235" s="23" t="s">
        <v>10819</v>
      </c>
      <c r="F235" s="23" t="s">
        <v>2639</v>
      </c>
      <c r="G235" s="76" t="s">
        <v>10820</v>
      </c>
      <c r="H235" s="23" t="s">
        <v>10821</v>
      </c>
      <c r="I235" s="77" t="s">
        <v>3459</v>
      </c>
      <c r="J235" s="23" t="s">
        <v>10822</v>
      </c>
      <c r="K235" s="76" t="s">
        <v>10823</v>
      </c>
    </row>
    <row r="236" spans="1:11">
      <c r="A236" s="14"/>
      <c r="B236" s="15"/>
      <c r="C236" s="19"/>
      <c r="D236" s="7" t="s">
        <v>293</v>
      </c>
      <c r="E236" s="23" t="s">
        <v>10824</v>
      </c>
      <c r="F236" s="23" t="s">
        <v>2639</v>
      </c>
      <c r="G236" s="76" t="s">
        <v>10825</v>
      </c>
      <c r="H236" s="23" t="s">
        <v>10826</v>
      </c>
      <c r="I236" s="77" t="s">
        <v>3453</v>
      </c>
      <c r="J236" s="23" t="s">
        <v>10827</v>
      </c>
      <c r="K236" s="76" t="s">
        <v>10828</v>
      </c>
    </row>
    <row r="237" spans="1:11">
      <c r="A237" s="14"/>
      <c r="B237" s="15"/>
      <c r="C237" s="19"/>
      <c r="D237" s="7" t="s">
        <v>294</v>
      </c>
      <c r="E237" s="23" t="s">
        <v>10829</v>
      </c>
      <c r="F237" s="23" t="s">
        <v>2639</v>
      </c>
      <c r="G237" s="76" t="s">
        <v>10830</v>
      </c>
      <c r="H237" s="23" t="s">
        <v>10831</v>
      </c>
      <c r="I237" s="77" t="s">
        <v>3459</v>
      </c>
      <c r="J237" s="23" t="s">
        <v>10832</v>
      </c>
      <c r="K237" s="76" t="s">
        <v>10833</v>
      </c>
    </row>
    <row r="238" spans="1:11">
      <c r="A238" s="14"/>
      <c r="B238" s="15"/>
      <c r="C238" s="19" t="s">
        <v>59</v>
      </c>
      <c r="D238" s="7" t="s">
        <v>295</v>
      </c>
      <c r="E238" s="23" t="s">
        <v>10834</v>
      </c>
      <c r="F238" s="23" t="s">
        <v>2639</v>
      </c>
      <c r="G238" s="76" t="s">
        <v>10835</v>
      </c>
      <c r="H238" s="23" t="s">
        <v>10836</v>
      </c>
      <c r="I238" s="77" t="s">
        <v>3453</v>
      </c>
      <c r="J238" s="23" t="s">
        <v>10837</v>
      </c>
      <c r="K238" s="76" t="s">
        <v>10838</v>
      </c>
    </row>
    <row r="239" spans="1:11">
      <c r="A239" s="14"/>
      <c r="B239" s="15"/>
      <c r="C239" s="19"/>
      <c r="D239" s="7" t="s">
        <v>296</v>
      </c>
      <c r="E239" s="23" t="s">
        <v>10839</v>
      </c>
      <c r="F239" s="23" t="s">
        <v>2639</v>
      </c>
      <c r="G239" s="76" t="s">
        <v>10840</v>
      </c>
      <c r="H239" s="23" t="s">
        <v>10841</v>
      </c>
      <c r="I239" s="77" t="s">
        <v>3459</v>
      </c>
      <c r="J239" s="23" t="s">
        <v>10842</v>
      </c>
      <c r="K239" s="76" t="s">
        <v>10843</v>
      </c>
    </row>
    <row r="240" spans="1:11">
      <c r="A240" s="14"/>
      <c r="B240" s="15"/>
      <c r="C240" s="19"/>
      <c r="D240" s="7" t="s">
        <v>297</v>
      </c>
      <c r="E240" s="23" t="s">
        <v>10844</v>
      </c>
      <c r="F240" s="23" t="s">
        <v>2639</v>
      </c>
      <c r="G240" s="76" t="s">
        <v>2849</v>
      </c>
      <c r="H240" s="23" t="s">
        <v>10845</v>
      </c>
      <c r="I240" s="77" t="s">
        <v>3459</v>
      </c>
      <c r="J240" s="23" t="s">
        <v>10846</v>
      </c>
      <c r="K240" s="76" t="s">
        <v>10847</v>
      </c>
    </row>
    <row r="241" spans="1:11">
      <c r="A241" s="14"/>
      <c r="B241" s="15"/>
      <c r="C241" s="19"/>
      <c r="D241" s="7" t="s">
        <v>298</v>
      </c>
      <c r="E241" s="23" t="s">
        <v>10848</v>
      </c>
      <c r="F241" s="23" t="s">
        <v>2639</v>
      </c>
      <c r="G241" s="76" t="s">
        <v>10849</v>
      </c>
      <c r="H241" s="23" t="s">
        <v>10850</v>
      </c>
      <c r="I241" s="77" t="s">
        <v>3459</v>
      </c>
      <c r="J241" s="23" t="s">
        <v>10851</v>
      </c>
      <c r="K241" s="76" t="s">
        <v>10852</v>
      </c>
    </row>
    <row r="242" spans="1:11">
      <c r="A242" s="14"/>
      <c r="B242" s="15"/>
      <c r="C242" s="19"/>
      <c r="D242" s="7" t="s">
        <v>299</v>
      </c>
      <c r="E242" s="23" t="s">
        <v>10853</v>
      </c>
      <c r="F242" s="23" t="s">
        <v>2639</v>
      </c>
      <c r="G242" s="76" t="s">
        <v>10854</v>
      </c>
      <c r="H242" s="23" t="s">
        <v>10855</v>
      </c>
      <c r="I242" s="77" t="s">
        <v>3459</v>
      </c>
      <c r="J242" s="23" t="s">
        <v>10856</v>
      </c>
      <c r="K242" s="76" t="s">
        <v>10857</v>
      </c>
    </row>
    <row r="243" spans="1:11">
      <c r="A243" s="14"/>
      <c r="B243" s="15"/>
      <c r="C243" s="19" t="s">
        <v>60</v>
      </c>
      <c r="D243" s="7" t="s">
        <v>300</v>
      </c>
      <c r="E243" s="23" t="s">
        <v>10858</v>
      </c>
      <c r="F243" s="23" t="s">
        <v>2639</v>
      </c>
      <c r="G243" s="76" t="s">
        <v>4033</v>
      </c>
      <c r="H243" s="23" t="s">
        <v>10859</v>
      </c>
      <c r="I243" s="77" t="s">
        <v>3453</v>
      </c>
      <c r="J243" s="23" t="s">
        <v>10860</v>
      </c>
      <c r="K243" s="76" t="s">
        <v>10861</v>
      </c>
    </row>
    <row r="244" spans="1:11">
      <c r="A244" s="14"/>
      <c r="B244" s="15"/>
      <c r="C244" s="19"/>
      <c r="D244" s="7" t="s">
        <v>301</v>
      </c>
      <c r="E244" s="23" t="s">
        <v>10862</v>
      </c>
      <c r="F244" s="23" t="s">
        <v>2639</v>
      </c>
      <c r="G244" s="76" t="s">
        <v>10863</v>
      </c>
      <c r="H244" s="23" t="s">
        <v>10864</v>
      </c>
      <c r="I244" s="77" t="s">
        <v>3459</v>
      </c>
      <c r="J244" s="23" t="s">
        <v>10865</v>
      </c>
      <c r="K244" s="76" t="s">
        <v>10866</v>
      </c>
    </row>
    <row r="245" spans="1:11">
      <c r="A245" s="14"/>
      <c r="B245" s="15"/>
      <c r="C245" s="19"/>
      <c r="D245" s="7" t="s">
        <v>10867</v>
      </c>
      <c r="E245" s="23" t="s">
        <v>10868</v>
      </c>
      <c r="F245" s="23" t="s">
        <v>2639</v>
      </c>
      <c r="G245" s="76" t="s">
        <v>10797</v>
      </c>
      <c r="H245" s="23" t="s">
        <v>10869</v>
      </c>
      <c r="I245" s="77" t="s">
        <v>3453</v>
      </c>
      <c r="J245" s="23" t="s">
        <v>10870</v>
      </c>
      <c r="K245" s="76" t="s">
        <v>10871</v>
      </c>
    </row>
    <row r="246" spans="1:11">
      <c r="A246" s="14"/>
      <c r="B246" s="15"/>
      <c r="C246" s="19"/>
      <c r="D246" s="7" t="s">
        <v>305</v>
      </c>
      <c r="E246" s="23" t="s">
        <v>10872</v>
      </c>
      <c r="F246" s="23" t="s">
        <v>2639</v>
      </c>
      <c r="G246" s="76" t="s">
        <v>10873</v>
      </c>
      <c r="H246" s="23" t="s">
        <v>10874</v>
      </c>
      <c r="I246" s="77" t="s">
        <v>3459</v>
      </c>
      <c r="J246" s="23" t="s">
        <v>10875</v>
      </c>
      <c r="K246" s="76" t="s">
        <v>10876</v>
      </c>
    </row>
    <row r="247" spans="1:11">
      <c r="A247" s="14"/>
      <c r="B247" s="15"/>
      <c r="C247" s="19"/>
      <c r="D247" s="7" t="s">
        <v>306</v>
      </c>
      <c r="E247" s="23" t="s">
        <v>10877</v>
      </c>
      <c r="F247" s="23" t="s">
        <v>2639</v>
      </c>
      <c r="G247" s="76" t="s">
        <v>10878</v>
      </c>
      <c r="H247" s="23" t="s">
        <v>10798</v>
      </c>
      <c r="I247" s="77" t="s">
        <v>3459</v>
      </c>
      <c r="J247" s="23" t="s">
        <v>10879</v>
      </c>
      <c r="K247" s="76" t="s">
        <v>10880</v>
      </c>
    </row>
    <row r="248" spans="1:11">
      <c r="A248" s="14"/>
      <c r="B248" s="15"/>
      <c r="C248" s="19" t="s">
        <v>60</v>
      </c>
      <c r="D248" s="7" t="s">
        <v>307</v>
      </c>
      <c r="E248" s="23" t="s">
        <v>10881</v>
      </c>
      <c r="F248" s="23" t="s">
        <v>2639</v>
      </c>
      <c r="G248" s="76" t="s">
        <v>10882</v>
      </c>
      <c r="H248" s="23" t="s">
        <v>10803</v>
      </c>
      <c r="I248" s="77" t="s">
        <v>3453</v>
      </c>
      <c r="J248" s="23" t="s">
        <v>10883</v>
      </c>
      <c r="K248" s="76" t="s">
        <v>10884</v>
      </c>
    </row>
    <row r="249" spans="1:11">
      <c r="A249" s="14"/>
      <c r="B249" s="15"/>
      <c r="C249" s="19"/>
      <c r="D249" s="7" t="s">
        <v>308</v>
      </c>
      <c r="E249" s="23" t="s">
        <v>10885</v>
      </c>
      <c r="F249" s="23" t="s">
        <v>2639</v>
      </c>
      <c r="G249" s="76" t="s">
        <v>4033</v>
      </c>
      <c r="H249" s="23" t="s">
        <v>10886</v>
      </c>
      <c r="I249" s="77" t="s">
        <v>3453</v>
      </c>
      <c r="J249" s="23" t="s">
        <v>10887</v>
      </c>
      <c r="K249" s="76" t="s">
        <v>10888</v>
      </c>
    </row>
    <row r="250" spans="1:11">
      <c r="A250" s="14"/>
      <c r="B250" s="15"/>
      <c r="C250" s="19"/>
      <c r="D250" s="7" t="s">
        <v>10889</v>
      </c>
      <c r="E250" s="23" t="s">
        <v>10890</v>
      </c>
      <c r="F250" s="23" t="s">
        <v>2639</v>
      </c>
      <c r="G250" s="76" t="s">
        <v>10891</v>
      </c>
      <c r="H250" s="23" t="s">
        <v>10892</v>
      </c>
      <c r="I250" s="77" t="s">
        <v>3453</v>
      </c>
      <c r="J250" s="23" t="s">
        <v>10893</v>
      </c>
      <c r="K250" s="76" t="s">
        <v>10894</v>
      </c>
    </row>
    <row r="251" spans="1:11">
      <c r="A251" s="14"/>
      <c r="B251" s="15"/>
      <c r="C251" s="19"/>
      <c r="D251" s="7" t="s">
        <v>309</v>
      </c>
      <c r="E251" s="23" t="s">
        <v>10895</v>
      </c>
      <c r="F251" s="23" t="s">
        <v>2639</v>
      </c>
      <c r="G251" s="76" t="s">
        <v>10896</v>
      </c>
      <c r="H251" s="23" t="s">
        <v>10897</v>
      </c>
      <c r="I251" s="77" t="s">
        <v>3459</v>
      </c>
      <c r="J251" s="23" t="s">
        <v>10898</v>
      </c>
      <c r="K251" s="76" t="s">
        <v>10899</v>
      </c>
    </row>
    <row r="252" spans="1:11">
      <c r="A252" s="14"/>
      <c r="B252" s="15"/>
      <c r="C252" s="19"/>
      <c r="D252" s="7" t="s">
        <v>310</v>
      </c>
      <c r="E252" s="23" t="s">
        <v>10900</v>
      </c>
      <c r="F252" s="23" t="s">
        <v>2639</v>
      </c>
      <c r="G252" s="76" t="s">
        <v>2856</v>
      </c>
      <c r="H252" s="23" t="s">
        <v>10901</v>
      </c>
      <c r="I252" s="77" t="s">
        <v>3459</v>
      </c>
      <c r="J252" s="23" t="s">
        <v>10902</v>
      </c>
      <c r="K252" s="76" t="s">
        <v>10903</v>
      </c>
    </row>
    <row r="253" spans="1:11">
      <c r="A253" s="14"/>
      <c r="B253" s="14" t="s">
        <v>342</v>
      </c>
      <c r="C253" s="19" t="s">
        <v>61</v>
      </c>
      <c r="D253" s="7" t="s">
        <v>311</v>
      </c>
      <c r="E253" s="23" t="s">
        <v>10904</v>
      </c>
      <c r="F253" s="23" t="s">
        <v>2639</v>
      </c>
      <c r="G253" s="76" t="s">
        <v>10905</v>
      </c>
      <c r="H253" s="23" t="s">
        <v>10906</v>
      </c>
      <c r="I253" s="77" t="s">
        <v>3459</v>
      </c>
      <c r="J253" s="23" t="s">
        <v>10907</v>
      </c>
      <c r="K253" s="76" t="s">
        <v>10908</v>
      </c>
    </row>
    <row r="254" spans="1:11">
      <c r="A254" s="14"/>
      <c r="B254" s="14"/>
      <c r="C254" s="19"/>
      <c r="D254" s="7" t="s">
        <v>293</v>
      </c>
      <c r="E254" s="23" t="s">
        <v>10909</v>
      </c>
      <c r="F254" s="23" t="s">
        <v>2639</v>
      </c>
      <c r="G254" s="76" t="s">
        <v>10288</v>
      </c>
      <c r="H254" s="23" t="s">
        <v>10910</v>
      </c>
      <c r="I254" s="77" t="s">
        <v>3453</v>
      </c>
      <c r="J254" s="23" t="s">
        <v>10911</v>
      </c>
      <c r="K254" s="76" t="s">
        <v>10912</v>
      </c>
    </row>
    <row r="255" spans="1:11">
      <c r="A255" s="14"/>
      <c r="B255" s="14"/>
      <c r="C255" s="19"/>
      <c r="D255" s="7" t="s">
        <v>312</v>
      </c>
      <c r="E255" s="23" t="s">
        <v>10913</v>
      </c>
      <c r="F255" s="23" t="s">
        <v>2639</v>
      </c>
      <c r="G255" s="76" t="s">
        <v>10914</v>
      </c>
      <c r="H255" s="23" t="s">
        <v>10915</v>
      </c>
      <c r="I255" s="77" t="s">
        <v>3453</v>
      </c>
      <c r="J255" s="23" t="s">
        <v>10916</v>
      </c>
      <c r="K255" s="76" t="s">
        <v>10917</v>
      </c>
    </row>
    <row r="256" spans="1:11">
      <c r="A256" s="14"/>
      <c r="B256" s="14"/>
      <c r="C256" s="19"/>
      <c r="D256" s="7" t="s">
        <v>313</v>
      </c>
      <c r="E256" s="23" t="s">
        <v>10918</v>
      </c>
      <c r="F256" s="23" t="s">
        <v>2639</v>
      </c>
      <c r="G256" s="76" t="s">
        <v>10919</v>
      </c>
      <c r="H256" s="23" t="s">
        <v>10920</v>
      </c>
      <c r="I256" s="77" t="s">
        <v>3459</v>
      </c>
      <c r="J256" s="23" t="s">
        <v>10921</v>
      </c>
      <c r="K256" s="76" t="s">
        <v>10922</v>
      </c>
    </row>
    <row r="257" spans="1:11">
      <c r="A257" s="14"/>
      <c r="B257" s="14"/>
      <c r="C257" s="19"/>
      <c r="D257" s="7" t="s">
        <v>314</v>
      </c>
      <c r="E257" s="23" t="s">
        <v>10923</v>
      </c>
      <c r="F257" s="23" t="s">
        <v>2639</v>
      </c>
      <c r="G257" s="76" t="s">
        <v>10924</v>
      </c>
      <c r="H257" s="23" t="s">
        <v>10925</v>
      </c>
      <c r="I257" s="77" t="s">
        <v>3459</v>
      </c>
      <c r="J257" s="23" t="s">
        <v>10926</v>
      </c>
      <c r="K257" s="76" t="s">
        <v>10927</v>
      </c>
    </row>
    <row r="258" spans="1:11">
      <c r="A258" s="14"/>
      <c r="B258" s="14"/>
      <c r="C258" s="19" t="s">
        <v>62</v>
      </c>
      <c r="D258" s="7" t="s">
        <v>315</v>
      </c>
      <c r="E258" s="23" t="s">
        <v>10928</v>
      </c>
      <c r="F258" s="23" t="s">
        <v>2639</v>
      </c>
      <c r="G258" s="76" t="s">
        <v>10863</v>
      </c>
      <c r="H258" s="23" t="s">
        <v>10929</v>
      </c>
      <c r="I258" s="77" t="s">
        <v>3453</v>
      </c>
      <c r="J258" s="23" t="s">
        <v>10930</v>
      </c>
      <c r="K258" s="76" t="s">
        <v>10931</v>
      </c>
    </row>
    <row r="259" spans="1:11">
      <c r="A259" s="14"/>
      <c r="B259" s="14"/>
      <c r="C259" s="19"/>
      <c r="D259" s="7" t="s">
        <v>316</v>
      </c>
      <c r="E259" s="23" t="s">
        <v>10932</v>
      </c>
      <c r="F259" s="23" t="s">
        <v>2639</v>
      </c>
      <c r="G259" s="76" t="s">
        <v>10933</v>
      </c>
      <c r="H259" s="23" t="s">
        <v>10934</v>
      </c>
      <c r="I259" s="77" t="s">
        <v>3453</v>
      </c>
      <c r="J259" s="23" t="s">
        <v>10935</v>
      </c>
      <c r="K259" s="76" t="s">
        <v>10936</v>
      </c>
    </row>
    <row r="260" spans="1:11">
      <c r="A260" s="14"/>
      <c r="B260" s="14"/>
      <c r="C260" s="19"/>
      <c r="D260" s="7" t="s">
        <v>317</v>
      </c>
      <c r="E260" s="23" t="s">
        <v>10810</v>
      </c>
      <c r="F260" s="23" t="s">
        <v>2639</v>
      </c>
      <c r="G260" s="76" t="s">
        <v>10937</v>
      </c>
      <c r="H260" s="23" t="s">
        <v>10938</v>
      </c>
      <c r="I260" s="77" t="s">
        <v>3459</v>
      </c>
      <c r="J260" s="23" t="s">
        <v>10939</v>
      </c>
      <c r="K260" s="76" t="s">
        <v>10940</v>
      </c>
    </row>
    <row r="261" spans="1:11">
      <c r="A261" s="14"/>
      <c r="B261" s="14"/>
      <c r="C261" s="19"/>
      <c r="D261" s="7" t="s">
        <v>343</v>
      </c>
      <c r="E261" s="23" t="s">
        <v>10941</v>
      </c>
      <c r="F261" s="23" t="s">
        <v>2639</v>
      </c>
      <c r="G261" s="76" t="s">
        <v>4019</v>
      </c>
      <c r="H261" s="23" t="s">
        <v>10942</v>
      </c>
      <c r="I261" s="77" t="s">
        <v>3453</v>
      </c>
      <c r="J261" s="23" t="s">
        <v>10943</v>
      </c>
      <c r="K261" s="76" t="s">
        <v>10944</v>
      </c>
    </row>
    <row r="262" spans="1:11">
      <c r="A262" s="14"/>
      <c r="B262" s="14"/>
      <c r="C262" s="19"/>
      <c r="D262" s="7" t="s">
        <v>292</v>
      </c>
      <c r="E262" s="23" t="s">
        <v>10819</v>
      </c>
      <c r="F262" s="23" t="s">
        <v>2639</v>
      </c>
      <c r="G262" s="76" t="s">
        <v>10945</v>
      </c>
      <c r="H262" s="23" t="s">
        <v>10946</v>
      </c>
      <c r="I262" s="77" t="s">
        <v>3459</v>
      </c>
      <c r="J262" s="23" t="s">
        <v>10947</v>
      </c>
      <c r="K262" s="76" t="s">
        <v>10948</v>
      </c>
    </row>
    <row r="263" spans="1:11">
      <c r="A263" s="14"/>
      <c r="B263" s="14"/>
      <c r="C263" s="19" t="s">
        <v>63</v>
      </c>
      <c r="D263" s="7" t="s">
        <v>293</v>
      </c>
      <c r="E263" s="23" t="s">
        <v>10949</v>
      </c>
      <c r="F263" s="23" t="s">
        <v>2639</v>
      </c>
      <c r="G263" s="76" t="s">
        <v>10950</v>
      </c>
      <c r="H263" s="23" t="s">
        <v>10424</v>
      </c>
      <c r="I263" s="77" t="s">
        <v>3453</v>
      </c>
      <c r="J263" s="23" t="s">
        <v>10951</v>
      </c>
      <c r="K263" s="76" t="s">
        <v>10952</v>
      </c>
    </row>
    <row r="264" spans="1:11">
      <c r="A264" s="14"/>
      <c r="B264" s="14"/>
      <c r="C264" s="19"/>
      <c r="D264" s="7" t="s">
        <v>294</v>
      </c>
      <c r="E264" s="23" t="s">
        <v>10953</v>
      </c>
      <c r="F264" s="23" t="s">
        <v>2639</v>
      </c>
      <c r="G264" s="76" t="s">
        <v>10924</v>
      </c>
      <c r="H264" s="23" t="s">
        <v>10954</v>
      </c>
      <c r="I264" s="77" t="s">
        <v>3453</v>
      </c>
      <c r="J264" s="23" t="s">
        <v>10955</v>
      </c>
      <c r="K264" s="76" t="s">
        <v>10956</v>
      </c>
    </row>
    <row r="265" spans="1:11">
      <c r="A265" s="14"/>
      <c r="B265" s="14"/>
      <c r="C265" s="19"/>
      <c r="D265" s="7" t="s">
        <v>295</v>
      </c>
      <c r="E265" s="23" t="s">
        <v>10834</v>
      </c>
      <c r="F265" s="23" t="s">
        <v>2639</v>
      </c>
      <c r="G265" s="76" t="s">
        <v>2856</v>
      </c>
      <c r="H265" s="23" t="s">
        <v>10957</v>
      </c>
      <c r="I265" s="77" t="s">
        <v>3459</v>
      </c>
      <c r="J265" s="23" t="s">
        <v>10958</v>
      </c>
      <c r="K265" s="76" t="s">
        <v>10959</v>
      </c>
    </row>
    <row r="266" spans="1:11">
      <c r="A266" s="14"/>
      <c r="B266" s="14"/>
      <c r="C266" s="19"/>
      <c r="D266" s="7" t="s">
        <v>296</v>
      </c>
      <c r="E266" s="23" t="s">
        <v>10960</v>
      </c>
      <c r="F266" s="23" t="s">
        <v>2639</v>
      </c>
      <c r="G266" s="76" t="s">
        <v>10961</v>
      </c>
      <c r="H266" s="23" t="s">
        <v>10962</v>
      </c>
      <c r="I266" s="77" t="s">
        <v>3459</v>
      </c>
      <c r="J266" s="23" t="s">
        <v>10963</v>
      </c>
      <c r="K266" s="76" t="s">
        <v>10964</v>
      </c>
    </row>
    <row r="267" spans="1:11">
      <c r="A267" s="14"/>
      <c r="B267" s="14"/>
      <c r="C267" s="19"/>
      <c r="D267" s="7" t="s">
        <v>297</v>
      </c>
      <c r="E267" s="23" t="s">
        <v>10844</v>
      </c>
      <c r="F267" s="23" t="s">
        <v>2639</v>
      </c>
      <c r="G267" s="76" t="s">
        <v>2849</v>
      </c>
      <c r="H267" s="23" t="s">
        <v>10965</v>
      </c>
      <c r="I267" s="77" t="s">
        <v>3459</v>
      </c>
      <c r="J267" s="23" t="s">
        <v>10966</v>
      </c>
      <c r="K267" s="76" t="s">
        <v>10967</v>
      </c>
    </row>
    <row r="268" spans="1:11">
      <c r="A268" s="14"/>
      <c r="B268" s="14"/>
      <c r="C268" s="19" t="s">
        <v>64</v>
      </c>
      <c r="D268" s="7" t="s">
        <v>298</v>
      </c>
      <c r="E268" s="23" t="s">
        <v>10968</v>
      </c>
      <c r="F268" s="23" t="s">
        <v>2639</v>
      </c>
      <c r="G268" s="76" t="s">
        <v>10969</v>
      </c>
      <c r="H268" s="23" t="s">
        <v>10970</v>
      </c>
      <c r="I268" s="77" t="s">
        <v>3453</v>
      </c>
      <c r="J268" s="23" t="s">
        <v>10971</v>
      </c>
      <c r="K268" s="76" t="s">
        <v>10972</v>
      </c>
    </row>
    <row r="269" spans="1:11">
      <c r="A269" s="14"/>
      <c r="B269" s="14"/>
      <c r="C269" s="19"/>
      <c r="D269" s="7" t="s">
        <v>299</v>
      </c>
      <c r="E269" s="23" t="s">
        <v>10853</v>
      </c>
      <c r="F269" s="23" t="s">
        <v>2639</v>
      </c>
      <c r="G269" s="76" t="s">
        <v>5740</v>
      </c>
      <c r="H269" s="23" t="s">
        <v>10973</v>
      </c>
      <c r="I269" s="77" t="s">
        <v>3459</v>
      </c>
      <c r="J269" s="23" t="s">
        <v>10974</v>
      </c>
      <c r="K269" s="76" t="s">
        <v>10975</v>
      </c>
    </row>
    <row r="270" spans="1:11">
      <c r="A270" s="14"/>
      <c r="B270" s="14"/>
      <c r="C270" s="19"/>
      <c r="D270" s="7" t="s">
        <v>300</v>
      </c>
      <c r="E270" s="23" t="s">
        <v>10976</v>
      </c>
      <c r="F270" s="23" t="s">
        <v>2639</v>
      </c>
      <c r="G270" s="76" t="s">
        <v>4033</v>
      </c>
      <c r="H270" s="23" t="s">
        <v>10977</v>
      </c>
      <c r="I270" s="77" t="s">
        <v>3453</v>
      </c>
      <c r="J270" s="23" t="s">
        <v>10978</v>
      </c>
      <c r="K270" s="76" t="s">
        <v>10979</v>
      </c>
    </row>
    <row r="271" spans="1:11">
      <c r="A271" s="14"/>
      <c r="B271" s="14"/>
      <c r="C271" s="19"/>
      <c r="D271" s="7" t="s">
        <v>301</v>
      </c>
      <c r="E271" s="23" t="s">
        <v>10980</v>
      </c>
      <c r="F271" s="23" t="s">
        <v>2639</v>
      </c>
      <c r="G271" s="76" t="s">
        <v>10981</v>
      </c>
      <c r="H271" s="23" t="s">
        <v>10982</v>
      </c>
      <c r="I271" s="77" t="s">
        <v>3459</v>
      </c>
      <c r="J271" s="23" t="s">
        <v>10983</v>
      </c>
      <c r="K271" s="76" t="s">
        <v>10984</v>
      </c>
    </row>
    <row r="272" spans="1:11">
      <c r="A272" s="14"/>
      <c r="B272" s="14"/>
      <c r="C272" s="19"/>
      <c r="D272" s="7" t="s">
        <v>302</v>
      </c>
      <c r="E272" s="23" t="s">
        <v>10985</v>
      </c>
      <c r="F272" s="23" t="s">
        <v>2639</v>
      </c>
      <c r="G272" s="76" t="s">
        <v>10802</v>
      </c>
      <c r="H272" s="23" t="s">
        <v>10986</v>
      </c>
      <c r="I272" s="77" t="s">
        <v>3453</v>
      </c>
      <c r="J272" s="23" t="s">
        <v>10987</v>
      </c>
      <c r="K272" s="76" t="s">
        <v>10988</v>
      </c>
    </row>
    <row r="273" spans="1:11">
      <c r="A273" s="14"/>
      <c r="B273" s="14"/>
      <c r="C273" s="19" t="s">
        <v>65</v>
      </c>
      <c r="D273" s="7" t="s">
        <v>318</v>
      </c>
      <c r="E273" s="23" t="s">
        <v>10989</v>
      </c>
      <c r="F273" s="23" t="s">
        <v>2639</v>
      </c>
      <c r="G273" s="76" t="s">
        <v>10990</v>
      </c>
      <c r="H273" s="23" t="s">
        <v>10991</v>
      </c>
      <c r="I273" s="77" t="s">
        <v>3459</v>
      </c>
      <c r="J273" s="23" t="s">
        <v>10992</v>
      </c>
      <c r="K273" s="76" t="s">
        <v>10993</v>
      </c>
    </row>
    <row r="274" spans="1:11">
      <c r="A274" s="14"/>
      <c r="B274" s="14"/>
      <c r="C274" s="19"/>
      <c r="D274" s="7" t="s">
        <v>319</v>
      </c>
      <c r="E274" s="23" t="s">
        <v>10994</v>
      </c>
      <c r="F274" s="23" t="s">
        <v>2639</v>
      </c>
      <c r="G274" s="76" t="s">
        <v>10995</v>
      </c>
      <c r="H274" s="23" t="s">
        <v>10996</v>
      </c>
      <c r="I274" s="77" t="s">
        <v>3459</v>
      </c>
      <c r="J274" s="23" t="s">
        <v>10997</v>
      </c>
      <c r="K274" s="76" t="s">
        <v>10998</v>
      </c>
    </row>
    <row r="275" spans="1:11">
      <c r="A275" s="14"/>
      <c r="B275" s="14"/>
      <c r="C275" s="19"/>
      <c r="D275" s="7" t="s">
        <v>320</v>
      </c>
      <c r="E275" s="23" t="s">
        <v>10999</v>
      </c>
      <c r="F275" s="23" t="s">
        <v>2640</v>
      </c>
      <c r="G275" s="76" t="s">
        <v>11000</v>
      </c>
      <c r="H275" s="23" t="s">
        <v>11001</v>
      </c>
      <c r="I275" s="77" t="s">
        <v>3453</v>
      </c>
      <c r="J275" s="23" t="s">
        <v>11002</v>
      </c>
      <c r="K275" s="76" t="s">
        <v>11003</v>
      </c>
    </row>
    <row r="276" spans="1:11">
      <c r="A276" s="14"/>
      <c r="B276" s="14"/>
      <c r="C276" s="19"/>
      <c r="D276" s="7" t="s">
        <v>321</v>
      </c>
      <c r="E276" s="23" t="s">
        <v>11004</v>
      </c>
      <c r="F276" s="23" t="s">
        <v>2639</v>
      </c>
      <c r="G276" s="76" t="s">
        <v>3661</v>
      </c>
      <c r="H276" s="23" t="s">
        <v>3486</v>
      </c>
      <c r="I276" s="77" t="s">
        <v>3581</v>
      </c>
      <c r="J276" s="23" t="s">
        <v>11005</v>
      </c>
      <c r="K276" s="76" t="s">
        <v>11006</v>
      </c>
    </row>
    <row r="277" spans="1:11">
      <c r="A277" s="14"/>
      <c r="B277" s="14"/>
      <c r="C277" s="19"/>
      <c r="D277" s="7" t="s">
        <v>322</v>
      </c>
      <c r="E277" s="23" t="s">
        <v>11007</v>
      </c>
      <c r="F277" s="23" t="s">
        <v>2640</v>
      </c>
      <c r="G277" s="76" t="s">
        <v>11008</v>
      </c>
      <c r="H277" s="23" t="s">
        <v>11009</v>
      </c>
      <c r="I277" s="77" t="s">
        <v>3453</v>
      </c>
      <c r="J277" s="23" t="s">
        <v>11010</v>
      </c>
      <c r="K277" s="76" t="s">
        <v>11011</v>
      </c>
    </row>
    <row r="278" spans="1:11">
      <c r="A278" s="14" t="s">
        <v>66</v>
      </c>
      <c r="B278" s="14" t="s">
        <v>67</v>
      </c>
      <c r="C278" s="19" t="s">
        <v>80</v>
      </c>
      <c r="D278" s="7" t="s">
        <v>323</v>
      </c>
      <c r="E278" s="23" t="s">
        <v>11012</v>
      </c>
      <c r="F278" s="23" t="s">
        <v>2640</v>
      </c>
      <c r="G278" s="76" t="s">
        <v>11013</v>
      </c>
      <c r="H278" s="23" t="s">
        <v>11014</v>
      </c>
      <c r="I278" s="77" t="s">
        <v>3459</v>
      </c>
      <c r="J278" s="23" t="s">
        <v>11015</v>
      </c>
      <c r="K278" s="76" t="s">
        <v>11016</v>
      </c>
    </row>
    <row r="279" spans="1:11">
      <c r="A279" s="14"/>
      <c r="B279" s="14"/>
      <c r="C279" s="19"/>
      <c r="D279" s="7" t="s">
        <v>324</v>
      </c>
      <c r="E279" s="23" t="s">
        <v>11017</v>
      </c>
      <c r="F279" s="23" t="s">
        <v>2639</v>
      </c>
      <c r="G279" s="76" t="s">
        <v>3160</v>
      </c>
      <c r="H279" s="23" t="s">
        <v>11018</v>
      </c>
      <c r="I279" s="77" t="s">
        <v>3459</v>
      </c>
      <c r="J279" s="23" t="s">
        <v>11019</v>
      </c>
      <c r="K279" s="76" t="s">
        <v>11020</v>
      </c>
    </row>
    <row r="280" spans="1:11">
      <c r="A280" s="14"/>
      <c r="B280" s="14"/>
      <c r="C280" s="19"/>
      <c r="D280" s="7" t="s">
        <v>325</v>
      </c>
      <c r="E280" s="23" t="s">
        <v>11021</v>
      </c>
      <c r="F280" s="23" t="s">
        <v>2639</v>
      </c>
      <c r="G280" s="76" t="s">
        <v>11022</v>
      </c>
      <c r="H280" s="23" t="s">
        <v>11023</v>
      </c>
      <c r="I280" s="77" t="s">
        <v>3581</v>
      </c>
      <c r="J280" s="23" t="s">
        <v>11024</v>
      </c>
      <c r="K280" s="76" t="s">
        <v>11025</v>
      </c>
    </row>
    <row r="281" spans="1:11">
      <c r="A281" s="14"/>
      <c r="B281" s="14"/>
      <c r="C281" s="19"/>
      <c r="D281" s="7" t="s">
        <v>326</v>
      </c>
      <c r="E281" s="23" t="s">
        <v>11026</v>
      </c>
      <c r="F281" s="23" t="s">
        <v>2640</v>
      </c>
      <c r="G281" s="76" t="s">
        <v>10510</v>
      </c>
      <c r="H281" s="23" t="s">
        <v>11027</v>
      </c>
      <c r="I281" s="77" t="s">
        <v>3459</v>
      </c>
      <c r="J281" s="23" t="s">
        <v>11028</v>
      </c>
      <c r="K281" s="76" t="s">
        <v>11029</v>
      </c>
    </row>
    <row r="282" spans="1:11">
      <c r="A282" s="14"/>
      <c r="B282" s="14"/>
      <c r="C282" s="19"/>
      <c r="D282" s="7" t="s">
        <v>327</v>
      </c>
      <c r="E282" s="23" t="s">
        <v>11030</v>
      </c>
      <c r="F282" s="23" t="s">
        <v>2639</v>
      </c>
      <c r="G282" s="76" t="s">
        <v>11031</v>
      </c>
      <c r="H282" s="23" t="s">
        <v>11032</v>
      </c>
      <c r="I282" s="77" t="s">
        <v>3453</v>
      </c>
      <c r="J282" s="23" t="s">
        <v>11033</v>
      </c>
      <c r="K282" s="76" t="s">
        <v>11034</v>
      </c>
    </row>
    <row r="283" spans="1:11" ht="17.25" customHeight="1">
      <c r="A283" s="14"/>
      <c r="B283" s="14"/>
      <c r="C283" s="19" t="s">
        <v>81</v>
      </c>
      <c r="D283" s="7" t="s">
        <v>328</v>
      </c>
      <c r="E283" s="23" t="s">
        <v>11035</v>
      </c>
      <c r="F283" s="23" t="s">
        <v>2640</v>
      </c>
      <c r="G283" s="76" t="s">
        <v>11036</v>
      </c>
      <c r="H283" s="23" t="s">
        <v>11037</v>
      </c>
      <c r="I283" s="77" t="s">
        <v>3453</v>
      </c>
      <c r="J283" s="23" t="s">
        <v>11038</v>
      </c>
      <c r="K283" s="76" t="s">
        <v>11039</v>
      </c>
    </row>
    <row r="284" spans="1:11" ht="15.75" customHeight="1">
      <c r="A284" s="14"/>
      <c r="B284" s="14"/>
      <c r="C284" s="19"/>
      <c r="D284" s="7" t="s">
        <v>255</v>
      </c>
      <c r="E284" s="23" t="s">
        <v>11040</v>
      </c>
      <c r="F284" s="23" t="s">
        <v>2641</v>
      </c>
      <c r="G284" s="76" t="s">
        <v>11031</v>
      </c>
      <c r="H284" s="23" t="s">
        <v>11041</v>
      </c>
      <c r="I284" s="77" t="s">
        <v>3459</v>
      </c>
      <c r="J284" s="23" t="s">
        <v>11042</v>
      </c>
      <c r="K284" s="76" t="s">
        <v>11043</v>
      </c>
    </row>
    <row r="285" spans="1:11" ht="14.25" customHeight="1">
      <c r="A285" s="14"/>
      <c r="B285" s="14"/>
      <c r="C285" s="19"/>
      <c r="D285" s="7" t="s">
        <v>166</v>
      </c>
      <c r="E285" s="23" t="s">
        <v>11044</v>
      </c>
      <c r="F285" s="23" t="s">
        <v>2640</v>
      </c>
      <c r="G285" s="76" t="s">
        <v>11045</v>
      </c>
      <c r="H285" s="23" t="s">
        <v>11046</v>
      </c>
      <c r="I285" s="77" t="s">
        <v>3459</v>
      </c>
      <c r="J285" s="23" t="s">
        <v>11047</v>
      </c>
      <c r="K285" s="76" t="s">
        <v>11048</v>
      </c>
    </row>
    <row r="286" spans="1:11" ht="13.5" customHeight="1">
      <c r="A286" s="14"/>
      <c r="B286" s="14"/>
      <c r="C286" s="19"/>
      <c r="D286" s="7" t="s">
        <v>329</v>
      </c>
      <c r="E286" s="23" t="s">
        <v>11049</v>
      </c>
      <c r="F286" s="23" t="s">
        <v>2640</v>
      </c>
      <c r="G286" s="76" t="s">
        <v>10924</v>
      </c>
      <c r="H286" s="23" t="s">
        <v>11050</v>
      </c>
      <c r="I286" s="77" t="s">
        <v>3453</v>
      </c>
      <c r="J286" s="23" t="s">
        <v>11051</v>
      </c>
      <c r="K286" s="76" t="s">
        <v>11052</v>
      </c>
    </row>
    <row r="287" spans="1:11" ht="14.25" customHeight="1">
      <c r="A287" s="14"/>
      <c r="B287" s="14"/>
      <c r="C287" s="19"/>
      <c r="D287" s="7" t="s">
        <v>330</v>
      </c>
      <c r="E287" s="23" t="s">
        <v>11053</v>
      </c>
      <c r="F287" s="23" t="s">
        <v>2640</v>
      </c>
      <c r="G287" s="76" t="s">
        <v>11054</v>
      </c>
      <c r="H287" s="23" t="s">
        <v>11055</v>
      </c>
      <c r="I287" s="77" t="s">
        <v>3459</v>
      </c>
      <c r="J287" s="23" t="s">
        <v>11056</v>
      </c>
      <c r="K287" s="76" t="s">
        <v>11057</v>
      </c>
    </row>
    <row r="288" spans="1:11" ht="13.5" customHeight="1">
      <c r="A288" s="14"/>
      <c r="B288" s="14"/>
      <c r="C288" s="19" t="s">
        <v>68</v>
      </c>
      <c r="D288" s="7" t="s">
        <v>331</v>
      </c>
      <c r="E288" s="23" t="s">
        <v>11058</v>
      </c>
      <c r="F288" s="23" t="s">
        <v>2640</v>
      </c>
      <c r="G288" s="76" t="s">
        <v>3282</v>
      </c>
      <c r="H288" s="23" t="s">
        <v>11059</v>
      </c>
      <c r="I288" s="77" t="s">
        <v>3453</v>
      </c>
      <c r="J288" s="23" t="s">
        <v>11060</v>
      </c>
      <c r="K288" s="76" t="s">
        <v>11061</v>
      </c>
    </row>
    <row r="289" spans="1:11" ht="13.5" customHeight="1">
      <c r="A289" s="14"/>
      <c r="B289" s="14"/>
      <c r="C289" s="19"/>
      <c r="D289" s="7" t="s">
        <v>332</v>
      </c>
      <c r="E289" s="23" t="s">
        <v>11062</v>
      </c>
      <c r="F289" s="23" t="s">
        <v>2641</v>
      </c>
      <c r="G289" s="76" t="s">
        <v>11063</v>
      </c>
      <c r="H289" s="23" t="s">
        <v>11064</v>
      </c>
      <c r="I289" s="77" t="s">
        <v>3459</v>
      </c>
      <c r="J289" s="23" t="s">
        <v>11065</v>
      </c>
      <c r="K289" s="76" t="s">
        <v>11066</v>
      </c>
    </row>
    <row r="290" spans="1:11" ht="13.5" customHeight="1">
      <c r="A290" s="14"/>
      <c r="B290" s="14"/>
      <c r="C290" s="19"/>
      <c r="D290" s="7" t="s">
        <v>333</v>
      </c>
      <c r="E290" s="23" t="s">
        <v>11067</v>
      </c>
      <c r="F290" s="23" t="s">
        <v>2639</v>
      </c>
      <c r="G290" s="76" t="s">
        <v>11068</v>
      </c>
      <c r="H290" s="23" t="s">
        <v>11069</v>
      </c>
      <c r="I290" s="77" t="s">
        <v>3581</v>
      </c>
      <c r="J290" s="23" t="s">
        <v>11070</v>
      </c>
      <c r="K290" s="76" t="s">
        <v>11071</v>
      </c>
    </row>
    <row r="291" spans="1:11" ht="13.5" customHeight="1">
      <c r="A291" s="14"/>
      <c r="B291" s="14"/>
      <c r="C291" s="19"/>
      <c r="D291" s="7" t="s">
        <v>11072</v>
      </c>
      <c r="E291" s="23" t="s">
        <v>11073</v>
      </c>
      <c r="F291" s="23" t="s">
        <v>2640</v>
      </c>
      <c r="G291" s="76" t="s">
        <v>11074</v>
      </c>
      <c r="H291" s="23" t="s">
        <v>11075</v>
      </c>
      <c r="I291" s="77" t="s">
        <v>3459</v>
      </c>
      <c r="J291" s="23" t="s">
        <v>11076</v>
      </c>
      <c r="K291" s="76" t="s">
        <v>11077</v>
      </c>
    </row>
    <row r="292" spans="1:11" ht="13.5" customHeight="1">
      <c r="A292" s="14"/>
      <c r="B292" s="14"/>
      <c r="C292" s="19"/>
      <c r="D292" s="7" t="s">
        <v>334</v>
      </c>
      <c r="E292" s="23" t="s">
        <v>11078</v>
      </c>
      <c r="F292" s="23" t="s">
        <v>2641</v>
      </c>
      <c r="G292" s="76" t="s">
        <v>11079</v>
      </c>
      <c r="H292" s="23" t="s">
        <v>11080</v>
      </c>
      <c r="I292" s="77" t="s">
        <v>3581</v>
      </c>
      <c r="J292" s="23" t="s">
        <v>11081</v>
      </c>
      <c r="K292" s="76" t="s">
        <v>11082</v>
      </c>
    </row>
    <row r="293" spans="1:11" ht="15.75" customHeight="1">
      <c r="A293" s="14"/>
      <c r="B293" s="14"/>
      <c r="C293" s="19" t="s">
        <v>69</v>
      </c>
      <c r="D293" s="7" t="s">
        <v>335</v>
      </c>
      <c r="E293" s="23" t="s">
        <v>11083</v>
      </c>
      <c r="F293" s="23" t="s">
        <v>2639</v>
      </c>
      <c r="G293" s="76" t="s">
        <v>11084</v>
      </c>
      <c r="H293" s="23" t="s">
        <v>11085</v>
      </c>
      <c r="I293" s="77" t="s">
        <v>3459</v>
      </c>
      <c r="J293" s="23" t="s">
        <v>11086</v>
      </c>
      <c r="K293" s="76" t="s">
        <v>11087</v>
      </c>
    </row>
    <row r="294" spans="1:11" ht="15.75" customHeight="1">
      <c r="A294" s="14"/>
      <c r="B294" s="14"/>
      <c r="C294" s="19"/>
      <c r="D294" s="7" t="s">
        <v>336</v>
      </c>
      <c r="E294" s="23" t="s">
        <v>11088</v>
      </c>
      <c r="F294" s="23" t="s">
        <v>2640</v>
      </c>
      <c r="G294" s="76" t="s">
        <v>11089</v>
      </c>
      <c r="H294" s="23" t="s">
        <v>11090</v>
      </c>
      <c r="I294" s="77" t="s">
        <v>3453</v>
      </c>
      <c r="J294" s="23" t="s">
        <v>11091</v>
      </c>
      <c r="K294" s="76" t="s">
        <v>11092</v>
      </c>
    </row>
    <row r="295" spans="1:11" ht="15.75" customHeight="1">
      <c r="A295" s="14"/>
      <c r="B295" s="14"/>
      <c r="C295" s="19"/>
      <c r="D295" s="7" t="s">
        <v>337</v>
      </c>
      <c r="E295" s="23" t="s">
        <v>11093</v>
      </c>
      <c r="F295" s="23" t="s">
        <v>2641</v>
      </c>
      <c r="G295" s="76" t="s">
        <v>11094</v>
      </c>
      <c r="H295" s="23" t="s">
        <v>11095</v>
      </c>
      <c r="I295" s="77" t="s">
        <v>3459</v>
      </c>
      <c r="J295" s="23" t="s">
        <v>11096</v>
      </c>
      <c r="K295" s="76" t="s">
        <v>11097</v>
      </c>
    </row>
    <row r="296" spans="1:11" ht="15.75" customHeight="1">
      <c r="A296" s="14"/>
      <c r="B296" s="14"/>
      <c r="C296" s="19"/>
      <c r="D296" s="7" t="s">
        <v>338</v>
      </c>
      <c r="E296" s="23" t="s">
        <v>11098</v>
      </c>
      <c r="F296" s="23" t="s">
        <v>2640</v>
      </c>
      <c r="G296" s="76" t="s">
        <v>11099</v>
      </c>
      <c r="H296" s="23" t="s">
        <v>6699</v>
      </c>
      <c r="I296" s="77" t="s">
        <v>3453</v>
      </c>
      <c r="J296" s="23" t="s">
        <v>11100</v>
      </c>
      <c r="K296" s="76" t="s">
        <v>11101</v>
      </c>
    </row>
    <row r="297" spans="1:11" ht="15.75" customHeight="1">
      <c r="A297" s="14"/>
      <c r="B297" s="14"/>
      <c r="C297" s="19"/>
      <c r="D297" s="7" t="s">
        <v>339</v>
      </c>
      <c r="E297" s="23" t="s">
        <v>11102</v>
      </c>
      <c r="F297" s="23" t="s">
        <v>2641</v>
      </c>
      <c r="G297" s="76" t="s">
        <v>11103</v>
      </c>
      <c r="H297" s="23" t="s">
        <v>11104</v>
      </c>
      <c r="I297" s="77" t="s">
        <v>3459</v>
      </c>
      <c r="J297" s="23" t="s">
        <v>11105</v>
      </c>
      <c r="K297" s="76" t="s">
        <v>11106</v>
      </c>
    </row>
    <row r="298" spans="1:11">
      <c r="A298" s="14"/>
      <c r="B298" s="14"/>
      <c r="C298" s="19" t="s">
        <v>70</v>
      </c>
      <c r="D298" s="7" t="s">
        <v>340</v>
      </c>
      <c r="E298" s="23" t="s">
        <v>11638</v>
      </c>
      <c r="F298" s="23" t="s">
        <v>2639</v>
      </c>
      <c r="G298" s="76" t="s">
        <v>11639</v>
      </c>
      <c r="H298" s="23" t="s">
        <v>11640</v>
      </c>
      <c r="I298" s="77" t="s">
        <v>3459</v>
      </c>
      <c r="J298" s="23" t="s">
        <v>11641</v>
      </c>
      <c r="K298" s="76" t="s">
        <v>11642</v>
      </c>
    </row>
    <row r="299" spans="1:11">
      <c r="A299" s="14"/>
      <c r="B299" s="14"/>
      <c r="C299" s="19"/>
      <c r="D299" s="7" t="s">
        <v>341</v>
      </c>
      <c r="E299" s="23" t="s">
        <v>11643</v>
      </c>
      <c r="F299" s="23" t="s">
        <v>2641</v>
      </c>
      <c r="G299" s="76" t="s">
        <v>11644</v>
      </c>
      <c r="H299" s="23" t="s">
        <v>11645</v>
      </c>
      <c r="I299" s="77" t="s">
        <v>3453</v>
      </c>
      <c r="J299" s="23" t="s">
        <v>11646</v>
      </c>
      <c r="K299" s="76" t="s">
        <v>11647</v>
      </c>
    </row>
    <row r="300" spans="1:11">
      <c r="A300" s="14"/>
      <c r="B300" s="14"/>
      <c r="C300" s="19"/>
      <c r="D300" s="7" t="s">
        <v>11108</v>
      </c>
      <c r="E300" s="23" t="s">
        <v>11109</v>
      </c>
      <c r="F300" s="23" t="s">
        <v>2640</v>
      </c>
      <c r="G300" s="76" t="s">
        <v>11110</v>
      </c>
      <c r="H300" s="23" t="s">
        <v>11111</v>
      </c>
      <c r="I300" s="77" t="s">
        <v>3459</v>
      </c>
      <c r="J300" s="23" t="s">
        <v>11112</v>
      </c>
      <c r="K300" s="76" t="s">
        <v>11113</v>
      </c>
    </row>
    <row r="301" spans="1:11">
      <c r="A301" s="14"/>
      <c r="B301" s="14"/>
      <c r="C301" s="19"/>
      <c r="D301" s="7" t="s">
        <v>11114</v>
      </c>
      <c r="E301" s="23" t="s">
        <v>11115</v>
      </c>
      <c r="F301" s="23" t="s">
        <v>2639</v>
      </c>
      <c r="G301" s="76" t="s">
        <v>11116</v>
      </c>
      <c r="H301" s="23" t="s">
        <v>11117</v>
      </c>
      <c r="I301" s="77" t="s">
        <v>3459</v>
      </c>
      <c r="J301" s="23" t="s">
        <v>11118</v>
      </c>
      <c r="K301" s="76" t="s">
        <v>11119</v>
      </c>
    </row>
    <row r="302" spans="1:11">
      <c r="A302" s="14"/>
      <c r="B302" s="14"/>
      <c r="C302" s="19"/>
      <c r="D302" s="7" t="s">
        <v>292</v>
      </c>
      <c r="E302" s="23" t="s">
        <v>11120</v>
      </c>
      <c r="F302" s="23" t="s">
        <v>2639</v>
      </c>
      <c r="G302" s="76" t="s">
        <v>11121</v>
      </c>
      <c r="H302" s="23" t="s">
        <v>11122</v>
      </c>
      <c r="I302" s="77" t="s">
        <v>3581</v>
      </c>
      <c r="J302" s="23" t="s">
        <v>11123</v>
      </c>
      <c r="K302" s="76" t="s">
        <v>11124</v>
      </c>
    </row>
    <row r="303" spans="1:11">
      <c r="A303" s="14"/>
      <c r="B303" s="15" t="s">
        <v>71</v>
      </c>
      <c r="C303" s="19" t="s">
        <v>57</v>
      </c>
      <c r="D303" s="7" t="s">
        <v>11125</v>
      </c>
      <c r="E303" s="23" t="s">
        <v>11126</v>
      </c>
      <c r="F303" s="23" t="s">
        <v>2641</v>
      </c>
      <c r="G303" s="76" t="s">
        <v>11127</v>
      </c>
      <c r="H303" s="23" t="s">
        <v>11128</v>
      </c>
      <c r="I303" s="77" t="s">
        <v>3453</v>
      </c>
      <c r="J303" s="23" t="s">
        <v>11129</v>
      </c>
      <c r="K303" s="76" t="s">
        <v>11130</v>
      </c>
    </row>
    <row r="304" spans="1:11">
      <c r="A304" s="14"/>
      <c r="B304" s="15"/>
      <c r="C304" s="19"/>
      <c r="D304" s="7" t="s">
        <v>294</v>
      </c>
      <c r="E304" s="23" t="s">
        <v>11131</v>
      </c>
      <c r="F304" s="23" t="s">
        <v>2640</v>
      </c>
      <c r="G304" s="76" t="s">
        <v>11132</v>
      </c>
      <c r="H304" s="23" t="s">
        <v>11133</v>
      </c>
      <c r="I304" s="77" t="s">
        <v>3459</v>
      </c>
      <c r="J304" s="23" t="s">
        <v>11134</v>
      </c>
      <c r="K304" s="76" t="s">
        <v>11135</v>
      </c>
    </row>
    <row r="305" spans="1:11">
      <c r="A305" s="14"/>
      <c r="B305" s="15"/>
      <c r="C305" s="19"/>
      <c r="D305" s="7" t="s">
        <v>287</v>
      </c>
      <c r="E305" s="23" t="s">
        <v>11529</v>
      </c>
      <c r="F305" s="23" t="s">
        <v>2640</v>
      </c>
      <c r="G305" s="76" t="s">
        <v>11530</v>
      </c>
      <c r="H305" s="23" t="s">
        <v>11531</v>
      </c>
      <c r="I305" s="77" t="s">
        <v>3459</v>
      </c>
      <c r="J305" s="23" t="s">
        <v>11532</v>
      </c>
      <c r="K305" s="76" t="s">
        <v>11533</v>
      </c>
    </row>
    <row r="306" spans="1:11">
      <c r="A306" s="14"/>
      <c r="B306" s="15"/>
      <c r="C306" s="19"/>
      <c r="D306" s="7" t="s">
        <v>288</v>
      </c>
      <c r="E306" s="23" t="s">
        <v>11534</v>
      </c>
      <c r="F306" s="23" t="s">
        <v>2641</v>
      </c>
      <c r="G306" s="76" t="s">
        <v>11535</v>
      </c>
      <c r="H306" s="23" t="s">
        <v>11107</v>
      </c>
      <c r="I306" s="77" t="s">
        <v>3453</v>
      </c>
      <c r="J306" s="23" t="s">
        <v>11536</v>
      </c>
      <c r="K306" s="76" t="s">
        <v>11537</v>
      </c>
    </row>
    <row r="307" spans="1:11">
      <c r="A307" s="14"/>
      <c r="B307" s="15"/>
      <c r="C307" s="19"/>
      <c r="D307" s="7" t="s">
        <v>289</v>
      </c>
      <c r="E307" s="23" t="s">
        <v>11538</v>
      </c>
      <c r="F307" s="23" t="s">
        <v>2640</v>
      </c>
      <c r="G307" s="76" t="s">
        <v>11539</v>
      </c>
      <c r="H307" s="23" t="s">
        <v>11540</v>
      </c>
      <c r="I307" s="77" t="s">
        <v>3459</v>
      </c>
      <c r="J307" s="23" t="s">
        <v>11541</v>
      </c>
      <c r="K307" s="76" t="s">
        <v>11542</v>
      </c>
    </row>
    <row r="308" spans="1:11">
      <c r="A308" s="14"/>
      <c r="B308" s="15"/>
      <c r="C308" s="19" t="s">
        <v>78</v>
      </c>
      <c r="D308" s="7" t="s">
        <v>290</v>
      </c>
      <c r="E308" s="23" t="s">
        <v>11543</v>
      </c>
      <c r="F308" s="23" t="s">
        <v>2641</v>
      </c>
      <c r="G308" s="76" t="s">
        <v>11544</v>
      </c>
      <c r="H308" s="23" t="s">
        <v>11545</v>
      </c>
      <c r="I308" s="77" t="s">
        <v>3459</v>
      </c>
      <c r="J308" s="23" t="s">
        <v>11546</v>
      </c>
      <c r="K308" s="76" t="s">
        <v>11547</v>
      </c>
    </row>
    <row r="309" spans="1:11">
      <c r="A309" s="14"/>
      <c r="B309" s="15"/>
      <c r="C309" s="19"/>
      <c r="D309" s="7" t="s">
        <v>291</v>
      </c>
      <c r="E309" s="23" t="s">
        <v>11548</v>
      </c>
      <c r="F309" s="23" t="s">
        <v>2639</v>
      </c>
      <c r="G309" s="76" t="s">
        <v>11549</v>
      </c>
      <c r="H309" s="23" t="s">
        <v>11550</v>
      </c>
      <c r="I309" s="77" t="s">
        <v>3581</v>
      </c>
      <c r="J309" s="23" t="s">
        <v>11551</v>
      </c>
      <c r="K309" s="76" t="s">
        <v>11552</v>
      </c>
    </row>
    <row r="310" spans="1:11">
      <c r="A310" s="14"/>
      <c r="B310" s="15"/>
      <c r="C310" s="19"/>
      <c r="D310" s="7" t="s">
        <v>292</v>
      </c>
      <c r="E310" s="23" t="s">
        <v>11553</v>
      </c>
      <c r="F310" s="23" t="s">
        <v>2640</v>
      </c>
      <c r="G310" s="76" t="s">
        <v>11554</v>
      </c>
      <c r="H310" s="23" t="s">
        <v>11555</v>
      </c>
      <c r="I310" s="77" t="s">
        <v>3459</v>
      </c>
      <c r="J310" s="23" t="s">
        <v>11122</v>
      </c>
      <c r="K310" s="76" t="s">
        <v>11556</v>
      </c>
    </row>
    <row r="311" spans="1:11">
      <c r="A311" s="14"/>
      <c r="B311" s="15"/>
      <c r="C311" s="19"/>
      <c r="D311" s="7" t="s">
        <v>293</v>
      </c>
      <c r="E311" s="23" t="s">
        <v>11557</v>
      </c>
      <c r="F311" s="23" t="s">
        <v>2641</v>
      </c>
      <c r="G311" s="76" t="s">
        <v>11558</v>
      </c>
      <c r="H311" s="23" t="s">
        <v>11559</v>
      </c>
      <c r="I311" s="77" t="s">
        <v>3453</v>
      </c>
      <c r="J311" s="23" t="s">
        <v>11560</v>
      </c>
      <c r="K311" s="76" t="s">
        <v>11561</v>
      </c>
    </row>
    <row r="312" spans="1:11">
      <c r="A312" s="14"/>
      <c r="B312" s="15"/>
      <c r="C312" s="19"/>
      <c r="D312" s="7" t="s">
        <v>294</v>
      </c>
      <c r="E312" s="23" t="s">
        <v>11562</v>
      </c>
      <c r="F312" s="23" t="s">
        <v>2640</v>
      </c>
      <c r="G312" s="76" t="s">
        <v>11563</v>
      </c>
      <c r="H312" s="23" t="s">
        <v>11564</v>
      </c>
      <c r="I312" s="77" t="s">
        <v>3459</v>
      </c>
      <c r="J312" s="23" t="s">
        <v>11565</v>
      </c>
      <c r="K312" s="76" t="s">
        <v>11566</v>
      </c>
    </row>
    <row r="313" spans="1:11">
      <c r="A313" s="14"/>
      <c r="B313" s="15"/>
      <c r="C313" s="19" t="s">
        <v>59</v>
      </c>
      <c r="D313" s="7" t="s">
        <v>295</v>
      </c>
      <c r="E313" s="23" t="s">
        <v>11567</v>
      </c>
      <c r="F313" s="23" t="s">
        <v>2639</v>
      </c>
      <c r="G313" s="76" t="s">
        <v>11568</v>
      </c>
      <c r="H313" s="23" t="s">
        <v>11569</v>
      </c>
      <c r="I313" s="77" t="s">
        <v>3459</v>
      </c>
      <c r="J313" s="23" t="s">
        <v>11570</v>
      </c>
      <c r="K313" s="76" t="s">
        <v>11571</v>
      </c>
    </row>
    <row r="314" spans="1:11">
      <c r="A314" s="14"/>
      <c r="B314" s="15"/>
      <c r="C314" s="19"/>
      <c r="D314" s="7" t="s">
        <v>296</v>
      </c>
      <c r="E314" s="23" t="s">
        <v>11572</v>
      </c>
      <c r="F314" s="23" t="s">
        <v>2640</v>
      </c>
      <c r="G314" s="76" t="s">
        <v>11573</v>
      </c>
      <c r="H314" s="23" t="s">
        <v>11574</v>
      </c>
      <c r="I314" s="77" t="s">
        <v>3453</v>
      </c>
      <c r="J314" s="23" t="s">
        <v>11575</v>
      </c>
      <c r="K314" s="76" t="s">
        <v>11576</v>
      </c>
    </row>
    <row r="315" spans="1:11">
      <c r="A315" s="14"/>
      <c r="B315" s="15"/>
      <c r="C315" s="19"/>
      <c r="D315" s="7" t="s">
        <v>297</v>
      </c>
      <c r="E315" s="23" t="s">
        <v>11577</v>
      </c>
      <c r="F315" s="23" t="s">
        <v>2639</v>
      </c>
      <c r="G315" s="76" t="s">
        <v>11578</v>
      </c>
      <c r="H315" s="23" t="s">
        <v>11579</v>
      </c>
      <c r="I315" s="77" t="s">
        <v>3459</v>
      </c>
      <c r="J315" s="23" t="s">
        <v>11580</v>
      </c>
      <c r="K315" s="76" t="s">
        <v>11581</v>
      </c>
    </row>
    <row r="316" spans="1:11">
      <c r="A316" s="14"/>
      <c r="B316" s="15"/>
      <c r="C316" s="19"/>
      <c r="D316" s="7" t="s">
        <v>298</v>
      </c>
      <c r="E316" s="23" t="s">
        <v>11582</v>
      </c>
      <c r="F316" s="23" t="s">
        <v>2639</v>
      </c>
      <c r="G316" s="76" t="s">
        <v>11583</v>
      </c>
      <c r="H316" s="23" t="s">
        <v>11584</v>
      </c>
      <c r="I316" s="77" t="s">
        <v>3459</v>
      </c>
      <c r="J316" s="23" t="s">
        <v>11585</v>
      </c>
      <c r="K316" s="76" t="s">
        <v>11586</v>
      </c>
    </row>
    <row r="317" spans="1:11">
      <c r="A317" s="14"/>
      <c r="B317" s="15"/>
      <c r="C317" s="19"/>
      <c r="D317" s="7" t="s">
        <v>299</v>
      </c>
      <c r="E317" s="23" t="s">
        <v>11587</v>
      </c>
      <c r="F317" s="23" t="s">
        <v>2640</v>
      </c>
      <c r="G317" s="76" t="s">
        <v>11588</v>
      </c>
      <c r="H317" s="23" t="s">
        <v>11589</v>
      </c>
      <c r="I317" s="77" t="s">
        <v>3459</v>
      </c>
      <c r="J317" s="23" t="s">
        <v>11590</v>
      </c>
      <c r="K317" s="76" t="s">
        <v>11591</v>
      </c>
    </row>
    <row r="318" spans="1:11">
      <c r="A318" s="14"/>
      <c r="B318" s="15"/>
      <c r="C318" s="19" t="s">
        <v>60</v>
      </c>
      <c r="D318" s="7" t="s">
        <v>300</v>
      </c>
      <c r="E318" s="23" t="s">
        <v>11592</v>
      </c>
      <c r="F318" s="23" t="s">
        <v>2641</v>
      </c>
      <c r="G318" s="76" t="s">
        <v>11593</v>
      </c>
      <c r="H318" s="23" t="s">
        <v>11594</v>
      </c>
      <c r="I318" s="77" t="s">
        <v>3453</v>
      </c>
      <c r="J318" s="23" t="s">
        <v>11595</v>
      </c>
      <c r="K318" s="76" t="s">
        <v>11596</v>
      </c>
    </row>
    <row r="319" spans="1:11">
      <c r="A319" s="14"/>
      <c r="B319" s="15"/>
      <c r="C319" s="19"/>
      <c r="D319" s="7" t="s">
        <v>301</v>
      </c>
      <c r="E319" s="23" t="s">
        <v>11597</v>
      </c>
      <c r="F319" s="23" t="s">
        <v>2640</v>
      </c>
      <c r="G319" s="76" t="s">
        <v>11598</v>
      </c>
      <c r="H319" s="23" t="s">
        <v>11599</v>
      </c>
      <c r="I319" s="77" t="s">
        <v>3453</v>
      </c>
      <c r="J319" s="23" t="s">
        <v>11600</v>
      </c>
      <c r="K319" s="76" t="s">
        <v>11601</v>
      </c>
    </row>
    <row r="320" spans="1:11">
      <c r="A320" s="14"/>
      <c r="B320" s="15"/>
      <c r="C320" s="19"/>
      <c r="D320" s="7" t="s">
        <v>302</v>
      </c>
      <c r="E320" s="23" t="s">
        <v>11602</v>
      </c>
      <c r="F320" s="23" t="s">
        <v>2641</v>
      </c>
      <c r="G320" s="76" t="s">
        <v>11603</v>
      </c>
      <c r="H320" s="23" t="s">
        <v>11604</v>
      </c>
      <c r="I320" s="77" t="s">
        <v>3453</v>
      </c>
      <c r="J320" s="23" t="s">
        <v>11605</v>
      </c>
      <c r="K320" s="76" t="s">
        <v>11606</v>
      </c>
    </row>
    <row r="321" spans="1:11">
      <c r="A321" s="14"/>
      <c r="B321" s="15"/>
      <c r="C321" s="19"/>
      <c r="D321" s="7" t="s">
        <v>303</v>
      </c>
      <c r="E321" s="23" t="s">
        <v>11607</v>
      </c>
      <c r="F321" s="23" t="s">
        <v>2639</v>
      </c>
      <c r="G321" s="76" t="s">
        <v>11608</v>
      </c>
      <c r="H321" s="23" t="s">
        <v>11609</v>
      </c>
      <c r="I321" s="77" t="s">
        <v>3459</v>
      </c>
      <c r="J321" s="23" t="s">
        <v>11610</v>
      </c>
      <c r="K321" s="76" t="s">
        <v>11611</v>
      </c>
    </row>
    <row r="322" spans="1:11">
      <c r="A322" s="14"/>
      <c r="B322" s="15"/>
      <c r="C322" s="19"/>
      <c r="D322" s="7" t="s">
        <v>304</v>
      </c>
      <c r="E322" s="23" t="s">
        <v>11612</v>
      </c>
      <c r="F322" s="23" t="s">
        <v>2639</v>
      </c>
      <c r="G322" s="76" t="s">
        <v>11613</v>
      </c>
      <c r="H322" s="23" t="s">
        <v>11614</v>
      </c>
      <c r="I322" s="77" t="s">
        <v>3459</v>
      </c>
      <c r="J322" s="23" t="s">
        <v>11027</v>
      </c>
      <c r="K322" s="76" t="s">
        <v>11615</v>
      </c>
    </row>
    <row r="323" spans="1:11">
      <c r="A323" s="14"/>
      <c r="B323" s="15"/>
      <c r="C323" s="19" t="s">
        <v>60</v>
      </c>
      <c r="D323" s="7" t="s">
        <v>300</v>
      </c>
      <c r="E323" s="23" t="s">
        <v>11616</v>
      </c>
      <c r="F323" s="23" t="s">
        <v>2639</v>
      </c>
      <c r="G323" s="76" t="s">
        <v>11593</v>
      </c>
      <c r="H323" s="23" t="s">
        <v>11617</v>
      </c>
      <c r="I323" s="77" t="s">
        <v>3459</v>
      </c>
      <c r="J323" s="23" t="s">
        <v>11618</v>
      </c>
      <c r="K323" s="76" t="s">
        <v>11619</v>
      </c>
    </row>
    <row r="324" spans="1:11">
      <c r="A324" s="14"/>
      <c r="B324" s="15"/>
      <c r="C324" s="19"/>
      <c r="D324" s="7" t="s">
        <v>301</v>
      </c>
      <c r="E324" s="23" t="s">
        <v>11620</v>
      </c>
      <c r="F324" s="23" t="s">
        <v>2639</v>
      </c>
      <c r="G324" s="76" t="s">
        <v>11598</v>
      </c>
      <c r="H324" s="23" t="s">
        <v>11621</v>
      </c>
      <c r="I324" s="77" t="s">
        <v>3459</v>
      </c>
      <c r="J324" s="23" t="s">
        <v>11622</v>
      </c>
      <c r="K324" s="76" t="s">
        <v>11623</v>
      </c>
    </row>
    <row r="325" spans="1:11">
      <c r="A325" s="14"/>
      <c r="B325" s="15"/>
      <c r="C325" s="19"/>
      <c r="D325" s="7" t="s">
        <v>302</v>
      </c>
      <c r="E325" s="23" t="s">
        <v>11624</v>
      </c>
      <c r="F325" s="23" t="s">
        <v>2639</v>
      </c>
      <c r="G325" s="76" t="s">
        <v>11603</v>
      </c>
      <c r="H325" s="23" t="s">
        <v>11625</v>
      </c>
      <c r="I325" s="77" t="s">
        <v>3453</v>
      </c>
      <c r="J325" s="23" t="s">
        <v>11626</v>
      </c>
      <c r="K325" s="76" t="s">
        <v>11627</v>
      </c>
    </row>
    <row r="326" spans="1:11">
      <c r="A326" s="14"/>
      <c r="B326" s="15"/>
      <c r="C326" s="19"/>
      <c r="D326" s="7" t="s">
        <v>303</v>
      </c>
      <c r="E326" s="23" t="s">
        <v>11628</v>
      </c>
      <c r="F326" s="23" t="s">
        <v>2639</v>
      </c>
      <c r="G326" s="76" t="s">
        <v>11629</v>
      </c>
      <c r="H326" s="23" t="s">
        <v>11630</v>
      </c>
      <c r="I326" s="77" t="s">
        <v>3459</v>
      </c>
      <c r="J326" s="23" t="s">
        <v>11631</v>
      </c>
      <c r="K326" s="76" t="s">
        <v>11632</v>
      </c>
    </row>
    <row r="327" spans="1:11">
      <c r="A327" s="14"/>
      <c r="B327" s="15"/>
      <c r="C327" s="19"/>
      <c r="D327" s="7" t="s">
        <v>304</v>
      </c>
      <c r="E327" s="23" t="s">
        <v>11633</v>
      </c>
      <c r="F327" s="23" t="s">
        <v>2639</v>
      </c>
      <c r="G327" s="76" t="s">
        <v>11634</v>
      </c>
      <c r="H327" s="23" t="s">
        <v>11635</v>
      </c>
      <c r="I327" s="77" t="s">
        <v>3459</v>
      </c>
      <c r="J327" s="23" t="s">
        <v>11636</v>
      </c>
      <c r="K327" s="76" t="s">
        <v>11637</v>
      </c>
    </row>
    <row r="328" spans="1:11" ht="15" customHeight="1">
      <c r="A328" s="14"/>
      <c r="B328" s="14" t="s">
        <v>72</v>
      </c>
      <c r="C328" s="60" t="s">
        <v>11136</v>
      </c>
      <c r="D328" s="23" t="s">
        <v>11137</v>
      </c>
      <c r="E328" s="11" t="s">
        <v>11138</v>
      </c>
      <c r="F328" s="7" t="s">
        <v>2640</v>
      </c>
      <c r="G328" s="7" t="s">
        <v>11139</v>
      </c>
      <c r="H328" s="11" t="s">
        <v>11140</v>
      </c>
      <c r="I328" s="77" t="s">
        <v>3453</v>
      </c>
      <c r="J328" s="11" t="s">
        <v>11141</v>
      </c>
      <c r="K328" s="7" t="s">
        <v>11140</v>
      </c>
    </row>
    <row r="329" spans="1:11">
      <c r="A329" s="14"/>
      <c r="B329" s="14"/>
      <c r="C329" s="60"/>
      <c r="D329" s="23" t="s">
        <v>11142</v>
      </c>
      <c r="E329" s="11" t="s">
        <v>11143</v>
      </c>
      <c r="F329" s="7" t="s">
        <v>2640</v>
      </c>
      <c r="G329" s="7" t="s">
        <v>11144</v>
      </c>
      <c r="H329" s="11" t="s">
        <v>11145</v>
      </c>
      <c r="I329" s="77" t="s">
        <v>3453</v>
      </c>
      <c r="J329" s="11" t="s">
        <v>11146</v>
      </c>
      <c r="K329" s="7" t="s">
        <v>11145</v>
      </c>
    </row>
    <row r="330" spans="1:11">
      <c r="A330" s="14"/>
      <c r="B330" s="14"/>
      <c r="C330" s="60"/>
      <c r="D330" s="23" t="s">
        <v>11147</v>
      </c>
      <c r="E330" s="11" t="s">
        <v>11148</v>
      </c>
      <c r="F330" s="7" t="s">
        <v>2639</v>
      </c>
      <c r="G330" s="7" t="s">
        <v>11149</v>
      </c>
      <c r="H330" s="11" t="s">
        <v>11150</v>
      </c>
      <c r="I330" s="77" t="s">
        <v>3453</v>
      </c>
      <c r="J330" s="11" t="s">
        <v>11151</v>
      </c>
      <c r="K330" s="7" t="s">
        <v>11150</v>
      </c>
    </row>
    <row r="331" spans="1:11">
      <c r="A331" s="14"/>
      <c r="B331" s="14"/>
      <c r="C331" s="60"/>
      <c r="D331" s="23" t="s">
        <v>11152</v>
      </c>
      <c r="E331" s="11" t="s">
        <v>11153</v>
      </c>
      <c r="F331" s="7" t="s">
        <v>2639</v>
      </c>
      <c r="G331" s="7" t="s">
        <v>11154</v>
      </c>
      <c r="H331" s="11" t="s">
        <v>11155</v>
      </c>
      <c r="I331" s="77" t="s">
        <v>3453</v>
      </c>
      <c r="J331" s="11" t="s">
        <v>11156</v>
      </c>
      <c r="K331" s="7" t="s">
        <v>11155</v>
      </c>
    </row>
    <row r="332" spans="1:11">
      <c r="A332" s="14"/>
      <c r="B332" s="14"/>
      <c r="C332" s="60"/>
      <c r="D332" s="23" t="s">
        <v>11157</v>
      </c>
      <c r="E332" s="11" t="s">
        <v>11158</v>
      </c>
      <c r="F332" s="7" t="s">
        <v>2639</v>
      </c>
      <c r="G332" s="7" t="s">
        <v>11159</v>
      </c>
      <c r="H332" s="11" t="s">
        <v>11160</v>
      </c>
      <c r="I332" s="77" t="s">
        <v>3453</v>
      </c>
      <c r="J332" s="11" t="s">
        <v>11161</v>
      </c>
      <c r="K332" s="7" t="s">
        <v>11160</v>
      </c>
    </row>
    <row r="333" spans="1:11" ht="15" customHeight="1">
      <c r="A333" s="14"/>
      <c r="B333" s="14"/>
      <c r="C333" s="62" t="s">
        <v>11162</v>
      </c>
      <c r="D333" s="23" t="s">
        <v>11163</v>
      </c>
      <c r="E333" s="11" t="s">
        <v>11164</v>
      </c>
      <c r="F333" s="7" t="s">
        <v>2639</v>
      </c>
      <c r="G333" s="7" t="s">
        <v>11165</v>
      </c>
      <c r="H333" s="11" t="s">
        <v>11166</v>
      </c>
      <c r="I333" s="77" t="s">
        <v>3453</v>
      </c>
      <c r="J333" s="11" t="s">
        <v>11167</v>
      </c>
      <c r="K333" s="7" t="s">
        <v>11166</v>
      </c>
    </row>
    <row r="334" spans="1:11">
      <c r="A334" s="14"/>
      <c r="B334" s="14"/>
      <c r="C334" s="62"/>
      <c r="D334" s="23" t="s">
        <v>11168</v>
      </c>
      <c r="E334" s="11" t="s">
        <v>11169</v>
      </c>
      <c r="F334" s="7" t="s">
        <v>2639</v>
      </c>
      <c r="G334" s="7" t="s">
        <v>11170</v>
      </c>
      <c r="H334" s="11" t="s">
        <v>11171</v>
      </c>
      <c r="I334" s="77" t="s">
        <v>3453</v>
      </c>
      <c r="J334" s="11" t="s">
        <v>11172</v>
      </c>
      <c r="K334" s="7" t="s">
        <v>11171</v>
      </c>
    </row>
    <row r="335" spans="1:11">
      <c r="A335" s="14"/>
      <c r="B335" s="14"/>
      <c r="C335" s="62"/>
      <c r="D335" s="23" t="s">
        <v>11173</v>
      </c>
      <c r="E335" s="11" t="s">
        <v>11174</v>
      </c>
      <c r="F335" s="7" t="s">
        <v>2639</v>
      </c>
      <c r="G335" s="7" t="s">
        <v>11175</v>
      </c>
      <c r="H335" s="11" t="s">
        <v>11176</v>
      </c>
      <c r="I335" s="77" t="s">
        <v>3453</v>
      </c>
      <c r="J335" s="11" t="s">
        <v>11177</v>
      </c>
      <c r="K335" s="7" t="s">
        <v>11176</v>
      </c>
    </row>
    <row r="336" spans="1:11">
      <c r="A336" s="14"/>
      <c r="B336" s="14"/>
      <c r="C336" s="62"/>
      <c r="D336" s="23" t="s">
        <v>11178</v>
      </c>
      <c r="E336" s="11" t="s">
        <v>11179</v>
      </c>
      <c r="F336" s="7" t="s">
        <v>2639</v>
      </c>
      <c r="G336" s="7" t="s">
        <v>11180</v>
      </c>
      <c r="H336" s="11" t="s">
        <v>11181</v>
      </c>
      <c r="I336" s="77" t="s">
        <v>3459</v>
      </c>
      <c r="J336" s="11" t="s">
        <v>11182</v>
      </c>
      <c r="K336" s="7" t="s">
        <v>11181</v>
      </c>
    </row>
    <row r="337" spans="1:11">
      <c r="A337" s="14"/>
      <c r="B337" s="14"/>
      <c r="C337" s="62"/>
      <c r="D337" s="23" t="s">
        <v>11183</v>
      </c>
      <c r="E337" s="11" t="s">
        <v>11184</v>
      </c>
      <c r="F337" s="7" t="s">
        <v>2639</v>
      </c>
      <c r="G337" s="7" t="s">
        <v>11185</v>
      </c>
      <c r="H337" s="11" t="s">
        <v>11186</v>
      </c>
      <c r="I337" s="77" t="s">
        <v>3453</v>
      </c>
      <c r="J337" s="11" t="s">
        <v>11187</v>
      </c>
      <c r="K337" s="7" t="s">
        <v>11186</v>
      </c>
    </row>
    <row r="338" spans="1:11" ht="15" customHeight="1">
      <c r="A338" s="14"/>
      <c r="B338" s="14"/>
      <c r="C338" s="62" t="s">
        <v>11188</v>
      </c>
      <c r="D338" s="23" t="s">
        <v>11189</v>
      </c>
      <c r="E338" s="11" t="s">
        <v>11190</v>
      </c>
      <c r="F338" s="7" t="s">
        <v>2639</v>
      </c>
      <c r="G338" s="7" t="s">
        <v>11191</v>
      </c>
      <c r="H338" s="11" t="s">
        <v>11192</v>
      </c>
      <c r="I338" s="77" t="s">
        <v>3453</v>
      </c>
      <c r="J338" s="11" t="s">
        <v>11193</v>
      </c>
      <c r="K338" s="7" t="s">
        <v>11192</v>
      </c>
    </row>
    <row r="339" spans="1:11">
      <c r="A339" s="14"/>
      <c r="B339" s="14"/>
      <c r="C339" s="62"/>
      <c r="D339" s="23" t="s">
        <v>11194</v>
      </c>
      <c r="E339" s="11" t="s">
        <v>11195</v>
      </c>
      <c r="F339" s="7" t="s">
        <v>2639</v>
      </c>
      <c r="G339" s="7" t="s">
        <v>11196</v>
      </c>
      <c r="H339" s="11" t="s">
        <v>11197</v>
      </c>
      <c r="I339" s="77" t="s">
        <v>3459</v>
      </c>
      <c r="J339" s="11" t="s">
        <v>11198</v>
      </c>
      <c r="K339" s="7" t="s">
        <v>11197</v>
      </c>
    </row>
    <row r="340" spans="1:11">
      <c r="A340" s="14"/>
      <c r="B340" s="14"/>
      <c r="C340" s="62"/>
      <c r="D340" s="23" t="s">
        <v>11199</v>
      </c>
      <c r="E340" s="11" t="s">
        <v>11200</v>
      </c>
      <c r="F340" s="7" t="s">
        <v>2639</v>
      </c>
      <c r="G340" s="7" t="s">
        <v>11201</v>
      </c>
      <c r="H340" s="11" t="s">
        <v>11202</v>
      </c>
      <c r="I340" s="77" t="s">
        <v>3453</v>
      </c>
      <c r="J340" s="11" t="s">
        <v>11203</v>
      </c>
      <c r="K340" s="7" t="s">
        <v>11202</v>
      </c>
    </row>
    <row r="341" spans="1:11">
      <c r="A341" s="14"/>
      <c r="B341" s="14"/>
      <c r="C341" s="62"/>
      <c r="D341" s="23" t="s">
        <v>11204</v>
      </c>
      <c r="E341" s="11" t="s">
        <v>11205</v>
      </c>
      <c r="F341" s="7" t="s">
        <v>2639</v>
      </c>
      <c r="G341" s="7" t="s">
        <v>11206</v>
      </c>
      <c r="H341" s="11" t="s">
        <v>11207</v>
      </c>
      <c r="I341" s="77" t="s">
        <v>3453</v>
      </c>
      <c r="J341" s="11" t="s">
        <v>11208</v>
      </c>
      <c r="K341" s="7" t="s">
        <v>11207</v>
      </c>
    </row>
    <row r="342" spans="1:11">
      <c r="A342" s="14"/>
      <c r="B342" s="14"/>
      <c r="C342" s="62"/>
      <c r="D342" s="23" t="s">
        <v>11209</v>
      </c>
      <c r="E342" s="11" t="s">
        <v>11210</v>
      </c>
      <c r="F342" s="7" t="s">
        <v>2639</v>
      </c>
      <c r="G342" s="7" t="s">
        <v>11211</v>
      </c>
      <c r="H342" s="11" t="s">
        <v>11212</v>
      </c>
      <c r="I342" s="77" t="s">
        <v>3453</v>
      </c>
      <c r="J342" s="11" t="s">
        <v>11213</v>
      </c>
      <c r="K342" s="7" t="s">
        <v>11212</v>
      </c>
    </row>
    <row r="343" spans="1:11" ht="15" customHeight="1">
      <c r="A343" s="14"/>
      <c r="B343" s="14"/>
      <c r="C343" s="62" t="s">
        <v>11214</v>
      </c>
      <c r="D343" s="23" t="s">
        <v>11215</v>
      </c>
      <c r="E343" s="11" t="s">
        <v>11216</v>
      </c>
      <c r="F343" s="7" t="s">
        <v>2639</v>
      </c>
      <c r="G343" s="7" t="s">
        <v>11217</v>
      </c>
      <c r="H343" s="11" t="s">
        <v>11218</v>
      </c>
      <c r="I343" s="77" t="s">
        <v>3453</v>
      </c>
      <c r="J343" s="11" t="s">
        <v>11219</v>
      </c>
      <c r="K343" s="7" t="s">
        <v>11218</v>
      </c>
    </row>
    <row r="344" spans="1:11">
      <c r="A344" s="14"/>
      <c r="B344" s="14"/>
      <c r="C344" s="62"/>
      <c r="D344" s="23" t="s">
        <v>11220</v>
      </c>
      <c r="E344" s="11" t="s">
        <v>11221</v>
      </c>
      <c r="F344" s="7" t="s">
        <v>2639</v>
      </c>
      <c r="G344" s="7" t="s">
        <v>11222</v>
      </c>
      <c r="H344" s="11" t="s">
        <v>11223</v>
      </c>
      <c r="I344" s="77" t="s">
        <v>3453</v>
      </c>
      <c r="J344" s="11" t="s">
        <v>11224</v>
      </c>
      <c r="K344" s="7" t="s">
        <v>11223</v>
      </c>
    </row>
    <row r="345" spans="1:11">
      <c r="A345" s="14"/>
      <c r="B345" s="14"/>
      <c r="C345" s="62"/>
      <c r="D345" s="23" t="s">
        <v>11225</v>
      </c>
      <c r="E345" s="11" t="s">
        <v>11226</v>
      </c>
      <c r="F345" s="7" t="s">
        <v>2639</v>
      </c>
      <c r="G345" s="7" t="s">
        <v>11227</v>
      </c>
      <c r="H345" s="11" t="s">
        <v>11228</v>
      </c>
      <c r="I345" s="77" t="s">
        <v>3453</v>
      </c>
      <c r="J345" s="11" t="s">
        <v>11229</v>
      </c>
      <c r="K345" s="7" t="s">
        <v>11228</v>
      </c>
    </row>
    <row r="346" spans="1:11">
      <c r="A346" s="14"/>
      <c r="B346" s="14"/>
      <c r="C346" s="62"/>
      <c r="D346" s="23" t="s">
        <v>11230</v>
      </c>
      <c r="E346" s="11" t="s">
        <v>11231</v>
      </c>
      <c r="F346" s="7" t="s">
        <v>2639</v>
      </c>
      <c r="G346" s="7" t="s">
        <v>11232</v>
      </c>
      <c r="H346" s="11" t="s">
        <v>11233</v>
      </c>
      <c r="I346" s="77" t="s">
        <v>3459</v>
      </c>
      <c r="J346" s="11" t="s">
        <v>11234</v>
      </c>
      <c r="K346" s="7" t="s">
        <v>11233</v>
      </c>
    </row>
    <row r="347" spans="1:11">
      <c r="A347" s="14"/>
      <c r="B347" s="14"/>
      <c r="C347" s="62"/>
      <c r="D347" s="23" t="s">
        <v>11235</v>
      </c>
      <c r="E347" s="11" t="s">
        <v>11236</v>
      </c>
      <c r="F347" s="7" t="s">
        <v>2639</v>
      </c>
      <c r="G347" s="7" t="s">
        <v>11237</v>
      </c>
      <c r="H347" s="11" t="s">
        <v>11238</v>
      </c>
      <c r="I347" s="77" t="s">
        <v>3453</v>
      </c>
      <c r="J347" s="11" t="s">
        <v>11239</v>
      </c>
      <c r="K347" s="7" t="s">
        <v>11238</v>
      </c>
    </row>
    <row r="348" spans="1:11" ht="15" customHeight="1">
      <c r="A348" s="14"/>
      <c r="B348" s="14"/>
      <c r="C348" s="62" t="s">
        <v>11240</v>
      </c>
      <c r="D348" s="23" t="s">
        <v>11241</v>
      </c>
      <c r="E348" s="11" t="s">
        <v>11242</v>
      </c>
      <c r="F348" s="7" t="s">
        <v>2639</v>
      </c>
      <c r="G348" s="7" t="s">
        <v>11243</v>
      </c>
      <c r="H348" s="11" t="s">
        <v>11244</v>
      </c>
      <c r="I348" s="77" t="s">
        <v>3453</v>
      </c>
      <c r="J348" s="11" t="s">
        <v>11245</v>
      </c>
      <c r="K348" s="7" t="s">
        <v>11244</v>
      </c>
    </row>
    <row r="349" spans="1:11">
      <c r="A349" s="14"/>
      <c r="B349" s="14"/>
      <c r="C349" s="62"/>
      <c r="D349" s="23" t="s">
        <v>11246</v>
      </c>
      <c r="E349" s="11" t="s">
        <v>11247</v>
      </c>
      <c r="F349" s="7" t="s">
        <v>2639</v>
      </c>
      <c r="G349" s="7" t="s">
        <v>11248</v>
      </c>
      <c r="H349" s="11" t="s">
        <v>11249</v>
      </c>
      <c r="I349" s="77" t="s">
        <v>3453</v>
      </c>
      <c r="J349" s="11" t="s">
        <v>11250</v>
      </c>
      <c r="K349" s="7" t="s">
        <v>11249</v>
      </c>
    </row>
    <row r="350" spans="1:11">
      <c r="A350" s="14"/>
      <c r="B350" s="14"/>
      <c r="C350" s="62"/>
      <c r="D350" s="23" t="s">
        <v>11251</v>
      </c>
      <c r="E350" s="11" t="s">
        <v>11252</v>
      </c>
      <c r="F350" s="7" t="s">
        <v>2639</v>
      </c>
      <c r="G350" s="7" t="s">
        <v>11253</v>
      </c>
      <c r="H350" s="11" t="s">
        <v>11254</v>
      </c>
      <c r="I350" s="77" t="s">
        <v>3453</v>
      </c>
      <c r="J350" s="11" t="s">
        <v>11255</v>
      </c>
      <c r="K350" s="7" t="s">
        <v>11254</v>
      </c>
    </row>
    <row r="351" spans="1:11">
      <c r="A351" s="14"/>
      <c r="B351" s="14"/>
      <c r="C351" s="62"/>
      <c r="D351" s="23" t="s">
        <v>11256</v>
      </c>
      <c r="E351" s="11" t="s">
        <v>11257</v>
      </c>
      <c r="F351" s="7" t="s">
        <v>2639</v>
      </c>
      <c r="G351" s="7" t="s">
        <v>11258</v>
      </c>
      <c r="H351" s="11" t="s">
        <v>11259</v>
      </c>
      <c r="I351" s="77" t="s">
        <v>3453</v>
      </c>
      <c r="J351" s="11" t="s">
        <v>11260</v>
      </c>
      <c r="K351" s="7" t="s">
        <v>11259</v>
      </c>
    </row>
    <row r="352" spans="1:11">
      <c r="A352" s="14"/>
      <c r="B352" s="14"/>
      <c r="C352" s="62"/>
      <c r="D352" s="23" t="s">
        <v>11261</v>
      </c>
      <c r="E352" s="11" t="s">
        <v>11262</v>
      </c>
      <c r="F352" s="7" t="s">
        <v>2639</v>
      </c>
      <c r="G352" s="7" t="s">
        <v>11263</v>
      </c>
      <c r="H352" s="11" t="s">
        <v>11264</v>
      </c>
      <c r="I352" s="77" t="s">
        <v>3453</v>
      </c>
      <c r="J352" s="11" t="s">
        <v>11265</v>
      </c>
      <c r="K352" s="7" t="s">
        <v>11264</v>
      </c>
    </row>
    <row r="353" spans="1:11" ht="15" customHeight="1">
      <c r="A353" s="14" t="s">
        <v>74</v>
      </c>
      <c r="B353" s="14" t="s">
        <v>73</v>
      </c>
      <c r="C353" s="60" t="s">
        <v>11266</v>
      </c>
      <c r="D353" s="61" t="s">
        <v>11267</v>
      </c>
      <c r="E353" s="11" t="s">
        <v>11268</v>
      </c>
      <c r="F353" s="7" t="s">
        <v>2639</v>
      </c>
      <c r="G353" s="7" t="s">
        <v>11269</v>
      </c>
      <c r="H353" s="11" t="s">
        <v>11270</v>
      </c>
      <c r="I353" s="77" t="s">
        <v>3453</v>
      </c>
      <c r="J353" s="11" t="s">
        <v>11271</v>
      </c>
      <c r="K353" s="7" t="s">
        <v>11270</v>
      </c>
    </row>
    <row r="354" spans="1:11" ht="17.25">
      <c r="A354" s="14"/>
      <c r="B354" s="14"/>
      <c r="C354" s="60"/>
      <c r="D354" s="61" t="s">
        <v>11272</v>
      </c>
      <c r="E354" s="11" t="s">
        <v>11273</v>
      </c>
      <c r="F354" s="7" t="s">
        <v>2639</v>
      </c>
      <c r="G354" s="7" t="s">
        <v>11274</v>
      </c>
      <c r="H354" s="11" t="s">
        <v>11275</v>
      </c>
      <c r="I354" s="77" t="s">
        <v>3453</v>
      </c>
      <c r="J354" s="11" t="s">
        <v>11276</v>
      </c>
      <c r="K354" s="7" t="s">
        <v>11275</v>
      </c>
    </row>
    <row r="355" spans="1:11" ht="17.25">
      <c r="A355" s="14"/>
      <c r="B355" s="14"/>
      <c r="C355" s="60"/>
      <c r="D355" s="61" t="s">
        <v>11277</v>
      </c>
      <c r="E355" s="11" t="s">
        <v>11278</v>
      </c>
      <c r="F355" s="7" t="s">
        <v>2639</v>
      </c>
      <c r="G355" s="7" t="s">
        <v>11279</v>
      </c>
      <c r="H355" s="11" t="s">
        <v>11280</v>
      </c>
      <c r="I355" s="77" t="s">
        <v>3453</v>
      </c>
      <c r="J355" s="11" t="s">
        <v>11281</v>
      </c>
      <c r="K355" s="7" t="s">
        <v>11280</v>
      </c>
    </row>
    <row r="356" spans="1:11" ht="17.25">
      <c r="A356" s="14"/>
      <c r="B356" s="14"/>
      <c r="C356" s="60"/>
      <c r="D356" s="61" t="s">
        <v>11282</v>
      </c>
      <c r="E356" s="11" t="s">
        <v>11283</v>
      </c>
      <c r="F356" s="7" t="s">
        <v>2639</v>
      </c>
      <c r="G356" s="7" t="s">
        <v>11284</v>
      </c>
      <c r="H356" s="11" t="s">
        <v>11285</v>
      </c>
      <c r="I356" s="77" t="s">
        <v>3453</v>
      </c>
      <c r="J356" s="11" t="s">
        <v>11286</v>
      </c>
      <c r="K356" s="7" t="s">
        <v>11285</v>
      </c>
    </row>
    <row r="357" spans="1:11" ht="17.25">
      <c r="A357" s="14"/>
      <c r="B357" s="14"/>
      <c r="C357" s="60"/>
      <c r="D357" s="61" t="s">
        <v>11287</v>
      </c>
      <c r="E357" s="11" t="s">
        <v>11288</v>
      </c>
      <c r="F357" s="7" t="s">
        <v>2639</v>
      </c>
      <c r="G357" s="7" t="s">
        <v>11289</v>
      </c>
      <c r="H357" s="11" t="s">
        <v>9980</v>
      </c>
      <c r="I357" s="77" t="s">
        <v>3453</v>
      </c>
      <c r="J357" s="11" t="s">
        <v>11290</v>
      </c>
      <c r="K357" s="7" t="s">
        <v>9980</v>
      </c>
    </row>
    <row r="358" spans="1:11" ht="15" customHeight="1">
      <c r="A358" s="14"/>
      <c r="B358" s="14"/>
      <c r="C358" s="62" t="s">
        <v>11291</v>
      </c>
      <c r="D358" s="61" t="s">
        <v>11292</v>
      </c>
      <c r="E358" s="11" t="s">
        <v>11293</v>
      </c>
      <c r="F358" s="7" t="s">
        <v>2639</v>
      </c>
      <c r="G358" s="7" t="s">
        <v>11294</v>
      </c>
      <c r="H358" s="11" t="s">
        <v>11295</v>
      </c>
      <c r="I358" s="77" t="s">
        <v>3453</v>
      </c>
      <c r="J358" s="11" t="s">
        <v>11296</v>
      </c>
      <c r="K358" s="7" t="s">
        <v>11295</v>
      </c>
    </row>
    <row r="359" spans="1:11" ht="17.25">
      <c r="A359" s="14"/>
      <c r="B359" s="14"/>
      <c r="C359" s="62"/>
      <c r="D359" s="61" t="s">
        <v>11297</v>
      </c>
      <c r="E359" s="11" t="s">
        <v>11298</v>
      </c>
      <c r="F359" s="7" t="s">
        <v>2639</v>
      </c>
      <c r="G359" s="7" t="s">
        <v>11299</v>
      </c>
      <c r="H359" s="11" t="s">
        <v>11300</v>
      </c>
      <c r="I359" s="77" t="s">
        <v>3453</v>
      </c>
      <c r="J359" s="11" t="s">
        <v>11301</v>
      </c>
      <c r="K359" s="7" t="s">
        <v>11300</v>
      </c>
    </row>
    <row r="360" spans="1:11" ht="17.25">
      <c r="A360" s="14"/>
      <c r="B360" s="14"/>
      <c r="C360" s="62"/>
      <c r="D360" s="61" t="s">
        <v>11302</v>
      </c>
      <c r="E360" s="11" t="s">
        <v>11303</v>
      </c>
      <c r="F360" s="7" t="s">
        <v>2639</v>
      </c>
      <c r="G360" s="7" t="s">
        <v>11304</v>
      </c>
      <c r="H360" s="11" t="s">
        <v>11305</v>
      </c>
      <c r="I360" s="77" t="s">
        <v>3453</v>
      </c>
      <c r="J360" s="11" t="s">
        <v>11306</v>
      </c>
      <c r="K360" s="7" t="s">
        <v>11305</v>
      </c>
    </row>
    <row r="361" spans="1:11" ht="17.25">
      <c r="A361" s="14"/>
      <c r="B361" s="14"/>
      <c r="C361" s="62"/>
      <c r="D361" s="61" t="s">
        <v>11307</v>
      </c>
      <c r="E361" s="11" t="s">
        <v>11308</v>
      </c>
      <c r="F361" s="7" t="s">
        <v>2639</v>
      </c>
      <c r="G361" s="7" t="s">
        <v>11309</v>
      </c>
      <c r="H361" s="11" t="s">
        <v>11310</v>
      </c>
      <c r="I361" s="77" t="s">
        <v>3459</v>
      </c>
      <c r="J361" s="11" t="s">
        <v>11311</v>
      </c>
      <c r="K361" s="7" t="s">
        <v>11310</v>
      </c>
    </row>
    <row r="362" spans="1:11" ht="17.25">
      <c r="A362" s="14"/>
      <c r="B362" s="14"/>
      <c r="C362" s="62"/>
      <c r="D362" s="61" t="s">
        <v>11312</v>
      </c>
      <c r="E362" s="11" t="s">
        <v>11313</v>
      </c>
      <c r="F362" s="7" t="s">
        <v>2639</v>
      </c>
      <c r="G362" s="7" t="s">
        <v>11314</v>
      </c>
      <c r="H362" s="11" t="s">
        <v>11315</v>
      </c>
      <c r="I362" s="77" t="s">
        <v>3453</v>
      </c>
      <c r="J362" s="11" t="s">
        <v>11316</v>
      </c>
      <c r="K362" s="7" t="s">
        <v>11315</v>
      </c>
    </row>
    <row r="363" spans="1:11" ht="15" customHeight="1">
      <c r="A363" s="14"/>
      <c r="B363" s="14"/>
      <c r="C363" s="62" t="s">
        <v>11317</v>
      </c>
      <c r="D363" s="61" t="s">
        <v>11318</v>
      </c>
      <c r="E363" s="11" t="s">
        <v>11319</v>
      </c>
      <c r="F363" s="7" t="s">
        <v>2639</v>
      </c>
      <c r="G363" s="7" t="s">
        <v>11320</v>
      </c>
      <c r="H363" s="11" t="s">
        <v>11321</v>
      </c>
      <c r="I363" s="77" t="s">
        <v>3453</v>
      </c>
      <c r="J363" s="11" t="s">
        <v>11322</v>
      </c>
      <c r="K363" s="7" t="s">
        <v>11321</v>
      </c>
    </row>
    <row r="364" spans="1:11" ht="17.25">
      <c r="A364" s="14"/>
      <c r="B364" s="14"/>
      <c r="C364" s="62"/>
      <c r="D364" s="61" t="s">
        <v>11323</v>
      </c>
      <c r="E364" s="11" t="s">
        <v>11324</v>
      </c>
      <c r="F364" s="7" t="s">
        <v>2639</v>
      </c>
      <c r="G364" s="7" t="s">
        <v>11325</v>
      </c>
      <c r="H364" s="11" t="s">
        <v>11326</v>
      </c>
      <c r="I364" s="77" t="s">
        <v>3459</v>
      </c>
      <c r="J364" s="11" t="s">
        <v>11327</v>
      </c>
      <c r="K364" s="7" t="s">
        <v>11326</v>
      </c>
    </row>
    <row r="365" spans="1:11" ht="17.25">
      <c r="A365" s="14"/>
      <c r="B365" s="14"/>
      <c r="C365" s="62"/>
      <c r="D365" s="61" t="s">
        <v>11328</v>
      </c>
      <c r="E365" s="11" t="s">
        <v>11329</v>
      </c>
      <c r="F365" s="7" t="s">
        <v>2639</v>
      </c>
      <c r="G365" s="7" t="s">
        <v>11330</v>
      </c>
      <c r="H365" s="11" t="s">
        <v>11331</v>
      </c>
      <c r="I365" s="77" t="s">
        <v>3453</v>
      </c>
      <c r="J365" s="11" t="s">
        <v>11332</v>
      </c>
      <c r="K365" s="7" t="s">
        <v>11331</v>
      </c>
    </row>
    <row r="366" spans="1:11" ht="17.25">
      <c r="A366" s="14"/>
      <c r="B366" s="14"/>
      <c r="C366" s="62"/>
      <c r="D366" s="61" t="s">
        <v>11333</v>
      </c>
      <c r="E366" s="11" t="s">
        <v>11334</v>
      </c>
      <c r="F366" s="7" t="s">
        <v>2639</v>
      </c>
      <c r="G366" s="7" t="s">
        <v>11335</v>
      </c>
      <c r="H366" s="11" t="s">
        <v>11336</v>
      </c>
      <c r="I366" s="77" t="s">
        <v>3453</v>
      </c>
      <c r="J366" s="11" t="s">
        <v>11337</v>
      </c>
      <c r="K366" s="7" t="s">
        <v>11336</v>
      </c>
    </row>
    <row r="367" spans="1:11" ht="17.25">
      <c r="A367" s="14"/>
      <c r="B367" s="14"/>
      <c r="C367" s="62"/>
      <c r="D367" s="61" t="s">
        <v>11338</v>
      </c>
      <c r="E367" s="11" t="s">
        <v>11339</v>
      </c>
      <c r="F367" s="7" t="s">
        <v>2639</v>
      </c>
      <c r="G367" s="7" t="s">
        <v>11340</v>
      </c>
      <c r="H367" s="11" t="s">
        <v>11341</v>
      </c>
      <c r="I367" s="77" t="s">
        <v>3453</v>
      </c>
      <c r="J367" s="11" t="s">
        <v>11342</v>
      </c>
      <c r="K367" s="7" t="s">
        <v>11341</v>
      </c>
    </row>
    <row r="368" spans="1:11" ht="15" customHeight="1">
      <c r="A368" s="14"/>
      <c r="B368" s="14"/>
      <c r="C368" s="62" t="s">
        <v>11343</v>
      </c>
      <c r="D368" s="61" t="s">
        <v>11344</v>
      </c>
      <c r="E368" s="11" t="s">
        <v>11345</v>
      </c>
      <c r="F368" s="7" t="s">
        <v>2639</v>
      </c>
      <c r="G368" s="7" t="s">
        <v>11346</v>
      </c>
      <c r="H368" s="11" t="s">
        <v>11347</v>
      </c>
      <c r="I368" s="77" t="s">
        <v>3453</v>
      </c>
      <c r="J368" s="11" t="s">
        <v>11348</v>
      </c>
      <c r="K368" s="7" t="s">
        <v>11347</v>
      </c>
    </row>
    <row r="369" spans="1:11" ht="17.25">
      <c r="A369" s="14"/>
      <c r="B369" s="14"/>
      <c r="C369" s="62"/>
      <c r="D369" s="61" t="s">
        <v>11349</v>
      </c>
      <c r="E369" s="11" t="s">
        <v>11350</v>
      </c>
      <c r="F369" s="7" t="s">
        <v>2639</v>
      </c>
      <c r="G369" s="7" t="s">
        <v>11351</v>
      </c>
      <c r="H369" s="11" t="s">
        <v>11352</v>
      </c>
      <c r="I369" s="77" t="s">
        <v>3453</v>
      </c>
      <c r="J369" s="11" t="s">
        <v>3846</v>
      </c>
      <c r="K369" s="7" t="s">
        <v>11352</v>
      </c>
    </row>
    <row r="370" spans="1:11" ht="17.25">
      <c r="A370" s="14"/>
      <c r="B370" s="14"/>
      <c r="C370" s="62"/>
      <c r="D370" s="61" t="s">
        <v>11353</v>
      </c>
      <c r="E370" s="11" t="s">
        <v>11354</v>
      </c>
      <c r="F370" s="7" t="s">
        <v>2639</v>
      </c>
      <c r="G370" s="7" t="s">
        <v>11355</v>
      </c>
      <c r="H370" s="11" t="s">
        <v>11356</v>
      </c>
      <c r="I370" s="77" t="s">
        <v>3453</v>
      </c>
      <c r="J370" s="11" t="s">
        <v>11357</v>
      </c>
      <c r="K370" s="7" t="s">
        <v>11356</v>
      </c>
    </row>
    <row r="371" spans="1:11" ht="17.25">
      <c r="A371" s="14"/>
      <c r="B371" s="14"/>
      <c r="C371" s="62"/>
      <c r="D371" s="61" t="s">
        <v>11358</v>
      </c>
      <c r="E371" s="11" t="s">
        <v>11359</v>
      </c>
      <c r="F371" s="7" t="s">
        <v>2639</v>
      </c>
      <c r="G371" s="7" t="s">
        <v>11360</v>
      </c>
      <c r="H371" s="11" t="s">
        <v>11361</v>
      </c>
      <c r="I371" s="77" t="s">
        <v>3453</v>
      </c>
      <c r="J371" s="11" t="s">
        <v>11362</v>
      </c>
      <c r="K371" s="7" t="s">
        <v>11361</v>
      </c>
    </row>
    <row r="372" spans="1:11" ht="17.25">
      <c r="A372" s="14"/>
      <c r="B372" s="14"/>
      <c r="C372" s="62"/>
      <c r="D372" s="61" t="s">
        <v>11363</v>
      </c>
      <c r="E372" s="11" t="s">
        <v>11364</v>
      </c>
      <c r="F372" s="7" t="s">
        <v>2639</v>
      </c>
      <c r="G372" s="7" t="s">
        <v>11365</v>
      </c>
      <c r="H372" s="11" t="s">
        <v>11366</v>
      </c>
      <c r="I372" s="77" t="s">
        <v>3453</v>
      </c>
      <c r="J372" s="11" t="s">
        <v>11367</v>
      </c>
      <c r="K372" s="7" t="s">
        <v>11366</v>
      </c>
    </row>
    <row r="373" spans="1:11" ht="15" customHeight="1">
      <c r="A373" s="14"/>
      <c r="B373" s="14"/>
      <c r="C373" s="62" t="s">
        <v>11368</v>
      </c>
      <c r="D373" s="61" t="s">
        <v>11369</v>
      </c>
      <c r="E373" s="11" t="s">
        <v>11370</v>
      </c>
      <c r="F373" s="7" t="s">
        <v>2640</v>
      </c>
      <c r="G373" s="7" t="s">
        <v>11371</v>
      </c>
      <c r="H373" s="11" t="s">
        <v>11372</v>
      </c>
      <c r="I373" s="77" t="s">
        <v>3453</v>
      </c>
      <c r="J373" s="11" t="s">
        <v>11373</v>
      </c>
      <c r="K373" s="7" t="s">
        <v>11372</v>
      </c>
    </row>
    <row r="374" spans="1:11" ht="17.25">
      <c r="A374" s="14"/>
      <c r="B374" s="14"/>
      <c r="C374" s="62"/>
      <c r="D374" s="61" t="s">
        <v>11374</v>
      </c>
      <c r="E374" s="11" t="s">
        <v>11375</v>
      </c>
      <c r="F374" s="7" t="s">
        <v>2640</v>
      </c>
      <c r="G374" s="7" t="s">
        <v>11376</v>
      </c>
      <c r="H374" s="11" t="s">
        <v>11377</v>
      </c>
      <c r="I374" s="77" t="s">
        <v>3453</v>
      </c>
      <c r="J374" s="11" t="s">
        <v>11378</v>
      </c>
      <c r="K374" s="7" t="s">
        <v>11377</v>
      </c>
    </row>
    <row r="375" spans="1:11" ht="17.25">
      <c r="A375" s="14"/>
      <c r="B375" s="14"/>
      <c r="C375" s="62"/>
      <c r="D375" s="61" t="s">
        <v>11379</v>
      </c>
      <c r="E375" s="11" t="s">
        <v>11380</v>
      </c>
      <c r="F375" s="7" t="s">
        <v>2640</v>
      </c>
      <c r="G375" s="7" t="s">
        <v>11381</v>
      </c>
      <c r="H375" s="11" t="s">
        <v>11382</v>
      </c>
      <c r="I375" s="77" t="s">
        <v>3453</v>
      </c>
      <c r="J375" s="11" t="s">
        <v>11383</v>
      </c>
      <c r="K375" s="7" t="s">
        <v>11382</v>
      </c>
    </row>
    <row r="376" spans="1:11" ht="17.25">
      <c r="A376" s="14"/>
      <c r="B376" s="14"/>
      <c r="C376" s="62"/>
      <c r="D376" s="61" t="s">
        <v>11384</v>
      </c>
      <c r="E376" s="11" t="s">
        <v>11385</v>
      </c>
      <c r="F376" s="7" t="s">
        <v>2639</v>
      </c>
      <c r="G376" s="7" t="s">
        <v>11386</v>
      </c>
      <c r="H376" s="11" t="s">
        <v>11387</v>
      </c>
      <c r="I376" s="77" t="s">
        <v>3453</v>
      </c>
      <c r="J376" s="11" t="s">
        <v>11388</v>
      </c>
      <c r="K376" s="7" t="s">
        <v>11387</v>
      </c>
    </row>
    <row r="377" spans="1:11" ht="17.25">
      <c r="A377" s="14"/>
      <c r="B377" s="14"/>
      <c r="C377" s="62"/>
      <c r="D377" s="61" t="s">
        <v>11389</v>
      </c>
      <c r="E377" s="11" t="s">
        <v>11390</v>
      </c>
      <c r="F377" s="7" t="s">
        <v>2640</v>
      </c>
      <c r="G377" s="7" t="s">
        <v>11391</v>
      </c>
      <c r="H377" s="11" t="s">
        <v>11392</v>
      </c>
      <c r="I377" s="77" t="s">
        <v>3453</v>
      </c>
      <c r="J377" s="11" t="s">
        <v>11393</v>
      </c>
      <c r="K377" s="7" t="s">
        <v>11392</v>
      </c>
    </row>
    <row r="378" spans="1:11" ht="15" customHeight="1">
      <c r="A378" s="14"/>
      <c r="B378" s="14" t="s">
        <v>75</v>
      </c>
      <c r="C378" s="16" t="s">
        <v>76</v>
      </c>
      <c r="D378" s="7" t="s">
        <v>258</v>
      </c>
      <c r="E378" s="11" t="s">
        <v>11394</v>
      </c>
      <c r="F378" s="7" t="s">
        <v>2640</v>
      </c>
      <c r="G378" s="7" t="s">
        <v>11395</v>
      </c>
      <c r="H378" s="11" t="s">
        <v>11396</v>
      </c>
      <c r="I378" s="77" t="s">
        <v>3453</v>
      </c>
      <c r="J378" s="11" t="s">
        <v>11397</v>
      </c>
      <c r="K378" s="7" t="s">
        <v>11396</v>
      </c>
    </row>
    <row r="379" spans="1:11">
      <c r="A379" s="14"/>
      <c r="B379" s="14"/>
      <c r="C379" s="17"/>
      <c r="D379" s="7" t="s">
        <v>259</v>
      </c>
      <c r="E379" s="11" t="s">
        <v>11398</v>
      </c>
      <c r="F379" s="7" t="s">
        <v>2640</v>
      </c>
      <c r="G379" s="7" t="s">
        <v>11399</v>
      </c>
      <c r="H379" s="11" t="s">
        <v>11400</v>
      </c>
      <c r="I379" s="77" t="s">
        <v>3453</v>
      </c>
      <c r="J379" s="11" t="s">
        <v>11401</v>
      </c>
      <c r="K379" s="7" t="s">
        <v>11400</v>
      </c>
    </row>
    <row r="380" spans="1:11">
      <c r="A380" s="14"/>
      <c r="B380" s="14"/>
      <c r="C380" s="17"/>
      <c r="D380" s="7" t="s">
        <v>260</v>
      </c>
      <c r="E380" s="11" t="s">
        <v>11402</v>
      </c>
      <c r="F380" s="7" t="s">
        <v>2640</v>
      </c>
      <c r="G380" s="7" t="s">
        <v>11403</v>
      </c>
      <c r="H380" s="11" t="s">
        <v>11404</v>
      </c>
      <c r="I380" s="77" t="s">
        <v>3453</v>
      </c>
      <c r="J380" s="11" t="s">
        <v>11405</v>
      </c>
      <c r="K380" s="7" t="s">
        <v>11404</v>
      </c>
    </row>
    <row r="381" spans="1:11">
      <c r="A381" s="14"/>
      <c r="B381" s="14"/>
      <c r="C381" s="17"/>
      <c r="D381" s="7" t="s">
        <v>261</v>
      </c>
      <c r="E381" s="11" t="s">
        <v>11406</v>
      </c>
      <c r="F381" s="7" t="s">
        <v>2640</v>
      </c>
      <c r="G381" s="7" t="s">
        <v>11407</v>
      </c>
      <c r="H381" s="11" t="s">
        <v>11408</v>
      </c>
      <c r="I381" s="77" t="s">
        <v>3453</v>
      </c>
      <c r="J381" s="11" t="s">
        <v>11409</v>
      </c>
      <c r="K381" s="7" t="s">
        <v>11408</v>
      </c>
    </row>
    <row r="382" spans="1:11">
      <c r="A382" s="14"/>
      <c r="B382" s="14"/>
      <c r="C382" s="18"/>
      <c r="D382" s="7" t="s">
        <v>262</v>
      </c>
      <c r="E382" s="11" t="s">
        <v>11410</v>
      </c>
      <c r="F382" s="7" t="s">
        <v>2640</v>
      </c>
      <c r="G382" s="7" t="s">
        <v>11411</v>
      </c>
      <c r="H382" s="11" t="s">
        <v>11412</v>
      </c>
      <c r="I382" s="77" t="s">
        <v>3453</v>
      </c>
      <c r="J382" s="11" t="s">
        <v>11413</v>
      </c>
      <c r="K382" s="7" t="s">
        <v>11412</v>
      </c>
    </row>
    <row r="383" spans="1:11" ht="15" customHeight="1">
      <c r="A383" s="14"/>
      <c r="B383" s="14"/>
      <c r="C383" s="16" t="s">
        <v>77</v>
      </c>
      <c r="D383" s="7" t="s">
        <v>263</v>
      </c>
      <c r="E383" s="11" t="s">
        <v>11414</v>
      </c>
      <c r="F383" s="7" t="s">
        <v>2640</v>
      </c>
      <c r="G383" s="7" t="s">
        <v>11415</v>
      </c>
      <c r="H383" s="11" t="s">
        <v>11416</v>
      </c>
      <c r="I383" s="77" t="s">
        <v>3453</v>
      </c>
      <c r="J383" s="11" t="s">
        <v>11417</v>
      </c>
      <c r="K383" s="7" t="s">
        <v>11416</v>
      </c>
    </row>
    <row r="384" spans="1:11">
      <c r="A384" s="14"/>
      <c r="B384" s="14"/>
      <c r="C384" s="17"/>
      <c r="D384" s="7" t="s">
        <v>264</v>
      </c>
      <c r="E384" s="11" t="s">
        <v>11418</v>
      </c>
      <c r="F384" s="7" t="s">
        <v>2640</v>
      </c>
      <c r="G384" s="7" t="s">
        <v>11419</v>
      </c>
      <c r="H384" s="11" t="s">
        <v>11420</v>
      </c>
      <c r="I384" s="77" t="s">
        <v>3453</v>
      </c>
      <c r="J384" s="11" t="s">
        <v>11421</v>
      </c>
      <c r="K384" s="7" t="s">
        <v>11422</v>
      </c>
    </row>
    <row r="385" spans="1:11">
      <c r="A385" s="14"/>
      <c r="B385" s="14"/>
      <c r="C385" s="17"/>
      <c r="D385" s="7" t="s">
        <v>265</v>
      </c>
      <c r="E385" s="11" t="s">
        <v>11423</v>
      </c>
      <c r="F385" s="7" t="s">
        <v>2640</v>
      </c>
      <c r="G385" s="7" t="s">
        <v>11424</v>
      </c>
      <c r="H385" s="11" t="s">
        <v>11425</v>
      </c>
      <c r="I385" s="77" t="s">
        <v>3453</v>
      </c>
      <c r="J385" s="11" t="s">
        <v>11426</v>
      </c>
      <c r="K385" s="7" t="s">
        <v>11427</v>
      </c>
    </row>
    <row r="386" spans="1:11">
      <c r="A386" s="14"/>
      <c r="B386" s="14"/>
      <c r="C386" s="17"/>
      <c r="D386" s="7" t="s">
        <v>266</v>
      </c>
      <c r="E386" s="11" t="s">
        <v>11428</v>
      </c>
      <c r="F386" s="7" t="s">
        <v>2640</v>
      </c>
      <c r="G386" s="7" t="s">
        <v>11429</v>
      </c>
      <c r="H386" s="11" t="s">
        <v>11430</v>
      </c>
      <c r="I386" s="77" t="s">
        <v>3453</v>
      </c>
      <c r="J386" s="11" t="s">
        <v>11431</v>
      </c>
      <c r="K386" s="7" t="s">
        <v>11432</v>
      </c>
    </row>
    <row r="387" spans="1:11">
      <c r="A387" s="14"/>
      <c r="B387" s="14"/>
      <c r="C387" s="18"/>
      <c r="D387" s="7" t="s">
        <v>267</v>
      </c>
      <c r="E387" s="11" t="s">
        <v>11433</v>
      </c>
      <c r="F387" s="7" t="s">
        <v>2640</v>
      </c>
      <c r="G387" s="7" t="s">
        <v>11434</v>
      </c>
      <c r="H387" s="11" t="s">
        <v>11435</v>
      </c>
      <c r="I387" s="77" t="s">
        <v>3453</v>
      </c>
      <c r="J387" s="11" t="s">
        <v>11436</v>
      </c>
      <c r="K387" s="7" t="s">
        <v>11437</v>
      </c>
    </row>
    <row r="388" spans="1:11" ht="15" customHeight="1">
      <c r="A388" s="14"/>
      <c r="B388" s="14"/>
      <c r="C388" s="16" t="s">
        <v>242</v>
      </c>
      <c r="D388" s="7" t="s">
        <v>245</v>
      </c>
      <c r="E388" s="11" t="s">
        <v>11438</v>
      </c>
      <c r="F388" s="7" t="s">
        <v>2640</v>
      </c>
      <c r="G388" s="7" t="s">
        <v>10825</v>
      </c>
      <c r="H388" s="11" t="s">
        <v>11439</v>
      </c>
      <c r="I388" s="77" t="s">
        <v>3453</v>
      </c>
      <c r="J388" s="11" t="s">
        <v>11440</v>
      </c>
      <c r="K388" s="7" t="s">
        <v>11441</v>
      </c>
    </row>
    <row r="389" spans="1:11">
      <c r="A389" s="14"/>
      <c r="B389" s="14"/>
      <c r="C389" s="17"/>
      <c r="D389" s="7" t="s">
        <v>246</v>
      </c>
      <c r="E389" s="11" t="s">
        <v>11442</v>
      </c>
      <c r="F389" s="7" t="s">
        <v>2640</v>
      </c>
      <c r="G389" s="7" t="s">
        <v>11443</v>
      </c>
      <c r="H389" s="11" t="s">
        <v>11444</v>
      </c>
      <c r="I389" s="77" t="s">
        <v>3453</v>
      </c>
      <c r="J389" s="11" t="s">
        <v>11445</v>
      </c>
      <c r="K389" s="7" t="s">
        <v>11446</v>
      </c>
    </row>
    <row r="390" spans="1:11">
      <c r="A390" s="14"/>
      <c r="B390" s="14"/>
      <c r="C390" s="17"/>
      <c r="D390" s="7" t="s">
        <v>247</v>
      </c>
      <c r="E390" s="11" t="s">
        <v>11447</v>
      </c>
      <c r="F390" s="7" t="s">
        <v>2640</v>
      </c>
      <c r="G390" s="7" t="s">
        <v>11448</v>
      </c>
      <c r="H390" s="11" t="s">
        <v>11449</v>
      </c>
      <c r="I390" s="77" t="s">
        <v>3453</v>
      </c>
      <c r="J390" s="11" t="s">
        <v>11450</v>
      </c>
      <c r="K390" s="7" t="s">
        <v>11451</v>
      </c>
    </row>
    <row r="391" spans="1:11">
      <c r="A391" s="14"/>
      <c r="B391" s="14"/>
      <c r="C391" s="17"/>
      <c r="D391" s="7" t="s">
        <v>248</v>
      </c>
      <c r="E391" s="11" t="s">
        <v>11452</v>
      </c>
      <c r="F391" s="7" t="s">
        <v>2640</v>
      </c>
      <c r="G391" s="7" t="s">
        <v>11453</v>
      </c>
      <c r="H391" s="11" t="s">
        <v>11454</v>
      </c>
      <c r="I391" s="77" t="s">
        <v>3453</v>
      </c>
      <c r="J391" s="11" t="s">
        <v>11455</v>
      </c>
      <c r="K391" s="7" t="s">
        <v>11456</v>
      </c>
    </row>
    <row r="392" spans="1:11">
      <c r="A392" s="14"/>
      <c r="B392" s="14"/>
      <c r="C392" s="18"/>
      <c r="D392" s="7" t="s">
        <v>249</v>
      </c>
      <c r="E392" s="11" t="s">
        <v>11457</v>
      </c>
      <c r="F392" s="7" t="s">
        <v>2640</v>
      </c>
      <c r="G392" s="7" t="s">
        <v>11458</v>
      </c>
      <c r="H392" s="11" t="s">
        <v>11459</v>
      </c>
      <c r="I392" s="77" t="s">
        <v>3453</v>
      </c>
      <c r="J392" s="11" t="s">
        <v>11460</v>
      </c>
      <c r="K392" s="7" t="s">
        <v>11461</v>
      </c>
    </row>
    <row r="393" spans="1:11" ht="15" customHeight="1">
      <c r="A393" s="14"/>
      <c r="B393" s="14"/>
      <c r="C393" s="16" t="s">
        <v>244</v>
      </c>
      <c r="D393" s="7" t="s">
        <v>250</v>
      </c>
      <c r="E393" s="11" t="s">
        <v>11462</v>
      </c>
      <c r="F393" s="7" t="s">
        <v>2640</v>
      </c>
      <c r="G393" s="7" t="s">
        <v>11463</v>
      </c>
      <c r="H393" s="11" t="s">
        <v>11464</v>
      </c>
      <c r="I393" s="77" t="s">
        <v>3453</v>
      </c>
      <c r="J393" s="11" t="s">
        <v>11465</v>
      </c>
      <c r="K393" s="7" t="s">
        <v>11466</v>
      </c>
    </row>
    <row r="394" spans="1:11">
      <c r="A394" s="14"/>
      <c r="B394" s="14"/>
      <c r="C394" s="17"/>
      <c r="D394" s="7" t="s">
        <v>251</v>
      </c>
      <c r="E394" s="11" t="s">
        <v>11467</v>
      </c>
      <c r="F394" s="7" t="s">
        <v>2639</v>
      </c>
      <c r="G394" s="7" t="s">
        <v>11468</v>
      </c>
      <c r="H394" s="11" t="s">
        <v>11469</v>
      </c>
      <c r="I394" s="77" t="s">
        <v>3453</v>
      </c>
      <c r="J394" s="11" t="s">
        <v>11470</v>
      </c>
      <c r="K394" s="7" t="s">
        <v>11471</v>
      </c>
    </row>
    <row r="395" spans="1:11">
      <c r="A395" s="14"/>
      <c r="B395" s="14"/>
      <c r="C395" s="17"/>
      <c r="D395" s="7" t="s">
        <v>252</v>
      </c>
      <c r="E395" s="11" t="s">
        <v>11472</v>
      </c>
      <c r="F395" s="7" t="s">
        <v>2639</v>
      </c>
      <c r="G395" s="7" t="s">
        <v>11473</v>
      </c>
      <c r="H395" s="11" t="s">
        <v>11474</v>
      </c>
      <c r="I395" s="77" t="s">
        <v>3453</v>
      </c>
      <c r="J395" s="11" t="s">
        <v>11475</v>
      </c>
      <c r="K395" s="7" t="s">
        <v>11476</v>
      </c>
    </row>
    <row r="396" spans="1:11">
      <c r="A396" s="14"/>
      <c r="B396" s="14"/>
      <c r="C396" s="17"/>
      <c r="D396" s="7" t="s">
        <v>253</v>
      </c>
      <c r="E396" s="11" t="s">
        <v>11477</v>
      </c>
      <c r="F396" s="7" t="s">
        <v>2639</v>
      </c>
      <c r="G396" s="7" t="s">
        <v>11478</v>
      </c>
      <c r="H396" s="11" t="s">
        <v>11479</v>
      </c>
      <c r="I396" s="77" t="s">
        <v>3453</v>
      </c>
      <c r="J396" s="11" t="s">
        <v>11480</v>
      </c>
      <c r="K396" s="7" t="s">
        <v>11481</v>
      </c>
    </row>
    <row r="397" spans="1:11">
      <c r="A397" s="14"/>
      <c r="B397" s="14"/>
      <c r="C397" s="18"/>
      <c r="D397" s="7" t="s">
        <v>226</v>
      </c>
      <c r="E397" s="11" t="s">
        <v>11482</v>
      </c>
      <c r="F397" s="7" t="s">
        <v>2639</v>
      </c>
      <c r="G397" s="7" t="s">
        <v>11483</v>
      </c>
      <c r="H397" s="11" t="s">
        <v>11460</v>
      </c>
      <c r="I397" s="77" t="s">
        <v>3453</v>
      </c>
      <c r="J397" s="11" t="s">
        <v>11484</v>
      </c>
      <c r="K397" s="7" t="s">
        <v>11485</v>
      </c>
    </row>
    <row r="398" spans="1:11" ht="15" customHeight="1">
      <c r="A398" s="14"/>
      <c r="B398" s="14"/>
      <c r="C398" s="16" t="s">
        <v>243</v>
      </c>
      <c r="D398" s="7" t="s">
        <v>254</v>
      </c>
      <c r="E398" s="11" t="s">
        <v>11486</v>
      </c>
      <c r="F398" s="7" t="s">
        <v>2639</v>
      </c>
      <c r="G398" s="7" t="s">
        <v>11487</v>
      </c>
      <c r="H398" s="11" t="s">
        <v>11488</v>
      </c>
      <c r="I398" s="77" t="s">
        <v>3453</v>
      </c>
      <c r="J398" s="11" t="s">
        <v>11489</v>
      </c>
      <c r="K398" s="7" t="s">
        <v>11490</v>
      </c>
    </row>
    <row r="399" spans="1:11">
      <c r="A399" s="14"/>
      <c r="B399" s="14"/>
      <c r="C399" s="17"/>
      <c r="D399" s="7" t="s">
        <v>255</v>
      </c>
      <c r="E399" s="11" t="s">
        <v>11491</v>
      </c>
      <c r="F399" s="7" t="s">
        <v>2639</v>
      </c>
      <c r="G399" s="7" t="s">
        <v>11492</v>
      </c>
      <c r="H399" s="11" t="s">
        <v>11493</v>
      </c>
      <c r="I399" s="77" t="s">
        <v>3453</v>
      </c>
      <c r="J399" s="11" t="s">
        <v>11494</v>
      </c>
      <c r="K399" s="7" t="s">
        <v>11495</v>
      </c>
    </row>
    <row r="400" spans="1:11">
      <c r="A400" s="14"/>
      <c r="B400" s="14"/>
      <c r="C400" s="17"/>
      <c r="D400" s="7" t="s">
        <v>215</v>
      </c>
      <c r="E400" s="11" t="s">
        <v>11496</v>
      </c>
      <c r="F400" s="7" t="s">
        <v>2639</v>
      </c>
      <c r="G400" s="7" t="s">
        <v>11497</v>
      </c>
      <c r="H400" s="11" t="s">
        <v>11498</v>
      </c>
      <c r="I400" s="77" t="s">
        <v>3453</v>
      </c>
      <c r="J400" s="11" t="s">
        <v>11499</v>
      </c>
      <c r="K400" s="7" t="s">
        <v>11500</v>
      </c>
    </row>
    <row r="401" spans="1:11">
      <c r="A401" s="14"/>
      <c r="B401" s="14"/>
      <c r="C401" s="17"/>
      <c r="D401" s="7" t="s">
        <v>256</v>
      </c>
      <c r="E401" s="11" t="s">
        <v>11501</v>
      </c>
      <c r="F401" s="7" t="s">
        <v>2639</v>
      </c>
      <c r="G401" s="7" t="s">
        <v>11502</v>
      </c>
      <c r="H401" s="11" t="s">
        <v>11503</v>
      </c>
      <c r="I401" s="77" t="s">
        <v>3453</v>
      </c>
      <c r="J401" s="11" t="s">
        <v>11504</v>
      </c>
      <c r="K401" s="7" t="s">
        <v>11505</v>
      </c>
    </row>
    <row r="402" spans="1:11">
      <c r="A402" s="14"/>
      <c r="B402" s="14"/>
      <c r="C402" s="18"/>
      <c r="D402" s="7" t="s">
        <v>257</v>
      </c>
      <c r="E402" s="11" t="s">
        <v>11506</v>
      </c>
      <c r="F402" s="7" t="s">
        <v>2639</v>
      </c>
      <c r="G402" s="7" t="s">
        <v>11507</v>
      </c>
      <c r="H402" s="11" t="s">
        <v>11508</v>
      </c>
      <c r="I402" s="77" t="s">
        <v>3453</v>
      </c>
      <c r="J402" s="11" t="s">
        <v>11509</v>
      </c>
      <c r="K402" s="7" t="s">
        <v>11510</v>
      </c>
    </row>
  </sheetData>
  <mergeCells count="101">
    <mergeCell ref="C383:C387"/>
    <mergeCell ref="C393:C397"/>
    <mergeCell ref="C398:C402"/>
    <mergeCell ref="C388:C392"/>
    <mergeCell ref="C23:C27"/>
    <mergeCell ref="C193:C197"/>
    <mergeCell ref="C198:C202"/>
    <mergeCell ref="C363:C367"/>
    <mergeCell ref="C368:C372"/>
    <mergeCell ref="C333:C337"/>
    <mergeCell ref="C338:C342"/>
    <mergeCell ref="C343:C347"/>
    <mergeCell ref="C348:C352"/>
    <mergeCell ref="C353:C357"/>
    <mergeCell ref="C358:C362"/>
    <mergeCell ref="C303:C307"/>
    <mergeCell ref="C308:C312"/>
    <mergeCell ref="C313:C317"/>
    <mergeCell ref="C318:C322"/>
    <mergeCell ref="C323:C327"/>
    <mergeCell ref="C328:C332"/>
    <mergeCell ref="C273:C277"/>
    <mergeCell ref="C278:C282"/>
    <mergeCell ref="C283:C287"/>
    <mergeCell ref="C298:C302"/>
    <mergeCell ref="C373:C377"/>
    <mergeCell ref="C378:C382"/>
    <mergeCell ref="C153:C157"/>
    <mergeCell ref="C158:C162"/>
    <mergeCell ref="C268:C272"/>
    <mergeCell ref="C188:C192"/>
    <mergeCell ref="C203:C207"/>
    <mergeCell ref="C208:C212"/>
    <mergeCell ref="C218:C222"/>
    <mergeCell ref="C223:C227"/>
    <mergeCell ref="C233:C237"/>
    <mergeCell ref="C213:C217"/>
    <mergeCell ref="C228:C232"/>
    <mergeCell ref="C258:C262"/>
    <mergeCell ref="C238:C242"/>
    <mergeCell ref="C243:C247"/>
    <mergeCell ref="C248:C252"/>
    <mergeCell ref="C253:C257"/>
    <mergeCell ref="C263:C267"/>
    <mergeCell ref="C3:C7"/>
    <mergeCell ref="C8:C12"/>
    <mergeCell ref="C13:C17"/>
    <mergeCell ref="C28:C32"/>
    <mergeCell ref="C33:C37"/>
    <mergeCell ref="C18:C22"/>
    <mergeCell ref="C118:C122"/>
    <mergeCell ref="C48:C52"/>
    <mergeCell ref="C58:C62"/>
    <mergeCell ref="C63:C67"/>
    <mergeCell ref="C68:C72"/>
    <mergeCell ref="C73:C77"/>
    <mergeCell ref="C83:C87"/>
    <mergeCell ref="C88:C92"/>
    <mergeCell ref="C93:C97"/>
    <mergeCell ref="C103:C107"/>
    <mergeCell ref="C108:C112"/>
    <mergeCell ref="C113:C117"/>
    <mergeCell ref="C38:C42"/>
    <mergeCell ref="C43:C47"/>
    <mergeCell ref="B353:B377"/>
    <mergeCell ref="B378:B402"/>
    <mergeCell ref="A353:A402"/>
    <mergeCell ref="C53:C57"/>
    <mergeCell ref="C78:C82"/>
    <mergeCell ref="C98:C102"/>
    <mergeCell ref="C128:C132"/>
    <mergeCell ref="C148:C152"/>
    <mergeCell ref="C178:C182"/>
    <mergeCell ref="B253:B277"/>
    <mergeCell ref="A203:A277"/>
    <mergeCell ref="A278:A352"/>
    <mergeCell ref="B278:B302"/>
    <mergeCell ref="B303:B327"/>
    <mergeCell ref="C163:C167"/>
    <mergeCell ref="C168:C172"/>
    <mergeCell ref="C173:C177"/>
    <mergeCell ref="C183:C187"/>
    <mergeCell ref="C123:C127"/>
    <mergeCell ref="C133:C137"/>
    <mergeCell ref="C138:C142"/>
    <mergeCell ref="C143:C147"/>
    <mergeCell ref="C288:C292"/>
    <mergeCell ref="C293:C297"/>
    <mergeCell ref="B3:B27"/>
    <mergeCell ref="B28:B52"/>
    <mergeCell ref="B53:B77"/>
    <mergeCell ref="B78:B102"/>
    <mergeCell ref="A3:A102"/>
    <mergeCell ref="B328:B352"/>
    <mergeCell ref="B128:B152"/>
    <mergeCell ref="B153:B177"/>
    <mergeCell ref="B178:B202"/>
    <mergeCell ref="A103:A202"/>
    <mergeCell ref="B203:B227"/>
    <mergeCell ref="B228:B252"/>
    <mergeCell ref="B103:B127"/>
  </mergeCells>
  <conditionalFormatting sqref="F3:F402">
    <cfRule type="cellIs" dxfId="5" priority="4" operator="equal">
      <formula>$F$11</formula>
    </cfRule>
    <cfRule type="cellIs" dxfId="4" priority="5" operator="equal">
      <formula>$F$10</formula>
    </cfRule>
    <cfRule type="cellIs" dxfId="3" priority="6" operator="equal">
      <formula>$F$12</formula>
    </cfRule>
  </conditionalFormatting>
  <conditionalFormatting sqref="I3:I402">
    <cfRule type="cellIs" dxfId="2" priority="1" operator="equal">
      <formula>$I$276</formula>
    </cfRule>
    <cfRule type="cellIs" dxfId="1" priority="2" operator="equal">
      <formula>$I$364</formula>
    </cfRule>
    <cfRule type="cellIs" dxfId="0" priority="3" operator="equal">
      <formula>$I$374</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8</vt:i4>
      </vt:variant>
    </vt:vector>
  </HeadingPairs>
  <TitlesOfParts>
    <vt:vector size="8" baseType="lpstr">
      <vt:lpstr>SYNTHESE</vt:lpstr>
      <vt:lpstr>GLOBAL(du 4.1 au 4.5)</vt:lpstr>
      <vt:lpstr>APPLICATION_EN_SERVICE</vt:lpstr>
      <vt:lpstr>(4.2)_REF_FONCTION_INFORMATIQUE</vt:lpstr>
      <vt:lpstr>(4.3)CONTROLE_PROJET_INFORMATIQ</vt:lpstr>
      <vt:lpstr>(4.4)_AUDIT_SUPPORT_UTILISATEUR</vt:lpstr>
      <vt:lpstr>(4.5)_SECURITE_INFORMATIQUE</vt:lpstr>
      <vt:lpstr>COSO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claudy</dc:creator>
  <cp:lastModifiedBy>claudy</cp:lastModifiedBy>
  <dcterms:created xsi:type="dcterms:W3CDTF">2025-03-17T11:13:12Z</dcterms:created>
  <dcterms:modified xsi:type="dcterms:W3CDTF">2025-04-16T20:02:23Z</dcterms:modified>
</cp:coreProperties>
</file>